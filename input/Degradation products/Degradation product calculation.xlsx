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sad/Documents/GitHub/plastocene/Degradation products/"/>
    </mc:Choice>
  </mc:AlternateContent>
  <xr:revisionPtr revIDLastSave="0" documentId="13_ncr:1_{99306683-9E93-454C-A997-D105FD78ABCD}" xr6:coauthVersionLast="47" xr6:coauthVersionMax="47" xr10:uidLastSave="{00000000-0000-0000-0000-000000000000}"/>
  <bookViews>
    <workbookView xWindow="680" yWindow="660" windowWidth="28040" windowHeight="17160" xr2:uid="{3D7C2767-6BBB-514A-8044-D0C17D1D120A}"/>
  </bookViews>
  <sheets>
    <sheet name="M_deg" sheetId="1" r:id="rId1"/>
    <sheet name="f_at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2" l="1"/>
  <c r="F10" i="2"/>
  <c r="F7" i="2"/>
  <c r="F6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  <c r="H3" i="1"/>
  <c r="I3" i="1"/>
  <c r="I13" i="1"/>
  <c r="G14" i="1"/>
  <c r="H14" i="1" s="1"/>
  <c r="I14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</calcChain>
</file>

<file path=xl/sharedStrings.xml><?xml version="1.0" encoding="utf-8"?>
<sst xmlns="http://schemas.openxmlformats.org/spreadsheetml/2006/main" count="152" uniqueCount="102">
  <si>
    <t>EPS</t>
  </si>
  <si>
    <t>HDPE</t>
  </si>
  <si>
    <t>LDPE</t>
  </si>
  <si>
    <t>PA_Nylon</t>
  </si>
  <si>
    <t>PET</t>
  </si>
  <si>
    <t>PP</t>
  </si>
  <si>
    <t>PS</t>
  </si>
  <si>
    <t>PVC</t>
  </si>
  <si>
    <t>PU</t>
  </si>
  <si>
    <t>PAN</t>
  </si>
  <si>
    <t>TRWP</t>
  </si>
  <si>
    <t>PHA</t>
  </si>
  <si>
    <t>PLA</t>
  </si>
  <si>
    <t>PCL</t>
  </si>
  <si>
    <t>PBSA</t>
  </si>
  <si>
    <t>starch_blend</t>
  </si>
  <si>
    <t>PBAT</t>
  </si>
  <si>
    <t>Cotton</t>
  </si>
  <si>
    <t>Linen</t>
  </si>
  <si>
    <t>Viscose</t>
  </si>
  <si>
    <t>Rayon</t>
  </si>
  <si>
    <t>Lyocell</t>
  </si>
  <si>
    <t>Modal</t>
  </si>
  <si>
    <t>C%_tot</t>
  </si>
  <si>
    <t>Formula</t>
  </si>
  <si>
    <t>Unit</t>
  </si>
  <si>
    <t>Variable</t>
  </si>
  <si>
    <t>-</t>
  </si>
  <si>
    <t>MM_ru</t>
  </si>
  <si>
    <t>g/mol</t>
  </si>
  <si>
    <t>n_C</t>
  </si>
  <si>
    <t>C₈H₈</t>
  </si>
  <si>
    <t>CH₂</t>
  </si>
  <si>
    <t>C₃H₆</t>
  </si>
  <si>
    <t>C₆H₁₁NO</t>
  </si>
  <si>
    <t>C₁₀H₈O₄</t>
  </si>
  <si>
    <t>C₂H₃Cl</t>
  </si>
  <si>
    <t>C₃H₃N</t>
  </si>
  <si>
    <t>C₃H₄O₂</t>
  </si>
  <si>
    <t>C₆H₁₀O₂</t>
  </si>
  <si>
    <t>composite, not a polymer</t>
  </si>
  <si>
    <t>n/a</t>
  </si>
  <si>
    <t>starch component only (C₆H₁₀O₅)</t>
  </si>
  <si>
    <t>cellulose</t>
  </si>
  <si>
    <t>Notes</t>
  </si>
  <si>
    <t>C₆H₁₀O₅</t>
  </si>
  <si>
    <t>MM_C</t>
  </si>
  <si>
    <t>C₈H₁₂O₄ and C₁₀H₁₆O₄</t>
  </si>
  <si>
    <t>50:50 BS:BA (average MM_ru and n_C)</t>
  </si>
  <si>
    <t>C₁₀H₁₆O₄ and C₁₂H₁₂O₄</t>
  </si>
  <si>
    <t>50:50 BA:BT (average MM_ru and n_C)</t>
  </si>
  <si>
    <t>C₄H₆O₂ and C₅H₈O₂</t>
  </si>
  <si>
    <t>%</t>
  </si>
  <si>
    <t>MM_CO2</t>
  </si>
  <si>
    <t>MM_CH4</t>
  </si>
  <si>
    <t>kg CO2/kg polymer</t>
  </si>
  <si>
    <t>M_CO2_th_anaerobic</t>
  </si>
  <si>
    <t>M_CH4_th_anaerobic</t>
  </si>
  <si>
    <t>M_CO2_th_aerobic</t>
  </si>
  <si>
    <t>kg CH4/kg polymer</t>
  </si>
  <si>
    <t>n_H</t>
  </si>
  <si>
    <t>n_O</t>
  </si>
  <si>
    <t>n_N</t>
  </si>
  <si>
    <t>Compartment</t>
  </si>
  <si>
    <t>Redox state</t>
  </si>
  <si>
    <t>Stoichiometry</t>
  </si>
  <si>
    <t>f_atm,CO₂</t>
  </si>
  <si>
    <t>f_atm,CH₄</t>
  </si>
  <si>
    <t>Assumption</t>
  </si>
  <si>
    <t>Air</t>
  </si>
  <si>
    <t>Oxic</t>
  </si>
  <si>
    <t>Full oxidation</t>
  </si>
  <si>
    <t>Photo-oxidation releases CO₂ directly into the atmosphere.</t>
  </si>
  <si>
    <t>Soil (0–10 cm)</t>
  </si>
  <si>
    <t>Topsoil CO₂ diffuses out; retention by carbonate weathering or DIC leaching is negligible.</t>
  </si>
  <si>
    <t>Lake water</t>
  </si>
  <si>
    <t>Gas exchange is faster than water renewal, so most excess CO₂ degasses; the rest leaves downstream as DIC.</t>
  </si>
  <si>
    <t>River water</t>
  </si>
  <si>
    <t>Gas transfer is high; large rivers lose some CO₂ to the ocean as DIC before equilibrating.</t>
  </si>
  <si>
    <t>River sediments</t>
  </si>
  <si>
    <t>Boyle</t>
  </si>
  <si>
    <t>Short residence time limits CH₄ oxidation, and ebullition bypasses it. Some CO₂ is retained by alkalinity from anaerobic respiration.</t>
  </si>
  <si>
    <t>Lake sediments</t>
  </si>
  <si>
    <t>About 65% of CH₄ is oxidised in sediment and hypolimnion (Bastviken et al. 2008). Some CO₂ is retained by alkalinity and carbonate burial.</t>
  </si>
  <si>
    <t>Marine surface (0–10 m)</t>
  </si>
  <si>
    <t>Mixed layer equilibrates with the atmosphere within about a year.</t>
  </si>
  <si>
    <t>Most carbon exported below the mixed layer returns to the surface within decades (Siegel et al. 2021).</t>
  </si>
  <si>
    <t>Assumes degradation is uniform with depth; carbon released below ~1000 m stays sequestered beyond 100 years.</t>
  </si>
  <si>
    <t>Sulfate reduction and AOM convert carbon to DIC; partial retention by alkalinity; ventilation within decades.</t>
  </si>
  <si>
    <t>Continental seawater column (10–100 m)</t>
  </si>
  <si>
    <t>Continental marine sediments (100 m)</t>
  </si>
  <si>
    <t>Global seawater column (10–3000 m)</t>
  </si>
  <si>
    <t>Global marine sediments (3000 m)</t>
  </si>
  <si>
    <t>Deep-water ventilation takes centuries to about a millennium, so little DIC returns to the surface within 100 years; no CH₄ reaches the surface.</t>
  </si>
  <si>
    <t>Value</t>
  </si>
  <si>
    <t>Units</t>
  </si>
  <si>
    <t>Variables</t>
  </si>
  <si>
    <t>50:50 blend of PHB and PHBV (average MM_ru and n_C)</t>
  </si>
  <si>
    <t>oxidized CH₄ (that became CO₂)</t>
  </si>
  <si>
    <t>Anoxic</t>
  </si>
  <si>
    <t>C₁₇H₁₆N₂O₄</t>
  </si>
  <si>
    <t>Most common MDI-based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</si>
</sst>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"/>
    </font>
    <font>
      <sz val="11"/>
      <name val="Aptos"/>
    </font>
    <font>
      <b/>
      <sz val="12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6" fillId="0" borderId="0" xfId="0" applyFont="1"/>
    <xf numFmtId="0" fontId="6" fillId="0" borderId="0" xfId="0" applyFont="1" applyFill="1"/>
    <xf numFmtId="0" fontId="0" fillId="0" borderId="0" xfId="0" applyFill="1"/>
    <xf numFmtId="9" fontId="0" fillId="0" borderId="0" xfId="1" applyFont="1"/>
    <xf numFmtId="2" fontId="0" fillId="0" borderId="0" xfId="0" applyNumberFormat="1"/>
    <xf numFmtId="0" fontId="2" fillId="0" borderId="0" xfId="0" applyFont="1"/>
    <xf numFmtId="0" fontId="0" fillId="0" borderId="1" xfId="0" applyBorder="1"/>
    <xf numFmtId="0" fontId="6" fillId="0" borderId="1" xfId="0" applyFont="1" applyBorder="1"/>
    <xf numFmtId="0" fontId="2" fillId="0" borderId="0" xfId="0" applyFont="1" applyAlignment="1">
      <alignment wrapText="1"/>
    </xf>
    <xf numFmtId="0" fontId="5" fillId="0" borderId="0" xfId="2" applyFont="1" applyFill="1" applyAlignment="1">
      <alignment horizontal="left"/>
    </xf>
    <xf numFmtId="0" fontId="3" fillId="0" borderId="0" xfId="2" applyFont="1" applyFill="1" applyAlignment="1">
      <alignment horizontal="left"/>
    </xf>
    <xf numFmtId="0" fontId="4" fillId="0" borderId="0" xfId="0" applyFont="1" applyFill="1" applyAlignment="1">
      <alignment horizontal="left" vertical="center" wrapText="1" readingOrder="1"/>
    </xf>
  </cellXfs>
  <cellStyles count="3">
    <cellStyle name="Normal" xfId="0" builtinId="0"/>
    <cellStyle name="Normal 3" xfId="2" xr:uid="{6B68091C-05B2-984A-88DC-5763CF1EF6C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4A73-821D-974D-B3FA-2992E93532BC}">
  <dimension ref="A1:Q25"/>
  <sheetViews>
    <sheetView tabSelected="1" zoomScale="87" workbookViewId="0">
      <selection activeCell="J11" sqref="J11"/>
    </sheetView>
  </sheetViews>
  <sheetFormatPr baseColWidth="10" defaultRowHeight="16" x14ac:dyDescent="0.2"/>
  <cols>
    <col min="1" max="1" width="12.6640625" style="3" bestFit="1" customWidth="1"/>
    <col min="2" max="2" width="18.83203125" bestFit="1" customWidth="1"/>
    <col min="9" max="9" width="17" bestFit="1" customWidth="1"/>
    <col min="10" max="11" width="18.83203125" bestFit="1" customWidth="1"/>
  </cols>
  <sheetData>
    <row r="1" spans="1:17" x14ac:dyDescent="0.2">
      <c r="A1" s="2" t="s">
        <v>25</v>
      </c>
      <c r="B1" s="1" t="s">
        <v>27</v>
      </c>
      <c r="C1" s="1" t="s">
        <v>27</v>
      </c>
      <c r="D1" s="1"/>
      <c r="E1" s="1"/>
      <c r="F1" s="1"/>
      <c r="G1" s="1" t="s">
        <v>29</v>
      </c>
      <c r="H1" s="1" t="s">
        <v>52</v>
      </c>
      <c r="I1" s="1" t="s">
        <v>55</v>
      </c>
      <c r="J1" s="1" t="s">
        <v>55</v>
      </c>
      <c r="K1" s="1" t="s">
        <v>59</v>
      </c>
    </row>
    <row r="2" spans="1:17" x14ac:dyDescent="0.2">
      <c r="A2" s="10" t="s">
        <v>26</v>
      </c>
      <c r="B2" s="1" t="s">
        <v>24</v>
      </c>
      <c r="C2" s="1" t="s">
        <v>30</v>
      </c>
      <c r="D2" s="1" t="s">
        <v>60</v>
      </c>
      <c r="E2" s="1" t="s">
        <v>61</v>
      </c>
      <c r="F2" s="1" t="s">
        <v>62</v>
      </c>
      <c r="G2" s="1" t="s">
        <v>28</v>
      </c>
      <c r="H2" s="1" t="s">
        <v>23</v>
      </c>
      <c r="I2" s="1" t="s">
        <v>58</v>
      </c>
      <c r="J2" s="1" t="s">
        <v>56</v>
      </c>
      <c r="K2" s="1" t="s">
        <v>57</v>
      </c>
      <c r="L2" s="1" t="s">
        <v>44</v>
      </c>
      <c r="N2" s="1"/>
      <c r="O2" s="8" t="s">
        <v>96</v>
      </c>
      <c r="P2" s="8" t="s">
        <v>94</v>
      </c>
      <c r="Q2" s="8" t="s">
        <v>95</v>
      </c>
    </row>
    <row r="3" spans="1:17" x14ac:dyDescent="0.2">
      <c r="A3" s="11" t="s">
        <v>0</v>
      </c>
      <c r="B3" t="s">
        <v>31</v>
      </c>
      <c r="C3">
        <v>8</v>
      </c>
      <c r="D3">
        <v>8</v>
      </c>
      <c r="G3">
        <v>104.15</v>
      </c>
      <c r="H3" s="4">
        <f>C3*$P$3/G3</f>
        <v>0.92259241478636567</v>
      </c>
      <c r="I3" s="5">
        <f>H3*$P$4/$P$3</f>
        <v>3.3805088814210267</v>
      </c>
      <c r="J3" s="5">
        <f>(C3/2-D3/8+E3/4+3*F3/88)*$P$4/G3</f>
        <v>1.2676908305328851</v>
      </c>
      <c r="K3" s="5">
        <f>(C3/2+D3/8-E3/4-3*F3/8)*$P$5/G3</f>
        <v>0.77018722995679312</v>
      </c>
      <c r="O3" s="7" t="s">
        <v>46</v>
      </c>
      <c r="P3" s="7">
        <v>12.010999999999999</v>
      </c>
      <c r="Q3" s="7" t="s">
        <v>29</v>
      </c>
    </row>
    <row r="4" spans="1:17" x14ac:dyDescent="0.2">
      <c r="A4" s="11" t="s">
        <v>1</v>
      </c>
      <c r="B4" t="s">
        <v>32</v>
      </c>
      <c r="C4">
        <v>1</v>
      </c>
      <c r="D4">
        <v>2</v>
      </c>
      <c r="G4">
        <v>14.03</v>
      </c>
      <c r="H4" s="4">
        <f>C4*$P$3/G4</f>
        <v>0.85609408410548826</v>
      </c>
      <c r="I4" s="5">
        <f>H4*$P$4/$P$3</f>
        <v>3.1368496079828936</v>
      </c>
      <c r="J4" s="5">
        <f t="shared" ref="J4:J25" si="0">(C4/2-D4/8+E4/4+3*F4/88)*$P$4/G4</f>
        <v>0.7842124019957234</v>
      </c>
      <c r="K4" s="5">
        <f t="shared" ref="K4:K25" si="1">(C4/2+D4/8-E4/4-3*F4/8)*$P$5/G4</f>
        <v>0.8576086956521739</v>
      </c>
      <c r="O4" s="7" t="s">
        <v>53</v>
      </c>
      <c r="P4" s="7">
        <v>44.01</v>
      </c>
      <c r="Q4" s="7" t="s">
        <v>29</v>
      </c>
    </row>
    <row r="5" spans="1:17" x14ac:dyDescent="0.2">
      <c r="A5" s="11" t="s">
        <v>2</v>
      </c>
      <c r="B5" t="s">
        <v>32</v>
      </c>
      <c r="C5">
        <v>1</v>
      </c>
      <c r="G5">
        <v>14.03</v>
      </c>
      <c r="H5" s="4">
        <f>C5*$P$3/G5</f>
        <v>0.85609408410548826</v>
      </c>
      <c r="I5" s="5">
        <f>H5*$P$4/$P$3</f>
        <v>3.1368496079828936</v>
      </c>
      <c r="J5" s="5">
        <f t="shared" si="0"/>
        <v>1.5684248039914468</v>
      </c>
      <c r="K5" s="5">
        <f t="shared" si="1"/>
        <v>0.57173913043478264</v>
      </c>
      <c r="O5" s="7" t="s">
        <v>54</v>
      </c>
      <c r="P5" s="7">
        <v>16.042999999999999</v>
      </c>
      <c r="Q5" s="7" t="s">
        <v>29</v>
      </c>
    </row>
    <row r="6" spans="1:17" x14ac:dyDescent="0.2">
      <c r="A6" s="11" t="s">
        <v>3</v>
      </c>
      <c r="B6" t="s">
        <v>34</v>
      </c>
      <c r="C6">
        <v>6</v>
      </c>
      <c r="D6">
        <v>11</v>
      </c>
      <c r="E6">
        <v>1</v>
      </c>
      <c r="F6">
        <v>1</v>
      </c>
      <c r="G6">
        <v>113.16</v>
      </c>
      <c r="H6" s="4">
        <f>C6*$P$3/G6</f>
        <v>0.6368504772004242</v>
      </c>
      <c r="I6" s="5">
        <f>H6*$P$4/$P$3</f>
        <v>2.3335100742311772</v>
      </c>
      <c r="J6" s="5">
        <f t="shared" si="0"/>
        <v>0.74248047816446539</v>
      </c>
      <c r="K6" s="5">
        <f t="shared" si="1"/>
        <v>0.53164766702014843</v>
      </c>
    </row>
    <row r="7" spans="1:17" x14ac:dyDescent="0.2">
      <c r="A7" s="11" t="s">
        <v>4</v>
      </c>
      <c r="B7" t="s">
        <v>35</v>
      </c>
      <c r="C7">
        <v>10</v>
      </c>
      <c r="D7">
        <v>8</v>
      </c>
      <c r="E7">
        <v>4</v>
      </c>
      <c r="G7">
        <v>192.17</v>
      </c>
      <c r="H7" s="4">
        <f>C7*$P$3/G7</f>
        <v>0.62501951397200395</v>
      </c>
      <c r="I7" s="5">
        <f>H7*$P$4/$P$3</f>
        <v>2.2901597543841392</v>
      </c>
      <c r="J7" s="5">
        <f t="shared" si="0"/>
        <v>1.1450798771920696</v>
      </c>
      <c r="K7" s="5">
        <f t="shared" si="1"/>
        <v>0.41741687047926318</v>
      </c>
    </row>
    <row r="8" spans="1:17" x14ac:dyDescent="0.2">
      <c r="A8" s="11" t="s">
        <v>5</v>
      </c>
      <c r="B8" t="s">
        <v>33</v>
      </c>
      <c r="C8">
        <v>3</v>
      </c>
      <c r="D8">
        <v>6</v>
      </c>
      <c r="G8">
        <v>42.08</v>
      </c>
      <c r="H8" s="4">
        <f>C8*$P$3/G8</f>
        <v>0.85629752851711038</v>
      </c>
      <c r="I8" s="5">
        <f>H8*$P$4/$P$3</f>
        <v>3.137595057034221</v>
      </c>
      <c r="J8" s="5">
        <f t="shared" si="0"/>
        <v>0.78439876425855515</v>
      </c>
      <c r="K8" s="5">
        <f t="shared" si="1"/>
        <v>0.85781250000000009</v>
      </c>
    </row>
    <row r="9" spans="1:17" x14ac:dyDescent="0.2">
      <c r="A9" s="11" t="s">
        <v>6</v>
      </c>
      <c r="B9" t="s">
        <v>31</v>
      </c>
      <c r="C9">
        <v>8</v>
      </c>
      <c r="D9">
        <v>8</v>
      </c>
      <c r="G9">
        <v>104.15</v>
      </c>
      <c r="H9" s="4">
        <f>C9*$P$3/G9</f>
        <v>0.92259241478636567</v>
      </c>
      <c r="I9" s="5">
        <f>H9*$P$4/$P$3</f>
        <v>3.3805088814210267</v>
      </c>
      <c r="J9" s="5">
        <f t="shared" si="0"/>
        <v>1.2676908305328851</v>
      </c>
      <c r="K9" s="5">
        <f t="shared" si="1"/>
        <v>0.77018722995679312</v>
      </c>
    </row>
    <row r="10" spans="1:17" x14ac:dyDescent="0.2">
      <c r="A10" s="11" t="s">
        <v>7</v>
      </c>
      <c r="B10" t="s">
        <v>36</v>
      </c>
      <c r="C10">
        <v>2</v>
      </c>
      <c r="D10">
        <v>3</v>
      </c>
      <c r="G10">
        <v>62.5</v>
      </c>
      <c r="H10" s="4">
        <f>C10*$P$3/G10</f>
        <v>0.38435199999999997</v>
      </c>
      <c r="I10" s="5">
        <f>H10*$P$4/$P$3</f>
        <v>1.40832</v>
      </c>
      <c r="J10" s="5">
        <f t="shared" si="0"/>
        <v>0.44009999999999999</v>
      </c>
      <c r="K10" s="5">
        <f t="shared" si="1"/>
        <v>0.35294599999999998</v>
      </c>
    </row>
    <row r="11" spans="1:17" x14ac:dyDescent="0.2">
      <c r="A11" s="11" t="s">
        <v>8</v>
      </c>
      <c r="B11" t="s">
        <v>100</v>
      </c>
      <c r="C11">
        <v>17</v>
      </c>
      <c r="D11">
        <v>16</v>
      </c>
      <c r="E11">
        <v>4</v>
      </c>
      <c r="F11">
        <v>2</v>
      </c>
      <c r="G11">
        <v>312.3</v>
      </c>
      <c r="H11" s="4">
        <f>C11*$P$3/G11</f>
        <v>0.65381684277937868</v>
      </c>
      <c r="I11" s="5">
        <f>H11*$P$4/$P$3</f>
        <v>2.3956772334293945</v>
      </c>
      <c r="J11" s="5">
        <f t="shared" si="0"/>
        <v>1.0665247576630861</v>
      </c>
      <c r="K11" s="5">
        <f t="shared" si="1"/>
        <v>0.44949167467178991</v>
      </c>
      <c r="L11" t="s">
        <v>101</v>
      </c>
    </row>
    <row r="12" spans="1:17" x14ac:dyDescent="0.2">
      <c r="A12" s="11" t="s">
        <v>9</v>
      </c>
      <c r="B12" t="s">
        <v>37</v>
      </c>
      <c r="C12">
        <v>3</v>
      </c>
      <c r="D12">
        <v>3</v>
      </c>
      <c r="F12">
        <v>1</v>
      </c>
      <c r="G12">
        <v>53.06</v>
      </c>
      <c r="H12" s="4">
        <f>C12*$P$3/G12</f>
        <v>0.67909913305691672</v>
      </c>
      <c r="I12" s="5">
        <f>H12*$P$4/$P$3</f>
        <v>2.4883151149641916</v>
      </c>
      <c r="J12" s="5">
        <f t="shared" si="0"/>
        <v>0.96139447623616492</v>
      </c>
      <c r="K12" s="5">
        <f t="shared" si="1"/>
        <v>0.45353373539389369</v>
      </c>
    </row>
    <row r="13" spans="1:17" x14ac:dyDescent="0.2">
      <c r="A13" s="11" t="s">
        <v>10</v>
      </c>
      <c r="G13" t="s">
        <v>41</v>
      </c>
      <c r="H13" s="4"/>
      <c r="I13" s="5">
        <f>H13*$P$4/$P$3</f>
        <v>0</v>
      </c>
      <c r="J13" s="5" t="e">
        <f t="shared" si="0"/>
        <v>#VALUE!</v>
      </c>
      <c r="K13" s="5" t="e">
        <f t="shared" si="1"/>
        <v>#VALUE!</v>
      </c>
      <c r="L13" t="s">
        <v>40</v>
      </c>
    </row>
    <row r="14" spans="1:17" x14ac:dyDescent="0.2">
      <c r="A14" s="11" t="s">
        <v>11</v>
      </c>
      <c r="B14" t="s">
        <v>51</v>
      </c>
      <c r="C14">
        <v>4.5</v>
      </c>
      <c r="D14">
        <v>6</v>
      </c>
      <c r="E14">
        <v>2</v>
      </c>
      <c r="G14">
        <f>(86.09+100.12)/2</f>
        <v>93.105000000000004</v>
      </c>
      <c r="H14" s="4">
        <f>C14*$P$3/G14</f>
        <v>0.58052199130014492</v>
      </c>
      <c r="I14" s="5">
        <f>H14*$P$4/$P$3</f>
        <v>2.1271145480908649</v>
      </c>
      <c r="J14" s="5">
        <f t="shared" si="0"/>
        <v>0.94538424359593998</v>
      </c>
      <c r="K14" s="5">
        <f t="shared" si="1"/>
        <v>0.43077707964126521</v>
      </c>
      <c r="L14" t="s">
        <v>97</v>
      </c>
    </row>
    <row r="15" spans="1:17" x14ac:dyDescent="0.2">
      <c r="A15" s="11" t="s">
        <v>12</v>
      </c>
      <c r="B15" t="s">
        <v>38</v>
      </c>
      <c r="C15">
        <v>3</v>
      </c>
      <c r="D15">
        <v>4</v>
      </c>
      <c r="E15">
        <v>2</v>
      </c>
      <c r="G15">
        <v>72.06</v>
      </c>
      <c r="H15" s="4">
        <f>C15*$P$3/G15</f>
        <v>0.50004163197335549</v>
      </c>
      <c r="I15" s="5">
        <f>H15*$P$4/$P$3</f>
        <v>1.8322231473771855</v>
      </c>
      <c r="J15" s="5">
        <f t="shared" si="0"/>
        <v>0.91611157368859286</v>
      </c>
      <c r="K15" s="5">
        <f t="shared" si="1"/>
        <v>0.33395087427144043</v>
      </c>
    </row>
    <row r="16" spans="1:17" x14ac:dyDescent="0.2">
      <c r="A16" s="11" t="s">
        <v>13</v>
      </c>
      <c r="B16" t="s">
        <v>39</v>
      </c>
      <c r="C16">
        <v>6</v>
      </c>
      <c r="D16">
        <v>10</v>
      </c>
      <c r="E16">
        <v>2</v>
      </c>
      <c r="G16">
        <v>114.14</v>
      </c>
      <c r="H16" s="4">
        <f>C16*$P$3/G16</f>
        <v>0.63138251270369727</v>
      </c>
      <c r="I16" s="5">
        <f>H16*$P$4/$P$3</f>
        <v>2.313474680217277</v>
      </c>
      <c r="J16" s="5">
        <f t="shared" si="0"/>
        <v>0.86755300508147881</v>
      </c>
      <c r="K16" s="5">
        <f t="shared" si="1"/>
        <v>0.5270829682845628</v>
      </c>
    </row>
    <row r="17" spans="1:12" x14ac:dyDescent="0.2">
      <c r="A17" s="11" t="s">
        <v>14</v>
      </c>
      <c r="B17" t="s">
        <v>47</v>
      </c>
      <c r="C17">
        <v>9</v>
      </c>
      <c r="D17">
        <v>12</v>
      </c>
      <c r="E17">
        <v>4</v>
      </c>
      <c r="G17">
        <v>186.21</v>
      </c>
      <c r="H17" s="4">
        <f>C17*$P$3/G17</f>
        <v>0.58052199130014492</v>
      </c>
      <c r="I17" s="5">
        <f>H17*$P$4/$P$3</f>
        <v>2.1271145480908649</v>
      </c>
      <c r="J17" s="5">
        <f t="shared" si="0"/>
        <v>0.94538424359593998</v>
      </c>
      <c r="K17" s="5">
        <f t="shared" si="1"/>
        <v>0.43077707964126521</v>
      </c>
      <c r="L17" t="s">
        <v>48</v>
      </c>
    </row>
    <row r="18" spans="1:12" x14ac:dyDescent="0.2">
      <c r="A18" s="11" t="s">
        <v>15</v>
      </c>
      <c r="B18" t="s">
        <v>45</v>
      </c>
      <c r="C18">
        <v>6</v>
      </c>
      <c r="D18">
        <v>10</v>
      </c>
      <c r="E18">
        <v>5</v>
      </c>
      <c r="G18">
        <v>162.13999999999999</v>
      </c>
      <c r="H18" s="4">
        <f>C18*$P$3/G18</f>
        <v>0.44446774392500316</v>
      </c>
      <c r="I18" s="5">
        <f>H18*$P$4/$P$3</f>
        <v>1.6285925743184904</v>
      </c>
      <c r="J18" s="5">
        <f t="shared" si="0"/>
        <v>0.81429628715924518</v>
      </c>
      <c r="K18" s="5">
        <f t="shared" si="1"/>
        <v>0.29683606759590481</v>
      </c>
      <c r="L18" t="s">
        <v>42</v>
      </c>
    </row>
    <row r="19" spans="1:12" x14ac:dyDescent="0.2">
      <c r="A19" s="11" t="s">
        <v>16</v>
      </c>
      <c r="B19" t="s">
        <v>49</v>
      </c>
      <c r="C19">
        <v>11</v>
      </c>
      <c r="D19">
        <v>16</v>
      </c>
      <c r="E19">
        <v>4</v>
      </c>
      <c r="G19">
        <v>210.23</v>
      </c>
      <c r="H19" s="4">
        <f>C19*$P$3/G19</f>
        <v>0.62845930647386195</v>
      </c>
      <c r="I19" s="5">
        <f>H19*$P$4/$P$3</f>
        <v>2.3027636398230511</v>
      </c>
      <c r="J19" s="5">
        <f t="shared" si="0"/>
        <v>0.94203967083670259</v>
      </c>
      <c r="K19" s="5">
        <f t="shared" si="1"/>
        <v>0.49602578128716168</v>
      </c>
      <c r="L19" t="s">
        <v>50</v>
      </c>
    </row>
    <row r="20" spans="1:12" x14ac:dyDescent="0.2">
      <c r="A20" s="12" t="s">
        <v>17</v>
      </c>
      <c r="B20" t="s">
        <v>45</v>
      </c>
      <c r="C20">
        <v>6</v>
      </c>
      <c r="D20">
        <v>10</v>
      </c>
      <c r="E20">
        <v>5</v>
      </c>
      <c r="G20">
        <v>162.13999999999999</v>
      </c>
      <c r="H20" s="4">
        <f>C20*$P$3/G20</f>
        <v>0.44446774392500316</v>
      </c>
      <c r="I20" s="5">
        <f>H20*$P$4/$P$3</f>
        <v>1.6285925743184904</v>
      </c>
      <c r="J20" s="5">
        <f t="shared" si="0"/>
        <v>0.81429628715924518</v>
      </c>
      <c r="K20" s="5">
        <f t="shared" si="1"/>
        <v>0.29683606759590481</v>
      </c>
      <c r="L20" t="s">
        <v>43</v>
      </c>
    </row>
    <row r="21" spans="1:12" x14ac:dyDescent="0.2">
      <c r="A21" s="12" t="s">
        <v>18</v>
      </c>
      <c r="B21" t="s">
        <v>45</v>
      </c>
      <c r="C21">
        <v>6</v>
      </c>
      <c r="D21">
        <v>10</v>
      </c>
      <c r="E21">
        <v>5</v>
      </c>
      <c r="G21">
        <v>162.13999999999999</v>
      </c>
      <c r="H21" s="4">
        <f>C21*$P$3/G21</f>
        <v>0.44446774392500316</v>
      </c>
      <c r="I21" s="5">
        <f>H21*$P$4/$P$3</f>
        <v>1.6285925743184904</v>
      </c>
      <c r="J21" s="5">
        <f t="shared" si="0"/>
        <v>0.81429628715924518</v>
      </c>
      <c r="K21" s="5">
        <f t="shared" si="1"/>
        <v>0.29683606759590481</v>
      </c>
      <c r="L21" t="s">
        <v>43</v>
      </c>
    </row>
    <row r="22" spans="1:12" x14ac:dyDescent="0.2">
      <c r="A22" s="12" t="s">
        <v>19</v>
      </c>
      <c r="B22" t="s">
        <v>45</v>
      </c>
      <c r="C22">
        <v>6</v>
      </c>
      <c r="D22">
        <v>10</v>
      </c>
      <c r="E22">
        <v>5</v>
      </c>
      <c r="G22">
        <v>162.13999999999999</v>
      </c>
      <c r="H22" s="4">
        <f>C22*$P$3/G22</f>
        <v>0.44446774392500316</v>
      </c>
      <c r="I22" s="5">
        <f>H22*$P$4/$P$3</f>
        <v>1.6285925743184904</v>
      </c>
      <c r="J22" s="5">
        <f t="shared" si="0"/>
        <v>0.81429628715924518</v>
      </c>
      <c r="K22" s="5">
        <f t="shared" si="1"/>
        <v>0.29683606759590481</v>
      </c>
      <c r="L22" t="s">
        <v>43</v>
      </c>
    </row>
    <row r="23" spans="1:12" x14ac:dyDescent="0.2">
      <c r="A23" s="12" t="s">
        <v>20</v>
      </c>
      <c r="B23" t="s">
        <v>45</v>
      </c>
      <c r="C23">
        <v>6</v>
      </c>
      <c r="D23">
        <v>10</v>
      </c>
      <c r="E23">
        <v>5</v>
      </c>
      <c r="G23">
        <v>162.13999999999999</v>
      </c>
      <c r="H23" s="4">
        <f>C23*$P$3/G23</f>
        <v>0.44446774392500316</v>
      </c>
      <c r="I23" s="5">
        <f>H23*$P$4/$P$3</f>
        <v>1.6285925743184904</v>
      </c>
      <c r="J23" s="5">
        <f t="shared" si="0"/>
        <v>0.81429628715924518</v>
      </c>
      <c r="K23" s="5">
        <f t="shared" si="1"/>
        <v>0.29683606759590481</v>
      </c>
      <c r="L23" t="s">
        <v>43</v>
      </c>
    </row>
    <row r="24" spans="1:12" x14ac:dyDescent="0.2">
      <c r="A24" s="12" t="s">
        <v>21</v>
      </c>
      <c r="B24" t="s">
        <v>45</v>
      </c>
      <c r="C24">
        <v>6</v>
      </c>
      <c r="D24">
        <v>10</v>
      </c>
      <c r="E24">
        <v>5</v>
      </c>
      <c r="G24">
        <v>162.13999999999999</v>
      </c>
      <c r="H24" s="4">
        <f>C24*$P$3/G24</f>
        <v>0.44446774392500316</v>
      </c>
      <c r="I24" s="5">
        <f>H24*$P$4/$P$3</f>
        <v>1.6285925743184904</v>
      </c>
      <c r="J24" s="5">
        <f t="shared" si="0"/>
        <v>0.81429628715924518</v>
      </c>
      <c r="K24" s="5">
        <f t="shared" si="1"/>
        <v>0.29683606759590481</v>
      </c>
      <c r="L24" t="s">
        <v>43</v>
      </c>
    </row>
    <row r="25" spans="1:12" x14ac:dyDescent="0.2">
      <c r="A25" s="12" t="s">
        <v>22</v>
      </c>
      <c r="B25" t="s">
        <v>45</v>
      </c>
      <c r="C25">
        <v>6</v>
      </c>
      <c r="D25">
        <v>10</v>
      </c>
      <c r="E25">
        <v>5</v>
      </c>
      <c r="G25">
        <v>162.13999999999999</v>
      </c>
      <c r="H25" s="4">
        <f>C25*$P$3/G25</f>
        <v>0.44446774392500316</v>
      </c>
      <c r="I25" s="5">
        <f>H25*$P$4/$P$3</f>
        <v>1.6285925743184904</v>
      </c>
      <c r="J25" s="5">
        <f t="shared" si="0"/>
        <v>0.81429628715924518</v>
      </c>
      <c r="K25" s="5">
        <f t="shared" si="1"/>
        <v>0.29683606759590481</v>
      </c>
      <c r="L2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6643-849F-D647-8F84-9D509043298B}">
  <dimension ref="A1:G12"/>
  <sheetViews>
    <sheetView workbookViewId="0">
      <selection activeCell="C16" sqref="C16"/>
    </sheetView>
  </sheetViews>
  <sheetFormatPr baseColWidth="10" defaultRowHeight="16" x14ac:dyDescent="0.2"/>
  <cols>
    <col min="1" max="1" width="34.83203125" bestFit="1" customWidth="1"/>
    <col min="2" max="3" width="20.6640625" bestFit="1" customWidth="1"/>
    <col min="5" max="5" width="9.6640625" bestFit="1" customWidth="1"/>
    <col min="6" max="6" width="18.1640625" customWidth="1"/>
  </cols>
  <sheetData>
    <row r="1" spans="1:7" ht="34" x14ac:dyDescent="0.2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9" t="s">
        <v>98</v>
      </c>
      <c r="G1" s="6" t="s">
        <v>68</v>
      </c>
    </row>
    <row r="2" spans="1:7" x14ac:dyDescent="0.2">
      <c r="A2" t="s">
        <v>69</v>
      </c>
      <c r="B2" t="s">
        <v>70</v>
      </c>
      <c r="C2" t="s">
        <v>71</v>
      </c>
      <c r="D2">
        <v>1</v>
      </c>
      <c r="E2" t="s">
        <v>41</v>
      </c>
      <c r="F2" t="s">
        <v>41</v>
      </c>
      <c r="G2" t="s">
        <v>72</v>
      </c>
    </row>
    <row r="3" spans="1:7" x14ac:dyDescent="0.2">
      <c r="A3" t="s">
        <v>73</v>
      </c>
      <c r="B3" t="s">
        <v>70</v>
      </c>
      <c r="C3" t="s">
        <v>71</v>
      </c>
      <c r="D3">
        <v>1</v>
      </c>
      <c r="E3" t="s">
        <v>41</v>
      </c>
      <c r="F3" t="s">
        <v>41</v>
      </c>
      <c r="G3" t="s">
        <v>74</v>
      </c>
    </row>
    <row r="4" spans="1:7" x14ac:dyDescent="0.2">
      <c r="A4" t="s">
        <v>75</v>
      </c>
      <c r="B4" t="s">
        <v>70</v>
      </c>
      <c r="C4" t="s">
        <v>71</v>
      </c>
      <c r="D4">
        <v>0.9</v>
      </c>
      <c r="E4" t="s">
        <v>41</v>
      </c>
      <c r="F4" t="s">
        <v>41</v>
      </c>
      <c r="G4" t="s">
        <v>76</v>
      </c>
    </row>
    <row r="5" spans="1:7" x14ac:dyDescent="0.2">
      <c r="A5" t="s">
        <v>77</v>
      </c>
      <c r="B5" t="s">
        <v>70</v>
      </c>
      <c r="C5" t="s">
        <v>71</v>
      </c>
      <c r="D5">
        <v>0.9</v>
      </c>
      <c r="E5" t="s">
        <v>41</v>
      </c>
      <c r="F5" t="s">
        <v>41</v>
      </c>
      <c r="G5" t="s">
        <v>78</v>
      </c>
    </row>
    <row r="6" spans="1:7" x14ac:dyDescent="0.2">
      <c r="A6" t="s">
        <v>79</v>
      </c>
      <c r="B6" t="s">
        <v>99</v>
      </c>
      <c r="C6" t="s">
        <v>80</v>
      </c>
      <c r="D6">
        <v>0.85</v>
      </c>
      <c r="E6">
        <v>0.6</v>
      </c>
      <c r="F6">
        <f>(1-E6)</f>
        <v>0.4</v>
      </c>
      <c r="G6" t="s">
        <v>81</v>
      </c>
    </row>
    <row r="7" spans="1:7" x14ac:dyDescent="0.2">
      <c r="A7" t="s">
        <v>82</v>
      </c>
      <c r="B7" t="s">
        <v>99</v>
      </c>
      <c r="C7" t="s">
        <v>80</v>
      </c>
      <c r="D7">
        <v>0.8</v>
      </c>
      <c r="E7">
        <v>0.35</v>
      </c>
      <c r="F7">
        <f>(1-E7)</f>
        <v>0.65</v>
      </c>
      <c r="G7" t="s">
        <v>83</v>
      </c>
    </row>
    <row r="8" spans="1:7" x14ac:dyDescent="0.2">
      <c r="A8" t="s">
        <v>84</v>
      </c>
      <c r="B8" t="s">
        <v>70</v>
      </c>
      <c r="C8" t="s">
        <v>71</v>
      </c>
      <c r="D8">
        <v>1</v>
      </c>
      <c r="E8" t="s">
        <v>41</v>
      </c>
      <c r="F8" t="s">
        <v>41</v>
      </c>
      <c r="G8" t="s">
        <v>85</v>
      </c>
    </row>
    <row r="9" spans="1:7" x14ac:dyDescent="0.2">
      <c r="A9" t="s">
        <v>89</v>
      </c>
      <c r="B9" t="s">
        <v>70</v>
      </c>
      <c r="C9" t="s">
        <v>71</v>
      </c>
      <c r="D9">
        <v>0.85</v>
      </c>
      <c r="E9" t="s">
        <v>41</v>
      </c>
      <c r="F9" t="s">
        <v>41</v>
      </c>
      <c r="G9" t="s">
        <v>86</v>
      </c>
    </row>
    <row r="10" spans="1:7" x14ac:dyDescent="0.2">
      <c r="A10" t="s">
        <v>90</v>
      </c>
      <c r="B10" t="s">
        <v>99</v>
      </c>
      <c r="C10" t="s">
        <v>80</v>
      </c>
      <c r="D10">
        <v>0.75</v>
      </c>
      <c r="E10">
        <v>0.01</v>
      </c>
      <c r="F10">
        <f>(1-E10)</f>
        <v>0.99</v>
      </c>
      <c r="G10" t="s">
        <v>88</v>
      </c>
    </row>
    <row r="11" spans="1:7" x14ac:dyDescent="0.2">
      <c r="A11" t="s">
        <v>91</v>
      </c>
      <c r="B11" t="s">
        <v>70</v>
      </c>
      <c r="C11" t="s">
        <v>71</v>
      </c>
      <c r="D11">
        <v>0.4</v>
      </c>
      <c r="E11" t="s">
        <v>41</v>
      </c>
      <c r="F11" t="s">
        <v>41</v>
      </c>
      <c r="G11" t="s">
        <v>87</v>
      </c>
    </row>
    <row r="12" spans="1:7" x14ac:dyDescent="0.2">
      <c r="A12" t="s">
        <v>92</v>
      </c>
      <c r="B12" t="s">
        <v>99</v>
      </c>
      <c r="C12" t="s">
        <v>80</v>
      </c>
      <c r="D12">
        <v>0.1</v>
      </c>
      <c r="E12">
        <v>0</v>
      </c>
      <c r="F12">
        <f>(1-E12)</f>
        <v>1</v>
      </c>
      <c r="G1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M_deg</vt:lpstr>
      <vt:lpstr>f_atm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 Saadi</dc:creator>
  <cp:lastModifiedBy>Nadim Saadi</cp:lastModifiedBy>
  <dcterms:created xsi:type="dcterms:W3CDTF">2026-10-19T15:28:57Z</dcterms:created>
  <dcterms:modified xsi:type="dcterms:W3CDTF">2026-10-20T14:30:36Z</dcterms:modified>
</cp:coreProperties>
</file>