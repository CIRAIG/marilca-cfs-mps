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nadsad/Documents/GitHub/marilca-cfs-mps/input/"/>
    </mc:Choice>
  </mc:AlternateContent>
  <xr:revisionPtr revIDLastSave="0" documentId="13_ncr:1_{EBAB1B4B-8023-F547-B652-6F4AF1C85807}" xr6:coauthVersionLast="47" xr6:coauthVersionMax="47" xr10:uidLastSave="{00000000-0000-0000-0000-000000000000}"/>
  <bookViews>
    <workbookView xWindow="0" yWindow="660" windowWidth="29400" windowHeight="16940" xr2:uid="{176BB934-54F5-4471-86BE-95D8C132309E}"/>
  </bookViews>
  <sheets>
    <sheet name="TC_archetypes" sheetId="1" r:id="rId1"/>
    <sheet name="Sheet1" sheetId="2" r:id="rId2"/>
  </sheets>
  <definedNames>
    <definedName name="AREAland.C">#REF!</definedName>
    <definedName name="AREAland.R">#REF!</definedName>
    <definedName name="AREAsea.C">#REF!</definedName>
    <definedName name="AREAsea.R">#REF!</definedName>
    <definedName name="_xlnm.Database">#REF!</definedName>
    <definedName name="DEPTHfreshwater.C">#REF!</definedName>
    <definedName name="DEPTHfreshwater.R">#REF!</definedName>
    <definedName name="DEPTHlake.C">#REF!</definedName>
    <definedName name="DEPTHlake.R">#REF!</definedName>
    <definedName name="Em_kg_vkm">TC_archetypes!$D$60</definedName>
    <definedName name="FRACagsoil.C">#REF!</definedName>
    <definedName name="FRACfresh.C">#REF!</definedName>
    <definedName name="FRAClake.C">#REF!</definedName>
    <definedName name="FRACnatsoil.C">#REF!</definedName>
    <definedName name="FRACothersoil.C">#REF!</definedName>
    <definedName name="période_sélectionnée">#REF!</definedName>
    <definedName name="PériodeDansPlan">#REF!=MEDIAN(#REF!,#REF!,#REF!+#REF!-1)</definedName>
    <definedName name="PériodeDansRéel">#REF!=MEDIAN(#REF!,#REF!,#REF!+#REF!-1)</definedName>
    <definedName name="Plan">PériodeDansPlan*(#REF!&gt;0)</definedName>
    <definedName name="PourcentageAccompli">PourcentageAccompliAuDelà*PériodeDansPlan</definedName>
    <definedName name="PourcentageAccompliAuDelà">(#REF!=MEDIAN(#REF!,#REF!,#REF!+#REF!)*(#REF!&gt;0))*((#REF!&lt;(INT(#REF!+#REF!*#REF!)))+(#REF!=#REF!))*(#REF!&gt;0)</definedName>
    <definedName name="Réel">(PériodeDansRéel*(#REF!&gt;0))*PériodeDansPlan</definedName>
    <definedName name="RéelAuDelà">PériodeDansRéel*(#REF!&gt;0)</definedName>
    <definedName name="RegionBaseRowNr">#REF!</definedName>
    <definedName name="share_Highway">TC_archetypes!$C$57</definedName>
    <definedName name="share_Rural_roads">TC_archetypes!$C$56</definedName>
    <definedName name="share_Urban_roads">TC_archetypes!$C$55</definedName>
    <definedName name="SYSTEMAREA.C">#REF!</definedName>
    <definedName name="SYSTEMAREA.R">#REF!</definedName>
    <definedName name="total_emissions">#REF!</definedName>
    <definedName name="x_air" localSheetId="0">TC_archetypes!$D$62</definedName>
    <definedName name="x_air">#REF!</definedName>
    <definedName name="x_roadsurface" localSheetId="0">TC_archetypes!$D$61</definedName>
    <definedName name="x_roadsurfa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1" l="1"/>
  <c r="C72" i="1"/>
  <c r="C68" i="1"/>
  <c r="C69" i="1"/>
  <c r="C70" i="1"/>
  <c r="C71" i="1"/>
  <c r="C67" i="1"/>
  <c r="Y97" i="1"/>
  <c r="Y96" i="1"/>
  <c r="Y95" i="1"/>
  <c r="Y94" i="1"/>
  <c r="Y93" i="1"/>
  <c r="Y92" i="1"/>
  <c r="Y81" i="1"/>
  <c r="Y70" i="1"/>
  <c r="P58" i="1"/>
  <c r="P55" i="1"/>
  <c r="P93" i="1"/>
  <c r="P92" i="1"/>
  <c r="P82" i="1"/>
  <c r="Y82" i="1" s="1"/>
  <c r="P81" i="1"/>
  <c r="Y86" i="1" s="1"/>
  <c r="P71" i="1"/>
  <c r="P70" i="1"/>
  <c r="Y75" i="1" s="1"/>
  <c r="N64" i="1"/>
  <c r="D62" i="1"/>
  <c r="D61" i="1" s="1"/>
  <c r="L55" i="1" s="1"/>
  <c r="P59" i="1"/>
  <c r="P56" i="1" s="1"/>
  <c r="P57" i="1"/>
  <c r="P64" i="1"/>
  <c r="L40" i="1"/>
  <c r="K40" i="1"/>
  <c r="J40" i="1"/>
  <c r="I40" i="1"/>
  <c r="H40" i="1"/>
  <c r="G40" i="1"/>
  <c r="F40" i="1"/>
  <c r="E40" i="1"/>
  <c r="D40" i="1"/>
  <c r="C40" i="1"/>
  <c r="AF96" i="1" l="1"/>
  <c r="AF95" i="1"/>
  <c r="AF97" i="1"/>
  <c r="AF99" i="1" s="1"/>
  <c r="AF93" i="1"/>
  <c r="AF92" i="1"/>
  <c r="AF94" i="1"/>
  <c r="Y99" i="1"/>
  <c r="Y85" i="1"/>
  <c r="AF83" i="1"/>
  <c r="AF81" i="1"/>
  <c r="AF82" i="1"/>
  <c r="AF86" i="1"/>
  <c r="AF75" i="1"/>
  <c r="AF70" i="1"/>
  <c r="L54" i="1"/>
  <c r="L64" i="1" s="1"/>
  <c r="Y74" i="1"/>
  <c r="AF71" i="1"/>
  <c r="P83" i="1"/>
  <c r="P72" i="1"/>
  <c r="Y71" i="1"/>
  <c r="P94" i="1"/>
  <c r="P96" i="1" s="1"/>
  <c r="Y83" i="1" l="1"/>
  <c r="Y84" i="1"/>
  <c r="AF85" i="1" s="1"/>
  <c r="AF72" i="1"/>
  <c r="P85" i="1"/>
  <c r="Y73" i="1"/>
  <c r="AF74" i="1" s="1"/>
  <c r="Y72" i="1"/>
  <c r="AF73" i="1" s="1"/>
  <c r="P74" i="1"/>
  <c r="Y88" i="1" l="1"/>
  <c r="AF84" i="1"/>
  <c r="AF88" i="1" s="1"/>
  <c r="Y77" i="1"/>
  <c r="AF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Louisa Ospital</author>
  </authors>
  <commentList>
    <comment ref="L12" authorId="0" shapeId="0" xr:uid="{6C41B39B-9AC7-4273-8585-3DDB8270BAD9}">
      <text>
        <r>
          <rPr>
            <b/>
            <sz val="9"/>
            <color indexed="81"/>
            <rFont val="Tahoma"/>
            <family val="2"/>
          </rPr>
          <t>Louisa Ospital:</t>
        </r>
        <r>
          <rPr>
            <sz val="9"/>
            <color indexed="81"/>
            <rFont val="Tahoma"/>
            <family val="2"/>
          </rPr>
          <t xml:space="preserve">
removal from rural runoff in swlaes and ditches</t>
        </r>
      </text>
    </comment>
    <comment ref="L16" authorId="0" shapeId="0" xr:uid="{1E06587A-E348-4807-A6CA-EDD15EB8850A}">
      <text>
        <r>
          <rPr>
            <b/>
            <sz val="9"/>
            <color indexed="81"/>
            <rFont val="Tahoma"/>
            <family val="2"/>
          </rPr>
          <t>Louisa Ospital:</t>
        </r>
        <r>
          <rPr>
            <sz val="9"/>
            <color indexed="81"/>
            <rFont val="Tahoma"/>
            <family val="2"/>
          </rPr>
          <t xml:space="preserve">
highway runoff removed by stormwater management systems</t>
        </r>
      </text>
    </comment>
    <comment ref="B28" authorId="0" shapeId="0" xr:uid="{729CCFBA-5102-4598-806D-DE3D4A523415}">
      <text>
        <r>
          <rPr>
            <b/>
            <sz val="9"/>
            <color indexed="81"/>
            <rFont val="Tahoma"/>
            <family val="2"/>
          </rPr>
          <t>Louisa Ospital:</t>
        </r>
        <r>
          <rPr>
            <sz val="9"/>
            <color indexed="81"/>
            <rFont val="Tahoma"/>
            <family val="2"/>
          </rPr>
          <t xml:space="preserve">
assumed natural soil</t>
        </r>
      </text>
    </comment>
    <comment ref="E36" authorId="0" shapeId="0" xr:uid="{D2A65B65-3EB6-4917-BB01-A3B3EEC544C1}">
      <text>
        <r>
          <rPr>
            <b/>
            <sz val="9"/>
            <color indexed="81"/>
            <rFont val="Tahoma"/>
            <family val="2"/>
          </rPr>
          <t>Louisa Ospital:</t>
        </r>
        <r>
          <rPr>
            <sz val="9"/>
            <color indexed="81"/>
            <rFont val="Tahoma"/>
            <family val="2"/>
          </rPr>
          <t xml:space="preserve">
roadside assimilated to natural soil</t>
        </r>
      </text>
    </comment>
    <comment ref="G36" authorId="0" shapeId="0" xr:uid="{B1BC9EE7-BF3F-4B07-BB68-38AE2D6B1A5C}">
      <text>
        <r>
          <rPr>
            <b/>
            <sz val="9"/>
            <color indexed="81"/>
            <rFont val="Tahoma"/>
            <family val="2"/>
          </rPr>
          <t>Louisa Ospital:</t>
        </r>
        <r>
          <rPr>
            <sz val="9"/>
            <color indexed="81"/>
            <rFont val="Tahoma"/>
            <family val="2"/>
          </rPr>
          <t xml:space="preserve">
roadside assimilated to natural soil</t>
        </r>
      </text>
    </comment>
    <comment ref="B38" authorId="0" shapeId="0" xr:uid="{76344C25-0A40-4962-9AE8-5C5FCC0E9222}">
      <text>
        <r>
          <rPr>
            <b/>
            <sz val="9"/>
            <color indexed="81"/>
            <rFont val="Tahoma"/>
            <family val="2"/>
          </rPr>
          <t>Louisa Ospital:</t>
        </r>
        <r>
          <rPr>
            <sz val="9"/>
            <color indexed="81"/>
            <rFont val="Tahoma"/>
            <family val="2"/>
          </rPr>
          <t xml:space="preserve">
redistributed between river and lake water according to allocated fraction</t>
        </r>
      </text>
    </comment>
  </commentList>
</comments>
</file>

<file path=xl/sharedStrings.xml><?xml version="1.0" encoding="utf-8"?>
<sst xmlns="http://schemas.openxmlformats.org/spreadsheetml/2006/main" count="432" uniqueCount="163">
  <si>
    <t>Africa &amp; Middle East</t>
  </si>
  <si>
    <t>Central Asia</t>
  </si>
  <si>
    <t>Europe</t>
  </si>
  <si>
    <t>Latin America</t>
  </si>
  <si>
    <t>North America</t>
  </si>
  <si>
    <t>Northern regions</t>
  </si>
  <si>
    <t>Oceania</t>
  </si>
  <si>
    <t>Southeast Asia</t>
  </si>
  <si>
    <t>default setting if no primary data available</t>
  </si>
  <si>
    <t>Main reference</t>
  </si>
  <si>
    <t>(Ren et al. 2024)</t>
  </si>
  <si>
    <t>(Unice et al. 2019)</t>
  </si>
  <si>
    <t>USA (van Gils et al. 2026)</t>
  </si>
  <si>
    <t>Default High-income-countries</t>
  </si>
  <si>
    <t>Default Low-income-countries</t>
  </si>
  <si>
    <t>From</t>
  </si>
  <si>
    <t>To</t>
  </si>
  <si>
    <t>a (min)</t>
  </si>
  <si>
    <t>b (max)</t>
  </si>
  <si>
    <t>c (most likely)</t>
  </si>
  <si>
    <t>Type of data</t>
  </si>
  <si>
    <t>Comments</t>
  </si>
  <si>
    <t>Tyre wear</t>
  </si>
  <si>
    <t>Urban roads</t>
  </si>
  <si>
    <t>primary</t>
  </si>
  <si>
    <t>sum must equal 1</t>
  </si>
  <si>
    <t>Rural roads</t>
  </si>
  <si>
    <t>Highway</t>
  </si>
  <si>
    <t>Parameter</t>
  </si>
  <si>
    <t>Abbr</t>
  </si>
  <si>
    <t>a</t>
  </si>
  <si>
    <t>b</t>
  </si>
  <si>
    <t>c</t>
  </si>
  <si>
    <t>Urban_to_runoff</t>
  </si>
  <si>
    <t>Urunoff</t>
  </si>
  <si>
    <t>Rural_to_runoff</t>
  </si>
  <si>
    <t>Rrunoff</t>
  </si>
  <si>
    <t>Highway_to_runoff</t>
  </si>
  <si>
    <t>Hrunoff</t>
  </si>
  <si>
    <t>Urban_to_SSS</t>
  </si>
  <si>
    <t>Usss</t>
  </si>
  <si>
    <t>Rural_to_SSS</t>
  </si>
  <si>
    <t>Rsss</t>
  </si>
  <si>
    <t>75 (60-90)</t>
  </si>
  <si>
    <t>Highway_to_SSS</t>
  </si>
  <si>
    <t>Hsss</t>
  </si>
  <si>
    <t>Urban_to_CSS</t>
  </si>
  <si>
    <t>Ucss</t>
  </si>
  <si>
    <t>75 (10–90)</t>
  </si>
  <si>
    <t>Rural_to_CSS</t>
  </si>
  <si>
    <t>Rcss</t>
  </si>
  <si>
    <t>Highway_to_CSS</t>
  </si>
  <si>
    <t>Hcss</t>
  </si>
  <si>
    <t>50 (40–60)</t>
  </si>
  <si>
    <t>Urban_Road cleaning</t>
  </si>
  <si>
    <t>Ucleaning</t>
  </si>
  <si>
    <t>Rural_Road cleaning</t>
  </si>
  <si>
    <t>Rcleaning</t>
  </si>
  <si>
    <t>Highway_Road cleaning</t>
  </si>
  <si>
    <t>Hcleaning</t>
  </si>
  <si>
    <t>Combined sewer overflows</t>
  </si>
  <si>
    <t>CSO</t>
  </si>
  <si>
    <t>0.11?</t>
  </si>
  <si>
    <t>WWTP removal efficiency</t>
  </si>
  <si>
    <t>removeff</t>
  </si>
  <si>
    <t>95 (90-100)</t>
  </si>
  <si>
    <t>Entrapment</t>
  </si>
  <si>
    <t>entrap</t>
  </si>
  <si>
    <t>data for ZOAB highways in the Netherlands</t>
  </si>
  <si>
    <t>Sludge_to_agrisoil</t>
  </si>
  <si>
    <t>Sludgespread</t>
  </si>
  <si>
    <t>country-dependant</t>
  </si>
  <si>
    <t>Sludge_to_incineration</t>
  </si>
  <si>
    <t>Sludgeincin</t>
  </si>
  <si>
    <t>Landfill</t>
  </si>
  <si>
    <t>Fraction to direct runoff</t>
  </si>
  <si>
    <t>50 (25 - 75)</t>
  </si>
  <si>
    <t>Fraction to soil</t>
  </si>
  <si>
    <t>Trapping in separate stormwater collection systems</t>
  </si>
  <si>
    <t>20 (van Gils et al. 2026 based on Leifting et al. 2017)</t>
  </si>
  <si>
    <t>Releases into the environment</t>
  </si>
  <si>
    <t>Japan (van Gils et al. 2026)</t>
  </si>
  <si>
    <t>Air</t>
  </si>
  <si>
    <t>Natural soil</t>
  </si>
  <si>
    <t>Agricultural soil</t>
  </si>
  <si>
    <t>Surface water</t>
  </si>
  <si>
    <t>Managed and removed</t>
  </si>
  <si>
    <t>Total</t>
  </si>
  <si>
    <t>USEtox regions - allocation of river &amp; lake waters, natural &amp; agricultural soils</t>
  </si>
  <si>
    <t>description</t>
  </si>
  <si>
    <t>x_riverwater</t>
  </si>
  <si>
    <t>fraction of surface water allocated to river</t>
  </si>
  <si>
    <t>x_lakewater</t>
  </si>
  <si>
    <t>fraction of surface water allocated to lake</t>
  </si>
  <si>
    <t>x_naturalsoil</t>
  </si>
  <si>
    <t>fraction of land area allocated to natural soil</t>
  </si>
  <si>
    <t>x_agriculturalsoil</t>
  </si>
  <si>
    <t>fraction of land area allocated to agricultural soil</t>
  </si>
  <si>
    <t>Level I</t>
  </si>
  <si>
    <t>Level II</t>
  </si>
  <si>
    <t>Unice et al.</t>
  </si>
  <si>
    <t>Level III</t>
  </si>
  <si>
    <t>Lvel IV</t>
  </si>
  <si>
    <t>Table 1</t>
  </si>
  <si>
    <t>Aggregated</t>
  </si>
  <si>
    <t>Table 2.a)</t>
  </si>
  <si>
    <t>Urban road</t>
  </si>
  <si>
    <t>Direct emission from the tire</t>
  </si>
  <si>
    <t>Redistribution through runoff</t>
  </si>
  <si>
    <t>Redistribution through runoff allocated</t>
  </si>
  <si>
    <t>Redistribution into env. comp. through SB4P</t>
  </si>
  <si>
    <t>Road surface</t>
  </si>
  <si>
    <t>Roadside soil</t>
  </si>
  <si>
    <t>WWTP</t>
  </si>
  <si>
    <t>River water</t>
  </si>
  <si>
    <t>Lake water</t>
  </si>
  <si>
    <t>River water sediments</t>
  </si>
  <si>
    <t>Managed &amp; removed (incinarated)</t>
  </si>
  <si>
    <t>Total emissions (kg/vkm)</t>
  </si>
  <si>
    <t>Em(kg/vkm)</t>
  </si>
  <si>
    <t>Lake water sediments</t>
  </si>
  <si>
    <t>fraction emitted to the road surface</t>
  </si>
  <si>
    <t>x_roadsurface</t>
  </si>
  <si>
    <t>Sea water</t>
  </si>
  <si>
    <t>fraction emitted into air</t>
  </si>
  <si>
    <t>x_air</t>
  </si>
  <si>
    <t>Sea water sediments</t>
  </si>
  <si>
    <t>Managed &amp; removed</t>
  </si>
  <si>
    <t>Level IV</t>
  </si>
  <si>
    <t>av_fraction</t>
  </si>
  <si>
    <t>Equation</t>
  </si>
  <si>
    <t>EMISSIONS INTO ENVIRONMENTAL COMPARTMENTS (input of SB4P model)</t>
  </si>
  <si>
    <t>runoff</t>
  </si>
  <si>
    <t>WWTP_retained</t>
  </si>
  <si>
    <t>calculated</t>
  </si>
  <si>
    <t>(Ucss - CSO) * removeff * Urunoff + Ucleaning * removeff</t>
  </si>
  <si>
    <t>Fraction to Roadside soil*x_naturalsoil</t>
  </si>
  <si>
    <t>cleaning</t>
  </si>
  <si>
    <t>1 - Urunoff - Ucleaning</t>
  </si>
  <si>
    <t>Fraction to Roadside soil*x_agriculturalsoil</t>
  </si>
  <si>
    <t>separated sewer system*</t>
  </si>
  <si>
    <r>
      <t>Urunoff + Ucleaning - (</t>
    </r>
    <r>
      <rPr>
        <sz val="11"/>
        <color theme="8"/>
        <rFont val="Aptos Narrow"/>
        <family val="2"/>
        <scheme val="minor"/>
      </rPr>
      <t>(Ucss - CSO) * removeff * Urunoff + Ucleaning * removeff</t>
    </r>
    <r>
      <rPr>
        <sz val="11"/>
        <color theme="1"/>
        <rFont val="Aptos Narrow"/>
        <family val="2"/>
        <scheme val="minor"/>
      </rPr>
      <t>)</t>
    </r>
  </si>
  <si>
    <t>Fraction to Surface water fraction *x_riverwater</t>
  </si>
  <si>
    <t>combined sewer system</t>
  </si>
  <si>
    <t>Fraction to Surface water fraction *x_lakewater</t>
  </si>
  <si>
    <t>Fraction to WWTP_retained *x_sludgespread</t>
  </si>
  <si>
    <t>Fraction to WWTP_retained *x_sludgeincin</t>
  </si>
  <si>
    <t>Rural</t>
  </si>
  <si>
    <t>Rcleaning * removeff</t>
  </si>
  <si>
    <t xml:space="preserve"> </t>
  </si>
  <si>
    <t>1 - Rrunoff - Rcleaning</t>
  </si>
  <si>
    <r>
      <t>Rrunoff + Rcleaning - (</t>
    </r>
    <r>
      <rPr>
        <sz val="11"/>
        <color theme="9"/>
        <rFont val="Aptos Narrow"/>
        <family val="2"/>
        <scheme val="minor"/>
      </rPr>
      <t>Rcleaning * removeff</t>
    </r>
    <r>
      <rPr>
        <sz val="11"/>
        <color theme="1"/>
        <rFont val="Aptos Narrow"/>
        <family val="2"/>
        <scheme val="minor"/>
      </rPr>
      <t>)</t>
    </r>
  </si>
  <si>
    <t>Hcss * removeff * Hrunoff + Hcleaning * removeff</t>
  </si>
  <si>
    <t>1 - Hrunoff - Hcleaning</t>
  </si>
  <si>
    <r>
      <t>Hrunoff + Hcleaning - (</t>
    </r>
    <r>
      <rPr>
        <sz val="11"/>
        <color theme="4"/>
        <rFont val="Aptos Narrow"/>
        <family val="2"/>
        <scheme val="minor"/>
      </rPr>
      <t>Hcss * removeff * Hrunoff + Hcleaning * removeff</t>
    </r>
    <r>
      <rPr>
        <sz val="11"/>
        <color theme="1"/>
        <rFont val="Aptos Narrow"/>
        <family val="2"/>
        <scheme val="minor"/>
      </rPr>
      <t>)</t>
    </r>
  </si>
  <si>
    <t>Fractions</t>
  </si>
  <si>
    <t>share_Urban roads</t>
  </si>
  <si>
    <t>share_Rural roads</t>
  </si>
  <si>
    <t>share_Highway</t>
  </si>
  <si>
    <t>AVERAGE ACROSS ROAD ARCHETYPES</t>
  </si>
  <si>
    <t>EMISSIONS INTO ENVIRONMENTAL COMPARTMENTS FROM URBAN ROADS (input of SB4P model)</t>
  </si>
  <si>
    <t>EMISSIONS INTO ENVIRONMENTAL COMPARTMENTS FROM RURAL ROADS (input of SB4P model)</t>
  </si>
  <si>
    <t>EMISSIONS INTO ENVIRONMENTAL COMPARTMENTS FROM HIGHWAY ROADS (input of SB4P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</si>
</sst>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5" x14ac:knownFonts="1">
    <font>
      <sz val="11"/>
      <color theme="1"/>
      <name val="Aptos Narrow"/>
      <family val="2"/>
      <scheme val="minor"/>
    </font>
    <font>
      <i/>
      <sz val="11"/>
      <color rgb="FF7F7F7F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1D1C1D"/>
      <name val="Aptos Narrow"/>
      <family val="2"/>
      <scheme val="minor"/>
    </font>
    <font>
      <sz val="11"/>
      <color rgb="FF1D1C1D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993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164" fontId="4" fillId="4" borderId="3" xfId="0" applyNumberFormat="1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5" xfId="0" applyBorder="1"/>
    <xf numFmtId="0" fontId="3" fillId="0" borderId="5" xfId="0" applyFont="1" applyBorder="1"/>
    <xf numFmtId="0" fontId="0" fillId="0" borderId="6" xfId="0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4" borderId="0" xfId="0" applyFill="1"/>
    <xf numFmtId="0" fontId="7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1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vertical="center"/>
    </xf>
    <xf numFmtId="11" fontId="8" fillId="0" borderId="0" xfId="0" applyNumberFormat="1" applyFont="1" applyAlignment="1">
      <alignment vertical="center"/>
    </xf>
    <xf numFmtId="11" fontId="0" fillId="0" borderId="0" xfId="0" applyNumberFormat="1"/>
    <xf numFmtId="0" fontId="7" fillId="0" borderId="0" xfId="0" applyFont="1" applyAlignment="1">
      <alignment vertical="center"/>
    </xf>
    <xf numFmtId="164" fontId="4" fillId="3" borderId="3" xfId="0" applyNumberFormat="1" applyFont="1" applyFill="1" applyBorder="1" applyAlignment="1">
      <alignment horizontal="left" vertical="center"/>
    </xf>
    <xf numFmtId="2" fontId="0" fillId="0" borderId="0" xfId="0" applyNumberFormat="1"/>
    <xf numFmtId="0" fontId="9" fillId="0" borderId="0" xfId="0" applyFont="1"/>
    <xf numFmtId="11" fontId="3" fillId="0" borderId="0" xfId="0" applyNumberFormat="1" applyFont="1"/>
    <xf numFmtId="0" fontId="1" fillId="0" borderId="0" xfId="2"/>
    <xf numFmtId="11" fontId="1" fillId="0" borderId="0" xfId="2" applyNumberFormat="1"/>
    <xf numFmtId="0" fontId="10" fillId="0" borderId="0" xfId="0" quotePrefix="1" applyFont="1"/>
    <xf numFmtId="0" fontId="11" fillId="0" borderId="0" xfId="0" applyFont="1"/>
    <xf numFmtId="2" fontId="0" fillId="0" borderId="5" xfId="0" applyNumberFormat="1" applyBorder="1"/>
    <xf numFmtId="10" fontId="0" fillId="0" borderId="0" xfId="0" applyNumberFormat="1"/>
    <xf numFmtId="9" fontId="0" fillId="0" borderId="0" xfId="1" applyFont="1"/>
    <xf numFmtId="9" fontId="0" fillId="0" borderId="0" xfId="0" applyNumberFormat="1"/>
    <xf numFmtId="9" fontId="3" fillId="0" borderId="0" xfId="1" applyFont="1"/>
    <xf numFmtId="0" fontId="14" fillId="0" borderId="0" xfId="0" applyFont="1"/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3">
    <cellStyle name="Explanatory Text" xfId="2" builtinId="53"/>
    <cellStyle name="Normal" xfId="0" builtinId="0"/>
    <cellStyle name="Percent" xfId="1" builtinId="5"/>
  </cellStyles>
  <dxfs count="2"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D1C1D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9524</xdr:colOff>
      <xdr:row>47</xdr:row>
      <xdr:rowOff>100149</xdr:rowOff>
    </xdr:from>
    <xdr:to>
      <xdr:col>28</xdr:col>
      <xdr:colOff>533400</xdr:colOff>
      <xdr:row>66</xdr:row>
      <xdr:rowOff>2156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EE19AC4-2D9D-19EB-A5E2-CBE7D5A5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7724" y="8815524"/>
          <a:ext cx="6619876" cy="33405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F7AE7-95DD-43BA-A173-30A16EBE148D}" name="Allocation_fractions" displayName="Allocation_fractions" ref="A45:J49" totalsRowShown="0" headerRowDxfId="1">
  <autoFilter ref="A45:J49" xr:uid="{D54F7AE7-95DD-43BA-A173-30A16EBE148D}"/>
  <tableColumns count="10">
    <tableColumn id="1" xr3:uid="{3D80FECD-9E83-492B-8B5E-557DE9B616E5}" name="Fractions"/>
    <tableColumn id="2" xr3:uid="{552E34D8-9EB6-4B9C-BD52-7FA70A10473B}" name="North America"/>
    <tableColumn id="3" xr3:uid="{4557D855-6494-4EE9-8A45-5371BA279E8E}" name="Latin America"/>
    <tableColumn id="4" xr3:uid="{F0659565-F2DC-40F6-8DE4-64156DFD0E6A}" name="Europe"/>
    <tableColumn id="5" xr3:uid="{364A65BA-7630-4BDC-BD2D-EE0720F32CF9}" name="Africa &amp; Middle East"/>
    <tableColumn id="6" xr3:uid="{32CB5DF7-9BCC-4608-9BB5-0A7BAED84A55}" name="Central Asia"/>
    <tableColumn id="7" xr3:uid="{CD28CBD9-3C46-4D57-BD1E-D475E231D3D4}" name="Southeast Asia"/>
    <tableColumn id="8" xr3:uid="{C0BF2E9E-7533-447E-89A5-39D88345D17B}" name="Northern regions"/>
    <tableColumn id="9" xr3:uid="{CC9C2A89-64F5-447D-BEA3-CD403928DC50}" name="Oceania"/>
    <tableColumn id="10" xr3:uid="{E79BF9AE-3302-47CA-BD03-F97BD018B28A}" name="descrip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DFAF-9218-46C9-BE38-12CF002B841B}">
  <dimension ref="A1:AG102"/>
  <sheetViews>
    <sheetView tabSelected="1" topLeftCell="O63" zoomScaleNormal="100" workbookViewId="0">
      <selection activeCell="AF92" sqref="AF92:AF97"/>
    </sheetView>
  </sheetViews>
  <sheetFormatPr baseColWidth="10" defaultRowHeight="15" x14ac:dyDescent="0.2"/>
  <cols>
    <col min="2" max="2" width="22.83203125" bestFit="1" customWidth="1"/>
    <col min="3" max="3" width="14.5" customWidth="1"/>
    <col min="5" max="5" width="19.83203125" customWidth="1"/>
    <col min="6" max="6" width="13.33203125" customWidth="1"/>
    <col min="7" max="7" width="15.5" customWidth="1"/>
    <col min="8" max="8" width="17.5" customWidth="1"/>
    <col min="10" max="10" width="12.6640625" customWidth="1"/>
  </cols>
  <sheetData>
    <row r="1" spans="2:19" x14ac:dyDescent="0.2"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</row>
    <row r="2" spans="2:19" ht="16" thickBot="1" x14ac:dyDescent="0.25">
      <c r="I2" s="1" t="s">
        <v>9</v>
      </c>
      <c r="K2" t="s">
        <v>10</v>
      </c>
      <c r="L2" t="s">
        <v>11</v>
      </c>
      <c r="N2" t="s">
        <v>12</v>
      </c>
      <c r="R2" t="s">
        <v>13</v>
      </c>
      <c r="S2" t="s">
        <v>14</v>
      </c>
    </row>
    <row r="3" spans="2:19" x14ac:dyDescent="0.2">
      <c r="B3" s="2" t="s">
        <v>15</v>
      </c>
      <c r="C3" s="3" t="s">
        <v>16</v>
      </c>
      <c r="D3" s="4" t="s">
        <v>17</v>
      </c>
      <c r="E3" s="4" t="s">
        <v>18</v>
      </c>
      <c r="F3" s="4" t="s">
        <v>19</v>
      </c>
      <c r="G3" s="5" t="s">
        <v>20</v>
      </c>
      <c r="H3" s="6" t="s">
        <v>21</v>
      </c>
      <c r="I3" s="7"/>
    </row>
    <row r="4" spans="2:19" x14ac:dyDescent="0.2">
      <c r="B4" t="s">
        <v>22</v>
      </c>
      <c r="C4" t="s">
        <v>23</v>
      </c>
      <c r="D4">
        <v>0.23</v>
      </c>
      <c r="E4">
        <v>0.47</v>
      </c>
      <c r="F4" s="1">
        <v>0.33</v>
      </c>
      <c r="G4" t="s">
        <v>24</v>
      </c>
      <c r="H4" s="8"/>
      <c r="I4" s="37" t="s">
        <v>25</v>
      </c>
    </row>
    <row r="5" spans="2:19" x14ac:dyDescent="0.2">
      <c r="B5" t="s">
        <v>22</v>
      </c>
      <c r="C5" t="s">
        <v>26</v>
      </c>
      <c r="D5">
        <v>0.26</v>
      </c>
      <c r="E5">
        <v>0.47</v>
      </c>
      <c r="F5" s="1">
        <v>0.4</v>
      </c>
      <c r="G5" t="s">
        <v>24</v>
      </c>
      <c r="H5" s="8"/>
      <c r="I5" s="37"/>
    </row>
    <row r="6" spans="2:19" ht="16" thickBot="1" x14ac:dyDescent="0.25">
      <c r="B6" s="9" t="s">
        <v>22</v>
      </c>
      <c r="C6" s="9" t="s">
        <v>27</v>
      </c>
      <c r="D6" s="9">
        <v>7.0000000000000007E-2</v>
      </c>
      <c r="E6" s="9">
        <v>0.51</v>
      </c>
      <c r="F6" s="10">
        <v>0.27</v>
      </c>
      <c r="G6" s="9" t="s">
        <v>24</v>
      </c>
      <c r="H6" s="11"/>
      <c r="I6" s="38"/>
    </row>
    <row r="7" spans="2:19" x14ac:dyDescent="0.2">
      <c r="B7" s="2" t="s">
        <v>28</v>
      </c>
      <c r="C7" s="3" t="s">
        <v>29</v>
      </c>
      <c r="D7" s="4" t="s">
        <v>30</v>
      </c>
      <c r="E7" s="4" t="s">
        <v>31</v>
      </c>
      <c r="F7" s="4" t="s">
        <v>32</v>
      </c>
      <c r="G7" s="5" t="s">
        <v>20</v>
      </c>
      <c r="H7" s="6" t="s">
        <v>21</v>
      </c>
      <c r="I7" s="7"/>
    </row>
    <row r="8" spans="2:19" x14ac:dyDescent="0.2">
      <c r="B8" t="s">
        <v>33</v>
      </c>
      <c r="C8" t="s">
        <v>34</v>
      </c>
      <c r="D8">
        <v>0.25</v>
      </c>
      <c r="E8">
        <v>0.75</v>
      </c>
      <c r="F8" s="1">
        <v>0.49</v>
      </c>
      <c r="G8" t="s">
        <v>24</v>
      </c>
    </row>
    <row r="9" spans="2:19" x14ac:dyDescent="0.2">
      <c r="B9" t="s">
        <v>35</v>
      </c>
      <c r="C9" t="s">
        <v>36</v>
      </c>
      <c r="F9" s="1">
        <v>0.1</v>
      </c>
      <c r="G9" t="s">
        <v>24</v>
      </c>
    </row>
    <row r="10" spans="2:19" x14ac:dyDescent="0.2">
      <c r="B10" t="s">
        <v>37</v>
      </c>
      <c r="C10" t="s">
        <v>38</v>
      </c>
      <c r="F10" s="1">
        <v>0.1</v>
      </c>
      <c r="G10" t="s">
        <v>24</v>
      </c>
    </row>
    <row r="11" spans="2:19" x14ac:dyDescent="0.2">
      <c r="B11" t="s">
        <v>39</v>
      </c>
      <c r="C11" t="s">
        <v>40</v>
      </c>
      <c r="F11">
        <v>0.25</v>
      </c>
      <c r="G11" t="s">
        <v>24</v>
      </c>
    </row>
    <row r="12" spans="2:19" x14ac:dyDescent="0.2">
      <c r="B12" t="s">
        <v>41</v>
      </c>
      <c r="C12" t="s">
        <v>42</v>
      </c>
      <c r="F12" s="1">
        <v>0.25</v>
      </c>
      <c r="G12" t="s">
        <v>24</v>
      </c>
      <c r="L12" t="s">
        <v>43</v>
      </c>
    </row>
    <row r="13" spans="2:19" x14ac:dyDescent="0.2">
      <c r="B13" t="s">
        <v>44</v>
      </c>
      <c r="C13" t="s">
        <v>45</v>
      </c>
      <c r="F13" s="1">
        <v>0</v>
      </c>
      <c r="G13" t="s">
        <v>24</v>
      </c>
    </row>
    <row r="14" spans="2:19" x14ac:dyDescent="0.2">
      <c r="B14" t="s">
        <v>46</v>
      </c>
      <c r="C14" t="s">
        <v>47</v>
      </c>
      <c r="D14">
        <v>0.1</v>
      </c>
      <c r="E14">
        <v>0.9</v>
      </c>
      <c r="F14" s="1">
        <v>0.75</v>
      </c>
      <c r="G14" t="s">
        <v>24</v>
      </c>
      <c r="L14" t="s">
        <v>48</v>
      </c>
    </row>
    <row r="15" spans="2:19" x14ac:dyDescent="0.2">
      <c r="B15" t="s">
        <v>49</v>
      </c>
      <c r="C15" t="s">
        <v>50</v>
      </c>
      <c r="F15" s="1">
        <v>0</v>
      </c>
      <c r="G15" t="s">
        <v>24</v>
      </c>
    </row>
    <row r="16" spans="2:19" x14ac:dyDescent="0.2">
      <c r="B16" t="s">
        <v>51</v>
      </c>
      <c r="C16" t="s">
        <v>52</v>
      </c>
      <c r="D16">
        <v>0.4</v>
      </c>
      <c r="E16">
        <v>0.6</v>
      </c>
      <c r="F16" s="1">
        <v>0.5</v>
      </c>
      <c r="G16" t="s">
        <v>24</v>
      </c>
      <c r="L16" t="s">
        <v>53</v>
      </c>
    </row>
    <row r="17" spans="2:12" x14ac:dyDescent="0.2">
      <c r="B17" t="s">
        <v>54</v>
      </c>
      <c r="C17" t="s">
        <v>55</v>
      </c>
      <c r="D17">
        <v>0.02</v>
      </c>
      <c r="E17">
        <v>0.1</v>
      </c>
      <c r="F17">
        <v>0.1</v>
      </c>
      <c r="G17" t="s">
        <v>24</v>
      </c>
      <c r="K17" s="12">
        <v>0.36799999999999999</v>
      </c>
    </row>
    <row r="18" spans="2:12" x14ac:dyDescent="0.2">
      <c r="B18" t="s">
        <v>56</v>
      </c>
      <c r="C18" t="s">
        <v>57</v>
      </c>
      <c r="D18">
        <v>0.01</v>
      </c>
      <c r="E18">
        <v>0.02</v>
      </c>
      <c r="F18">
        <v>0.01</v>
      </c>
      <c r="G18" t="s">
        <v>24</v>
      </c>
    </row>
    <row r="19" spans="2:12" x14ac:dyDescent="0.2">
      <c r="B19" t="s">
        <v>58</v>
      </c>
      <c r="C19" t="s">
        <v>59</v>
      </c>
      <c r="D19">
        <v>0.01</v>
      </c>
      <c r="E19">
        <v>0.02</v>
      </c>
      <c r="F19">
        <v>0.02</v>
      </c>
      <c r="G19" t="s">
        <v>24</v>
      </c>
    </row>
    <row r="20" spans="2:12" x14ac:dyDescent="0.2">
      <c r="B20" t="s">
        <v>60</v>
      </c>
      <c r="C20" t="s">
        <v>61</v>
      </c>
      <c r="F20">
        <v>0.17499999999999999</v>
      </c>
      <c r="G20" t="s">
        <v>24</v>
      </c>
      <c r="K20" s="12" t="s">
        <v>62</v>
      </c>
    </row>
    <row r="21" spans="2:12" x14ac:dyDescent="0.2">
      <c r="B21" t="s">
        <v>63</v>
      </c>
      <c r="C21" t="s">
        <v>64</v>
      </c>
      <c r="D21">
        <v>0.8</v>
      </c>
      <c r="E21">
        <v>0.99</v>
      </c>
      <c r="F21">
        <v>0.95</v>
      </c>
      <c r="G21" t="s">
        <v>24</v>
      </c>
      <c r="L21" t="s">
        <v>65</v>
      </c>
    </row>
    <row r="22" spans="2:12" x14ac:dyDescent="0.2">
      <c r="B22" s="9" t="s">
        <v>66</v>
      </c>
      <c r="C22" s="9" t="s">
        <v>67</v>
      </c>
      <c r="D22" s="9"/>
      <c r="E22" s="9"/>
      <c r="F22" s="9">
        <v>0.8</v>
      </c>
      <c r="G22" s="9" t="s">
        <v>24</v>
      </c>
      <c r="H22" s="9" t="s">
        <v>68</v>
      </c>
      <c r="I22" s="9"/>
    </row>
    <row r="23" spans="2:12" x14ac:dyDescent="0.2">
      <c r="B23" t="s">
        <v>69</v>
      </c>
      <c r="C23" t="s">
        <v>70</v>
      </c>
      <c r="D23">
        <v>0</v>
      </c>
      <c r="F23">
        <v>0.3</v>
      </c>
      <c r="G23" t="s">
        <v>24</v>
      </c>
      <c r="H23" t="s">
        <v>71</v>
      </c>
      <c r="I23" s="39" t="s">
        <v>25</v>
      </c>
    </row>
    <row r="24" spans="2:12" x14ac:dyDescent="0.2">
      <c r="B24" t="s">
        <v>72</v>
      </c>
      <c r="C24" t="s">
        <v>73</v>
      </c>
      <c r="E24">
        <v>1</v>
      </c>
      <c r="F24">
        <v>0.7</v>
      </c>
      <c r="G24" t="s">
        <v>24</v>
      </c>
      <c r="H24" t="s">
        <v>71</v>
      </c>
      <c r="I24" s="37"/>
    </row>
    <row r="25" spans="2:12" x14ac:dyDescent="0.2">
      <c r="B25" t="s">
        <v>74</v>
      </c>
      <c r="K25" s="12">
        <v>0.33600000000000002</v>
      </c>
    </row>
    <row r="27" spans="2:12" x14ac:dyDescent="0.2">
      <c r="B27" t="s">
        <v>75</v>
      </c>
      <c r="L27" t="s">
        <v>76</v>
      </c>
    </row>
    <row r="28" spans="2:12" x14ac:dyDescent="0.2">
      <c r="B28" t="s">
        <v>77</v>
      </c>
      <c r="L28" t="s">
        <v>76</v>
      </c>
    </row>
    <row r="29" spans="2:12" x14ac:dyDescent="0.2">
      <c r="B29" t="s">
        <v>78</v>
      </c>
      <c r="L29" t="s">
        <v>79</v>
      </c>
    </row>
    <row r="33" spans="1:13" x14ac:dyDescent="0.2">
      <c r="B33" s="1" t="s">
        <v>80</v>
      </c>
      <c r="C33" t="s">
        <v>0</v>
      </c>
      <c r="D33" t="s">
        <v>1</v>
      </c>
      <c r="E33" t="s">
        <v>2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8</v>
      </c>
    </row>
    <row r="34" spans="1:13" x14ac:dyDescent="0.2">
      <c r="B34" s="13" t="s">
        <v>9</v>
      </c>
      <c r="C34" s="13"/>
      <c r="D34" s="13" t="s">
        <v>81</v>
      </c>
      <c r="E34" s="13" t="s">
        <v>11</v>
      </c>
      <c r="F34" s="13"/>
      <c r="G34" s="13" t="s">
        <v>12</v>
      </c>
      <c r="H34" s="13"/>
      <c r="I34" s="13"/>
      <c r="J34" s="13"/>
      <c r="K34" t="s">
        <v>13</v>
      </c>
      <c r="L34" t="s">
        <v>14</v>
      </c>
    </row>
    <row r="35" spans="1:13" x14ac:dyDescent="0.2">
      <c r="B35" t="s">
        <v>82</v>
      </c>
      <c r="D35">
        <v>2</v>
      </c>
      <c r="E35">
        <v>2</v>
      </c>
      <c r="G35">
        <v>2</v>
      </c>
      <c r="K35">
        <v>2</v>
      </c>
    </row>
    <row r="36" spans="1:13" x14ac:dyDescent="0.2">
      <c r="B36" t="s">
        <v>83</v>
      </c>
      <c r="D36">
        <v>30</v>
      </c>
      <c r="E36">
        <v>49</v>
      </c>
      <c r="G36">
        <v>30</v>
      </c>
      <c r="K36" s="14">
        <v>71</v>
      </c>
    </row>
    <row r="37" spans="1:13" x14ac:dyDescent="0.2">
      <c r="B37" t="s">
        <v>84</v>
      </c>
      <c r="K37" s="14">
        <v>4</v>
      </c>
    </row>
    <row r="38" spans="1:13" x14ac:dyDescent="0.2">
      <c r="B38" t="s">
        <v>85</v>
      </c>
      <c r="D38">
        <v>36</v>
      </c>
      <c r="E38">
        <v>20</v>
      </c>
      <c r="G38">
        <v>36</v>
      </c>
      <c r="K38" s="14">
        <v>13</v>
      </c>
    </row>
    <row r="39" spans="1:13" x14ac:dyDescent="0.2">
      <c r="B39" t="s">
        <v>86</v>
      </c>
      <c r="D39">
        <v>31</v>
      </c>
      <c r="E39">
        <v>29</v>
      </c>
      <c r="G39">
        <v>31</v>
      </c>
      <c r="K39" s="14">
        <v>10</v>
      </c>
    </row>
    <row r="40" spans="1:13" x14ac:dyDescent="0.2">
      <c r="B40" t="s">
        <v>87</v>
      </c>
      <c r="C40">
        <f>SUM(C35:C39)</f>
        <v>0</v>
      </c>
      <c r="D40">
        <f t="shared" ref="D40:L40" si="0">SUM(D35:D39)</f>
        <v>99</v>
      </c>
      <c r="E40">
        <f t="shared" si="0"/>
        <v>100</v>
      </c>
      <c r="F40">
        <f t="shared" si="0"/>
        <v>0</v>
      </c>
      <c r="G40">
        <f t="shared" si="0"/>
        <v>99</v>
      </c>
      <c r="H40">
        <f t="shared" si="0"/>
        <v>0</v>
      </c>
      <c r="I40">
        <f t="shared" si="0"/>
        <v>0</v>
      </c>
      <c r="J40">
        <f t="shared" si="0"/>
        <v>0</v>
      </c>
      <c r="K40">
        <f t="shared" si="0"/>
        <v>100</v>
      </c>
      <c r="L40">
        <f t="shared" si="0"/>
        <v>0</v>
      </c>
    </row>
    <row r="44" spans="1:13" x14ac:dyDescent="0.2">
      <c r="B44" t="s">
        <v>88</v>
      </c>
    </row>
    <row r="45" spans="1:13" ht="16" x14ac:dyDescent="0.2">
      <c r="A45" t="s">
        <v>155</v>
      </c>
      <c r="B45" s="15" t="s">
        <v>4</v>
      </c>
      <c r="C45" s="15" t="s">
        <v>3</v>
      </c>
      <c r="D45" s="15" t="s">
        <v>2</v>
      </c>
      <c r="E45" s="15" t="s">
        <v>0</v>
      </c>
      <c r="F45" s="15" t="s">
        <v>1</v>
      </c>
      <c r="G45" s="15" t="s">
        <v>7</v>
      </c>
      <c r="H45" s="15" t="s">
        <v>5</v>
      </c>
      <c r="I45" s="15" t="s">
        <v>6</v>
      </c>
      <c r="J45" s="15" t="s">
        <v>89</v>
      </c>
    </row>
    <row r="46" spans="1:13" x14ac:dyDescent="0.2">
      <c r="A46" t="s">
        <v>90</v>
      </c>
      <c r="B46" s="16">
        <v>3.9612000000000001E-2</v>
      </c>
      <c r="C46" s="16">
        <v>0.33704000000000001</v>
      </c>
      <c r="D46" s="16">
        <v>0.1643</v>
      </c>
      <c r="E46" s="16">
        <v>9.3211000000000006E-3</v>
      </c>
      <c r="F46" s="16">
        <v>7.5936000000000003E-2</v>
      </c>
      <c r="G46" s="16">
        <v>0.31463000000000002</v>
      </c>
      <c r="H46" s="16">
        <v>8.2879999999999995E-2</v>
      </c>
      <c r="I46" s="16">
        <v>0.13335</v>
      </c>
      <c r="J46" s="17" t="s">
        <v>91</v>
      </c>
    </row>
    <row r="47" spans="1:13" x14ac:dyDescent="0.2">
      <c r="A47" s="9" t="s">
        <v>92</v>
      </c>
      <c r="B47" s="18">
        <v>0.96038999999999997</v>
      </c>
      <c r="C47" s="18">
        <v>0.66295999999999999</v>
      </c>
      <c r="D47" s="18">
        <v>0.8357</v>
      </c>
      <c r="E47" s="18">
        <v>0.99068000000000001</v>
      </c>
      <c r="F47" s="18">
        <v>0.92405999999999999</v>
      </c>
      <c r="G47" s="18">
        <v>0.68537000000000003</v>
      </c>
      <c r="H47" s="18">
        <v>0.91712000000000005</v>
      </c>
      <c r="I47" s="18">
        <v>0.86665000000000003</v>
      </c>
      <c r="J47" s="19" t="s">
        <v>93</v>
      </c>
      <c r="K47" s="9"/>
      <c r="L47" s="9"/>
      <c r="M47" s="9"/>
    </row>
    <row r="48" spans="1:13" x14ac:dyDescent="0.2">
      <c r="A48" t="s">
        <v>94</v>
      </c>
      <c r="B48" s="20">
        <v>0.69113999999999998</v>
      </c>
      <c r="C48" s="21">
        <v>0.66652999999999996</v>
      </c>
      <c r="D48" s="21">
        <v>0.60289000000000004</v>
      </c>
      <c r="E48" s="21">
        <v>0.59684999999999999</v>
      </c>
      <c r="F48" s="21">
        <v>0.53727999999999998</v>
      </c>
      <c r="G48" s="21">
        <v>0.51771</v>
      </c>
      <c r="H48" s="21">
        <v>0.87046999999999997</v>
      </c>
      <c r="I48" s="21">
        <v>0.53891</v>
      </c>
      <c r="J48" s="17" t="s">
        <v>95</v>
      </c>
    </row>
    <row r="49" spans="1:18" x14ac:dyDescent="0.2">
      <c r="A49" t="s">
        <v>96</v>
      </c>
      <c r="B49" s="20">
        <v>0.30886000000000002</v>
      </c>
      <c r="C49" s="21">
        <v>0.33346999999999999</v>
      </c>
      <c r="D49" s="21">
        <v>0.39711000000000002</v>
      </c>
      <c r="E49" s="21">
        <v>0.40315000000000001</v>
      </c>
      <c r="F49" s="21">
        <v>0.46272000000000002</v>
      </c>
      <c r="G49" s="21">
        <v>0.48229</v>
      </c>
      <c r="H49" s="21">
        <v>0.12953000000000001</v>
      </c>
      <c r="I49" s="21">
        <v>0.46109</v>
      </c>
      <c r="J49" s="17" t="s">
        <v>97</v>
      </c>
    </row>
    <row r="50" spans="1:18" x14ac:dyDescent="0.2">
      <c r="D50" s="21"/>
    </row>
    <row r="52" spans="1:18" x14ac:dyDescent="0.2">
      <c r="K52" t="s">
        <v>98</v>
      </c>
      <c r="M52" t="s">
        <v>99</v>
      </c>
      <c r="N52" s="13" t="s">
        <v>100</v>
      </c>
      <c r="O52" t="s">
        <v>101</v>
      </c>
      <c r="Q52" t="s">
        <v>102</v>
      </c>
    </row>
    <row r="53" spans="1:18" x14ac:dyDescent="0.2">
      <c r="A53" t="s">
        <v>103</v>
      </c>
      <c r="B53" s="1" t="s">
        <v>104</v>
      </c>
      <c r="I53" t="s">
        <v>105</v>
      </c>
      <c r="J53" s="1" t="s">
        <v>106</v>
      </c>
      <c r="K53" t="s">
        <v>107</v>
      </c>
      <c r="M53" t="s">
        <v>108</v>
      </c>
      <c r="O53" t="s">
        <v>109</v>
      </c>
      <c r="Q53" t="s">
        <v>110</v>
      </c>
    </row>
    <row r="54" spans="1:18" x14ac:dyDescent="0.2">
      <c r="K54" t="s">
        <v>82</v>
      </c>
      <c r="L54" s="33">
        <f>x_air</f>
        <v>0.02</v>
      </c>
      <c r="M54" t="s">
        <v>82</v>
      </c>
      <c r="N54">
        <v>2</v>
      </c>
      <c r="O54" t="s">
        <v>82</v>
      </c>
      <c r="P54">
        <v>2</v>
      </c>
      <c r="Q54" t="s">
        <v>82</v>
      </c>
    </row>
    <row r="55" spans="1:18" x14ac:dyDescent="0.2">
      <c r="B55" t="s">
        <v>156</v>
      </c>
      <c r="C55" s="1">
        <v>0.33</v>
      </c>
      <c r="K55" t="s">
        <v>111</v>
      </c>
      <c r="L55" s="33">
        <f>x_roadsurface</f>
        <v>0.98</v>
      </c>
      <c r="M55" t="s">
        <v>112</v>
      </c>
      <c r="N55">
        <v>49</v>
      </c>
      <c r="O55" t="s">
        <v>83</v>
      </c>
      <c r="P55" s="21">
        <f>N55*D48</f>
        <v>29.541610000000002</v>
      </c>
      <c r="Q55" t="s">
        <v>83</v>
      </c>
    </row>
    <row r="56" spans="1:18" x14ac:dyDescent="0.2">
      <c r="B56" t="s">
        <v>157</v>
      </c>
      <c r="C56" s="1">
        <v>0.4</v>
      </c>
      <c r="M56" t="s">
        <v>85</v>
      </c>
      <c r="N56">
        <v>20</v>
      </c>
      <c r="O56" t="s">
        <v>84</v>
      </c>
      <c r="P56" s="21">
        <f>N55*D49+(N57-P59)</f>
        <v>28.158390000000004</v>
      </c>
      <c r="Q56" t="s">
        <v>84</v>
      </c>
    </row>
    <row r="57" spans="1:18" x14ac:dyDescent="0.2">
      <c r="B57" s="9" t="s">
        <v>158</v>
      </c>
      <c r="C57" s="10">
        <v>0.27</v>
      </c>
      <c r="M57" t="s">
        <v>113</v>
      </c>
      <c r="N57">
        <v>29</v>
      </c>
      <c r="O57" t="s">
        <v>114</v>
      </c>
      <c r="P57" s="21">
        <f>N56*D46</f>
        <v>3.286</v>
      </c>
      <c r="Q57" t="s">
        <v>114</v>
      </c>
    </row>
    <row r="58" spans="1:18" x14ac:dyDescent="0.2">
      <c r="O58" t="s">
        <v>115</v>
      </c>
      <c r="P58" s="21">
        <f>N56*D47</f>
        <v>16.713999999999999</v>
      </c>
      <c r="Q58" t="s">
        <v>116</v>
      </c>
    </row>
    <row r="59" spans="1:18" x14ac:dyDescent="0.2">
      <c r="O59" t="s">
        <v>117</v>
      </c>
      <c r="P59">
        <f>N57*F24</f>
        <v>20.299999999999997</v>
      </c>
      <c r="Q59" t="s">
        <v>115</v>
      </c>
    </row>
    <row r="60" spans="1:18" x14ac:dyDescent="0.2">
      <c r="B60" t="s">
        <v>118</v>
      </c>
      <c r="C60" t="s">
        <v>119</v>
      </c>
      <c r="D60">
        <v>1</v>
      </c>
      <c r="Q60" t="s">
        <v>120</v>
      </c>
    </row>
    <row r="61" spans="1:18" x14ac:dyDescent="0.2">
      <c r="B61" t="s">
        <v>121</v>
      </c>
      <c r="C61" t="s">
        <v>122</v>
      </c>
      <c r="D61">
        <f>Em_kg_vkm-x_air</f>
        <v>0.98</v>
      </c>
      <c r="Q61" t="s">
        <v>123</v>
      </c>
    </row>
    <row r="62" spans="1:18" x14ac:dyDescent="0.2">
      <c r="B62" t="s">
        <v>124</v>
      </c>
      <c r="C62" t="s">
        <v>125</v>
      </c>
      <c r="D62">
        <f>Em_kg_vkm*2%</f>
        <v>0.02</v>
      </c>
      <c r="Q62" t="s">
        <v>126</v>
      </c>
    </row>
    <row r="63" spans="1:18" x14ac:dyDescent="0.2">
      <c r="Q63" t="s">
        <v>127</v>
      </c>
    </row>
    <row r="64" spans="1:18" x14ac:dyDescent="0.2">
      <c r="J64" t="s">
        <v>87</v>
      </c>
      <c r="L64" s="34">
        <f>SUM(L54:L63)</f>
        <v>1</v>
      </c>
      <c r="N64">
        <f t="shared" ref="N64:P64" si="1">SUM(N54:N63)</f>
        <v>100</v>
      </c>
      <c r="P64">
        <f t="shared" si="1"/>
        <v>100</v>
      </c>
      <c r="R64">
        <v>100</v>
      </c>
    </row>
    <row r="65" spans="2:33" x14ac:dyDescent="0.2">
      <c r="B65" s="36" t="s">
        <v>159</v>
      </c>
    </row>
    <row r="66" spans="2:33" x14ac:dyDescent="0.2">
      <c r="B66" s="1" t="s">
        <v>131</v>
      </c>
    </row>
    <row r="67" spans="2:33" x14ac:dyDescent="0.2">
      <c r="B67" s="1" t="s">
        <v>82</v>
      </c>
      <c r="C67" s="35">
        <f t="shared" ref="C67:C72" si="2">share_Urban_roads*AG70+share_Rural_roads*AG81+share_Highway*AG92</f>
        <v>2.0000000000000004E-2</v>
      </c>
    </row>
    <row r="68" spans="2:33" ht="16" thickBot="1" x14ac:dyDescent="0.25">
      <c r="B68" s="1" t="s">
        <v>83</v>
      </c>
      <c r="C68" s="35">
        <f t="shared" si="2"/>
        <v>0.43225283752000004</v>
      </c>
      <c r="O68" s="1" t="s">
        <v>99</v>
      </c>
      <c r="W68" s="1" t="s">
        <v>101</v>
      </c>
      <c r="AE68" t="s">
        <v>128</v>
      </c>
    </row>
    <row r="69" spans="2:33" x14ac:dyDescent="0.2">
      <c r="B69" s="1" t="s">
        <v>84</v>
      </c>
      <c r="C69" s="35">
        <f t="shared" si="2"/>
        <v>0.32365726323000005</v>
      </c>
      <c r="J69" s="2" t="s">
        <v>15</v>
      </c>
      <c r="K69" s="3" t="s">
        <v>16</v>
      </c>
      <c r="L69" s="4" t="s">
        <v>129</v>
      </c>
      <c r="M69" t="s">
        <v>29</v>
      </c>
      <c r="N69" s="2" t="s">
        <v>15</v>
      </c>
      <c r="O69" s="3" t="s">
        <v>16</v>
      </c>
      <c r="P69" s="4" t="s">
        <v>129</v>
      </c>
      <c r="Q69" s="5" t="s">
        <v>20</v>
      </c>
      <c r="R69" s="23" t="s">
        <v>130</v>
      </c>
      <c r="W69" s="2" t="s">
        <v>15</v>
      </c>
      <c r="X69" s="3" t="s">
        <v>16</v>
      </c>
      <c r="Y69" s="4" t="s">
        <v>129</v>
      </c>
      <c r="Z69" s="5" t="s">
        <v>20</v>
      </c>
      <c r="AA69" s="23" t="s">
        <v>130</v>
      </c>
      <c r="AE69" s="1" t="s">
        <v>160</v>
      </c>
      <c r="AF69" s="1"/>
    </row>
    <row r="70" spans="2:33" x14ac:dyDescent="0.2">
      <c r="B70" s="1" t="s">
        <v>114</v>
      </c>
      <c r="C70" s="35">
        <f t="shared" si="2"/>
        <v>2.1888867089250003E-2</v>
      </c>
      <c r="J70" s="1" t="s">
        <v>106</v>
      </c>
      <c r="K70" t="s">
        <v>132</v>
      </c>
      <c r="L70">
        <v>0.49</v>
      </c>
      <c r="M70" t="s">
        <v>34</v>
      </c>
      <c r="N70" t="s">
        <v>23</v>
      </c>
      <c r="O70" t="s">
        <v>133</v>
      </c>
      <c r="P70" s="24">
        <f>(L73-L74)*L75*L70+L71*L75</f>
        <v>0.3626625</v>
      </c>
      <c r="Q70" t="s">
        <v>134</v>
      </c>
      <c r="R70" s="25" t="s">
        <v>135</v>
      </c>
      <c r="W70" t="s">
        <v>112</v>
      </c>
      <c r="X70" t="s">
        <v>83</v>
      </c>
      <c r="Y70" s="21">
        <f>P71*D48</f>
        <v>0.24718490000000004</v>
      </c>
      <c r="Z70" t="s">
        <v>134</v>
      </c>
      <c r="AA70" t="s">
        <v>136</v>
      </c>
      <c r="AE70" s="1" t="s">
        <v>82</v>
      </c>
      <c r="AF70" s="1">
        <f>TC_archetypes!x_air</f>
        <v>0.02</v>
      </c>
      <c r="AG70" s="33">
        <v>0.02</v>
      </c>
    </row>
    <row r="71" spans="2:33" x14ac:dyDescent="0.2">
      <c r="B71" s="1" t="s">
        <v>115</v>
      </c>
      <c r="C71" s="35">
        <f t="shared" si="2"/>
        <v>0.11133613041074999</v>
      </c>
      <c r="K71" t="s">
        <v>137</v>
      </c>
      <c r="L71">
        <v>0.1</v>
      </c>
      <c r="M71" t="s">
        <v>55</v>
      </c>
      <c r="N71" t="s">
        <v>23</v>
      </c>
      <c r="O71" t="s">
        <v>112</v>
      </c>
      <c r="P71" s="24">
        <f>1-L70-L71</f>
        <v>0.41000000000000003</v>
      </c>
      <c r="Q71" t="s">
        <v>134</v>
      </c>
      <c r="R71" t="s">
        <v>138</v>
      </c>
      <c r="W71" t="s">
        <v>112</v>
      </c>
      <c r="X71" t="s">
        <v>84</v>
      </c>
      <c r="Y71" s="21">
        <f>P71*D49</f>
        <v>0.16281510000000002</v>
      </c>
      <c r="Z71" t="s">
        <v>134</v>
      </c>
      <c r="AA71" t="s">
        <v>139</v>
      </c>
      <c r="AE71" s="1" t="s">
        <v>83</v>
      </c>
      <c r="AF71" s="26">
        <f>TC_archetypes!x_roadsurface*Y70</f>
        <v>0.24224120200000004</v>
      </c>
      <c r="AG71" s="33">
        <v>0.24224120200000004</v>
      </c>
    </row>
    <row r="72" spans="2:33" x14ac:dyDescent="0.2">
      <c r="B72" s="27" t="s">
        <v>117</v>
      </c>
      <c r="C72" s="35">
        <f t="shared" si="2"/>
        <v>9.0864901750000018E-2</v>
      </c>
      <c r="K72" t="s">
        <v>140</v>
      </c>
      <c r="L72">
        <v>0.25</v>
      </c>
      <c r="M72" t="s">
        <v>40</v>
      </c>
      <c r="N72" t="s">
        <v>23</v>
      </c>
      <c r="O72" t="s">
        <v>85</v>
      </c>
      <c r="P72" s="24">
        <f>L70+L71-P70</f>
        <v>0.22733749999999997</v>
      </c>
      <c r="Q72" t="s">
        <v>134</v>
      </c>
      <c r="R72" t="s">
        <v>141</v>
      </c>
      <c r="W72" t="s">
        <v>85</v>
      </c>
      <c r="X72" t="s">
        <v>114</v>
      </c>
      <c r="Y72" s="21">
        <f>P72*D46</f>
        <v>3.7351551249999997E-2</v>
      </c>
      <c r="Z72" t="s">
        <v>134</v>
      </c>
      <c r="AA72" t="s">
        <v>142</v>
      </c>
      <c r="AE72" s="1" t="s">
        <v>84</v>
      </c>
      <c r="AF72" s="26">
        <f>TC_archetypes!x_roadsurface*(Y71+Y74)</f>
        <v>0.26618157300000006</v>
      </c>
      <c r="AG72" s="33">
        <v>0.26618157300000006</v>
      </c>
    </row>
    <row r="73" spans="2:33" x14ac:dyDescent="0.2">
      <c r="B73" s="22"/>
      <c r="K73" t="s">
        <v>143</v>
      </c>
      <c r="L73">
        <v>0.75</v>
      </c>
      <c r="M73" t="s">
        <v>47</v>
      </c>
      <c r="W73" t="s">
        <v>85</v>
      </c>
      <c r="X73" t="s">
        <v>115</v>
      </c>
      <c r="Y73" s="21">
        <f>P72*D47</f>
        <v>0.18998594874999997</v>
      </c>
      <c r="Z73" t="s">
        <v>134</v>
      </c>
      <c r="AA73" t="s">
        <v>144</v>
      </c>
      <c r="AE73" s="1" t="s">
        <v>114</v>
      </c>
      <c r="AF73" s="26">
        <f>TC_archetypes!x_roadsurface*Y72</f>
        <v>3.6604520224999999E-2</v>
      </c>
      <c r="AG73" s="33">
        <v>3.6604520224999999E-2</v>
      </c>
    </row>
    <row r="74" spans="2:33" x14ac:dyDescent="0.2">
      <c r="B74" t="s">
        <v>87</v>
      </c>
      <c r="C74" s="24">
        <f>SUM(C67:C72)</f>
        <v>1</v>
      </c>
      <c r="K74" t="s">
        <v>61</v>
      </c>
      <c r="L74">
        <v>0.17499999999999999</v>
      </c>
      <c r="M74" t="s">
        <v>61</v>
      </c>
      <c r="O74" t="s">
        <v>87</v>
      </c>
      <c r="P74" s="24">
        <f>SUM(P70:P72)</f>
        <v>1</v>
      </c>
      <c r="W74" t="s">
        <v>133</v>
      </c>
      <c r="X74" t="s">
        <v>84</v>
      </c>
      <c r="Y74" s="21">
        <f>P70*L101</f>
        <v>0.10879875</v>
      </c>
      <c r="Z74" t="s">
        <v>134</v>
      </c>
      <c r="AA74" t="s">
        <v>145</v>
      </c>
      <c r="AE74" s="1" t="s">
        <v>115</v>
      </c>
      <c r="AF74" s="26">
        <f>TC_archetypes!x_roadsurface*Y73</f>
        <v>0.18618622977499996</v>
      </c>
      <c r="AG74" s="33">
        <v>0.18618622977499996</v>
      </c>
    </row>
    <row r="75" spans="2:33" x14ac:dyDescent="0.2">
      <c r="B75" s="22"/>
      <c r="K75" t="s">
        <v>64</v>
      </c>
      <c r="L75">
        <v>0.95</v>
      </c>
      <c r="M75" t="s">
        <v>64</v>
      </c>
      <c r="W75" t="s">
        <v>133</v>
      </c>
      <c r="X75" t="s">
        <v>117</v>
      </c>
      <c r="Y75" s="21">
        <f>P70*L102</f>
        <v>0.25386375</v>
      </c>
      <c r="Z75" t="s">
        <v>134</v>
      </c>
      <c r="AA75" t="s">
        <v>146</v>
      </c>
      <c r="AE75" s="27" t="s">
        <v>117</v>
      </c>
      <c r="AF75" s="28">
        <f>TC_archetypes!x_roadsurface*Y75</f>
        <v>0.24878647500000001</v>
      </c>
      <c r="AG75" s="33">
        <v>0.24878647500000001</v>
      </c>
    </row>
    <row r="77" spans="2:33" x14ac:dyDescent="0.2">
      <c r="X77" t="s">
        <v>87</v>
      </c>
      <c r="Y77" s="24">
        <f>SUM(Y70:Y75)</f>
        <v>1</v>
      </c>
      <c r="AE77" t="s">
        <v>87</v>
      </c>
      <c r="AF77" s="24">
        <f>SUM(AF70:AF75)</f>
        <v>1.0000000000000002</v>
      </c>
    </row>
    <row r="78" spans="2:33" x14ac:dyDescent="0.2">
      <c r="X78" t="s">
        <v>149</v>
      </c>
    </row>
    <row r="79" spans="2:33" ht="16" thickBot="1" x14ac:dyDescent="0.25">
      <c r="W79" s="1" t="s">
        <v>101</v>
      </c>
      <c r="AE79" t="s">
        <v>128</v>
      </c>
    </row>
    <row r="80" spans="2:33" x14ac:dyDescent="0.2">
      <c r="J80" s="2" t="s">
        <v>15</v>
      </c>
      <c r="K80" s="3" t="s">
        <v>16</v>
      </c>
      <c r="L80" s="4" t="s">
        <v>129</v>
      </c>
      <c r="M80" t="s">
        <v>29</v>
      </c>
      <c r="N80" s="2" t="s">
        <v>15</v>
      </c>
      <c r="O80" s="3" t="s">
        <v>16</v>
      </c>
      <c r="P80" s="4" t="s">
        <v>129</v>
      </c>
      <c r="Q80" s="5" t="s">
        <v>20</v>
      </c>
      <c r="R80" s="23" t="s">
        <v>130</v>
      </c>
      <c r="W80" s="2" t="s">
        <v>15</v>
      </c>
      <c r="X80" s="3" t="s">
        <v>16</v>
      </c>
      <c r="Y80" s="4" t="s">
        <v>129</v>
      </c>
      <c r="Z80" s="5" t="s">
        <v>20</v>
      </c>
      <c r="AA80" s="23" t="s">
        <v>130</v>
      </c>
      <c r="AE80" s="1" t="s">
        <v>161</v>
      </c>
      <c r="AF80" s="1"/>
    </row>
    <row r="81" spans="10:33" x14ac:dyDescent="0.2">
      <c r="J81" s="1" t="s">
        <v>147</v>
      </c>
      <c r="K81" t="s">
        <v>132</v>
      </c>
      <c r="L81">
        <v>0.1</v>
      </c>
      <c r="M81" t="s">
        <v>36</v>
      </c>
      <c r="N81" t="s">
        <v>26</v>
      </c>
      <c r="O81" t="s">
        <v>133</v>
      </c>
      <c r="P81" s="24">
        <f>L82*L85</f>
        <v>9.4999999999999998E-3</v>
      </c>
      <c r="Q81" t="s">
        <v>134</v>
      </c>
      <c r="R81" s="29" t="s">
        <v>148</v>
      </c>
      <c r="W81" t="s">
        <v>112</v>
      </c>
      <c r="X81" t="s">
        <v>83</v>
      </c>
      <c r="Y81" s="21">
        <f>P82*D48</f>
        <v>0.5365721</v>
      </c>
      <c r="Z81" t="s">
        <v>134</v>
      </c>
      <c r="AA81" t="s">
        <v>136</v>
      </c>
      <c r="AE81" s="1" t="s">
        <v>82</v>
      </c>
      <c r="AF81" s="1">
        <f>TC_archetypes!x_air</f>
        <v>0.02</v>
      </c>
      <c r="AG81" s="33">
        <v>0.02</v>
      </c>
    </row>
    <row r="82" spans="10:33" x14ac:dyDescent="0.2">
      <c r="K82" t="s">
        <v>137</v>
      </c>
      <c r="L82">
        <v>0.01</v>
      </c>
      <c r="M82" t="s">
        <v>57</v>
      </c>
      <c r="N82" t="s">
        <v>26</v>
      </c>
      <c r="O82" t="s">
        <v>112</v>
      </c>
      <c r="P82" s="24">
        <f>1-L81-L82</f>
        <v>0.89</v>
      </c>
      <c r="Q82" t="s">
        <v>134</v>
      </c>
      <c r="R82" t="s">
        <v>150</v>
      </c>
      <c r="W82" t="s">
        <v>112</v>
      </c>
      <c r="X82" t="s">
        <v>84</v>
      </c>
      <c r="Y82" s="21">
        <f>P82*D49</f>
        <v>0.35342790000000002</v>
      </c>
      <c r="Z82" t="s">
        <v>134</v>
      </c>
      <c r="AA82" t="s">
        <v>139</v>
      </c>
      <c r="AE82" s="1" t="s">
        <v>83</v>
      </c>
      <c r="AF82" s="26">
        <f>TC_archetypes!x_roadsurface*Y81</f>
        <v>0.52584065800000002</v>
      </c>
      <c r="AG82" s="33">
        <v>0.52584065800000002</v>
      </c>
    </row>
    <row r="83" spans="10:33" x14ac:dyDescent="0.2">
      <c r="K83" t="s">
        <v>140</v>
      </c>
      <c r="L83">
        <v>0.25</v>
      </c>
      <c r="M83" t="s">
        <v>42</v>
      </c>
      <c r="N83" t="s">
        <v>26</v>
      </c>
      <c r="O83" t="s">
        <v>85</v>
      </c>
      <c r="P83" s="24">
        <f>L81+L82-P81</f>
        <v>0.10050000000000001</v>
      </c>
      <c r="Q83" t="s">
        <v>134</v>
      </c>
      <c r="R83" t="s">
        <v>151</v>
      </c>
      <c r="W83" t="s">
        <v>85</v>
      </c>
      <c r="X83" t="s">
        <v>114</v>
      </c>
      <c r="Y83" s="21">
        <f>P83*D46</f>
        <v>1.651215E-2</v>
      </c>
      <c r="Z83" t="s">
        <v>134</v>
      </c>
      <c r="AA83" t="s">
        <v>142</v>
      </c>
      <c r="AE83" s="1" t="s">
        <v>84</v>
      </c>
      <c r="AF83" s="26">
        <f>TC_archetypes!x_roadsurface*(Y82+Y85)</f>
        <v>0.349152342</v>
      </c>
      <c r="AG83" s="33">
        <v>0.349152342</v>
      </c>
    </row>
    <row r="84" spans="10:33" x14ac:dyDescent="0.2">
      <c r="K84" t="s">
        <v>143</v>
      </c>
      <c r="L84">
        <v>0</v>
      </c>
      <c r="M84" t="s">
        <v>50</v>
      </c>
      <c r="W84" t="s">
        <v>85</v>
      </c>
      <c r="X84" t="s">
        <v>115</v>
      </c>
      <c r="Y84" s="21">
        <f>P83*D47</f>
        <v>8.3987850000000003E-2</v>
      </c>
      <c r="Z84" t="s">
        <v>134</v>
      </c>
      <c r="AA84" t="s">
        <v>144</v>
      </c>
      <c r="AE84" s="1" t="s">
        <v>114</v>
      </c>
      <c r="AF84" s="26">
        <f>TC_archetypes!x_roadsurface*Y83</f>
        <v>1.6181906999999999E-2</v>
      </c>
      <c r="AG84" s="33">
        <v>1.6181906999999999E-2</v>
      </c>
    </row>
    <row r="85" spans="10:33" x14ac:dyDescent="0.2">
      <c r="K85" t="s">
        <v>64</v>
      </c>
      <c r="L85">
        <v>0.95</v>
      </c>
      <c r="M85" t="s">
        <v>64</v>
      </c>
      <c r="O85" t="s">
        <v>87</v>
      </c>
      <c r="P85" s="24">
        <f>SUM(P81:P83)</f>
        <v>1</v>
      </c>
      <c r="W85" t="s">
        <v>133</v>
      </c>
      <c r="X85" t="s">
        <v>84</v>
      </c>
      <c r="Y85" s="21">
        <f>P81*L101</f>
        <v>2.8499999999999997E-3</v>
      </c>
      <c r="Z85" t="s">
        <v>134</v>
      </c>
      <c r="AA85" t="s">
        <v>145</v>
      </c>
      <c r="AE85" s="1" t="s">
        <v>115</v>
      </c>
      <c r="AF85" s="26">
        <f>TC_archetypes!x_roadsurface*Y84</f>
        <v>8.2308092999999999E-2</v>
      </c>
      <c r="AG85" s="33">
        <v>8.2308092999999999E-2</v>
      </c>
    </row>
    <row r="86" spans="10:33" x14ac:dyDescent="0.2">
      <c r="K86" s="13"/>
      <c r="L86" s="13"/>
      <c r="M86" s="9"/>
      <c r="W86" t="s">
        <v>133</v>
      </c>
      <c r="X86" t="s">
        <v>117</v>
      </c>
      <c r="Y86" s="21">
        <f>P81*L102</f>
        <v>6.6499999999999997E-3</v>
      </c>
      <c r="Z86" t="s">
        <v>134</v>
      </c>
      <c r="AA86" t="s">
        <v>146</v>
      </c>
      <c r="AE86" s="27" t="s">
        <v>117</v>
      </c>
      <c r="AF86" s="28">
        <f>TC_archetypes!x_roadsurface*Y86</f>
        <v>6.5169999999999994E-3</v>
      </c>
      <c r="AG86" s="33">
        <v>6.5169999999999994E-3</v>
      </c>
    </row>
    <row r="88" spans="10:33" x14ac:dyDescent="0.2">
      <c r="X88" t="s">
        <v>87</v>
      </c>
      <c r="Y88" s="24">
        <f>SUM(Y81:Y86)</f>
        <v>1</v>
      </c>
      <c r="AE88" t="s">
        <v>87</v>
      </c>
      <c r="AF88" s="24">
        <f>SUM(AF81:AF86)</f>
        <v>1</v>
      </c>
    </row>
    <row r="89" spans="10:33" x14ac:dyDescent="0.2">
      <c r="Y89" s="24"/>
      <c r="AF89" s="24"/>
    </row>
    <row r="90" spans="10:33" ht="16" thickBot="1" x14ac:dyDescent="0.25">
      <c r="W90" s="1" t="s">
        <v>101</v>
      </c>
      <c r="AE90" t="s">
        <v>128</v>
      </c>
    </row>
    <row r="91" spans="10:33" x14ac:dyDescent="0.2">
      <c r="J91" s="2" t="s">
        <v>15</v>
      </c>
      <c r="K91" s="3" t="s">
        <v>16</v>
      </c>
      <c r="L91" s="4" t="s">
        <v>129</v>
      </c>
      <c r="M91" t="s">
        <v>29</v>
      </c>
      <c r="N91" s="2" t="s">
        <v>15</v>
      </c>
      <c r="O91" s="3" t="s">
        <v>16</v>
      </c>
      <c r="P91" s="4" t="s">
        <v>129</v>
      </c>
      <c r="Q91" s="5" t="s">
        <v>20</v>
      </c>
      <c r="R91" s="23" t="s">
        <v>130</v>
      </c>
      <c r="W91" s="2" t="s">
        <v>15</v>
      </c>
      <c r="X91" s="3" t="s">
        <v>16</v>
      </c>
      <c r="Y91" s="4" t="s">
        <v>129</v>
      </c>
      <c r="Z91" s="5" t="s">
        <v>20</v>
      </c>
      <c r="AA91" s="23" t="s">
        <v>130</v>
      </c>
      <c r="AE91" s="1" t="s">
        <v>162</v>
      </c>
      <c r="AF91" s="1"/>
    </row>
    <row r="92" spans="10:33" x14ac:dyDescent="0.2">
      <c r="J92" s="1" t="s">
        <v>27</v>
      </c>
      <c r="K92" t="s">
        <v>132</v>
      </c>
      <c r="L92">
        <v>0.1</v>
      </c>
      <c r="M92" t="s">
        <v>38</v>
      </c>
      <c r="N92" t="s">
        <v>27</v>
      </c>
      <c r="O92" t="s">
        <v>133</v>
      </c>
      <c r="P92" s="24">
        <f>L94*L96*L92+L93*L96</f>
        <v>3.3250000000000002E-2</v>
      </c>
      <c r="Q92" t="s">
        <v>134</v>
      </c>
      <c r="R92" s="30" t="s">
        <v>152</v>
      </c>
      <c r="W92" t="s">
        <v>112</v>
      </c>
      <c r="X92" t="s">
        <v>83</v>
      </c>
      <c r="Y92" s="21">
        <f>P93*D48</f>
        <v>0.5365721</v>
      </c>
      <c r="Z92" t="s">
        <v>134</v>
      </c>
      <c r="AA92" t="s">
        <v>136</v>
      </c>
      <c r="AE92" s="1" t="s">
        <v>82</v>
      </c>
      <c r="AF92" s="1">
        <f>TC_archetypes!x_air</f>
        <v>0.02</v>
      </c>
      <c r="AG92" s="33">
        <v>0.02</v>
      </c>
    </row>
    <row r="93" spans="10:33" x14ac:dyDescent="0.2">
      <c r="K93" t="s">
        <v>137</v>
      </c>
      <c r="L93">
        <v>0.01</v>
      </c>
      <c r="M93" t="s">
        <v>59</v>
      </c>
      <c r="N93" t="s">
        <v>27</v>
      </c>
      <c r="O93" t="s">
        <v>112</v>
      </c>
      <c r="P93" s="24">
        <f>1-L92-L93</f>
        <v>0.89</v>
      </c>
      <c r="Q93" t="s">
        <v>134</v>
      </c>
      <c r="R93" t="s">
        <v>153</v>
      </c>
      <c r="W93" t="s">
        <v>112</v>
      </c>
      <c r="X93" t="s">
        <v>84</v>
      </c>
      <c r="Y93" s="21">
        <f>P93*D49</f>
        <v>0.35342790000000002</v>
      </c>
      <c r="Z93" t="s">
        <v>134</v>
      </c>
      <c r="AA93" t="s">
        <v>139</v>
      </c>
      <c r="AE93" s="1" t="s">
        <v>83</v>
      </c>
      <c r="AF93" s="26">
        <f>TC_archetypes!x_roadsurface*Y92</f>
        <v>0.52584065800000002</v>
      </c>
      <c r="AG93" s="33">
        <v>0.52584065800000002</v>
      </c>
    </row>
    <row r="94" spans="10:33" x14ac:dyDescent="0.2">
      <c r="K94" t="s">
        <v>140</v>
      </c>
      <c r="L94">
        <v>0.25</v>
      </c>
      <c r="M94" t="s">
        <v>45</v>
      </c>
      <c r="N94" t="s">
        <v>27</v>
      </c>
      <c r="O94" t="s">
        <v>85</v>
      </c>
      <c r="P94" s="24">
        <f>L92+L93-P92</f>
        <v>7.6749999999999999E-2</v>
      </c>
      <c r="Q94" t="s">
        <v>134</v>
      </c>
      <c r="R94" t="s">
        <v>154</v>
      </c>
      <c r="W94" t="s">
        <v>85</v>
      </c>
      <c r="X94" t="s">
        <v>114</v>
      </c>
      <c r="Y94" s="21">
        <f>P94*D46</f>
        <v>1.2610025E-2</v>
      </c>
      <c r="Z94" t="s">
        <v>134</v>
      </c>
      <c r="AA94" t="s">
        <v>142</v>
      </c>
      <c r="AE94" s="1" t="s">
        <v>84</v>
      </c>
      <c r="AF94" s="26">
        <f>TC_archetypes!x_roadsurface*(Y93+Y96)</f>
        <v>0.35613484200000001</v>
      </c>
      <c r="AG94" s="33">
        <v>0.35613484200000001</v>
      </c>
    </row>
    <row r="95" spans="10:33" x14ac:dyDescent="0.2">
      <c r="K95" t="s">
        <v>143</v>
      </c>
      <c r="L95">
        <v>0</v>
      </c>
      <c r="M95" t="s">
        <v>52</v>
      </c>
      <c r="W95" t="s">
        <v>85</v>
      </c>
      <c r="X95" t="s">
        <v>115</v>
      </c>
      <c r="Y95" s="21">
        <f>P94*D47</f>
        <v>6.4139975000000002E-2</v>
      </c>
      <c r="Z95" t="s">
        <v>134</v>
      </c>
      <c r="AA95" t="s">
        <v>144</v>
      </c>
      <c r="AE95" s="1" t="s">
        <v>114</v>
      </c>
      <c r="AF95" s="26">
        <f>TC_archetypes!x_roadsurface*Y94</f>
        <v>1.23578245E-2</v>
      </c>
      <c r="AG95" s="33">
        <v>1.23578245E-2</v>
      </c>
    </row>
    <row r="96" spans="10:33" x14ac:dyDescent="0.2">
      <c r="K96" t="s">
        <v>64</v>
      </c>
      <c r="L96">
        <v>0.95</v>
      </c>
      <c r="M96" t="s">
        <v>64</v>
      </c>
      <c r="O96" t="s">
        <v>87</v>
      </c>
      <c r="P96" s="24">
        <f>SUM(P92:P94)</f>
        <v>1</v>
      </c>
      <c r="W96" t="s">
        <v>133</v>
      </c>
      <c r="X96" t="s">
        <v>84</v>
      </c>
      <c r="Y96" s="21">
        <f>P92*L101</f>
        <v>9.9749999999999995E-3</v>
      </c>
      <c r="Z96" t="s">
        <v>134</v>
      </c>
      <c r="AA96" t="s">
        <v>145</v>
      </c>
      <c r="AE96" s="1" t="s">
        <v>115</v>
      </c>
      <c r="AF96" s="26">
        <f>TC_archetypes!x_roadsurface*Y95</f>
        <v>6.2857175500000001E-2</v>
      </c>
      <c r="AG96" s="33">
        <v>6.2857175500000001E-2</v>
      </c>
    </row>
    <row r="97" spans="10:33" x14ac:dyDescent="0.2">
      <c r="W97" t="s">
        <v>133</v>
      </c>
      <c r="X97" t="s">
        <v>117</v>
      </c>
      <c r="Y97" s="21">
        <f>P92*L102</f>
        <v>2.3275000000000001E-2</v>
      </c>
      <c r="Z97" t="s">
        <v>134</v>
      </c>
      <c r="AA97" t="s">
        <v>146</v>
      </c>
      <c r="AE97" s="27" t="s">
        <v>117</v>
      </c>
      <c r="AF97" s="28">
        <f>TC_archetypes!x_roadsurface*Y97</f>
        <v>2.28095E-2</v>
      </c>
      <c r="AG97" s="33">
        <v>2.28095E-2</v>
      </c>
    </row>
    <row r="98" spans="10:33" x14ac:dyDescent="0.2">
      <c r="R98" s="24"/>
    </row>
    <row r="99" spans="10:33" x14ac:dyDescent="0.2">
      <c r="N99" s="9"/>
      <c r="O99" s="9"/>
      <c r="P99" s="9"/>
      <c r="Q99" s="9"/>
      <c r="R99" s="31"/>
      <c r="S99" s="9"/>
      <c r="T99" s="9"/>
      <c r="X99" t="s">
        <v>87</v>
      </c>
      <c r="Y99" s="24">
        <f>SUM(Y92:Y97)</f>
        <v>1</v>
      </c>
      <c r="AE99" t="s">
        <v>87</v>
      </c>
      <c r="AF99" s="24">
        <f>SUM(AF92:AF97)</f>
        <v>1</v>
      </c>
    </row>
    <row r="101" spans="10:33" x14ac:dyDescent="0.2">
      <c r="J101" t="s">
        <v>69</v>
      </c>
      <c r="K101" t="s">
        <v>70</v>
      </c>
      <c r="L101">
        <v>0.3</v>
      </c>
      <c r="M101" t="s">
        <v>24</v>
      </c>
      <c r="N101" t="s">
        <v>71</v>
      </c>
    </row>
    <row r="102" spans="10:33" x14ac:dyDescent="0.2">
      <c r="J102" t="s">
        <v>72</v>
      </c>
      <c r="K102" t="s">
        <v>73</v>
      </c>
      <c r="L102">
        <v>0.7</v>
      </c>
      <c r="M102" t="s">
        <v>24</v>
      </c>
      <c r="N102" t="s">
        <v>71</v>
      </c>
      <c r="R102" s="32"/>
      <c r="T102" s="24"/>
    </row>
  </sheetData>
  <mergeCells count="2">
    <mergeCell ref="I4:I6"/>
    <mergeCell ref="I23:I24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8F9E-BE9D-1E43-83CB-A50A93F281E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TC_archetypes</vt:lpstr>
      <vt:lpstr>Sheet1</vt:lpstr>
      <vt:lpstr>Em_kg_vkm</vt:lpstr>
      <vt:lpstr>share_Highway</vt:lpstr>
      <vt:lpstr>share_Rural_roads</vt:lpstr>
      <vt:lpstr>share_Urban_roads</vt:lpstr>
      <vt:lpstr>TC_archetypes!x_air</vt:lpstr>
      <vt:lpstr>TC_archetypes!x_roadsurface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Louisa Ainara Nina Ospital</dc:creator>
  <cp:lastModifiedBy>Nadim Saadi</cp:lastModifiedBy>
  <dcterms:created xsi:type="dcterms:W3CDTF">2026-04-15T21:47:44Z</dcterms:created>
  <dcterms:modified xsi:type="dcterms:W3CDTF">2026-04-17T12:34:05Z</dcterms:modified>
</cp:coreProperties>
</file>