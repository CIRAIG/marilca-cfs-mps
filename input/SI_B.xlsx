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nadsad/Documents/GitHub/marilca-cfs-mps/input/"/>
    </mc:Choice>
  </mc:AlternateContent>
  <xr:revisionPtr revIDLastSave="0" documentId="13_ncr:1_{48DCF01E-B03C-7E4F-BB13-036787BC0A16}" xr6:coauthVersionLast="47" xr6:coauthVersionMax="47" xr10:uidLastSave="{00000000-0000-0000-0000-000000000000}"/>
  <bookViews>
    <workbookView xWindow="31260" yWindow="-60" windowWidth="29400" windowHeight="16980" firstSheet="1" activeTab="3" xr2:uid="{22A921CC-F035-452E-8B19-6155CEDFB8AE}"/>
  </bookViews>
  <sheets>
    <sheet name="Cover page" sheetId="10" r:id="rId1"/>
    <sheet name="1.1.SSDR_water" sheetId="7" r:id="rId2"/>
    <sheet name="1.2.SSDR_sediment" sheetId="8" r:id="rId3"/>
    <sheet name="1.3.SSDR_soil" sheetId="9" r:id="rId4"/>
    <sheet name="1.4.plasticFADE constants" sheetId="31" r:id="rId5"/>
    <sheet name="1.5.UVintensity" sheetId="30" r:id="rId6"/>
    <sheet name="2.1.sed_rates" sheetId="13" r:id="rId7"/>
    <sheet name="2.1.trackMPD" sheetId="34" r:id="rId8"/>
    <sheet name="3.1.regional_data" sheetId="15" r:id="rId9"/>
    <sheet name="3.2.polymer_list" sheetId="18" r:id="rId10"/>
    <sheet name="3.3.polymer_data_CI" sheetId="25" r:id="rId11"/>
    <sheet name="3.4.EEF_CI" sheetId="26" r:id="rId12"/>
    <sheet name="4.1.species_richness" sheetId="24" r:id="rId13"/>
    <sheet name="4.2.GEP" sheetId="36" r:id="rId14"/>
    <sheet name="4.3.polymer_emissions" sheetId="35" r:id="rId15"/>
    <sheet name="5.1.usetox_ef" sheetId="32" r:id="rId16"/>
    <sheet name="References" sheetId="16" r:id="rId17"/>
  </sheets>
  <externalReferences>
    <externalReference r:id="rId18"/>
    <externalReference r:id="rId19"/>
    <externalReference r:id="rId20"/>
    <externalReference r:id="rId21"/>
  </externalReferences>
  <definedNames>
    <definedName name="AREAland.C">[1]input!$L$287</definedName>
    <definedName name="AREAland.R">[1]input!$L$259</definedName>
    <definedName name="AREAsea.C">[1]input!$L$288</definedName>
    <definedName name="AREAsea.R">[1]input!$L$260</definedName>
    <definedName name="_xlnm.Database">#REF!</definedName>
    <definedName name="DEPTHfreshwater.C">[1]input!$L$300</definedName>
    <definedName name="DEPTHfreshwater.R">[1]input!$L$270</definedName>
    <definedName name="DEPTHlake.C">[1]input!$L$299</definedName>
    <definedName name="DEPTHlake.R">[1]input!$L$269</definedName>
    <definedName name="FRACagsoil.C">[1]input!$L$294</definedName>
    <definedName name="FRACfresh.C">[1]input!$L$292</definedName>
    <definedName name="FRAClake.C">[1]input!$L$291</definedName>
    <definedName name="FRACnatsoil.C">[1]input!$L$293</definedName>
    <definedName name="FRACothersoil.C">[1]input!$L$295</definedName>
    <definedName name="période_sélectionnée">[2]Echéancier!$H$2</definedName>
    <definedName name="PériodeDansPlan">[2]Echéancier!A$5=MEDIAN([2]Echéancier!A$5,[2]Echéancier!$C1,[2]Echéancier!$C1+[2]Echéancier!$D1-1)</definedName>
    <definedName name="PériodeDansRéel">[2]Echéancier!A$5=MEDIAN([2]Echéancier!A$5,[2]Echéancier!$E1,[2]Echéancier!$E1+[2]Echéancier!$F1-1)</definedName>
    <definedName name="Plan">PériodeDansPlan*([2]Echéancier!$C1&gt;0)</definedName>
    <definedName name="PourcentageAccompli">PourcentageAccompliAuDelà*PériodeDansPlan</definedName>
    <definedName name="PourcentageAccompliAuDelà">([2]Echéancier!A$5=MEDIAN([2]Echéancier!A$5,[2]Echéancier!$E1,[2]Echéancier!$E1+[2]Echéancier!$F1)*([2]Echéancier!$E1&gt;0))*(([2]Echéancier!A$5&lt;(INT([2]Echéancier!$E1+[2]Echéancier!$F1*[2]Echéancier!$G1)))+([2]Echéancier!A$5=[2]Echéancier!$E1))*([2]Echéancier!$G1&gt;0)</definedName>
    <definedName name="Réel">(PériodeDansRéel*([2]Echéancier!$E1&gt;0))*PériodeDansPlan</definedName>
    <definedName name="RéelAuDelà">PériodeDansRéel*([2]Echéancier!$E1&gt;0)</definedName>
    <definedName name="RegionBaseRowNr">[3]Run!$F$10</definedName>
    <definedName name="SYSTEMAREA.C">[1]continental!$L$16</definedName>
    <definedName name="SYSTEMAREA.R">[1]regional!$L$16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15" l="1"/>
  <c r="I79" i="15" s="1"/>
  <c r="J79" i="15" s="1"/>
  <c r="K79" i="15" s="1"/>
  <c r="L79" i="15" s="1"/>
  <c r="M79" i="15" s="1"/>
  <c r="G79" i="15"/>
  <c r="H78" i="15"/>
  <c r="I78" i="15" s="1"/>
  <c r="J78" i="15" s="1"/>
  <c r="K78" i="15" s="1"/>
  <c r="L78" i="15" s="1"/>
  <c r="M78" i="15" s="1"/>
  <c r="G78" i="15"/>
  <c r="C44" i="30"/>
  <c r="C38" i="30"/>
  <c r="C37" i="30"/>
  <c r="AC82" i="34"/>
  <c r="AB79" i="34"/>
  <c r="AC8" i="34"/>
  <c r="AC9" i="34"/>
  <c r="AC10" i="34"/>
  <c r="AC11" i="34"/>
  <c r="AC12" i="34"/>
  <c r="AC13" i="34"/>
  <c r="AC14" i="34"/>
  <c r="AC15" i="34"/>
  <c r="AC16" i="34"/>
  <c r="AC17" i="34"/>
  <c r="AC18" i="34"/>
  <c r="AC19" i="34"/>
  <c r="AC20" i="34"/>
  <c r="AC21" i="34"/>
  <c r="AC22" i="34"/>
  <c r="AC23" i="34"/>
  <c r="AC24" i="34"/>
  <c r="AC25" i="34"/>
  <c r="AC26" i="34"/>
  <c r="AC27" i="34"/>
  <c r="AC28" i="34"/>
  <c r="AC29" i="34"/>
  <c r="AC30" i="34"/>
  <c r="AC31" i="34"/>
  <c r="AC32" i="34"/>
  <c r="AC33" i="34"/>
  <c r="AC34" i="34"/>
  <c r="AC35" i="34"/>
  <c r="AC36" i="34"/>
  <c r="AC37" i="34"/>
  <c r="AC38" i="34"/>
  <c r="AC39" i="34"/>
  <c r="AC40" i="34"/>
  <c r="AC41" i="34"/>
  <c r="AC42" i="34"/>
  <c r="AC43" i="34"/>
  <c r="AC44" i="34"/>
  <c r="AC45" i="34"/>
  <c r="AC46" i="34"/>
  <c r="AC47" i="34"/>
  <c r="AC48" i="34"/>
  <c r="AC49" i="34"/>
  <c r="AC50" i="34"/>
  <c r="AC51" i="34"/>
  <c r="AC52" i="34"/>
  <c r="AC53" i="34"/>
  <c r="AC54" i="34"/>
  <c r="AC55" i="34"/>
  <c r="AC56" i="34"/>
  <c r="AC57" i="34"/>
  <c r="AC58" i="34"/>
  <c r="AC59" i="34"/>
  <c r="AC60" i="34"/>
  <c r="AC61" i="34"/>
  <c r="AC62" i="34"/>
  <c r="AC63" i="34"/>
  <c r="AC64" i="34"/>
  <c r="AC65" i="34"/>
  <c r="AC66" i="34"/>
  <c r="AC67" i="34"/>
  <c r="AC68" i="34"/>
  <c r="AC69" i="34"/>
  <c r="AC70" i="34"/>
  <c r="AC71" i="34"/>
  <c r="AC72" i="34"/>
  <c r="AC73" i="34"/>
  <c r="AC74" i="34"/>
  <c r="AC75" i="34"/>
  <c r="AC76" i="34"/>
  <c r="AC77" i="34"/>
  <c r="AC78" i="34"/>
  <c r="AC79" i="34"/>
  <c r="AD79" i="34" s="1"/>
  <c r="AC80" i="34"/>
  <c r="AC81" i="34"/>
  <c r="AC83" i="34"/>
  <c r="AC84" i="34"/>
  <c r="AB30" i="34"/>
  <c r="AB31" i="34"/>
  <c r="AB32" i="34"/>
  <c r="AB33" i="34"/>
  <c r="AB34" i="34"/>
  <c r="AB35" i="34"/>
  <c r="AB36" i="34"/>
  <c r="AB37" i="34"/>
  <c r="AB38" i="34"/>
  <c r="AB39" i="34"/>
  <c r="AB40" i="34"/>
  <c r="AB41" i="34"/>
  <c r="AB42" i="34"/>
  <c r="AB43" i="34"/>
  <c r="AB44" i="34"/>
  <c r="AB45" i="34"/>
  <c r="AB46" i="34"/>
  <c r="AB47" i="34"/>
  <c r="AB48" i="34"/>
  <c r="AB49" i="34"/>
  <c r="AB50" i="34"/>
  <c r="AB51" i="34"/>
  <c r="AB52" i="34"/>
  <c r="AB53" i="34"/>
  <c r="AB54" i="34"/>
  <c r="AB55" i="34"/>
  <c r="AB56" i="34"/>
  <c r="AB57" i="34"/>
  <c r="AB58" i="34"/>
  <c r="AB59" i="34"/>
  <c r="AB60" i="34"/>
  <c r="AB61" i="34"/>
  <c r="AB62" i="34"/>
  <c r="AB63" i="34"/>
  <c r="AB64" i="34"/>
  <c r="AB65" i="34"/>
  <c r="AB66" i="34"/>
  <c r="AB67" i="34"/>
  <c r="AB68" i="34"/>
  <c r="AB69" i="34"/>
  <c r="AB70" i="34"/>
  <c r="AB71" i="34"/>
  <c r="AB72" i="34"/>
  <c r="AB73" i="34"/>
  <c r="AB74" i="34"/>
  <c r="AB75" i="34"/>
  <c r="AB76" i="34"/>
  <c r="AB77" i="34"/>
  <c r="AB78" i="34"/>
  <c r="AB80" i="34"/>
  <c r="AB81" i="34"/>
  <c r="AB82" i="34"/>
  <c r="AB83" i="34"/>
  <c r="AB84" i="34"/>
  <c r="AB20" i="34"/>
  <c r="AB21" i="34"/>
  <c r="AB22" i="34"/>
  <c r="AB23" i="34"/>
  <c r="AB24" i="34"/>
  <c r="AB25" i="34"/>
  <c r="AB26" i="34"/>
  <c r="AB27" i="34"/>
  <c r="AB28" i="34"/>
  <c r="AB29" i="34"/>
  <c r="AB17" i="34"/>
  <c r="AB18" i="34"/>
  <c r="AB19" i="34"/>
  <c r="C43" i="30"/>
  <c r="C42" i="30"/>
  <c r="C41" i="30"/>
  <c r="C40" i="30"/>
  <c r="C39" i="30"/>
  <c r="AC7" i="34"/>
  <c r="AB8" i="34"/>
  <c r="AB9" i="34"/>
  <c r="AB10" i="34"/>
  <c r="AB11" i="34"/>
  <c r="AB12" i="34"/>
  <c r="AB13" i="34"/>
  <c r="AB14" i="34"/>
  <c r="AB15" i="34"/>
  <c r="AB16" i="34"/>
  <c r="AB7" i="34"/>
  <c r="E27" i="9"/>
  <c r="E28" i="9" s="1"/>
  <c r="E29" i="9" s="1"/>
  <c r="D27" i="9"/>
  <c r="D28" i="9" s="1"/>
  <c r="D29" i="9" s="1"/>
  <c r="B10" i="36" a="1"/>
  <c r="K19" i="36"/>
  <c r="J19" i="36"/>
  <c r="I19" i="36"/>
  <c r="H4" i="26"/>
  <c r="G4" i="26"/>
  <c r="K8" i="35"/>
  <c r="L3" i="35"/>
  <c r="L4" i="35"/>
  <c r="L7" i="35"/>
  <c r="L10" i="35"/>
  <c r="L11" i="35"/>
  <c r="L12" i="35"/>
  <c r="L2" i="35"/>
  <c r="K5" i="35"/>
  <c r="K6" i="35"/>
  <c r="K9" i="35"/>
  <c r="K10" i="35"/>
  <c r="K11" i="35"/>
  <c r="K12" i="35"/>
  <c r="J10" i="35"/>
  <c r="J11" i="35"/>
  <c r="J12" i="35"/>
  <c r="C19" i="35"/>
  <c r="C16" i="35"/>
  <c r="C15" i="35"/>
  <c r="C14" i="35"/>
  <c r="C13" i="35"/>
  <c r="C12" i="35"/>
  <c r="C11" i="35"/>
  <c r="C10" i="35"/>
  <c r="C9" i="35"/>
  <c r="O7" i="24"/>
  <c r="P7" i="24"/>
  <c r="T34" i="34"/>
  <c r="T35" i="34"/>
  <c r="T36" i="34"/>
  <c r="T37" i="34"/>
  <c r="T38" i="34"/>
  <c r="T33" i="34"/>
  <c r="U3" i="30"/>
  <c r="E9" i="31"/>
  <c r="I13" i="25" s="1"/>
  <c r="I165" i="25"/>
  <c r="H165" i="25"/>
  <c r="I164" i="25"/>
  <c r="H164" i="25"/>
  <c r="I163" i="25"/>
  <c r="H163" i="25"/>
  <c r="I162" i="25"/>
  <c r="H162" i="25"/>
  <c r="I148" i="25"/>
  <c r="H148" i="25"/>
  <c r="I147" i="25"/>
  <c r="H147" i="25"/>
  <c r="I146" i="25"/>
  <c r="H146" i="25"/>
  <c r="I145" i="25"/>
  <c r="H145" i="25"/>
  <c r="I144" i="25"/>
  <c r="H144" i="25"/>
  <c r="I143" i="25"/>
  <c r="H143" i="25"/>
  <c r="I142" i="25"/>
  <c r="H142" i="25"/>
  <c r="I138" i="25"/>
  <c r="H138" i="25"/>
  <c r="I137" i="25"/>
  <c r="H137" i="25"/>
  <c r="I136" i="25"/>
  <c r="H136" i="25"/>
  <c r="I135" i="25"/>
  <c r="H135" i="25"/>
  <c r="I134" i="25"/>
  <c r="H134" i="25"/>
  <c r="I133" i="25"/>
  <c r="H133" i="25"/>
  <c r="I132" i="25"/>
  <c r="H132" i="25"/>
  <c r="I128" i="25"/>
  <c r="H128" i="25"/>
  <c r="I127" i="25"/>
  <c r="H127" i="25"/>
  <c r="I126" i="25"/>
  <c r="H126" i="25"/>
  <c r="I125" i="25"/>
  <c r="H125" i="25"/>
  <c r="I124" i="25"/>
  <c r="H124" i="25"/>
  <c r="I123" i="25"/>
  <c r="H123" i="25"/>
  <c r="I122" i="25"/>
  <c r="H122" i="25"/>
  <c r="I118" i="25"/>
  <c r="H118" i="25"/>
  <c r="I117" i="25"/>
  <c r="H117" i="25"/>
  <c r="I116" i="25"/>
  <c r="H116" i="25"/>
  <c r="I115" i="25"/>
  <c r="H115" i="25"/>
  <c r="I114" i="25"/>
  <c r="H114" i="25"/>
  <c r="I113" i="25"/>
  <c r="H113" i="25"/>
  <c r="I112" i="25"/>
  <c r="H112" i="25"/>
  <c r="I108" i="25"/>
  <c r="H108" i="25"/>
  <c r="I107" i="25"/>
  <c r="H107" i="25"/>
  <c r="I106" i="25"/>
  <c r="H106" i="25"/>
  <c r="I105" i="25"/>
  <c r="H105" i="25"/>
  <c r="I104" i="25"/>
  <c r="H104" i="25"/>
  <c r="I103" i="25"/>
  <c r="H103" i="25"/>
  <c r="I102" i="25"/>
  <c r="H102" i="25"/>
  <c r="I98" i="25"/>
  <c r="H98" i="25"/>
  <c r="I97" i="25"/>
  <c r="H97" i="25"/>
  <c r="I96" i="25"/>
  <c r="H96" i="25"/>
  <c r="I95" i="25"/>
  <c r="H95" i="25"/>
  <c r="I94" i="25"/>
  <c r="H94" i="25"/>
  <c r="I93" i="25"/>
  <c r="H93" i="25"/>
  <c r="I92" i="25"/>
  <c r="H92" i="25"/>
  <c r="I88" i="25"/>
  <c r="H88" i="25"/>
  <c r="I87" i="25"/>
  <c r="H87" i="25"/>
  <c r="I86" i="25"/>
  <c r="H86" i="25"/>
  <c r="I85" i="25"/>
  <c r="H85" i="25"/>
  <c r="I84" i="25"/>
  <c r="H84" i="25"/>
  <c r="I83" i="25"/>
  <c r="H83" i="25"/>
  <c r="I82" i="25"/>
  <c r="H82" i="25"/>
  <c r="I78" i="25"/>
  <c r="H78" i="25"/>
  <c r="I77" i="25"/>
  <c r="H77" i="25"/>
  <c r="I76" i="25"/>
  <c r="H76" i="25"/>
  <c r="I75" i="25"/>
  <c r="H75" i="25"/>
  <c r="I74" i="25"/>
  <c r="H74" i="25"/>
  <c r="I73" i="25"/>
  <c r="H73" i="25"/>
  <c r="I72" i="25"/>
  <c r="H72" i="25"/>
  <c r="I68" i="25"/>
  <c r="H68" i="25"/>
  <c r="I67" i="25"/>
  <c r="H67" i="25"/>
  <c r="I66" i="25"/>
  <c r="H66" i="25"/>
  <c r="I65" i="25"/>
  <c r="H65" i="25"/>
  <c r="I64" i="25"/>
  <c r="H64" i="25"/>
  <c r="I63" i="25"/>
  <c r="H63" i="25"/>
  <c r="I62" i="25"/>
  <c r="H62" i="25"/>
  <c r="I58" i="25"/>
  <c r="H58" i="25"/>
  <c r="I57" i="25"/>
  <c r="H57" i="25"/>
  <c r="I56" i="25"/>
  <c r="H56" i="25"/>
  <c r="I55" i="25"/>
  <c r="H55" i="25"/>
  <c r="I54" i="25"/>
  <c r="H54" i="25"/>
  <c r="I53" i="25"/>
  <c r="H53" i="25"/>
  <c r="I52" i="25"/>
  <c r="H52" i="25"/>
  <c r="I30" i="25"/>
  <c r="H30" i="25"/>
  <c r="I29" i="25"/>
  <c r="H29" i="25"/>
  <c r="I28" i="25"/>
  <c r="H28" i="25"/>
  <c r="I27" i="25"/>
  <c r="H27" i="25"/>
  <c r="I26" i="25"/>
  <c r="H26" i="25"/>
  <c r="I25" i="25"/>
  <c r="H25" i="25"/>
  <c r="I24" i="25"/>
  <c r="H24" i="25"/>
  <c r="I7" i="25"/>
  <c r="I8" i="25"/>
  <c r="I6" i="25"/>
  <c r="H47" i="25"/>
  <c r="I47" i="25"/>
  <c r="H48" i="25"/>
  <c r="I48" i="25"/>
  <c r="H49" i="25"/>
  <c r="I49" i="25"/>
  <c r="H50" i="25"/>
  <c r="I50" i="25"/>
  <c r="H51" i="25"/>
  <c r="I51" i="25"/>
  <c r="I46" i="25"/>
  <c r="H46" i="25"/>
  <c r="H41" i="25"/>
  <c r="I41" i="25"/>
  <c r="H42" i="25"/>
  <c r="I42" i="25"/>
  <c r="H43" i="25"/>
  <c r="I43" i="25"/>
  <c r="H44" i="25"/>
  <c r="I44" i="25"/>
  <c r="H45" i="25"/>
  <c r="I45" i="25"/>
  <c r="I40" i="25"/>
  <c r="H40" i="25"/>
  <c r="H35" i="25"/>
  <c r="I35" i="25"/>
  <c r="H36" i="25"/>
  <c r="I36" i="25"/>
  <c r="H37" i="25"/>
  <c r="I37" i="25"/>
  <c r="H38" i="25"/>
  <c r="I38" i="25"/>
  <c r="H39" i="25"/>
  <c r="I39" i="25"/>
  <c r="I34" i="25"/>
  <c r="H34" i="25"/>
  <c r="H19" i="25"/>
  <c r="I19" i="25"/>
  <c r="H20" i="25"/>
  <c r="I20" i="25"/>
  <c r="H21" i="25"/>
  <c r="I21" i="25"/>
  <c r="H22" i="25"/>
  <c r="I22" i="25"/>
  <c r="H23" i="25"/>
  <c r="I23" i="25"/>
  <c r="H18" i="25"/>
  <c r="I18" i="25"/>
  <c r="H13" i="25"/>
  <c r="H14" i="25"/>
  <c r="I14" i="25"/>
  <c r="H15" i="25"/>
  <c r="I15" i="25"/>
  <c r="H16" i="25"/>
  <c r="I16" i="25"/>
  <c r="H17" i="25"/>
  <c r="I17" i="25"/>
  <c r="I12" i="25"/>
  <c r="H12" i="25"/>
  <c r="H7" i="25"/>
  <c r="H8" i="25"/>
  <c r="H6" i="25"/>
  <c r="I3" i="25"/>
  <c r="I4" i="25"/>
  <c r="I5" i="25"/>
  <c r="I2" i="25"/>
  <c r="H3" i="25"/>
  <c r="H4" i="25"/>
  <c r="H5" i="25"/>
  <c r="H2" i="25"/>
  <c r="V13" i="31"/>
  <c r="U13" i="31"/>
  <c r="V12" i="31"/>
  <c r="U12" i="31"/>
  <c r="V11" i="31"/>
  <c r="U11" i="31"/>
  <c r="V10" i="31"/>
  <c r="U10" i="31"/>
  <c r="V9" i="31"/>
  <c r="U9" i="31"/>
  <c r="V8" i="31"/>
  <c r="U8" i="31"/>
  <c r="R13" i="31"/>
  <c r="Q13" i="31"/>
  <c r="R12" i="31"/>
  <c r="Q12" i="31"/>
  <c r="R11" i="31"/>
  <c r="Q11" i="31"/>
  <c r="R10" i="31"/>
  <c r="Q10" i="31"/>
  <c r="R9" i="31"/>
  <c r="Q9" i="31"/>
  <c r="R8" i="31"/>
  <c r="Q8" i="31"/>
  <c r="N13" i="31"/>
  <c r="M13" i="31"/>
  <c r="N12" i="31"/>
  <c r="M12" i="31"/>
  <c r="N11" i="31"/>
  <c r="M11" i="31"/>
  <c r="N10" i="31"/>
  <c r="M10" i="31"/>
  <c r="N9" i="31"/>
  <c r="M9" i="31"/>
  <c r="N8" i="31"/>
  <c r="M8" i="31"/>
  <c r="J13" i="31"/>
  <c r="I13" i="31"/>
  <c r="J12" i="31"/>
  <c r="I12" i="31"/>
  <c r="J11" i="31"/>
  <c r="I11" i="31"/>
  <c r="J10" i="31"/>
  <c r="I10" i="31"/>
  <c r="J9" i="31"/>
  <c r="I9" i="31"/>
  <c r="J8" i="31"/>
  <c r="I8" i="31"/>
  <c r="F9" i="31"/>
  <c r="F10" i="31"/>
  <c r="F11" i="31"/>
  <c r="F12" i="31"/>
  <c r="F13" i="31"/>
  <c r="F8" i="31"/>
  <c r="E10" i="31"/>
  <c r="E11" i="31"/>
  <c r="E12" i="31"/>
  <c r="E13" i="31"/>
  <c r="E8" i="31"/>
  <c r="E14" i="36" l="1"/>
  <c r="E10" i="36"/>
  <c r="E18" i="36"/>
  <c r="E11" i="36"/>
  <c r="E17" i="36"/>
  <c r="E12" i="36"/>
  <c r="E16" i="36"/>
  <c r="E13" i="36"/>
  <c r="E15" i="36"/>
  <c r="D10" i="36"/>
  <c r="D15" i="36"/>
  <c r="D14" i="36"/>
  <c r="D16" i="36"/>
  <c r="D13" i="36"/>
  <c r="D17" i="36"/>
  <c r="D12" i="36"/>
  <c r="D18" i="36"/>
  <c r="D11" i="36"/>
  <c r="C11" i="36"/>
  <c r="C12" i="36"/>
  <c r="C13" i="36"/>
  <c r="C14" i="36"/>
  <c r="C15" i="36"/>
  <c r="C16" i="36"/>
  <c r="C17" i="36"/>
  <c r="C18" i="36"/>
  <c r="C10" i="36"/>
  <c r="F34" i="15"/>
  <c r="F89" i="15" s="1"/>
  <c r="L34" i="15"/>
  <c r="L89" i="15" s="1"/>
  <c r="K34" i="15"/>
  <c r="K89" i="15" s="1"/>
  <c r="J34" i="15"/>
  <c r="J89" i="15" s="1"/>
  <c r="H34" i="15"/>
  <c r="H89" i="15" s="1"/>
  <c r="L35" i="15"/>
  <c r="J35" i="15"/>
  <c r="I35" i="15"/>
  <c r="H35" i="15"/>
  <c r="M36" i="15"/>
  <c r="M91" i="15" s="1"/>
  <c r="L36" i="15"/>
  <c r="L91" i="15" s="1"/>
  <c r="J36" i="15"/>
  <c r="J91" i="15" s="1"/>
  <c r="H36" i="15"/>
  <c r="H91" i="15" s="1"/>
  <c r="G90" i="15"/>
  <c r="K35" i="15"/>
  <c r="M35" i="15"/>
  <c r="I34" i="15"/>
  <c r="I89" i="15" s="1"/>
  <c r="F35" i="15"/>
  <c r="G34" i="15"/>
  <c r="G89" i="15" s="1"/>
  <c r="F36" i="15"/>
  <c r="F91" i="15" s="1"/>
  <c r="G35" i="15"/>
  <c r="M34" i="15"/>
  <c r="M89" i="15" s="1"/>
  <c r="K36" i="15"/>
  <c r="K91" i="15" s="1"/>
  <c r="I36" i="15"/>
  <c r="I91" i="15" s="1"/>
  <c r="G36" i="15"/>
  <c r="G91" i="15" s="1"/>
  <c r="F90" i="15"/>
  <c r="M90" i="15"/>
  <c r="L90" i="15"/>
  <c r="K90" i="15"/>
  <c r="J90" i="15"/>
  <c r="I90" i="15"/>
  <c r="H90" i="15"/>
  <c r="C40" i="35"/>
  <c r="C39" i="35"/>
  <c r="C32" i="35"/>
  <c r="C38" i="35"/>
  <c r="C37" i="35"/>
  <c r="C31" i="35"/>
  <c r="C30" i="35"/>
  <c r="C29" i="35"/>
  <c r="C21" i="35"/>
  <c r="E9" i="35" s="1"/>
  <c r="J2" i="35" s="1"/>
  <c r="C20" i="35"/>
  <c r="G92" i="15"/>
  <c r="H92" i="15"/>
  <c r="I92" i="15"/>
  <c r="J92" i="15"/>
  <c r="K92" i="15"/>
  <c r="L92" i="15"/>
  <c r="M92" i="15"/>
  <c r="G93" i="15"/>
  <c r="H93" i="15"/>
  <c r="I93" i="15"/>
  <c r="J93" i="15"/>
  <c r="K93" i="15"/>
  <c r="L93" i="15"/>
  <c r="M93" i="15"/>
  <c r="G94" i="15"/>
  <c r="H94" i="15"/>
  <c r="I94" i="15"/>
  <c r="J94" i="15"/>
  <c r="K94" i="15"/>
  <c r="L94" i="15"/>
  <c r="M94" i="15"/>
  <c r="G95" i="15"/>
  <c r="H95" i="15"/>
  <c r="I95" i="15"/>
  <c r="J95" i="15"/>
  <c r="K95" i="15"/>
  <c r="L95" i="15"/>
  <c r="M95" i="15"/>
  <c r="G96" i="15"/>
  <c r="H96" i="15"/>
  <c r="I96" i="15"/>
  <c r="J96" i="15"/>
  <c r="K96" i="15"/>
  <c r="L96" i="15"/>
  <c r="M96" i="15"/>
  <c r="G97" i="15"/>
  <c r="H97" i="15"/>
  <c r="I97" i="15"/>
  <c r="J97" i="15"/>
  <c r="K97" i="15"/>
  <c r="L97" i="15"/>
  <c r="M97" i="15"/>
  <c r="G98" i="15"/>
  <c r="H98" i="15"/>
  <c r="I98" i="15"/>
  <c r="J98" i="15"/>
  <c r="K98" i="15"/>
  <c r="L98" i="15"/>
  <c r="M98" i="15"/>
  <c r="G99" i="15"/>
  <c r="H99" i="15"/>
  <c r="I99" i="15"/>
  <c r="J99" i="15"/>
  <c r="K99" i="15"/>
  <c r="L99" i="15"/>
  <c r="M99" i="15"/>
  <c r="G100" i="15"/>
  <c r="H100" i="15"/>
  <c r="I100" i="15"/>
  <c r="J100" i="15"/>
  <c r="K100" i="15"/>
  <c r="L100" i="15"/>
  <c r="M100" i="15"/>
  <c r="G101" i="15"/>
  <c r="H101" i="15"/>
  <c r="I101" i="15"/>
  <c r="J101" i="15"/>
  <c r="K101" i="15"/>
  <c r="L101" i="15"/>
  <c r="M101" i="15"/>
  <c r="G102" i="15"/>
  <c r="H102" i="15"/>
  <c r="I102" i="15"/>
  <c r="J102" i="15"/>
  <c r="K102" i="15"/>
  <c r="L102" i="15"/>
  <c r="M102" i="15"/>
  <c r="F93" i="15"/>
  <c r="F94" i="15"/>
  <c r="F95" i="15"/>
  <c r="F96" i="15"/>
  <c r="F97" i="15"/>
  <c r="F98" i="15"/>
  <c r="F99" i="15"/>
  <c r="F100" i="15"/>
  <c r="F101" i="15"/>
  <c r="F102" i="15"/>
  <c r="F92" i="15"/>
  <c r="U7" i="30"/>
  <c r="G37" i="15" a="1"/>
  <c r="H37" i="15" a="1"/>
  <c r="I37" i="15" a="1"/>
  <c r="J37" i="15" a="1"/>
  <c r="K37" i="15" a="1"/>
  <c r="L37" i="15" a="1"/>
  <c r="M37" i="15" a="1"/>
  <c r="G38" i="15" a="1"/>
  <c r="H38" i="15" a="1"/>
  <c r="I38" i="15" a="1"/>
  <c r="J38" i="15" a="1"/>
  <c r="K38" i="15" a="1"/>
  <c r="L38" i="15" a="1"/>
  <c r="M38" i="15" a="1"/>
  <c r="G39" i="15" a="1"/>
  <c r="H39" i="15" a="1"/>
  <c r="I39" i="15" a="1"/>
  <c r="J39" i="15" a="1"/>
  <c r="K39" i="15" a="1"/>
  <c r="L39" i="15" a="1"/>
  <c r="M39" i="15" a="1"/>
  <c r="G40" i="15" a="1"/>
  <c r="H40" i="15" a="1"/>
  <c r="I40" i="15" a="1"/>
  <c r="J40" i="15" a="1"/>
  <c r="K40" i="15" a="1"/>
  <c r="L40" i="15" a="1"/>
  <c r="M40" i="15" a="1"/>
  <c r="G41" i="15" a="1"/>
  <c r="H41" i="15" a="1"/>
  <c r="I41" i="15" a="1"/>
  <c r="J41" i="15" a="1"/>
  <c r="K41" i="15" a="1"/>
  <c r="L41" i="15" a="1"/>
  <c r="M41" i="15" a="1"/>
  <c r="G42" i="15" a="1"/>
  <c r="H42" i="15" a="1"/>
  <c r="I42" i="15" a="1"/>
  <c r="J42" i="15" a="1"/>
  <c r="K42" i="15" a="1"/>
  <c r="L42" i="15" a="1"/>
  <c r="M42" i="15" a="1"/>
  <c r="G43" i="15" a="1"/>
  <c r="H43" i="15" a="1"/>
  <c r="I43" i="15" a="1"/>
  <c r="J43" i="15" a="1"/>
  <c r="K43" i="15" a="1"/>
  <c r="L43" i="15" a="1"/>
  <c r="M43" i="15" a="1"/>
  <c r="G44" i="15" a="1"/>
  <c r="H44" i="15" a="1"/>
  <c r="I44" i="15" a="1"/>
  <c r="J44" i="15" a="1"/>
  <c r="K44" i="15" a="1"/>
  <c r="L44" i="15" a="1"/>
  <c r="M44" i="15" a="1"/>
  <c r="G45" i="15" a="1"/>
  <c r="H45" i="15" a="1"/>
  <c r="I45" i="15" a="1"/>
  <c r="J45" i="15" a="1"/>
  <c r="K45" i="15" a="1"/>
  <c r="L45" i="15" a="1"/>
  <c r="M45" i="15" a="1"/>
  <c r="G46" i="15" a="1"/>
  <c r="H46" i="15" a="1"/>
  <c r="I46" i="15" a="1"/>
  <c r="J46" i="15" a="1"/>
  <c r="K46" i="15" a="1"/>
  <c r="L46" i="15" a="1"/>
  <c r="M46" i="15" a="1"/>
  <c r="G47" i="15" a="1"/>
  <c r="H47" i="15" a="1"/>
  <c r="I47" i="15" a="1"/>
  <c r="J47" i="15" a="1"/>
  <c r="K47" i="15" a="1"/>
  <c r="L47" i="15" a="1"/>
  <c r="M47" i="15" a="1"/>
  <c r="F38" i="15" a="1"/>
  <c r="F39" i="15" a="1"/>
  <c r="F40" i="15" a="1"/>
  <c r="F41" i="15" a="1"/>
  <c r="F42" i="15" a="1"/>
  <c r="F43" i="15" a="1"/>
  <c r="F44" i="15" a="1"/>
  <c r="F45" i="15" a="1"/>
  <c r="F46" i="15" a="1"/>
  <c r="F47" i="15" a="1"/>
  <c r="F37" i="15" a="1"/>
  <c r="U4" i="30"/>
  <c r="U5" i="30"/>
  <c r="U6" i="30"/>
  <c r="U8" i="30"/>
  <c r="U9" i="30"/>
  <c r="U10" i="30"/>
  <c r="U11" i="30"/>
  <c r="U13" i="30"/>
  <c r="U14" i="30"/>
  <c r="Q7" i="30"/>
  <c r="M3" i="30"/>
  <c r="N3" i="30"/>
  <c r="O3" i="30"/>
  <c r="P3" i="30"/>
  <c r="Q3" i="30"/>
  <c r="R3" i="30"/>
  <c r="S3" i="30"/>
  <c r="T3" i="30"/>
  <c r="M4" i="30"/>
  <c r="N4" i="30"/>
  <c r="O4" i="30"/>
  <c r="P4" i="30"/>
  <c r="Q4" i="30"/>
  <c r="R4" i="30"/>
  <c r="S4" i="30"/>
  <c r="T4" i="30"/>
  <c r="M5" i="30"/>
  <c r="N5" i="30"/>
  <c r="O5" i="30"/>
  <c r="P5" i="30"/>
  <c r="Q5" i="30"/>
  <c r="R5" i="30"/>
  <c r="S5" i="30"/>
  <c r="T5" i="30"/>
  <c r="M6" i="30"/>
  <c r="N6" i="30"/>
  <c r="O6" i="30"/>
  <c r="P6" i="30"/>
  <c r="Q6" i="30"/>
  <c r="R6" i="30"/>
  <c r="S6" i="30"/>
  <c r="T6" i="30"/>
  <c r="M7" i="30"/>
  <c r="N7" i="30"/>
  <c r="O7" i="30"/>
  <c r="P7" i="30"/>
  <c r="R7" i="30"/>
  <c r="S7" i="30"/>
  <c r="T7" i="30"/>
  <c r="M9" i="30"/>
  <c r="N9" i="30"/>
  <c r="O9" i="30"/>
  <c r="P9" i="30"/>
  <c r="Q9" i="30"/>
  <c r="R9" i="30"/>
  <c r="S9" i="30"/>
  <c r="T9" i="30"/>
  <c r="T10" i="30"/>
  <c r="M11" i="30"/>
  <c r="N11" i="30"/>
  <c r="O11" i="30"/>
  <c r="P11" i="30"/>
  <c r="Q11" i="30"/>
  <c r="R11" i="30"/>
  <c r="S11" i="30"/>
  <c r="T11" i="30"/>
  <c r="M13" i="30"/>
  <c r="N13" i="30"/>
  <c r="O13" i="30"/>
  <c r="P13" i="30"/>
  <c r="Q13" i="30"/>
  <c r="R13" i="30"/>
  <c r="S13" i="30"/>
  <c r="T13" i="30"/>
  <c r="M14" i="30"/>
  <c r="N14" i="30"/>
  <c r="O14" i="30"/>
  <c r="P14" i="30"/>
  <c r="Q14" i="30"/>
  <c r="R14" i="30"/>
  <c r="S14" i="30"/>
  <c r="T14" i="30"/>
  <c r="D44" i="30"/>
  <c r="E44" i="30" s="1"/>
  <c r="T12" i="30" s="1"/>
  <c r="M48" i="15" s="1" a="1"/>
  <c r="D43" i="30"/>
  <c r="E43" i="30" s="1"/>
  <c r="S12" i="30" s="1"/>
  <c r="L48" i="15" s="1" a="1"/>
  <c r="D42" i="30"/>
  <c r="E42" i="30" s="1"/>
  <c r="R12" i="30" s="1"/>
  <c r="K48" i="15" s="1" a="1"/>
  <c r="D41" i="30"/>
  <c r="E41" i="30" s="1"/>
  <c r="Q12" i="30" s="1"/>
  <c r="J48" i="15" s="1" a="1"/>
  <c r="D40" i="30"/>
  <c r="E40" i="30" s="1"/>
  <c r="P12" i="30" s="1"/>
  <c r="D39" i="30"/>
  <c r="E39" i="30" s="1"/>
  <c r="O12" i="30" s="1"/>
  <c r="H48" i="15" s="1" a="1"/>
  <c r="D38" i="30"/>
  <c r="E38" i="30" s="1"/>
  <c r="N12" i="30" s="1"/>
  <c r="G48" i="15" s="1" a="1"/>
  <c r="E37" i="30"/>
  <c r="M12" i="30" s="1"/>
  <c r="F48" i="15" s="1" a="1"/>
  <c r="D37" i="30"/>
  <c r="D35" i="30"/>
  <c r="E35" i="30" s="1"/>
  <c r="D34" i="30"/>
  <c r="E34" i="30" s="1"/>
  <c r="S10" i="30" s="1"/>
  <c r="D33" i="30"/>
  <c r="E33" i="30" s="1"/>
  <c r="R10" i="30" s="1"/>
  <c r="D32" i="30"/>
  <c r="E32" i="30" s="1"/>
  <c r="Q10" i="30" s="1"/>
  <c r="D31" i="30"/>
  <c r="E31" i="30" s="1"/>
  <c r="P10" i="30" s="1"/>
  <c r="D30" i="30"/>
  <c r="E30" i="30" s="1"/>
  <c r="O10" i="30" s="1"/>
  <c r="D29" i="30"/>
  <c r="E29" i="30" s="1"/>
  <c r="N10" i="30" s="1"/>
  <c r="D28" i="30"/>
  <c r="E28" i="30" s="1"/>
  <c r="M10" i="30" s="1"/>
  <c r="D26" i="30"/>
  <c r="E26" i="30" s="1"/>
  <c r="T8" i="30" s="1"/>
  <c r="D25" i="30"/>
  <c r="E25" i="30" s="1"/>
  <c r="S8" i="30" s="1"/>
  <c r="D24" i="30"/>
  <c r="E24" i="30" s="1"/>
  <c r="R8" i="30" s="1"/>
  <c r="D23" i="30"/>
  <c r="E23" i="30" s="1"/>
  <c r="Q8" i="30" s="1"/>
  <c r="D22" i="30"/>
  <c r="E22" i="30" s="1"/>
  <c r="P8" i="30" s="1"/>
  <c r="D21" i="30"/>
  <c r="E21" i="30" s="1"/>
  <c r="O8" i="30" s="1"/>
  <c r="D20" i="30"/>
  <c r="E20" i="30" s="1"/>
  <c r="N8" i="30" s="1"/>
  <c r="D19" i="30"/>
  <c r="E19" i="30" s="1"/>
  <c r="M8" i="30" s="1"/>
  <c r="J17" i="9"/>
  <c r="H23" i="9"/>
  <c r="J23" i="9" s="1"/>
  <c r="G23" i="9"/>
  <c r="C23" i="9"/>
  <c r="H22" i="9"/>
  <c r="G22" i="9"/>
  <c r="F22" i="9" s="1"/>
  <c r="I22" i="9" s="1"/>
  <c r="H21" i="9"/>
  <c r="G21" i="9"/>
  <c r="F21" i="9" s="1"/>
  <c r="I21" i="9" s="1"/>
  <c r="C21" i="9"/>
  <c r="H20" i="9"/>
  <c r="G20" i="9"/>
  <c r="F20" i="9" s="1"/>
  <c r="I20" i="9" s="1"/>
  <c r="C20" i="9"/>
  <c r="H19" i="9"/>
  <c r="G19" i="9"/>
  <c r="C19" i="9"/>
  <c r="H18" i="9"/>
  <c r="G18" i="9"/>
  <c r="C18" i="9"/>
  <c r="F17" i="9"/>
  <c r="I17" i="9" s="1"/>
  <c r="H16" i="9"/>
  <c r="G16" i="9"/>
  <c r="C16" i="9"/>
  <c r="H15" i="9"/>
  <c r="G15" i="9"/>
  <c r="C15" i="9"/>
  <c r="H14" i="9"/>
  <c r="G14" i="9"/>
  <c r="F14" i="9" s="1"/>
  <c r="I14" i="9" s="1"/>
  <c r="C14" i="9"/>
  <c r="H13" i="9"/>
  <c r="G13" i="9"/>
  <c r="F13" i="9" s="1"/>
  <c r="I13" i="9" s="1"/>
  <c r="C13" i="9"/>
  <c r="H12" i="9"/>
  <c r="J12" i="9" s="1"/>
  <c r="G12" i="9"/>
  <c r="F12" i="9" s="1"/>
  <c r="I12" i="9" s="1"/>
  <c r="C12" i="9"/>
  <c r="H11" i="9"/>
  <c r="G11" i="9"/>
  <c r="C11" i="9"/>
  <c r="H10" i="9"/>
  <c r="G10" i="9"/>
  <c r="F10" i="9"/>
  <c r="I10" i="9" s="1"/>
  <c r="C10" i="9"/>
  <c r="H9" i="9"/>
  <c r="G9" i="9"/>
  <c r="C9" i="9"/>
  <c r="H8" i="9"/>
  <c r="J8" i="9" s="1"/>
  <c r="G8" i="9"/>
  <c r="C8" i="9"/>
  <c r="H7" i="9"/>
  <c r="J7" i="9" s="1"/>
  <c r="G7" i="9"/>
  <c r="F7" i="9" s="1"/>
  <c r="I7" i="9" s="1"/>
  <c r="C7" i="9"/>
  <c r="J8" i="8"/>
  <c r="J9" i="8"/>
  <c r="J10" i="8"/>
  <c r="J11" i="8"/>
  <c r="J12" i="8"/>
  <c r="J13" i="8"/>
  <c r="J14" i="8"/>
  <c r="J15" i="8"/>
  <c r="J16" i="8"/>
  <c r="J17" i="8"/>
  <c r="J18" i="8"/>
  <c r="J19" i="8"/>
  <c r="J20" i="8"/>
  <c r="J21" i="8"/>
  <c r="J22" i="8"/>
  <c r="J23" i="8"/>
  <c r="J7" i="8"/>
  <c r="H29" i="8"/>
  <c r="J29" i="8" s="1"/>
  <c r="G29" i="8"/>
  <c r="C29" i="8"/>
  <c r="H28" i="8"/>
  <c r="J28" i="8" s="1"/>
  <c r="G28" i="8"/>
  <c r="F28" i="8"/>
  <c r="I28" i="8" s="1"/>
  <c r="C28" i="8"/>
  <c r="H27" i="8"/>
  <c r="J27" i="8" s="1"/>
  <c r="G27" i="8"/>
  <c r="C27" i="8"/>
  <c r="H26" i="8"/>
  <c r="J26" i="8" s="1"/>
  <c r="G26" i="8"/>
  <c r="F26" i="8"/>
  <c r="I26" i="8" s="1"/>
  <c r="C26" i="8"/>
  <c r="H25" i="8"/>
  <c r="J25" i="8" s="1"/>
  <c r="G25" i="8"/>
  <c r="C25" i="8"/>
  <c r="H24" i="8"/>
  <c r="J24" i="8" s="1"/>
  <c r="G24" i="8"/>
  <c r="F24" i="8"/>
  <c r="I24" i="8" s="1"/>
  <c r="C24" i="8"/>
  <c r="H23" i="8"/>
  <c r="G23" i="8"/>
  <c r="C23" i="8"/>
  <c r="E22" i="8"/>
  <c r="H22" i="8" s="1"/>
  <c r="D22" i="8"/>
  <c r="G22" i="8" s="1"/>
  <c r="H21" i="8"/>
  <c r="G21" i="8"/>
  <c r="F21" i="8" s="1"/>
  <c r="I21" i="8" s="1"/>
  <c r="C21" i="8"/>
  <c r="H20" i="8"/>
  <c r="G20" i="8"/>
  <c r="F20" i="8" s="1"/>
  <c r="I20" i="8" s="1"/>
  <c r="C20" i="8"/>
  <c r="H19" i="8"/>
  <c r="F19" i="8" s="1"/>
  <c r="I19" i="8" s="1"/>
  <c r="G19" i="8"/>
  <c r="C19" i="8"/>
  <c r="H18" i="8"/>
  <c r="G18" i="8"/>
  <c r="C18" i="8"/>
  <c r="F17" i="8"/>
  <c r="I17" i="8" s="1"/>
  <c r="H16" i="8"/>
  <c r="G16" i="8"/>
  <c r="F16" i="8" s="1"/>
  <c r="I16" i="8" s="1"/>
  <c r="C16" i="8"/>
  <c r="H15" i="8"/>
  <c r="G15" i="8"/>
  <c r="F15" i="8"/>
  <c r="I15" i="8" s="1"/>
  <c r="C15" i="8"/>
  <c r="H14" i="8"/>
  <c r="G14" i="8"/>
  <c r="C14" i="8"/>
  <c r="H13" i="8"/>
  <c r="G13" i="8"/>
  <c r="F13" i="8"/>
  <c r="I13" i="8" s="1"/>
  <c r="C13" i="8"/>
  <c r="H12" i="8"/>
  <c r="G12" i="8"/>
  <c r="F12" i="8" s="1"/>
  <c r="I12" i="8" s="1"/>
  <c r="C12" i="8"/>
  <c r="H11" i="8"/>
  <c r="G11" i="8"/>
  <c r="F11" i="8"/>
  <c r="I11" i="8" s="1"/>
  <c r="C11" i="8"/>
  <c r="H10" i="8"/>
  <c r="G10" i="8"/>
  <c r="C10" i="8"/>
  <c r="H9" i="8"/>
  <c r="G9" i="8"/>
  <c r="C9" i="8"/>
  <c r="H8" i="8"/>
  <c r="G8" i="8"/>
  <c r="C8" i="8"/>
  <c r="H7" i="8"/>
  <c r="G7" i="8"/>
  <c r="C7" i="8"/>
  <c r="J8" i="7"/>
  <c r="J9" i="7"/>
  <c r="J10" i="7"/>
  <c r="J11" i="7"/>
  <c r="J12" i="7"/>
  <c r="J13" i="7"/>
  <c r="J14" i="7"/>
  <c r="J15" i="7"/>
  <c r="J16" i="7"/>
  <c r="J17" i="7"/>
  <c r="J18" i="7"/>
  <c r="J19" i="7"/>
  <c r="J20" i="7"/>
  <c r="J21" i="7"/>
  <c r="J22" i="7"/>
  <c r="J23" i="7"/>
  <c r="J25" i="7"/>
  <c r="J7" i="7"/>
  <c r="I10" i="7"/>
  <c r="I11" i="7"/>
  <c r="I12" i="7"/>
  <c r="I13" i="7"/>
  <c r="I14" i="7"/>
  <c r="I15" i="7"/>
  <c r="I16" i="7"/>
  <c r="I17" i="7"/>
  <c r="I18" i="7"/>
  <c r="I19" i="7"/>
  <c r="I20" i="7"/>
  <c r="I21" i="7"/>
  <c r="I22" i="7"/>
  <c r="I23" i="7"/>
  <c r="I25" i="7"/>
  <c r="I8" i="7"/>
  <c r="I9" i="7"/>
  <c r="I7" i="7"/>
  <c r="E22" i="7"/>
  <c r="D22" i="7"/>
  <c r="J22" i="9" l="1"/>
  <c r="J16" i="9"/>
  <c r="J15" i="9"/>
  <c r="J14" i="9"/>
  <c r="J19" i="9"/>
  <c r="J18" i="9"/>
  <c r="J9" i="9"/>
  <c r="J20" i="9"/>
  <c r="J13" i="9"/>
  <c r="J21" i="9"/>
  <c r="J11" i="9"/>
  <c r="J10" i="9"/>
  <c r="H90" i="25"/>
  <c r="H89" i="25"/>
  <c r="H91" i="25"/>
  <c r="H149" i="25"/>
  <c r="H151" i="25"/>
  <c r="H150" i="25"/>
  <c r="I139" i="25"/>
  <c r="I140" i="25"/>
  <c r="I141" i="25"/>
  <c r="I131" i="25"/>
  <c r="I130" i="25"/>
  <c r="I129" i="25"/>
  <c r="I121" i="25"/>
  <c r="I120" i="25"/>
  <c r="I119" i="25"/>
  <c r="I90" i="25"/>
  <c r="I89" i="25"/>
  <c r="I91" i="25"/>
  <c r="I60" i="25"/>
  <c r="I61" i="25"/>
  <c r="I59" i="25"/>
  <c r="I33" i="25"/>
  <c r="I32" i="25"/>
  <c r="I31" i="25"/>
  <c r="H11" i="25"/>
  <c r="H10" i="25"/>
  <c r="H9" i="25"/>
  <c r="I11" i="25"/>
  <c r="I10" i="25"/>
  <c r="I9" i="25"/>
  <c r="U12" i="30"/>
  <c r="I48" i="15" a="1"/>
  <c r="H208" i="25"/>
  <c r="H207" i="25"/>
  <c r="H206" i="25"/>
  <c r="H197" i="25"/>
  <c r="H198" i="25"/>
  <c r="H196" i="25"/>
  <c r="I197" i="25"/>
  <c r="I198" i="25"/>
  <c r="I196" i="25"/>
  <c r="H187" i="25"/>
  <c r="H188" i="25"/>
  <c r="H186" i="25"/>
  <c r="H176" i="25"/>
  <c r="H177" i="25"/>
  <c r="H178" i="25"/>
  <c r="I176" i="25"/>
  <c r="I178" i="25"/>
  <c r="I177" i="25"/>
  <c r="H166" i="25"/>
  <c r="H168" i="25"/>
  <c r="H167" i="25"/>
  <c r="H157" i="25"/>
  <c r="H156" i="25"/>
  <c r="H158" i="25"/>
  <c r="I157" i="25"/>
  <c r="I158" i="25"/>
  <c r="I156" i="25"/>
  <c r="E19" i="36"/>
  <c r="D19" i="36"/>
  <c r="C19" i="36"/>
  <c r="C43" i="35"/>
  <c r="D37" i="35" s="1"/>
  <c r="L5" i="35" s="1"/>
  <c r="C33" i="35"/>
  <c r="D29" i="35" s="1"/>
  <c r="K2" i="35" s="1"/>
  <c r="D19" i="35"/>
  <c r="D20" i="35"/>
  <c r="E16" i="35"/>
  <c r="J9" i="35" s="1"/>
  <c r="E15" i="35"/>
  <c r="J8" i="35" s="1"/>
  <c r="E14" i="35"/>
  <c r="J7" i="35" s="1"/>
  <c r="E12" i="35"/>
  <c r="J5" i="35" s="1"/>
  <c r="E11" i="35"/>
  <c r="J4" i="35" s="1"/>
  <c r="E10" i="35"/>
  <c r="J3" i="35" s="1"/>
  <c r="E13" i="35"/>
  <c r="J6" i="35" s="1"/>
  <c r="D16" i="35"/>
  <c r="D15" i="35"/>
  <c r="D14" i="35"/>
  <c r="D13" i="35"/>
  <c r="D12" i="35"/>
  <c r="D11" i="35"/>
  <c r="D10" i="35"/>
  <c r="D9" i="35"/>
  <c r="F15" i="9"/>
  <c r="I15" i="9" s="1"/>
  <c r="F16" i="9"/>
  <c r="I16" i="9" s="1"/>
  <c r="F19" i="9"/>
  <c r="I19" i="9" s="1"/>
  <c r="F11" i="9"/>
  <c r="I11" i="9" s="1"/>
  <c r="F23" i="9"/>
  <c r="I23" i="9" s="1"/>
  <c r="F8" i="9"/>
  <c r="I8" i="9" s="1"/>
  <c r="F9" i="9"/>
  <c r="I9" i="9" s="1"/>
  <c r="F18" i="9"/>
  <c r="I18" i="9" s="1"/>
  <c r="F9" i="8"/>
  <c r="I9" i="8" s="1"/>
  <c r="F18" i="8"/>
  <c r="I18" i="8" s="1"/>
  <c r="F23" i="8"/>
  <c r="I23" i="8" s="1"/>
  <c r="F27" i="8"/>
  <c r="I27" i="8" s="1"/>
  <c r="F7" i="8"/>
  <c r="I7" i="8" s="1"/>
  <c r="F8" i="8"/>
  <c r="I8" i="8" s="1"/>
  <c r="F22" i="8"/>
  <c r="I22" i="8" s="1"/>
  <c r="F14" i="8"/>
  <c r="I14" i="8" s="1"/>
  <c r="F25" i="8"/>
  <c r="I25" i="8" s="1"/>
  <c r="F29" i="8"/>
  <c r="I29" i="8" s="1"/>
  <c r="F10" i="8"/>
  <c r="I10" i="8" s="1"/>
  <c r="H141" i="25" l="1"/>
  <c r="H139" i="25"/>
  <c r="H140" i="25"/>
  <c r="H81" i="25"/>
  <c r="H79" i="25"/>
  <c r="H80" i="25"/>
  <c r="H71" i="25"/>
  <c r="H70" i="25"/>
  <c r="H69" i="25"/>
  <c r="H60" i="25"/>
  <c r="H61" i="25"/>
  <c r="H59" i="25"/>
  <c r="H109" i="25"/>
  <c r="H111" i="25"/>
  <c r="H110" i="25"/>
  <c r="H100" i="25"/>
  <c r="H101" i="25"/>
  <c r="H99" i="25"/>
  <c r="H121" i="25"/>
  <c r="H119" i="25"/>
  <c r="H120" i="25"/>
  <c r="H129" i="25"/>
  <c r="H131" i="25"/>
  <c r="H130" i="25"/>
  <c r="H31" i="25"/>
  <c r="H33" i="25"/>
  <c r="H32" i="25"/>
  <c r="I70" i="25"/>
  <c r="I71" i="25"/>
  <c r="I69" i="25"/>
  <c r="I80" i="25"/>
  <c r="I81" i="25"/>
  <c r="I79" i="25"/>
  <c r="I110" i="25"/>
  <c r="I111" i="25"/>
  <c r="I109" i="25"/>
  <c r="I149" i="25"/>
  <c r="I150" i="25"/>
  <c r="I151" i="25"/>
  <c r="I101" i="25"/>
  <c r="I100" i="25"/>
  <c r="I99" i="25"/>
  <c r="G103" i="15"/>
  <c r="I103" i="15"/>
  <c r="J103" i="15"/>
  <c r="H103" i="15"/>
  <c r="M103" i="15"/>
  <c r="F103" i="15"/>
  <c r="L103" i="15"/>
  <c r="K103" i="15"/>
  <c r="I187" i="25"/>
  <c r="I188" i="25"/>
  <c r="I186" i="25"/>
  <c r="I168" i="25"/>
  <c r="I166" i="25"/>
  <c r="I167" i="25"/>
  <c r="I206" i="25"/>
  <c r="I207" i="25"/>
  <c r="I208" i="25"/>
  <c r="E21" i="35"/>
  <c r="D40" i="35"/>
  <c r="L9" i="35" s="1"/>
  <c r="D38" i="35"/>
  <c r="L6" i="35" s="1"/>
  <c r="D39" i="35"/>
  <c r="L8" i="35" s="1"/>
  <c r="D43" i="35"/>
  <c r="D30" i="35"/>
  <c r="K3" i="35" s="1"/>
  <c r="D31" i="35"/>
  <c r="K4" i="35" s="1"/>
  <c r="D32" i="35"/>
  <c r="K7" i="35" s="1"/>
  <c r="D33" i="35"/>
  <c r="F17" i="7"/>
  <c r="F11" i="7"/>
  <c r="F12" i="7"/>
  <c r="F13" i="7"/>
  <c r="F21" i="7"/>
  <c r="G8" i="7"/>
  <c r="F8" i="7" s="1"/>
  <c r="H8" i="7"/>
  <c r="G9" i="7"/>
  <c r="F9" i="7" s="1"/>
  <c r="H9" i="7"/>
  <c r="G10" i="7"/>
  <c r="F10" i="7" s="1"/>
  <c r="H10" i="7"/>
  <c r="G11" i="7"/>
  <c r="H11" i="7"/>
  <c r="G12" i="7"/>
  <c r="H12" i="7"/>
  <c r="G13" i="7"/>
  <c r="H13" i="7"/>
  <c r="G14" i="7"/>
  <c r="F14" i="7" s="1"/>
  <c r="H14" i="7"/>
  <c r="G15" i="7"/>
  <c r="F15" i="7" s="1"/>
  <c r="H15" i="7"/>
  <c r="G16" i="7"/>
  <c r="F16" i="7" s="1"/>
  <c r="H16" i="7"/>
  <c r="G18" i="7"/>
  <c r="F18" i="7" s="1"/>
  <c r="H18" i="7"/>
  <c r="G19" i="7"/>
  <c r="F19" i="7" s="1"/>
  <c r="H19" i="7"/>
  <c r="G20" i="7"/>
  <c r="F20" i="7" s="1"/>
  <c r="H20" i="7"/>
  <c r="G21" i="7"/>
  <c r="H21" i="7"/>
  <c r="G22" i="7"/>
  <c r="F22" i="7" s="1"/>
  <c r="H22" i="7"/>
  <c r="G23" i="7"/>
  <c r="F23" i="7" s="1"/>
  <c r="H23" i="7"/>
  <c r="G24" i="7"/>
  <c r="H24" i="7"/>
  <c r="J24" i="7" s="1"/>
  <c r="G25" i="7"/>
  <c r="H25" i="7"/>
  <c r="G26" i="7"/>
  <c r="H26" i="7"/>
  <c r="J26" i="7" s="1"/>
  <c r="G27" i="7"/>
  <c r="H27" i="7"/>
  <c r="J27" i="7" s="1"/>
  <c r="G28" i="7"/>
  <c r="H28" i="7"/>
  <c r="G29" i="7"/>
  <c r="H29" i="7"/>
  <c r="C15" i="7"/>
  <c r="C16" i="7"/>
  <c r="C18" i="7"/>
  <c r="C19" i="7"/>
  <c r="C20" i="7"/>
  <c r="C21" i="7"/>
  <c r="C23" i="7"/>
  <c r="C24" i="7"/>
  <c r="C25" i="7"/>
  <c r="C26" i="7"/>
  <c r="C27" i="7"/>
  <c r="C28" i="7"/>
  <c r="C29" i="7"/>
  <c r="C8" i="7"/>
  <c r="C9" i="7"/>
  <c r="C10" i="7"/>
  <c r="C11" i="7"/>
  <c r="C12" i="7"/>
  <c r="C13" i="7"/>
  <c r="C14" i="7"/>
  <c r="G7" i="7"/>
  <c r="H7" i="7"/>
  <c r="C7" i="7"/>
  <c r="H3" i="26"/>
  <c r="H2" i="26"/>
  <c r="G3" i="26"/>
  <c r="G2" i="26"/>
  <c r="F24" i="7" l="1"/>
  <c r="I24" i="7" s="1"/>
  <c r="H152" i="25"/>
  <c r="H153" i="25"/>
  <c r="H154" i="25"/>
  <c r="H155" i="25"/>
  <c r="H182" i="25"/>
  <c r="H183" i="25"/>
  <c r="H184" i="25"/>
  <c r="H185" i="25"/>
  <c r="F28" i="7"/>
  <c r="I28" i="7" s="1"/>
  <c r="J28" i="7"/>
  <c r="F29" i="7"/>
  <c r="I29" i="7" s="1"/>
  <c r="J29" i="7"/>
  <c r="F26" i="7"/>
  <c r="I26" i="7" s="1"/>
  <c r="H172" i="25"/>
  <c r="H175" i="25"/>
  <c r="H173" i="25"/>
  <c r="H174" i="25"/>
  <c r="F27" i="7"/>
  <c r="I27" i="7" s="1"/>
  <c r="F25" i="7"/>
  <c r="I154" i="25" l="1"/>
  <c r="I155" i="25"/>
  <c r="I152" i="25"/>
  <c r="I153" i="25"/>
  <c r="I182" i="25"/>
  <c r="I183" i="25"/>
  <c r="I184" i="25"/>
  <c r="I185" i="25"/>
  <c r="I193" i="25"/>
  <c r="I194" i="25"/>
  <c r="I192" i="25"/>
  <c r="I195" i="25"/>
  <c r="H192" i="25"/>
  <c r="H195" i="25"/>
  <c r="H193" i="25"/>
  <c r="H194" i="25"/>
  <c r="I203" i="25"/>
  <c r="I202" i="25"/>
  <c r="I205" i="25"/>
  <c r="I204" i="25"/>
  <c r="H204" i="25"/>
  <c r="H202" i="25"/>
  <c r="H205" i="25"/>
  <c r="H203" i="25"/>
  <c r="I175" i="25"/>
  <c r="I174" i="25"/>
  <c r="I172" i="25"/>
  <c r="I173" i="25"/>
  <c r="F38" i="9"/>
  <c r="H38" i="9" s="1"/>
  <c r="I38" i="9" s="1"/>
  <c r="F37" i="9"/>
  <c r="H37" i="9" s="1"/>
  <c r="I37" i="9" s="1"/>
  <c r="F36" i="9"/>
  <c r="H36" i="9" s="1"/>
  <c r="E24" i="9" s="1"/>
  <c r="F35" i="9"/>
  <c r="H35" i="9" s="1"/>
  <c r="D24" i="9" s="1"/>
  <c r="I35" i="9" l="1"/>
  <c r="I36" i="9"/>
  <c r="G24" i="9"/>
  <c r="C24" i="9"/>
  <c r="H24" i="9"/>
  <c r="J24" i="9" s="1"/>
  <c r="H161" i="25" l="1"/>
  <c r="H160" i="25"/>
  <c r="H159" i="25"/>
  <c r="H25" i="9"/>
  <c r="F24" i="9"/>
  <c r="I24" i="9" s="1"/>
  <c r="G25" i="9"/>
  <c r="C25" i="9"/>
  <c r="F25" i="9" l="1"/>
  <c r="I25" i="9" s="1"/>
  <c r="I160" i="25"/>
  <c r="I159" i="25"/>
  <c r="I161" i="25"/>
  <c r="J25" i="9"/>
  <c r="G26" i="9"/>
  <c r="C26" i="9"/>
  <c r="H26" i="9"/>
  <c r="J26" i="9" s="1"/>
  <c r="E7" i="24"/>
  <c r="U8" i="24"/>
  <c r="U9" i="24"/>
  <c r="U10" i="24"/>
  <c r="U11" i="24"/>
  <c r="U12" i="24"/>
  <c r="U13" i="24"/>
  <c r="U14" i="24"/>
  <c r="U7" i="24"/>
  <c r="I171" i="25" l="1"/>
  <c r="I170" i="25"/>
  <c r="I169" i="25"/>
  <c r="H169" i="25"/>
  <c r="H171" i="25"/>
  <c r="H170" i="25"/>
  <c r="H179" i="25"/>
  <c r="H180" i="25"/>
  <c r="H181" i="25"/>
  <c r="G27" i="9"/>
  <c r="C27" i="9"/>
  <c r="H27" i="9"/>
  <c r="F26" i="9"/>
  <c r="I26" i="9" s="1"/>
  <c r="P8" i="24"/>
  <c r="P9" i="24"/>
  <c r="P10" i="24"/>
  <c r="P11" i="24"/>
  <c r="P12" i="24"/>
  <c r="P13" i="24"/>
  <c r="P14" i="24"/>
  <c r="O8" i="24"/>
  <c r="O9" i="24"/>
  <c r="O10" i="24"/>
  <c r="O11" i="24"/>
  <c r="O12" i="24"/>
  <c r="O13" i="24"/>
  <c r="O14" i="24"/>
  <c r="E14" i="24"/>
  <c r="G14" i="24" s="1"/>
  <c r="E13" i="24"/>
  <c r="G13" i="24" s="1"/>
  <c r="E12" i="24"/>
  <c r="G12" i="24" s="1"/>
  <c r="E11" i="24"/>
  <c r="G11" i="24" s="1"/>
  <c r="E10" i="24"/>
  <c r="G10" i="24" s="1"/>
  <c r="E9" i="24"/>
  <c r="G9" i="24" s="1"/>
  <c r="E8" i="24"/>
  <c r="G8" i="24" s="1"/>
  <c r="G7" i="24"/>
  <c r="I7" i="24" s="1"/>
  <c r="V7" i="24" l="1"/>
  <c r="Q7" i="24"/>
  <c r="J27" i="9"/>
  <c r="H189" i="25"/>
  <c r="H191" i="25"/>
  <c r="H190" i="25"/>
  <c r="I180" i="25"/>
  <c r="I181" i="25"/>
  <c r="I179" i="25"/>
  <c r="H28" i="9"/>
  <c r="H29" i="9"/>
  <c r="F27" i="9"/>
  <c r="I27" i="9" s="1"/>
  <c r="G28" i="9"/>
  <c r="C28" i="9"/>
  <c r="H7" i="24"/>
  <c r="T7" i="24" s="1"/>
  <c r="W7" i="24" s="1"/>
  <c r="R7" i="24"/>
  <c r="H9" i="24"/>
  <c r="T9" i="24" s="1"/>
  <c r="I9" i="24"/>
  <c r="I8" i="24"/>
  <c r="H8" i="24"/>
  <c r="I10" i="24"/>
  <c r="H10" i="24"/>
  <c r="T10" i="24" s="1"/>
  <c r="K10" i="24"/>
  <c r="I11" i="24"/>
  <c r="H11" i="24"/>
  <c r="I12" i="24"/>
  <c r="H12" i="24"/>
  <c r="I13" i="24"/>
  <c r="H13" i="24"/>
  <c r="I14" i="24"/>
  <c r="H14" i="24"/>
  <c r="L7" i="24"/>
  <c r="K7" i="24"/>
  <c r="E14" i="18"/>
  <c r="H14" i="18"/>
  <c r="C14" i="18"/>
  <c r="D8" i="13"/>
  <c r="D9" i="13"/>
  <c r="D14" i="18" s="1"/>
  <c r="D10" i="13"/>
  <c r="D7" i="13"/>
  <c r="M75" i="15"/>
  <c r="L75" i="15"/>
  <c r="K75" i="15"/>
  <c r="J75" i="15"/>
  <c r="I75" i="15"/>
  <c r="H75" i="15"/>
  <c r="G75" i="15"/>
  <c r="F75" i="15"/>
  <c r="G20" i="15"/>
  <c r="H20" i="15"/>
  <c r="I20" i="15"/>
  <c r="J20" i="15"/>
  <c r="K20" i="15"/>
  <c r="L20" i="15"/>
  <c r="M20" i="15"/>
  <c r="F20" i="15"/>
  <c r="G8" i="15"/>
  <c r="G9" i="15" s="1"/>
  <c r="H8" i="15"/>
  <c r="H9" i="15" s="1"/>
  <c r="I8" i="15"/>
  <c r="I9" i="15" s="1"/>
  <c r="J8" i="15"/>
  <c r="J9" i="15" s="1"/>
  <c r="K8" i="15"/>
  <c r="K9" i="15" s="1"/>
  <c r="L8" i="15"/>
  <c r="L9" i="15" s="1"/>
  <c r="M8" i="15"/>
  <c r="M9" i="15" s="1"/>
  <c r="F8" i="15"/>
  <c r="F9" i="15" s="1"/>
  <c r="K9" i="24" l="1"/>
  <c r="V9" i="24"/>
  <c r="W9" i="24" s="1"/>
  <c r="Q9" i="24"/>
  <c r="R9" i="24" s="1"/>
  <c r="V8" i="24"/>
  <c r="Q8" i="24"/>
  <c r="R8" i="24" s="1"/>
  <c r="K8" i="24"/>
  <c r="T8" i="24"/>
  <c r="W8" i="24" s="1"/>
  <c r="V10" i="24"/>
  <c r="W10" i="24" s="1"/>
  <c r="Q10" i="24"/>
  <c r="R10" i="24" s="1"/>
  <c r="L10" i="24"/>
  <c r="M10" i="24" s="1"/>
  <c r="V11" i="24"/>
  <c r="Q11" i="24"/>
  <c r="R11" i="24" s="1"/>
  <c r="K11" i="24"/>
  <c r="T11" i="24"/>
  <c r="W11" i="24" s="1"/>
  <c r="Q12" i="24"/>
  <c r="R12" i="24" s="1"/>
  <c r="V12" i="24"/>
  <c r="K12" i="24"/>
  <c r="T12" i="24"/>
  <c r="W12" i="24" s="1"/>
  <c r="V13" i="24"/>
  <c r="Q13" i="24"/>
  <c r="R13" i="24" s="1"/>
  <c r="K13" i="24"/>
  <c r="T13" i="24"/>
  <c r="W13" i="24" s="1"/>
  <c r="V14" i="24"/>
  <c r="Q14" i="24"/>
  <c r="R14" i="24" s="1"/>
  <c r="K14" i="24"/>
  <c r="T14" i="24"/>
  <c r="W14" i="24" s="1"/>
  <c r="F28" i="9"/>
  <c r="I28" i="9" s="1"/>
  <c r="I200" i="25" s="1"/>
  <c r="I191" i="25"/>
  <c r="I190" i="25"/>
  <c r="I189" i="25"/>
  <c r="I199" i="25"/>
  <c r="I201" i="25"/>
  <c r="J28" i="9"/>
  <c r="G29" i="9"/>
  <c r="F29" i="9" s="1"/>
  <c r="I29" i="9" s="1"/>
  <c r="C29" i="9"/>
  <c r="L14" i="24"/>
  <c r="L8" i="24"/>
  <c r="M8" i="24"/>
  <c r="M14" i="24"/>
  <c r="L13" i="24"/>
  <c r="M13" i="24" s="1"/>
  <c r="L12" i="24"/>
  <c r="M12" i="24" s="1"/>
  <c r="L9" i="24"/>
  <c r="M9" i="24" s="1"/>
  <c r="M7" i="24"/>
  <c r="L11" i="24"/>
  <c r="M11" i="24" s="1"/>
  <c r="L63" i="15"/>
  <c r="L64" i="15" s="1"/>
  <c r="M63" i="15"/>
  <c r="M64" i="15" s="1"/>
  <c r="K63" i="15"/>
  <c r="K64" i="15" s="1"/>
  <c r="J63" i="15"/>
  <c r="J64" i="15" s="1"/>
  <c r="H63" i="15"/>
  <c r="H64" i="15" s="1"/>
  <c r="I63" i="15"/>
  <c r="I64" i="15" s="1"/>
  <c r="G63" i="15"/>
  <c r="F63" i="15"/>
  <c r="F64" i="15" s="1"/>
  <c r="H199" i="25" l="1"/>
  <c r="H201" i="25"/>
  <c r="H200" i="25"/>
  <c r="I210" i="25"/>
  <c r="I211" i="25"/>
  <c r="I209" i="25"/>
  <c r="J29" i="9"/>
  <c r="G64" i="15"/>
  <c r="H210" i="25" l="1"/>
  <c r="H211" i="25"/>
  <c r="H209" i="25"/>
  <c r="F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<sst xmlns="http://schemas.openxmlformats.org/spreadsheetml/2006/main" count="14920" uniqueCount="10389">
  <si>
    <t>HDPE</t>
  </si>
  <si>
    <t>LDPE</t>
  </si>
  <si>
    <t>PET</t>
  </si>
  <si>
    <t>PP</t>
  </si>
  <si>
    <t>PVC</t>
  </si>
  <si>
    <t>EPS</t>
  </si>
  <si>
    <t>TRWP</t>
  </si>
  <si>
    <t>PHA</t>
  </si>
  <si>
    <t xml:space="preserve">PS </t>
  </si>
  <si>
    <t>PBAT</t>
  </si>
  <si>
    <t>PAN</t>
  </si>
  <si>
    <t>SSDR water</t>
  </si>
  <si>
    <t xml:space="preserve">Polymer type </t>
  </si>
  <si>
    <t>PA_Nylon</t>
  </si>
  <si>
    <t>-</t>
  </si>
  <si>
    <t>starch_blend</t>
  </si>
  <si>
    <t>SSDR sediment</t>
  </si>
  <si>
    <t>SSDR soil</t>
  </si>
  <si>
    <t>SUPPORTING INFORMATION FOR:</t>
  </si>
  <si>
    <t>Description:</t>
  </si>
  <si>
    <t>PLA</t>
  </si>
  <si>
    <t>Europe</t>
  </si>
  <si>
    <t>Oceania</t>
  </si>
  <si>
    <t>PS</t>
  </si>
  <si>
    <t>polymer type</t>
  </si>
  <si>
    <t>default sed rate [s-1]</t>
  </si>
  <si>
    <t xml:space="preserve">Default sedimentation rates for low-density polymers </t>
  </si>
  <si>
    <t>Region</t>
  </si>
  <si>
    <t>Latin America</t>
  </si>
  <si>
    <t>Central Asia</t>
  </si>
  <si>
    <t>Southeast Asia</t>
  </si>
  <si>
    <t>Northern regions</t>
  </si>
  <si>
    <t>area_land_C</t>
  </si>
  <si>
    <t>area_sea_C</t>
  </si>
  <si>
    <t>areafrac_lw_C</t>
  </si>
  <si>
    <t>areafrac_nat_soil_C</t>
  </si>
  <si>
    <t>areafrac_agr_soil_C</t>
  </si>
  <si>
    <t>fracsf_lw_C</t>
  </si>
  <si>
    <t>temp_C</t>
  </si>
  <si>
    <t>wind_speed_C</t>
  </si>
  <si>
    <t>rain_rate_C</t>
  </si>
  <si>
    <t>depth_lw_C</t>
  </si>
  <si>
    <t>depth_sw_C</t>
  </si>
  <si>
    <t>frac_runoff_lw_C</t>
  </si>
  <si>
    <t>frac_infiltr_C</t>
  </si>
  <si>
    <t>soil_ero_C</t>
  </si>
  <si>
    <t>irrig_C</t>
  </si>
  <si>
    <t>area_land_G</t>
  </si>
  <si>
    <t>area_sea_G</t>
  </si>
  <si>
    <t>areafrac_lw_G</t>
  </si>
  <si>
    <t>areafrac_nat_soil_G</t>
  </si>
  <si>
    <t>areafrac_agr_soil_G</t>
  </si>
  <si>
    <t>fracsf_lw_G</t>
  </si>
  <si>
    <t>temp_G</t>
  </si>
  <si>
    <t>wind_speed_G</t>
  </si>
  <si>
    <t>rain_rate_G</t>
  </si>
  <si>
    <t>depth_lw_G</t>
  </si>
  <si>
    <t>depth_sw_G</t>
  </si>
  <si>
    <t>frac_runoff_lw_G</t>
  </si>
  <si>
    <t>frac_infiltr_G</t>
  </si>
  <si>
    <t>soil_ero_G</t>
  </si>
  <si>
    <t>irrig_G</t>
  </si>
  <si>
    <t>Regionalization parameters</t>
  </si>
  <si>
    <t xml:space="preserve">source </t>
  </si>
  <si>
    <t xml:space="preserve">unit </t>
  </si>
  <si>
    <t>description</t>
  </si>
  <si>
    <t>area of land</t>
  </si>
  <si>
    <t>area of sea</t>
  </si>
  <si>
    <t>fraction of land area allocated to river</t>
  </si>
  <si>
    <t xml:space="preserve">fraction of land area allocated to lake </t>
  </si>
  <si>
    <t xml:space="preserve">fraction of land area allocated to natural soil </t>
  </si>
  <si>
    <t xml:space="preserve">fraction of land area allocated to agricultural soil </t>
  </si>
  <si>
    <t>Calculated with HydroATLAS</t>
  </si>
  <si>
    <t>fraction of surface water allocated to river</t>
  </si>
  <si>
    <t>fraction of surface water allocated to lake</t>
  </si>
  <si>
    <t>temperature</t>
  </si>
  <si>
    <t>K</t>
  </si>
  <si>
    <t>wind speed</t>
  </si>
  <si>
    <t>[m*s-1]</t>
  </si>
  <si>
    <t>rain rate</t>
  </si>
  <si>
    <t>[m]</t>
  </si>
  <si>
    <t>depth lake water</t>
  </si>
  <si>
    <t>depth river water</t>
  </si>
  <si>
    <t>fraction runoff to river</t>
  </si>
  <si>
    <t>Fraction runoff in USEtox * Fraction of surface water allocated to river</t>
  </si>
  <si>
    <t>Fraction runoff in USEtox * Fraction of surface water allocated to lake</t>
  </si>
  <si>
    <t>fraction runoff to lake</t>
  </si>
  <si>
    <t>fraction infiltration</t>
  </si>
  <si>
    <t>CONTINENTAL SCALE</t>
  </si>
  <si>
    <t>GLOBAL SCALE</t>
  </si>
  <si>
    <t xml:space="preserve">soil erosion </t>
  </si>
  <si>
    <t>irrigation</t>
  </si>
  <si>
    <t>[m3]</t>
  </si>
  <si>
    <t>North America</t>
  </si>
  <si>
    <t>Africa &amp; Middle East</t>
  </si>
  <si>
    <t>parameter</t>
  </si>
  <si>
    <t xml:space="preserve">References </t>
  </si>
  <si>
    <t>a</t>
  </si>
  <si>
    <t>air</t>
  </si>
  <si>
    <t>areafrac_rw_C</t>
  </si>
  <si>
    <t>fracsf_rw_C</t>
  </si>
  <si>
    <t>depth_rw_C</t>
  </si>
  <si>
    <t>frac_runoff_rw_C</t>
  </si>
  <si>
    <t>areafrac_rw_G</t>
  </si>
  <si>
    <t>fracsf_rw_G</t>
  </si>
  <si>
    <t>depth_rw_G</t>
  </si>
  <si>
    <t>frac_runoff_rw_G</t>
  </si>
  <si>
    <t>Variable</t>
  </si>
  <si>
    <t>Scale</t>
  </si>
  <si>
    <t>SubCompart</t>
  </si>
  <si>
    <t>Regional</t>
  </si>
  <si>
    <t>Continental</t>
  </si>
  <si>
    <t>TotalArea</t>
  </si>
  <si>
    <t>FRACsea</t>
  </si>
  <si>
    <t>landFRAC</t>
  </si>
  <si>
    <t>river</t>
  </si>
  <si>
    <t>lake</t>
  </si>
  <si>
    <t>naturalsoil</t>
  </si>
  <si>
    <t>agriculturalsoil</t>
  </si>
  <si>
    <t>Temp</t>
  </si>
  <si>
    <t>WINDspeed</t>
  </si>
  <si>
    <t>RAINrate</t>
  </si>
  <si>
    <t>[mm*yr-1]</t>
  </si>
  <si>
    <t>VertDistance</t>
  </si>
  <si>
    <t>sea</t>
  </si>
  <si>
    <t>FRACinf</t>
  </si>
  <si>
    <t>SB4P notes</t>
  </si>
  <si>
    <t>othersoil</t>
  </si>
  <si>
    <t xml:space="preserve">fraction of land area allocated to other soil </t>
  </si>
  <si>
    <t>RhoS</t>
  </si>
  <si>
    <t>CorFacSSA</t>
  </si>
  <si>
    <t>m/s</t>
  </si>
  <si>
    <t>default sed velocity [m.s-1]</t>
  </si>
  <si>
    <t>m</t>
  </si>
  <si>
    <t>MinSettVel</t>
  </si>
  <si>
    <t>varName</t>
  </si>
  <si>
    <t>Kssdr</t>
  </si>
  <si>
    <t>marinesediment</t>
  </si>
  <si>
    <t>freshwatersediment</t>
  </si>
  <si>
    <t>lakesediment</t>
  </si>
  <si>
    <t>deepocean</t>
  </si>
  <si>
    <t>Adapted so include nested compartment</t>
  </si>
  <si>
    <t>FRACrun</t>
  </si>
  <si>
    <t>fraction runoff</t>
  </si>
  <si>
    <t>Note</t>
  </si>
  <si>
    <t>Cotton</t>
  </si>
  <si>
    <t>Linen</t>
  </si>
  <si>
    <t>Viscose</t>
  </si>
  <si>
    <t>Rayon</t>
  </si>
  <si>
    <t>Lyocell</t>
  </si>
  <si>
    <t>Modal</t>
  </si>
  <si>
    <t>dens_fw_species_C</t>
  </si>
  <si>
    <t>dens_fw_species_RoW</t>
  </si>
  <si>
    <t>dens_marine_species_C</t>
  </si>
  <si>
    <t>dens_marine_species_RoW</t>
  </si>
  <si>
    <t>dens_ter_species_C</t>
  </si>
  <si>
    <t>dens_ter_species_RoW</t>
  </si>
  <si>
    <t>depth water column</t>
  </si>
  <si>
    <t>UVintensity</t>
  </si>
  <si>
    <t>MICROBconc</t>
  </si>
  <si>
    <t>cloudwater</t>
  </si>
  <si>
    <t>PlasticFADE model</t>
  </si>
  <si>
    <t>[W*m-2]</t>
  </si>
  <si>
    <t>[CFU*mL-1]</t>
  </si>
  <si>
    <t>NA</t>
  </si>
  <si>
    <t>PU</t>
  </si>
  <si>
    <t>PCL</t>
  </si>
  <si>
    <t>PBSA</t>
  </si>
  <si>
    <t>Degrading_enzyme</t>
  </si>
  <si>
    <t>Fractions continental / global for the marine ecosystem</t>
  </si>
  <si>
    <t>Region in USEtox</t>
  </si>
  <si>
    <t>Marine regions in IUCN</t>
  </si>
  <si>
    <t xml:space="preserve">Number of coastal species in RoW </t>
  </si>
  <si>
    <t>Total of coastal species expected</t>
  </si>
  <si>
    <t>Real total of coastal species</t>
  </si>
  <si>
    <t>Coastal species in common</t>
  </si>
  <si>
    <t xml:space="preserve">Number endemic coastal species </t>
  </si>
  <si>
    <t xml:space="preserve">Number RoW only coastal species </t>
  </si>
  <si>
    <t xml:space="preserve"> % of species in Continental scale</t>
  </si>
  <si>
    <t>% of species in Global scale</t>
  </si>
  <si>
    <t>Total</t>
  </si>
  <si>
    <t>Atlantic Northwest, Atlantic Western Central , Pacific North East, Pacific Eastern Central</t>
  </si>
  <si>
    <t>Atlantic western central, Atlantic southwest, Pacific Eastern Centreal, Pacific Southeast</t>
  </si>
  <si>
    <t>Atlantic Northeast, Mediterranean and Black sea</t>
  </si>
  <si>
    <t>Africa + Middle East</t>
  </si>
  <si>
    <t>Atlantic eastern central, Mediterranean and Black sea, Atlantic Southeast, Indian Ocean Western</t>
  </si>
  <si>
    <t>Indian Ocean Western, Pacific Northwest</t>
  </si>
  <si>
    <t>Indian Ocean Eastern, Indian Ocean Western, Pacific Northwest, Pacific Western Central</t>
  </si>
  <si>
    <t>Arctic Sea, Atlantic North East, Atlantic Northwest, Pacific Northwest, Pacific Northeast</t>
  </si>
  <si>
    <t>Indian Ocean Eastern, Pacific Western Central, Pacific Southwest</t>
  </si>
  <si>
    <t>Update</t>
  </si>
  <si>
    <t>Sum</t>
  </si>
  <si>
    <t>% of species in Global scale (RoW)</t>
  </si>
  <si>
    <t>Number of species in global water (Marine Oceanic and Marine Deep Benthic)</t>
  </si>
  <si>
    <t xml:space="preserve"> % of species in RoW Continental scale</t>
  </si>
  <si>
    <t>Number of coastal species in region (Neritic zone and coastal zone)</t>
  </si>
  <si>
    <t>DegApproach</t>
  </si>
  <si>
    <t>PlasticFADE</t>
  </si>
  <si>
    <t>shape factor (1, 2, 3)</t>
  </si>
  <si>
    <t>% Reduction in mass</t>
  </si>
  <si>
    <t>Reference</t>
  </si>
  <si>
    <t>Material</t>
  </si>
  <si>
    <t>time (yr)</t>
  </si>
  <si>
    <t>SSDR (um/yr)</t>
  </si>
  <si>
    <t>Smith et al. (2021)</t>
  </si>
  <si>
    <t>SSDR (m/s)</t>
  </si>
  <si>
    <t>Initial size (um)</t>
  </si>
  <si>
    <t>Li et al. (2010)</t>
  </si>
  <si>
    <t>Species</t>
  </si>
  <si>
    <t>Distribution</t>
  </si>
  <si>
    <t>b</t>
  </si>
  <si>
    <t>c</t>
  </si>
  <si>
    <t>Data Source</t>
  </si>
  <si>
    <t>log normal</t>
  </si>
  <si>
    <t>EEF_w</t>
  </si>
  <si>
    <t>EEF_sed</t>
  </si>
  <si>
    <t>EEF_s</t>
  </si>
  <si>
    <t>Corella-Puertas et al. (2023)</t>
  </si>
  <si>
    <t>Saadi et al. (2025)</t>
  </si>
  <si>
    <t>Lower limit</t>
  </si>
  <si>
    <t>Upper limit</t>
  </si>
  <si>
    <t>Value (PAF m3/kg)</t>
  </si>
  <si>
    <t>a = left truncation (none here)</t>
  </si>
  <si>
    <t>b = sigma = sd log</t>
  </si>
  <si>
    <t>c = mu = LN(GEOMEAN)</t>
  </si>
  <si>
    <t>Lower limit SSDR [m/s]</t>
  </si>
  <si>
    <t>Upper limit SSDR [m/s]</t>
  </si>
  <si>
    <t>Geometric mean SSDR [m/s]</t>
  </si>
  <si>
    <t>Geometric mean SSDR [µm/year]</t>
  </si>
  <si>
    <t>Lower limit SSDR [µm/year]</t>
  </si>
  <si>
    <t>Upper limit SSDR [µm/year]</t>
  </si>
  <si>
    <t>log-normal distribution</t>
  </si>
  <si>
    <t>mu</t>
  </si>
  <si>
    <t>sigma</t>
  </si>
  <si>
    <t>z_0.995 =</t>
  </si>
  <si>
    <t>Saadi &amp; Boulay (2026)</t>
  </si>
  <si>
    <t>SSDR values are taken from Louvet et al. (2026), Saadi et al. (2025), Saadi &amp; Boulay (2026), and Corella-Puertas et al. (2023). SBoo requires [m/s] as an input for Kssdr. It is assumed that SSDRs are log-normally distributed (Corella-Puertas et al., 2023), and that the lower to upper limit represents the 99% confidence interval (CI), from which the distribution parameters are derived and used as an input in SBoo (for probabilistic solver). However, when plasticFADE model empirical degradation constants (and their CI) are available, they are used as input to compute degradation rates, ignoring the values below.</t>
  </si>
  <si>
    <t>Adjustment factor per region</t>
  </si>
  <si>
    <t>Global average UV intensity</t>
  </si>
  <si>
    <t>Latitude range [º]</t>
  </si>
  <si>
    <t>Longitude range [º]</t>
  </si>
  <si>
    <t>Adjustment factor [-]</t>
  </si>
  <si>
    <t>(15, 75)</t>
  </si>
  <si>
    <t>(-170, -50)</t>
  </si>
  <si>
    <t>Default</t>
  </si>
  <si>
    <t>(-60, 15)</t>
  </si>
  <si>
    <t>(-90, -30)</t>
  </si>
  <si>
    <t>(35, 70)</t>
  </si>
  <si>
    <t>(40, 140)</t>
  </si>
  <si>
    <t>Compartment</t>
  </si>
  <si>
    <t>(-35, 35)</t>
  </si>
  <si>
    <t>(-20, 60)</t>
  </si>
  <si>
    <t>Freshwater (river)</t>
  </si>
  <si>
    <t>Belmont et al. (2007)</t>
  </si>
  <si>
    <t>Lake</t>
  </si>
  <si>
    <t>Morris et al. (1995)</t>
  </si>
  <si>
    <t>(-10, 35)</t>
  </si>
  <si>
    <t>(60, 150)</t>
  </si>
  <si>
    <t>Seawater surface</t>
  </si>
  <si>
    <t>Llabrés et al. (2010)</t>
  </si>
  <si>
    <t>(70, 90)</t>
  </si>
  <si>
    <t>(-180, 180)</t>
  </si>
  <si>
    <t>(-50, 0)</t>
  </si>
  <si>
    <t>(110, 180)</t>
  </si>
  <si>
    <t>Depth [m]</t>
  </si>
  <si>
    <t>Scaling factor [%]</t>
  </si>
  <si>
    <t>Air</t>
  </si>
  <si>
    <t>–</t>
  </si>
  <si>
    <t>Agricultural soil</t>
  </si>
  <si>
    <t>Natural soil</t>
  </si>
  <si>
    <t>Other soil</t>
  </si>
  <si>
    <t>Cloudwater</t>
  </si>
  <si>
    <t>Freshwater</t>
  </si>
  <si>
    <t>Freshwater sediment</t>
  </si>
  <si>
    <t>Lake sediment</t>
  </si>
  <si>
    <t>Seawater column</t>
  </si>
  <si>
    <t>Marine sediment</t>
  </si>
  <si>
    <t>Note: Since cloudwater is discontinuous droplets in air, we neglect the UV attenuation in cloudwater (K_d is defined for continuous water columns)</t>
  </si>
  <si>
    <t>Region- and compartment-specific UV intensity [W*m-2]</t>
  </si>
  <si>
    <t>Global scale</t>
  </si>
  <si>
    <t>SBoo compartment name</t>
  </si>
  <si>
    <t>Python Input (Louvet et al., 2026)</t>
  </si>
  <si>
    <t>Fitted value</t>
  </si>
  <si>
    <t>Standard deviation</t>
    <phoneticPr fontId="0" type="noConversion"/>
  </si>
  <si>
    <t>pol</t>
  </si>
  <si>
    <t>degx</t>
  </si>
  <si>
    <t>degtau</t>
  </si>
  <si>
    <t>degy</t>
  </si>
  <si>
    <t>degtheta</t>
  </si>
  <si>
    <t>degz</t>
  </si>
  <si>
    <t>degeta</t>
  </si>
  <si>
    <t>In this sheet, the distribution of the degradation parameters used in the monte carlo simulation are summarized. If plasticFADE inputs are provided, no Kssdr is used in the monte carlo simulation. SBoo uses this sheet as an input.</t>
  </si>
  <si>
    <t>depth sea water surface</t>
  </si>
  <si>
    <t>Calculated with HydroATLAS (Louvet et al., 2026)</t>
  </si>
  <si>
    <t>Louvet et al. (2026)</t>
  </si>
  <si>
    <t>Chamas et al. (2020)</t>
  </si>
  <si>
    <t>Kounina et al. (2014)</t>
  </si>
  <si>
    <t>Lehner et al. (2022)</t>
  </si>
  <si>
    <t>Linke et al. (2019)</t>
  </si>
  <si>
    <t>Maga et al. (2022)</t>
  </si>
  <si>
    <t>Rosenbaum et al. (2008)</t>
  </si>
  <si>
    <t>SBoo input in R</t>
  </si>
  <si>
    <t>Supplementary information with derivation of input data for SimpleBox object-oriented (SBoo): degradation data, landscape data, UV intensity calculations, exposure and effect factors (EEFs), Species richness distribution.</t>
  </si>
  <si>
    <t>1.2. SSDRs for sediment compartments</t>
  </si>
  <si>
    <t xml:space="preserve">1.3. SSDRs for soil compartments </t>
  </si>
  <si>
    <t>1.4. PlasticFADE constants</t>
  </si>
  <si>
    <t>1. Degradation data</t>
  </si>
  <si>
    <t>References</t>
  </si>
  <si>
    <t>3. SimpleBox object-oriented input</t>
  </si>
  <si>
    <t xml:space="preserve">3.1. Regional landscape data </t>
  </si>
  <si>
    <t>3.2. Polymer data</t>
  </si>
  <si>
    <t>3.4. Exposure and effect factors per compartment with their distribution</t>
  </si>
  <si>
    <t>3.3. Polymer data for uncertainty analysis</t>
  </si>
  <si>
    <t>Table of content</t>
  </si>
  <si>
    <t>Description</t>
  </si>
  <si>
    <t>1.1. SSDRs for water compartments</t>
  </si>
  <si>
    <t>USEtox (Fantke et al., 2017)</t>
  </si>
  <si>
    <t>total area of the continent</t>
  </si>
  <si>
    <t>Tedetti &amp; Sempéré (2006)</t>
  </si>
  <si>
    <t>Continental water  depth - water surface depth = water column (depth where UV does not penetrate)</t>
  </si>
  <si>
    <t>Fantke et al. (2017)</t>
  </si>
  <si>
    <t>Chamas, A., Moon, H., Zheng, J., Qiu, Y., Tabassum, T., Jang, J. H., Abu-Omar, M., Scott, S. L., &amp; Suh, S. (2020). Degradation Rates of Plastics in the Environment. ACS Sustainable Chemistry &amp; Engineering, 8(9), 3494–3511. https://doi.org/10.1021/acssuschemeng.9b06635</t>
  </si>
  <si>
    <t>Corella-Puertas, E., Hajjar, C., Lavoie, J., &amp; Boulay, A.-M. (2023). MarILCA characterization factors for microplastic impacts in life cycle assessment: Physical effects on biota from emissions to aquatic environments. Journal of Cleaner Production, 418, 138197. https://doi.org/10.1016/j.jclepro.2023.138197</t>
  </si>
  <si>
    <t>Fantke, P., Bijster, M., Guignard, C., Hauschild, M. Z., Huijbregts, M. A. J., Jolliet, O., Kounina, A., Magaud, V., Margni, M., Mckone, T., Posthuma, L., Rosenbaum, R. K., van de Meent, D., van Zelm, R., &amp; Fantke, P. (2017). USEtox 2.0: Documentation (Version 1). USEtox International Center. https://doi.org/10.11581/DTU:00000011</t>
  </si>
  <si>
    <t>Kounina, A., Margni, M., Shaked, S., Bulle, C., &amp; Jolliet, O. (2014). Spatial analysis of toxic emissions in LCA: A sub-continental nested USEtox model with freshwater archetypes. Environment International, 69, 67–89. https://doi.org/10.1016/j.envint.2014.04.004</t>
  </si>
  <si>
    <t>Lehner, B., Messager, M. L., Korver, M. C., &amp; Linke, S. (2022). Global hydro-environmental lake characteristics at high spatial resolution. Scientific Data, 9(1), 351. https://doi.org/10.1038/s41597-022-01425-z</t>
  </si>
  <si>
    <t>Li, L., Frey, M., &amp; Browning, K. J. (2010). Biodegradability Study on Cotton and Polyester Fabrics. Journal of Engineered Fibers and Fabrics, 5(4), 155892501000500406. https://doi.org/10.1177/155892501000500406</t>
  </si>
  <si>
    <t>Linke, S., Lehner, B., Ouellet Dallaire, C., Ariwi, J., Grill, G., Anand, M., Beames, P., Burchard-Levine, V., Maxwell, S., Moidu, H., Tan, F., &amp; Thieme, M. (2019). Global hydro-environmental sub-basin and river reach characteristics at high spatial resolution. Scientific Data, 6(1), 283. https://doi.org/10.1038/s41597-019-0300-6</t>
  </si>
  <si>
    <t>Louvet, J., Quik, J. T. K., &amp; Boulay, A.-M. (2026). Regionalized characterization factors for microplastic emissions in life cycle assessment considering multimedia fate modelling. Journal of Cleaner Production, 538, 147217. https://doi.org/10.1016/j.jclepro.2025.147217</t>
  </si>
  <si>
    <t>Maga, D., Galafton, C., Blömer, J., Thonemann, N., Özdamar, A., &amp; Bertling, J. (2022). Methodology to address potential impacts of plastic emissions in life cycle assessment. The International Journal of Life Cycle Assessment, 27(3), 469–491. https://doi.org/10.1007/s11367-022-02040-1</t>
  </si>
  <si>
    <t>Saadi, N., &amp; Boulay, A.-M. (2026). Microfibers in Life Cycle Assessment: Comparing the Physical Effects of Cellulosic and Synthetic Fibers via Characterization Factors Development. Integrated Environmental Assessment and Management, vjag007. https://doi.org/10.1093/inteam/vjag007</t>
  </si>
  <si>
    <t>Saadi, N., Lavoie, J., Fantke, P., Redondo-Hasselerharm, P., &amp; Boulay, A.-M. (2025). Including impacts of microplastics in marine water and sediments in life cycle assessment. Journal of Cleaner Production, 520, 146037. https://doi.org/10.1016/j.jclepro.2025.146037</t>
  </si>
  <si>
    <t>Smith, S., Ozturk, M., &amp; Frey, M. (2021). Soil biodegradation of cotton fabrics treated with common finishes. Cellulose, 28(7), 4485–4494. https://doi.org/10.1007/s10570-020-03666-w</t>
  </si>
  <si>
    <t>Tedetti, M., &amp; Sempéré, R. (2006). Penetration of Ultraviolet Radiation in the Marine Environment. A Review. Photochemistry and Photobiology, 82(2), 389–397. https://doi.org/10.1562/2005-11-09-IR-733</t>
  </si>
  <si>
    <t>Rosenbaum, R. K., Bachmann, T. M., Gold, L. S., Huijbregts, M. A. J., Jolliet, O., Juraske, R., Koehler, A., Larsen, H. F., MacLeod, M., Margni, M., McKone, T. E., Payet, J., Schuhmacher, M., van de Meent, D., &amp; Hauschild, M. Z. (2008). USEtox—the UNEP-SETAC toxicity model: Recommended characterisation factors for human toxicity and freshwater ecotoxicity in life cycle impact assessment. The International Journal of Life Cycle Assessment, 13(7), 532–546. https://doi.org/10.1007/s11367-008-0038-4</t>
  </si>
  <si>
    <t>5. USEtox data</t>
  </si>
  <si>
    <t>5.1. Effect factors</t>
  </si>
  <si>
    <t>5.2. Characterization factors</t>
  </si>
  <si>
    <t>4.2. Global exctinction probability (GEP)</t>
  </si>
  <si>
    <t>4.1. Marine species richness data</t>
  </si>
  <si>
    <t>4.1. Aggregation data</t>
  </si>
  <si>
    <t>67375-30-8</t>
  </si>
  <si>
    <t>50-28-2</t>
  </si>
  <si>
    <t>79622-59-6</t>
  </si>
  <si>
    <t>88-30-2</t>
  </si>
  <si>
    <t>57837-19-1</t>
  </si>
  <si>
    <t>56-72-4</t>
  </si>
  <si>
    <t>142459-58-3</t>
  </si>
  <si>
    <t>333-41-5</t>
  </si>
  <si>
    <t>298-02-2</t>
  </si>
  <si>
    <t>69-53-4</t>
  </si>
  <si>
    <t>140-66-9</t>
  </si>
  <si>
    <t>298-46-4</t>
  </si>
  <si>
    <t>52918-63-5</t>
  </si>
  <si>
    <t>65733-16-6</t>
  </si>
  <si>
    <t>81777-89-1</t>
  </si>
  <si>
    <t>115-29-7</t>
  </si>
  <si>
    <t>87674-68-8</t>
  </si>
  <si>
    <t>2921-88-2</t>
  </si>
  <si>
    <t>67614-33-9</t>
  </si>
  <si>
    <t>86-50-0</t>
  </si>
  <si>
    <t>29457-72-5</t>
  </si>
  <si>
    <t>272451-65-7</t>
  </si>
  <si>
    <t>42874-03-3</t>
  </si>
  <si>
    <t>56-75-7</t>
  </si>
  <si>
    <t>7440-44-0</t>
  </si>
  <si>
    <t>26159-34-2</t>
  </si>
  <si>
    <t>15307-79-6</t>
  </si>
  <si>
    <t>85-68-7</t>
  </si>
  <si>
    <t>13684-63-4</t>
  </si>
  <si>
    <t>732-11-6</t>
  </si>
  <si>
    <t>10605-21-7</t>
  </si>
  <si>
    <t>464-07-3</t>
  </si>
  <si>
    <t>60207-90-1</t>
  </si>
  <si>
    <t>121-75-5</t>
  </si>
  <si>
    <t>1912-24-9</t>
  </si>
  <si>
    <t>57-63-6</t>
  </si>
  <si>
    <t>10453-86-8</t>
  </si>
  <si>
    <t>82657-04-3</t>
  </si>
  <si>
    <t>83-79-4</t>
  </si>
  <si>
    <t>604-59-1</t>
  </si>
  <si>
    <t>15687-27-1</t>
  </si>
  <si>
    <t>29122-68-7</t>
  </si>
  <si>
    <t>57-13-6</t>
  </si>
  <si>
    <t>738-70-5</t>
  </si>
  <si>
    <t>79-01-6</t>
  </si>
  <si>
    <t>1071-83-6</t>
  </si>
  <si>
    <t>76578-12-6</t>
  </si>
  <si>
    <t>65277-42-1</t>
  </si>
  <si>
    <t>80-05-7</t>
  </si>
  <si>
    <t>79-57-2</t>
  </si>
  <si>
    <t>98-54-4</t>
  </si>
  <si>
    <t>78-48-8</t>
  </si>
  <si>
    <t>107534-96-3</t>
  </si>
  <si>
    <t>25311-71-1</t>
  </si>
  <si>
    <t>26530-20-1</t>
  </si>
  <si>
    <t>141-43-5</t>
  </si>
  <si>
    <t>7287-19-6</t>
  </si>
  <si>
    <t>122-34-9</t>
  </si>
  <si>
    <t>2439-99-8</t>
  </si>
  <si>
    <t>120928-09-8</t>
  </si>
  <si>
    <t>154-21-2</t>
  </si>
  <si>
    <t>99-06-9</t>
  </si>
  <si>
    <t>1194-65-6</t>
  </si>
  <si>
    <t>66-27-3</t>
  </si>
  <si>
    <t>118-96-7</t>
  </si>
  <si>
    <t>188425-85-6</t>
  </si>
  <si>
    <t>3380-34-5</t>
  </si>
  <si>
    <t>28249-77-6</t>
  </si>
  <si>
    <t>54910-89-3</t>
  </si>
  <si>
    <t>56108-12-4</t>
  </si>
  <si>
    <t>108-95-2</t>
  </si>
  <si>
    <t>52315-07-8</t>
  </si>
  <si>
    <t>21725-46-2</t>
  </si>
  <si>
    <t>131860-33-8</t>
  </si>
  <si>
    <t>63-25-2</t>
  </si>
  <si>
    <t>2939-80-2</t>
  </si>
  <si>
    <t>122548-33-8</t>
  </si>
  <si>
    <t>41198-08-7</t>
  </si>
  <si>
    <t>335104-84-2</t>
  </si>
  <si>
    <t>950782-86-2</t>
  </si>
  <si>
    <t>374726-62-2</t>
  </si>
  <si>
    <t>117718-60-2</t>
  </si>
  <si>
    <t>103361-09-7</t>
  </si>
  <si>
    <t>60-51-5</t>
  </si>
  <si>
    <t>1689-99-2</t>
  </si>
  <si>
    <t>50-60-2</t>
  </si>
  <si>
    <t>91465-08-6</t>
  </si>
  <si>
    <t>13408-56-5</t>
  </si>
  <si>
    <t>69377-81-7</t>
  </si>
  <si>
    <t>100986-85-4</t>
  </si>
  <si>
    <t>15972-60-8</t>
  </si>
  <si>
    <t>42017-89-0</t>
  </si>
  <si>
    <t>1982-49-6</t>
  </si>
  <si>
    <t>2487-90-3</t>
  </si>
  <si>
    <t>542-75-6</t>
  </si>
  <si>
    <t>53-86-1</t>
  </si>
  <si>
    <t>67564-91-4</t>
  </si>
  <si>
    <t>66267-77-4</t>
  </si>
  <si>
    <t>68694-11-1</t>
  </si>
  <si>
    <t>2893-78-9</t>
  </si>
  <si>
    <t>60-54-8</t>
  </si>
  <si>
    <t>98079-51-7</t>
  </si>
  <si>
    <t>107-21-1</t>
  </si>
  <si>
    <t>637-07-0</t>
  </si>
  <si>
    <t>57-92-1</t>
  </si>
  <si>
    <t>1897-45-6</t>
  </si>
  <si>
    <t>71626-11-4</t>
  </si>
  <si>
    <t>57966-95-7</t>
  </si>
  <si>
    <t>94125-34-5</t>
  </si>
  <si>
    <t>105512-06-9</t>
  </si>
  <si>
    <t>82633-79-2</t>
  </si>
  <si>
    <t>420-04-2</t>
  </si>
  <si>
    <t>62-73-7</t>
  </si>
  <si>
    <t>79277-27-3</t>
  </si>
  <si>
    <t>17804-35-2</t>
  </si>
  <si>
    <t>39515-41-8</t>
  </si>
  <si>
    <t>111-30-8</t>
  </si>
  <si>
    <t>178928-70-6</t>
  </si>
  <si>
    <t>28159-98-0</t>
  </si>
  <si>
    <t>1037-50-9</t>
  </si>
  <si>
    <t>102676-47-1</t>
  </si>
  <si>
    <t>95737-68-1</t>
  </si>
  <si>
    <t>2244-21-5</t>
  </si>
  <si>
    <t>66085-59-4</t>
  </si>
  <si>
    <t>23135-22-0</t>
  </si>
  <si>
    <t>16752-77-5</t>
  </si>
  <si>
    <t>128-03-0</t>
  </si>
  <si>
    <t>723-46-6</t>
  </si>
  <si>
    <t>330-54-1</t>
  </si>
  <si>
    <t>79617-96-2</t>
  </si>
  <si>
    <t>60168-88-9</t>
  </si>
  <si>
    <t>148477-71-8</t>
  </si>
  <si>
    <t>362-06-1</t>
  </si>
  <si>
    <t>1563-66-2</t>
  </si>
  <si>
    <t>66230-04-4</t>
  </si>
  <si>
    <t>183675-82-3</t>
  </si>
  <si>
    <t>1763-23-1</t>
  </si>
  <si>
    <t>111-68-2</t>
  </si>
  <si>
    <t>111-46-6</t>
  </si>
  <si>
    <t>882-09-7</t>
  </si>
  <si>
    <t>108731-70-0</t>
  </si>
  <si>
    <t>15165-79-4</t>
  </si>
  <si>
    <t>129909-90-6</t>
  </si>
  <si>
    <t>5234-68-4</t>
  </si>
  <si>
    <t>114-26-1</t>
  </si>
  <si>
    <t>10161-33-8</t>
  </si>
  <si>
    <t>100646-51-3</t>
  </si>
  <si>
    <t>62924-70-3</t>
  </si>
  <si>
    <t>66357-07-1</t>
  </si>
  <si>
    <t>74223-64-6</t>
  </si>
  <si>
    <t>122-11-2</t>
  </si>
  <si>
    <t>5902-51-2</t>
  </si>
  <si>
    <t>2312-35-8</t>
  </si>
  <si>
    <t>67747-09-5</t>
  </si>
  <si>
    <t>1085-98-9</t>
  </si>
  <si>
    <t>114-07-8</t>
  </si>
  <si>
    <t>1113-02-6</t>
  </si>
  <si>
    <t>144-74-1</t>
  </si>
  <si>
    <t>525-66-6</t>
  </si>
  <si>
    <t>72-20-8</t>
  </si>
  <si>
    <t>315-18-4</t>
  </si>
  <si>
    <t>500-28-7</t>
  </si>
  <si>
    <t>121-82-4</t>
  </si>
  <si>
    <t>117-81-7</t>
  </si>
  <si>
    <t>120067-83-6</t>
  </si>
  <si>
    <t>52645-53-1</t>
  </si>
  <si>
    <t>70458-96-7</t>
  </si>
  <si>
    <t>1197379-18-2</t>
  </si>
  <si>
    <t>23184-66-9</t>
  </si>
  <si>
    <t>51218-45-2</t>
  </si>
  <si>
    <t>60-56-0</t>
  </si>
  <si>
    <t>76674-21-0</t>
  </si>
  <si>
    <t>372137-35-4</t>
  </si>
  <si>
    <t>52-51-7</t>
  </si>
  <si>
    <t>35367-38-5</t>
  </si>
  <si>
    <t>115-32-2</t>
  </si>
  <si>
    <t>94-75-7</t>
  </si>
  <si>
    <t>10548-10-4</t>
  </si>
  <si>
    <t>479-45-8</t>
  </si>
  <si>
    <t>53404-22-1</t>
  </si>
  <si>
    <t>33820-53-0</t>
  </si>
  <si>
    <t>31218-83-4</t>
  </si>
  <si>
    <t>2385-85-5</t>
  </si>
  <si>
    <t>82-68-8</t>
  </si>
  <si>
    <t>161050-58-4</t>
  </si>
  <si>
    <t>4685-14-7</t>
  </si>
  <si>
    <t>2439-10-3</t>
  </si>
  <si>
    <t>66441-23-4</t>
  </si>
  <si>
    <t>68359-37-5</t>
  </si>
  <si>
    <t>30560-19-1</t>
  </si>
  <si>
    <t>112410-23-8</t>
  </si>
  <si>
    <t>64-86-8</t>
  </si>
  <si>
    <t>73231-34-2</t>
  </si>
  <si>
    <t>84087-01-4</t>
  </si>
  <si>
    <t>71-43-2</t>
  </si>
  <si>
    <t>950-37-8</t>
  </si>
  <si>
    <t>50-24-8</t>
  </si>
  <si>
    <t>120068-37-3</t>
  </si>
  <si>
    <t>156052-68-5</t>
  </si>
  <si>
    <t>58-89-9</t>
  </si>
  <si>
    <t>51707-55-2</t>
  </si>
  <si>
    <t>83055-99-6</t>
  </si>
  <si>
    <t>79-09-4</t>
  </si>
  <si>
    <t>586-62-9</t>
  </si>
  <si>
    <t>298-04-4</t>
  </si>
  <si>
    <t>81406-37-3</t>
  </si>
  <si>
    <t>13171-21-6</t>
  </si>
  <si>
    <t>5989-27-5</t>
  </si>
  <si>
    <t>4180-23-8</t>
  </si>
  <si>
    <t>110-91-8</t>
  </si>
  <si>
    <t>786-19-6</t>
  </si>
  <si>
    <t>10485-70-8</t>
  </si>
  <si>
    <t>15299-99-7</t>
  </si>
  <si>
    <t>103-90-2</t>
  </si>
  <si>
    <t>141517-21-7</t>
  </si>
  <si>
    <t>1420-06-0</t>
  </si>
  <si>
    <t>99129-21-2</t>
  </si>
  <si>
    <t>31121-93-4</t>
  </si>
  <si>
    <t>521-18-6</t>
  </si>
  <si>
    <t>10004-44-1</t>
  </si>
  <si>
    <t>1929-82-4</t>
  </si>
  <si>
    <t>104-55-2</t>
  </si>
  <si>
    <t>69327-76-0</t>
  </si>
  <si>
    <t>128639-02-1</t>
  </si>
  <si>
    <t>34014-18-1</t>
  </si>
  <si>
    <t>33629-47-9</t>
  </si>
  <si>
    <t>67-56-1</t>
  </si>
  <si>
    <t>10265-92-6</t>
  </si>
  <si>
    <t>51-52-5</t>
  </si>
  <si>
    <t>137-26-8</t>
  </si>
  <si>
    <t>81334-34-1</t>
  </si>
  <si>
    <t>34256-82-1</t>
  </si>
  <si>
    <t>1014-69-3</t>
  </si>
  <si>
    <t>95266-40-3</t>
  </si>
  <si>
    <t>127-65-1</t>
  </si>
  <si>
    <t>67614-32-8</t>
  </si>
  <si>
    <t>116255-48-2</t>
  </si>
  <si>
    <t>643-79-8</t>
  </si>
  <si>
    <t>116714-46-6</t>
  </si>
  <si>
    <t>7173-51-5</t>
  </si>
  <si>
    <t>375-95-1</t>
  </si>
  <si>
    <t>25171-63-5</t>
  </si>
  <si>
    <t>40716-66-3</t>
  </si>
  <si>
    <t>240494-70-6</t>
  </si>
  <si>
    <t>3383-96-8</t>
  </si>
  <si>
    <t>2032-59-9</t>
  </si>
  <si>
    <t>99-35-4</t>
  </si>
  <si>
    <t>2212-67-1</t>
  </si>
  <si>
    <t>82097-50-5</t>
  </si>
  <si>
    <t>111988-49-9</t>
  </si>
  <si>
    <t>165252-70-0</t>
  </si>
  <si>
    <t>79983-71-4</t>
  </si>
  <si>
    <t>36734-19-7</t>
  </si>
  <si>
    <t>15165-67-0</t>
  </si>
  <si>
    <t>59669-26-0</t>
  </si>
  <si>
    <t>50-32-8</t>
  </si>
  <si>
    <t>100784-20-1</t>
  </si>
  <si>
    <t>66332-96-5</t>
  </si>
  <si>
    <t>112143-82-5</t>
  </si>
  <si>
    <t>50-02-2</t>
  </si>
  <si>
    <t>25812-30-0</t>
  </si>
  <si>
    <t>118134-30-8</t>
  </si>
  <si>
    <t>151-21-3</t>
  </si>
  <si>
    <t>66357-35-5</t>
  </si>
  <si>
    <t>53-16-7</t>
  </si>
  <si>
    <t>3739-38-6</t>
  </si>
  <si>
    <t>57018-04-9</t>
  </si>
  <si>
    <t>78-70-6</t>
  </si>
  <si>
    <t>72490-01-8</t>
  </si>
  <si>
    <t>67-64-1</t>
  </si>
  <si>
    <t>85721-33-1</t>
  </si>
  <si>
    <t>5289-74-7</t>
  </si>
  <si>
    <t>129453-61-8</t>
  </si>
  <si>
    <t>145-73-3</t>
  </si>
  <si>
    <t>98886-44-3</t>
  </si>
  <si>
    <t>150114-71-9</t>
  </si>
  <si>
    <t>69409-94-5</t>
  </si>
  <si>
    <t>51235-04-2</t>
  </si>
  <si>
    <t>80844-07-1</t>
  </si>
  <si>
    <t>22224-92-6</t>
  </si>
  <si>
    <t>65954-19-0</t>
  </si>
  <si>
    <t>96489-71-3</t>
  </si>
  <si>
    <t>78-40-0</t>
  </si>
  <si>
    <t>86386-73-4</t>
  </si>
  <si>
    <t>43121-43-3</t>
  </si>
  <si>
    <t>135410-20-7</t>
  </si>
  <si>
    <t>88-89-1</t>
  </si>
  <si>
    <t>4437-85-8</t>
  </si>
  <si>
    <t>50-23-7</t>
  </si>
  <si>
    <t>110488-70-5</t>
  </si>
  <si>
    <t>64359-81-5</t>
  </si>
  <si>
    <t>55283-68-6</t>
  </si>
  <si>
    <t>98-55-5</t>
  </si>
  <si>
    <t>99-65-0</t>
  </si>
  <si>
    <t>2631-40-5</t>
  </si>
  <si>
    <t>533-74-4</t>
  </si>
  <si>
    <t>487-54-7</t>
  </si>
  <si>
    <t>13071-79-9</t>
  </si>
  <si>
    <t>19666-30-9</t>
  </si>
  <si>
    <t>121552-61-2</t>
  </si>
  <si>
    <t>4248-66-2</t>
  </si>
  <si>
    <t>1461-15-0</t>
  </si>
  <si>
    <t>72963-72-5</t>
  </si>
  <si>
    <t>179101-81-6</t>
  </si>
  <si>
    <t>55268-74-1</t>
  </si>
  <si>
    <t>55-38-9</t>
  </si>
  <si>
    <t>104206-82-8</t>
  </si>
  <si>
    <t>23103-98-2</t>
  </si>
  <si>
    <t>173159-57-4</t>
  </si>
  <si>
    <t>62-74-8</t>
  </si>
  <si>
    <t>87392-12-9</t>
  </si>
  <si>
    <t>158062-67-0</t>
  </si>
  <si>
    <t>15307-86-5</t>
  </si>
  <si>
    <t>14437-17-3</t>
  </si>
  <si>
    <t>134523-00-5</t>
  </si>
  <si>
    <t>301-12-2</t>
  </si>
  <si>
    <t>150-78-7</t>
  </si>
  <si>
    <t>53112-28-0</t>
  </si>
  <si>
    <t>138261-41-3</t>
  </si>
  <si>
    <t>33245-39-5</t>
  </si>
  <si>
    <t>131807-57-3</t>
  </si>
  <si>
    <t>1929-73-3</t>
  </si>
  <si>
    <t>50594-66-6</t>
  </si>
  <si>
    <t>118-93-4</t>
  </si>
  <si>
    <t>104040-78-0</t>
  </si>
  <si>
    <t>87-86-5</t>
  </si>
  <si>
    <t>40487-42-1</t>
  </si>
  <si>
    <t>119168-77-3</t>
  </si>
  <si>
    <t>109-86-4</t>
  </si>
  <si>
    <t>79-06-1</t>
  </si>
  <si>
    <t>135-88-6</t>
  </si>
  <si>
    <t>52-53-9</t>
  </si>
  <si>
    <t>181274-17-9</t>
  </si>
  <si>
    <t>56-38-2</t>
  </si>
  <si>
    <t>834-12-8</t>
  </si>
  <si>
    <t>67-48-1</t>
  </si>
  <si>
    <t>54-21-7</t>
  </si>
  <si>
    <t>98-01-1</t>
  </si>
  <si>
    <t>3244-90-4</t>
  </si>
  <si>
    <t>88-04-0</t>
  </si>
  <si>
    <t>6317-18-6</t>
  </si>
  <si>
    <t>3567-25-7</t>
  </si>
  <si>
    <t>78587-05-0</t>
  </si>
  <si>
    <t>144-55-8</t>
  </si>
  <si>
    <t>93379-54-5</t>
  </si>
  <si>
    <t>13311-84-7</t>
  </si>
  <si>
    <t>76578-14-8</t>
  </si>
  <si>
    <t>314-40-9</t>
  </si>
  <si>
    <t>163515-14-8</t>
  </si>
  <si>
    <t>173584-44-6</t>
  </si>
  <si>
    <t>122008-85-9</t>
  </si>
  <si>
    <t>84-66-2</t>
  </si>
  <si>
    <t>283594-90-1</t>
  </si>
  <si>
    <t>45298-90-6</t>
  </si>
  <si>
    <t>100-52-7</t>
  </si>
  <si>
    <t>219714-96-2</t>
  </si>
  <si>
    <t>59756-60-4</t>
  </si>
  <si>
    <t>54593-83-8</t>
  </si>
  <si>
    <t>20856-57-9</t>
  </si>
  <si>
    <t>27314-13-2</t>
  </si>
  <si>
    <t>3131-23-5</t>
  </si>
  <si>
    <t>147150-35-4</t>
  </si>
  <si>
    <t>5915-41-3</t>
  </si>
  <si>
    <t>1746-01-6</t>
  </si>
  <si>
    <t>24579-73-5</t>
  </si>
  <si>
    <t>64902-72-3</t>
  </si>
  <si>
    <t>61-68-7</t>
  </si>
  <si>
    <t>210880-92-5</t>
  </si>
  <si>
    <t>898-84-0</t>
  </si>
  <si>
    <t>67-68-5</t>
  </si>
  <si>
    <t>658066-35-4</t>
  </si>
  <si>
    <t>422556-08-9</t>
  </si>
  <si>
    <t>529-20-4</t>
  </si>
  <si>
    <t>93413-69-5</t>
  </si>
  <si>
    <t>2164-17-2</t>
  </si>
  <si>
    <t>16672-87-0</t>
  </si>
  <si>
    <t>5538-94-3</t>
  </si>
  <si>
    <t>335-67-1</t>
  </si>
  <si>
    <t>137-42-8</t>
  </si>
  <si>
    <t>153719-23-4</t>
  </si>
  <si>
    <t>57-62-5</t>
  </si>
  <si>
    <t>34375-28-5</t>
  </si>
  <si>
    <t>55-63-0</t>
  </si>
  <si>
    <t>624-92-0</t>
  </si>
  <si>
    <t>111-31-9</t>
  </si>
  <si>
    <t>117-84-0</t>
  </si>
  <si>
    <t>15922-78-8</t>
  </si>
  <si>
    <t>759-94-4</t>
  </si>
  <si>
    <t>27668-52-6</t>
  </si>
  <si>
    <t>112-49-2</t>
  </si>
  <si>
    <t>53780-34-0</t>
  </si>
  <si>
    <t>3337-71-1</t>
  </si>
  <si>
    <t>93106-60-6</t>
  </si>
  <si>
    <t>563-12-2</t>
  </si>
  <si>
    <t>100-02-7</t>
  </si>
  <si>
    <t>52-68-6</t>
  </si>
  <si>
    <t>1582-09-8</t>
  </si>
  <si>
    <t>2016-57-1</t>
  </si>
  <si>
    <t>556-88-7</t>
  </si>
  <si>
    <t>95-95-4</t>
  </si>
  <si>
    <t>139968-49-3</t>
  </si>
  <si>
    <t>88-06-2</t>
  </si>
  <si>
    <t>124495-18-7</t>
  </si>
  <si>
    <t>134605-64-4</t>
  </si>
  <si>
    <t>5395-50-6</t>
  </si>
  <si>
    <t>107-18-6</t>
  </si>
  <si>
    <t>81-81-2</t>
  </si>
  <si>
    <t>138-86-3</t>
  </si>
  <si>
    <t>1928-43-4</t>
  </si>
  <si>
    <t>831-82-3</t>
  </si>
  <si>
    <t>10007-85-9</t>
  </si>
  <si>
    <t>131983-72-7</t>
  </si>
  <si>
    <t>74222-97-2</t>
  </si>
  <si>
    <t>84-74-2</t>
  </si>
  <si>
    <t>113158-40-0</t>
  </si>
  <si>
    <t>13194-48-4</t>
  </si>
  <si>
    <t>143390-89-0</t>
  </si>
  <si>
    <t>58-08-2</t>
  </si>
  <si>
    <t>76-03-9</t>
  </si>
  <si>
    <t>50-18-0</t>
  </si>
  <si>
    <t>58-22-0</t>
  </si>
  <si>
    <t>532-32-1</t>
  </si>
  <si>
    <t>122454-29-9</t>
  </si>
  <si>
    <t>7166-19-0</t>
  </si>
  <si>
    <t>709-98-8</t>
  </si>
  <si>
    <t>298-00-0</t>
  </si>
  <si>
    <t>89-83-8</t>
  </si>
  <si>
    <t>99-85-4</t>
  </si>
  <si>
    <t>33089-61-1</t>
  </si>
  <si>
    <t>2032-65-7</t>
  </si>
  <si>
    <t>58-18-4</t>
  </si>
  <si>
    <t>2104-64-5</t>
  </si>
  <si>
    <t>5989-54-8</t>
  </si>
  <si>
    <t>50-29-3</t>
  </si>
  <si>
    <t>101-21-3</t>
  </si>
  <si>
    <t>5598-13-0</t>
  </si>
  <si>
    <t>55512-33-9</t>
  </si>
  <si>
    <t>17090-79-8</t>
  </si>
  <si>
    <t>175013-18-0</t>
  </si>
  <si>
    <t>83-32-9</t>
  </si>
  <si>
    <t>94-74-6</t>
  </si>
  <si>
    <t>53404-31-2</t>
  </si>
  <si>
    <t>69-72-7</t>
  </si>
  <si>
    <t>101-20-2</t>
  </si>
  <si>
    <t>26087-47-8</t>
  </si>
  <si>
    <t>74051-80-2</t>
  </si>
  <si>
    <t>111-42-2</t>
  </si>
  <si>
    <t>133-07-3</t>
  </si>
  <si>
    <t>54-85-3</t>
  </si>
  <si>
    <t>62-53-3</t>
  </si>
  <si>
    <t>35554-44-0</t>
  </si>
  <si>
    <t>62-55-5</t>
  </si>
  <si>
    <t>161326-34-7</t>
  </si>
  <si>
    <t>86209-51-0</t>
  </si>
  <si>
    <t>64700-56-7</t>
  </si>
  <si>
    <t>26225-79-6</t>
  </si>
  <si>
    <t>203313-25-1</t>
  </si>
  <si>
    <t>24307-26-4</t>
  </si>
  <si>
    <t>77501-63-4</t>
  </si>
  <si>
    <t>2527-66-4</t>
  </si>
  <si>
    <t>96182-53-5</t>
  </si>
  <si>
    <t>15318-45-3</t>
  </si>
  <si>
    <t>121-14-2</t>
  </si>
  <si>
    <t>23950-58-5</t>
  </si>
  <si>
    <t>2243-27-8</t>
  </si>
  <si>
    <t>23564-05-8</t>
  </si>
  <si>
    <t>6923-22-4</t>
  </si>
  <si>
    <t>55406-53-6</t>
  </si>
  <si>
    <t>220899-03-6</t>
  </si>
  <si>
    <t>74-90-8</t>
  </si>
  <si>
    <t>141-66-2</t>
  </si>
  <si>
    <t>87-90-1</t>
  </si>
  <si>
    <t>71-55-6</t>
  </si>
  <si>
    <t>2691-41-0</t>
  </si>
  <si>
    <t>114369-43-6</t>
  </si>
  <si>
    <t>67905-19-5</t>
  </si>
  <si>
    <t>74-95-3</t>
  </si>
  <si>
    <t>63-05-8</t>
  </si>
  <si>
    <t>57960-19-7</t>
  </si>
  <si>
    <t>88-85-7</t>
  </si>
  <si>
    <t>2634-33-5</t>
  </si>
  <si>
    <t>28434-01-7</t>
  </si>
  <si>
    <t>134098-61-6</t>
  </si>
  <si>
    <t>29091-21-2</t>
  </si>
  <si>
    <t>55219-65-3</t>
  </si>
  <si>
    <t>79-43-6</t>
  </si>
  <si>
    <t>206-44-0</t>
  </si>
  <si>
    <t>26002-80-2</t>
  </si>
  <si>
    <t>4080-31-3</t>
  </si>
  <si>
    <t>73-48-3</t>
  </si>
  <si>
    <t>486-56-6</t>
  </si>
  <si>
    <t>3653-48-3</t>
  </si>
  <si>
    <t>67485-29-4</t>
  </si>
  <si>
    <t>64-17-5</t>
  </si>
  <si>
    <t>101200-48-0</t>
  </si>
  <si>
    <t>69806-50-4</t>
  </si>
  <si>
    <t>556-61-6</t>
  </si>
  <si>
    <t>112281-77-3</t>
  </si>
  <si>
    <t>1981-58-4</t>
  </si>
  <si>
    <t>24017-47-8</t>
  </si>
  <si>
    <t>741-58-2</t>
  </si>
  <si>
    <t>57-24-9</t>
  </si>
  <si>
    <t>111578-32-6</t>
  </si>
  <si>
    <t>98967-40-9</t>
  </si>
  <si>
    <t>99-30-9</t>
  </si>
  <si>
    <t>2593-15-9</t>
  </si>
  <si>
    <t>112-05-0</t>
  </si>
  <si>
    <t>79-33-4</t>
  </si>
  <si>
    <t>51-03-6</t>
  </si>
  <si>
    <t>944-22-9</t>
  </si>
  <si>
    <t>443-48-1</t>
  </si>
  <si>
    <t>141112-29-0</t>
  </si>
  <si>
    <t>72-14-0</t>
  </si>
  <si>
    <t>39515-51-0</t>
  </si>
  <si>
    <t>330-55-2</t>
  </si>
  <si>
    <t>118-74-1</t>
  </si>
  <si>
    <t>35691-65-7</t>
  </si>
  <si>
    <t>6051-87-2</t>
  </si>
  <si>
    <t>37841-25-1</t>
  </si>
  <si>
    <t>79538-32-2</t>
  </si>
  <si>
    <t>19044-88-3</t>
  </si>
  <si>
    <t>16079-88-2</t>
  </si>
  <si>
    <t>94361-06-5</t>
  </si>
  <si>
    <t>42576-02-3</t>
  </si>
  <si>
    <t>124-40-3</t>
  </si>
  <si>
    <t>135285-90-4</t>
  </si>
  <si>
    <t>101-05-3</t>
  </si>
  <si>
    <t>629-76-5</t>
  </si>
  <si>
    <t>120923-37-7</t>
  </si>
  <si>
    <t>148-79-8</t>
  </si>
  <si>
    <t>529-19-1</t>
  </si>
  <si>
    <t>29232-93-7</t>
  </si>
  <si>
    <t>80-32-0</t>
  </si>
  <si>
    <t>117337-19-6</t>
  </si>
  <si>
    <t>188489-07-8</t>
  </si>
  <si>
    <t>126-11-4</t>
  </si>
  <si>
    <t>122-42-9</t>
  </si>
  <si>
    <t>1918-16-7</t>
  </si>
  <si>
    <t>69-52-3</t>
  </si>
  <si>
    <t>42509-83-1</t>
  </si>
  <si>
    <t>112226-61-6</t>
  </si>
  <si>
    <t>97886-45-8</t>
  </si>
  <si>
    <t>123-33-1</t>
  </si>
  <si>
    <t>89-78-1</t>
  </si>
  <si>
    <t>131929-60-7</t>
  </si>
  <si>
    <t>106-46-7</t>
  </si>
  <si>
    <t>134-20-3</t>
  </si>
  <si>
    <t>606-20-2</t>
  </si>
  <si>
    <t>23031-36-9</t>
  </si>
  <si>
    <t>30388-01-3</t>
  </si>
  <si>
    <t>725-89-3</t>
  </si>
  <si>
    <t>213464-77-8</t>
  </si>
  <si>
    <t>15686-71-2</t>
  </si>
  <si>
    <t>620-24-6</t>
  </si>
  <si>
    <t>10031-82-0</t>
  </si>
  <si>
    <t>120-36-5</t>
  </si>
  <si>
    <t>564-25-0</t>
  </si>
  <si>
    <t>1715-40-8</t>
  </si>
  <si>
    <t>18691-97-9</t>
  </si>
  <si>
    <t>70124-77-5</t>
  </si>
  <si>
    <t>26787-78-0</t>
  </si>
  <si>
    <t>999-81-5</t>
  </si>
  <si>
    <t>79-94-7</t>
  </si>
  <si>
    <t>150-76-5</t>
  </si>
  <si>
    <t>120116-88-3</t>
  </si>
  <si>
    <t>5436-43-1</t>
  </si>
  <si>
    <t>108-90-7</t>
  </si>
  <si>
    <t>470-82-6</t>
  </si>
  <si>
    <t>640-15-3</t>
  </si>
  <si>
    <t>123343-16-8</t>
  </si>
  <si>
    <t>132-27-4</t>
  </si>
  <si>
    <t>81335-77-5</t>
  </si>
  <si>
    <t>23593-75-1</t>
  </si>
  <si>
    <t>1114-71-2</t>
  </si>
  <si>
    <t>122-66-7</t>
  </si>
  <si>
    <t>2122-70-5</t>
  </si>
  <si>
    <t>66841-25-6</t>
  </si>
  <si>
    <t>26172-55-4</t>
  </si>
  <si>
    <t>75330-75-5</t>
  </si>
  <si>
    <t>96-45-7</t>
  </si>
  <si>
    <t>111-87-5</t>
  </si>
  <si>
    <t>111991-09-4</t>
  </si>
  <si>
    <t>82419-36-1</t>
  </si>
  <si>
    <t>20018-09-1</t>
  </si>
  <si>
    <t>86-87-3</t>
  </si>
  <si>
    <t>71283-28-8</t>
  </si>
  <si>
    <t>2310-17-0</t>
  </si>
  <si>
    <t>14816-18-3</t>
  </si>
  <si>
    <t>127-52-6</t>
  </si>
  <si>
    <t>3766-81-2</t>
  </si>
  <si>
    <t>50-00-0</t>
  </si>
  <si>
    <t>27519-02-4</t>
  </si>
  <si>
    <t>3861-41-4</t>
  </si>
  <si>
    <t>129630-19-9</t>
  </si>
  <si>
    <t>71283-80-2</t>
  </si>
  <si>
    <t>145701-23-1</t>
  </si>
  <si>
    <t>1836-77-7</t>
  </si>
  <si>
    <t>116-06-3</t>
  </si>
  <si>
    <t>84-75-3</t>
  </si>
  <si>
    <t>83588-43-6</t>
  </si>
  <si>
    <t>141280-06-0</t>
  </si>
  <si>
    <t>140-56-7</t>
  </si>
  <si>
    <t>73334-07-3</t>
  </si>
  <si>
    <t>126833-17-8</t>
  </si>
  <si>
    <t>70630-17-0</t>
  </si>
  <si>
    <t>35400-43-2</t>
  </si>
  <si>
    <t>68-11-1</t>
  </si>
  <si>
    <t>1120-16-7</t>
  </si>
  <si>
    <t>113136-77-9</t>
  </si>
  <si>
    <t>50471-44-8</t>
  </si>
  <si>
    <t>65-85-0</t>
  </si>
  <si>
    <t>131-52-2</t>
  </si>
  <si>
    <t>81741-28-8</t>
  </si>
  <si>
    <t>83601-83-6</t>
  </si>
  <si>
    <t>60-57-1</t>
  </si>
  <si>
    <t>1929-77-7</t>
  </si>
  <si>
    <t>210631-68-8</t>
  </si>
  <si>
    <t>99607-70-2</t>
  </si>
  <si>
    <t>22781-23-3</t>
  </si>
  <si>
    <t>2303-17-5</t>
  </si>
  <si>
    <t>500008-45-7</t>
  </si>
  <si>
    <t>73851-70-4</t>
  </si>
  <si>
    <t>21221-29-4</t>
  </si>
  <si>
    <t>57-68-1</t>
  </si>
  <si>
    <t>126535-15-7</t>
  </si>
  <si>
    <t>124-25-4</t>
  </si>
  <si>
    <t>51338-27-3</t>
  </si>
  <si>
    <t>29450-45-1</t>
  </si>
  <si>
    <t>94-11-1</t>
  </si>
  <si>
    <t>34123-59-6</t>
  </si>
  <si>
    <t>42835-25-6</t>
  </si>
  <si>
    <t>51200-87-4</t>
  </si>
  <si>
    <t>544-40-1</t>
  </si>
  <si>
    <t>136849-15-5</t>
  </si>
  <si>
    <t>74-88-4</t>
  </si>
  <si>
    <t>886-50-0</t>
  </si>
  <si>
    <t>63333-35-7</t>
  </si>
  <si>
    <t>54-31-9</t>
  </si>
  <si>
    <t>2302-17-2</t>
  </si>
  <si>
    <t>191-24-2</t>
  </si>
  <si>
    <t>76-06-2</t>
  </si>
  <si>
    <t>100-83-4</t>
  </si>
  <si>
    <t>1163-19-5</t>
  </si>
  <si>
    <t>1610-18-0</t>
  </si>
  <si>
    <t>41814-78-2</t>
  </si>
  <si>
    <t>82-66-6</t>
  </si>
  <si>
    <t>42588-37-4</t>
  </si>
  <si>
    <t>61-82-5</t>
  </si>
  <si>
    <t>82558-50-7</t>
  </si>
  <si>
    <t>50723-80-3</t>
  </si>
  <si>
    <t>122-14-5</t>
  </si>
  <si>
    <t>490-79-9</t>
  </si>
  <si>
    <t>56070-16-7</t>
  </si>
  <si>
    <t>131341-86-1</t>
  </si>
  <si>
    <t>79-46-9</t>
  </si>
  <si>
    <t>1066-51-9</t>
  </si>
  <si>
    <t>193-39-5</t>
  </si>
  <si>
    <t>87820-88-0</t>
  </si>
  <si>
    <t>187166-40-1</t>
  </si>
  <si>
    <t>134-62-3</t>
  </si>
  <si>
    <t>153233-91-1</t>
  </si>
  <si>
    <t>62476-59-9</t>
  </si>
  <si>
    <t>5976-61-4</t>
  </si>
  <si>
    <t>608-73-1</t>
  </si>
  <si>
    <t>57-27-2</t>
  </si>
  <si>
    <t>93-35-6</t>
  </si>
  <si>
    <t>121451-02-3</t>
  </si>
  <si>
    <t>128-04-1</t>
  </si>
  <si>
    <t>21564-17-0</t>
  </si>
  <si>
    <t>2706-56-1</t>
  </si>
  <si>
    <t>149979-41-9</t>
  </si>
  <si>
    <t>75-31-0</t>
  </si>
  <si>
    <t>90-43-7</t>
  </si>
  <si>
    <t>98-88-4</t>
  </si>
  <si>
    <t>1634-78-2</t>
  </si>
  <si>
    <t>144550-36-7</t>
  </si>
  <si>
    <t>362-05-0</t>
  </si>
  <si>
    <t>99-87-6</t>
  </si>
  <si>
    <t>828-00-2</t>
  </si>
  <si>
    <t>79-21-0</t>
  </si>
  <si>
    <t>446-72-0</t>
  </si>
  <si>
    <t>446-52-6</t>
  </si>
  <si>
    <t>71-41-0</t>
  </si>
  <si>
    <t>22293-38-5</t>
  </si>
  <si>
    <t>106-40-1</t>
  </si>
  <si>
    <t>2536-31-4</t>
  </si>
  <si>
    <t>107-13-1</t>
  </si>
  <si>
    <t>51596-11-3</t>
  </si>
  <si>
    <t>135158-54-2</t>
  </si>
  <si>
    <t>86479-06-3</t>
  </si>
  <si>
    <t>1126-46-1</t>
  </si>
  <si>
    <t>243973-20-8</t>
  </si>
  <si>
    <t>5392-40-5</t>
  </si>
  <si>
    <t>88671-89-0</t>
  </si>
  <si>
    <t>427-51-0</t>
  </si>
  <si>
    <t>76703-62-3</t>
  </si>
  <si>
    <t>143-16-8</t>
  </si>
  <si>
    <t>163520-33-0</t>
  </si>
  <si>
    <t>81103-11-9</t>
  </si>
  <si>
    <t>608-93-5</t>
  </si>
  <si>
    <t>1918-00-9</t>
  </si>
  <si>
    <t>55335-06-3</t>
  </si>
  <si>
    <t>125225-28-7</t>
  </si>
  <si>
    <t>439680-76-9</t>
  </si>
  <si>
    <t>145701-21-9</t>
  </si>
  <si>
    <t>163269-30-5</t>
  </si>
  <si>
    <t>61869-08-7</t>
  </si>
  <si>
    <t>111479-05-1</t>
  </si>
  <si>
    <t>13826-35-2</t>
  </si>
  <si>
    <t>300-76-5</t>
  </si>
  <si>
    <t>149877-41-8</t>
  </si>
  <si>
    <t>59-50-7</t>
  </si>
  <si>
    <t>7786-34-7</t>
  </si>
  <si>
    <t>79-45-8</t>
  </si>
  <si>
    <t>541-73-1</t>
  </si>
  <si>
    <t>122-03-2</t>
  </si>
  <si>
    <t>106-42-3</t>
  </si>
  <si>
    <t>66215-27-8</t>
  </si>
  <si>
    <t>67-36-7</t>
  </si>
  <si>
    <t>165800-03-3</t>
  </si>
  <si>
    <t>56715-13-0</t>
  </si>
  <si>
    <t>2626-83-7</t>
  </si>
  <si>
    <t>1192-52-5</t>
  </si>
  <si>
    <t>67-63-0</t>
  </si>
  <si>
    <t>74115-24-5</t>
  </si>
  <si>
    <t>317815-83-1</t>
  </si>
  <si>
    <t>99-08-1</t>
  </si>
  <si>
    <t>67-66-3</t>
  </si>
  <si>
    <t>27983-69-3</t>
  </si>
  <si>
    <t>139-40-2</t>
  </si>
  <si>
    <t>104098-48-8</t>
  </si>
  <si>
    <t>1861-32-1</t>
  </si>
  <si>
    <t>7785-70-8</t>
  </si>
  <si>
    <t>2675-77-6</t>
  </si>
  <si>
    <t>122-39-4</t>
  </si>
  <si>
    <t>50-78-2</t>
  </si>
  <si>
    <t>91-53-2</t>
  </si>
  <si>
    <t>97780-06-8</t>
  </si>
  <si>
    <t>106-24-1</t>
  </si>
  <si>
    <t>69806-34-4</t>
  </si>
  <si>
    <t>208465-21-8</t>
  </si>
  <si>
    <t>58138-08-2</t>
  </si>
  <si>
    <t>3689-24-5</t>
  </si>
  <si>
    <t>13952-84-6</t>
  </si>
  <si>
    <t>5796-17-8</t>
  </si>
  <si>
    <t>56348-39-1</t>
  </si>
  <si>
    <t>1401-69-0</t>
  </si>
  <si>
    <t>50-50-0</t>
  </si>
  <si>
    <t>1689-84-5</t>
  </si>
  <si>
    <t>49562-28-9</t>
  </si>
  <si>
    <t>169590-42-5</t>
  </si>
  <si>
    <t>112-30-1</t>
  </si>
  <si>
    <t>81052-29-1</t>
  </si>
  <si>
    <t>591-35-5</t>
  </si>
  <si>
    <t>3204-27-1</t>
  </si>
  <si>
    <t>619-50-1</t>
  </si>
  <si>
    <t>874967-67-6</t>
  </si>
  <si>
    <t>135590-91-9</t>
  </si>
  <si>
    <t>76738-62-0</t>
  </si>
  <si>
    <t>12771-68-5</t>
  </si>
  <si>
    <t>62732-91-6</t>
  </si>
  <si>
    <t>108-80-5</t>
  </si>
  <si>
    <t>2008-41-5</t>
  </si>
  <si>
    <t>108-46-3</t>
  </si>
  <si>
    <t>133855-98-8</t>
  </si>
  <si>
    <t>207-08-9</t>
  </si>
  <si>
    <t>42200-33-9</t>
  </si>
  <si>
    <t>107-15-3</t>
  </si>
  <si>
    <t>18854-01-8</t>
  </si>
  <si>
    <t>68157-60-8</t>
  </si>
  <si>
    <t>67-42-5</t>
  </si>
  <si>
    <t>552-89-6</t>
  </si>
  <si>
    <t>29245-51-0</t>
  </si>
  <si>
    <t>6190-65-4</t>
  </si>
  <si>
    <t>122931-48-0</t>
  </si>
  <si>
    <t>361377-29-9</t>
  </si>
  <si>
    <t>127-08-2</t>
  </si>
  <si>
    <t>21087-64-9</t>
  </si>
  <si>
    <t>122453-73-0</t>
  </si>
  <si>
    <t>131-55-5</t>
  </si>
  <si>
    <t>1982-47-4</t>
  </si>
  <si>
    <t>16484-77-8</t>
  </si>
  <si>
    <t>123312-89-0</t>
  </si>
  <si>
    <t>28382-15-2</t>
  </si>
  <si>
    <t>4151-50-2</t>
  </si>
  <si>
    <t>1482-15-1</t>
  </si>
  <si>
    <t>55285-14-8</t>
  </si>
  <si>
    <t>137-40-6</t>
  </si>
  <si>
    <t>90982-32-4</t>
  </si>
  <si>
    <t>77-09-8</t>
  </si>
  <si>
    <t>19549-98-5</t>
  </si>
  <si>
    <t>186825-36-5</t>
  </si>
  <si>
    <t>239110-15-7</t>
  </si>
  <si>
    <t>2665-13-6</t>
  </si>
  <si>
    <t>54739-18-3</t>
  </si>
  <si>
    <t>6458-13-5</t>
  </si>
  <si>
    <t>92-51-3</t>
  </si>
  <si>
    <t>133-06-2</t>
  </si>
  <si>
    <t>1134-23-2</t>
  </si>
  <si>
    <t>25057-89-0</t>
  </si>
  <si>
    <t>439680-77-0</t>
  </si>
  <si>
    <t>1689-82-3</t>
  </si>
  <si>
    <t>106-48-9</t>
  </si>
  <si>
    <t>957-51-7</t>
  </si>
  <si>
    <t>858956-08-8</t>
  </si>
  <si>
    <t>97-53-0</t>
  </si>
  <si>
    <t>16118-49-3</t>
  </si>
  <si>
    <t>2058-94-8</t>
  </si>
  <si>
    <t>1455-21-6</t>
  </si>
  <si>
    <t>111-77-3</t>
  </si>
  <si>
    <t>28711-29-7</t>
  </si>
  <si>
    <t>2491-38-5</t>
  </si>
  <si>
    <t>69-65-8</t>
  </si>
  <si>
    <t>288-88-0</t>
  </si>
  <si>
    <t>470-90-6</t>
  </si>
  <si>
    <t>55179-31-2</t>
  </si>
  <si>
    <t>42399-41-7</t>
  </si>
  <si>
    <t>119-12-0</t>
  </si>
  <si>
    <t>14698-29-4</t>
  </si>
  <si>
    <t>22726-00-7</t>
  </si>
  <si>
    <t>145307-18-2</t>
  </si>
  <si>
    <t>20354-26-1</t>
  </si>
  <si>
    <t>52-01-7</t>
  </si>
  <si>
    <t>1596-84-5</t>
  </si>
  <si>
    <t>181274-15-7</t>
  </si>
  <si>
    <t>299-86-5</t>
  </si>
  <si>
    <t>53042-79-8</t>
  </si>
  <si>
    <t>141264-05-3</t>
  </si>
  <si>
    <t>3766-27-6</t>
  </si>
  <si>
    <t>1954-81-0</t>
  </si>
  <si>
    <t>3064-70-8</t>
  </si>
  <si>
    <t>115-90-2</t>
  </si>
  <si>
    <t>40596-69-8</t>
  </si>
  <si>
    <t>160-02-1</t>
  </si>
  <si>
    <t>4147-51-7</t>
  </si>
  <si>
    <t>3923-52-2</t>
  </si>
  <si>
    <t>100-51-6</t>
  </si>
  <si>
    <t>106700-29-2</t>
  </si>
  <si>
    <t>144-83-2</t>
  </si>
  <si>
    <t>91-20-3</t>
  </si>
  <si>
    <t>87648-90-6</t>
  </si>
  <si>
    <t>109-73-9</t>
  </si>
  <si>
    <t>1861-40-1</t>
  </si>
  <si>
    <t>13684-56-5</t>
  </si>
  <si>
    <t>439-14-5</t>
  </si>
  <si>
    <t>99-86-5</t>
  </si>
  <si>
    <t>955-83-9</t>
  </si>
  <si>
    <t>85509-19-9</t>
  </si>
  <si>
    <t>606-34-8</t>
  </si>
  <si>
    <t>60-00-4</t>
  </si>
  <si>
    <t>780-69-8</t>
  </si>
  <si>
    <t>6284-40-8</t>
  </si>
  <si>
    <t>590-29-4</t>
  </si>
  <si>
    <t>56-81-5</t>
  </si>
  <si>
    <t>1929-88-0</t>
  </si>
  <si>
    <t>5437-45-6</t>
  </si>
  <si>
    <t>58842-20-9</t>
  </si>
  <si>
    <t>75431-49-1</t>
  </si>
  <si>
    <t>141776-32-1</t>
  </si>
  <si>
    <t>13360-45-7</t>
  </si>
  <si>
    <t>569-64-2</t>
  </si>
  <si>
    <t>55814-41-0</t>
  </si>
  <si>
    <t>3691-35-8</t>
  </si>
  <si>
    <t>1197379-16-0</t>
  </si>
  <si>
    <t>143-18-0</t>
  </si>
  <si>
    <t>69-57-8</t>
  </si>
  <si>
    <t>100-10-7</t>
  </si>
  <si>
    <t>94-26-8</t>
  </si>
  <si>
    <t>77-06-5</t>
  </si>
  <si>
    <t>18172-67-3</t>
  </si>
  <si>
    <t>2227-17-0</t>
  </si>
  <si>
    <t>120-94-5</t>
  </si>
  <si>
    <t>51384-51-1</t>
  </si>
  <si>
    <t>26644-46-2</t>
  </si>
  <si>
    <t>634-66-2</t>
  </si>
  <si>
    <t>33956-49-9</t>
  </si>
  <si>
    <t>51276-47-2</t>
  </si>
  <si>
    <t>109-89-7</t>
  </si>
  <si>
    <t>107-02-8</t>
  </si>
  <si>
    <t>56634-95-8</t>
  </si>
  <si>
    <t>108-91-8</t>
  </si>
  <si>
    <t>77-48-5</t>
  </si>
  <si>
    <t>7747-35-5</t>
  </si>
  <si>
    <t>54-36-4</t>
  </si>
  <si>
    <t>1698-60-8</t>
  </si>
  <si>
    <t>137-41-7</t>
  </si>
  <si>
    <t>79241-46-6</t>
  </si>
  <si>
    <t>82697-71-0</t>
  </si>
  <si>
    <t>22204-53-1</t>
  </si>
  <si>
    <t>41859-67-0</t>
  </si>
  <si>
    <t>1453-82-3</t>
  </si>
  <si>
    <t>70161-44-3</t>
  </si>
  <si>
    <t>104653-34-1</t>
  </si>
  <si>
    <t>10124-65-9</t>
  </si>
  <si>
    <t>80-56-8</t>
  </si>
  <si>
    <t>51-28-5</t>
  </si>
  <si>
    <t>5283-66-9</t>
  </si>
  <si>
    <t>129558-76-5</t>
  </si>
  <si>
    <t>85264-33-1</t>
  </si>
  <si>
    <t>10187-52-7</t>
  </si>
  <si>
    <t>81-19-6</t>
  </si>
  <si>
    <t>71-23-8</t>
  </si>
  <si>
    <t>123-31-9</t>
  </si>
  <si>
    <t>10543-57-4</t>
  </si>
  <si>
    <t>50512-35-1</t>
  </si>
  <si>
    <t>19937-59-8</t>
  </si>
  <si>
    <t>10222-01-2</t>
  </si>
  <si>
    <t>133-32-4</t>
  </si>
  <si>
    <t>50-67-9</t>
  </si>
  <si>
    <t>1982-69-0</t>
  </si>
  <si>
    <t>807-20-5</t>
  </si>
  <si>
    <t>533-63-1</t>
  </si>
  <si>
    <t>118-52-5</t>
  </si>
  <si>
    <t>731-27-1</t>
  </si>
  <si>
    <t>17781-31-6</t>
  </si>
  <si>
    <t>1214-39-7</t>
  </si>
  <si>
    <t>91-64-5</t>
  </si>
  <si>
    <t>95617-09-7</t>
  </si>
  <si>
    <t>27164-46-1</t>
  </si>
  <si>
    <t>6440-58-0</t>
  </si>
  <si>
    <t>14150-71-1</t>
  </si>
  <si>
    <t>73250-68-7</t>
  </si>
  <si>
    <t>520-85-4</t>
  </si>
  <si>
    <t>77732-09-3</t>
  </si>
  <si>
    <t>3547-33-9</t>
  </si>
  <si>
    <t>105-55-5</t>
  </si>
  <si>
    <t>72-54-8</t>
  </si>
  <si>
    <t>402-45-9</t>
  </si>
  <si>
    <t>150-68-5</t>
  </si>
  <si>
    <t>99-03-6</t>
  </si>
  <si>
    <t>56425-91-3</t>
  </si>
  <si>
    <t>132-66-1</t>
  </si>
  <si>
    <t>141280-05-9</t>
  </si>
  <si>
    <t>56073-10-0</t>
  </si>
  <si>
    <t>2437-25-4</t>
  </si>
  <si>
    <t>78-11-5</t>
  </si>
  <si>
    <t>94-82-6</t>
  </si>
  <si>
    <t>95465-99-9</t>
  </si>
  <si>
    <t>75-64-9</t>
  </si>
  <si>
    <t>39145-47-6</t>
  </si>
  <si>
    <t>136-45-8</t>
  </si>
  <si>
    <t>68085-85-8</t>
  </si>
  <si>
    <t>68959-20-6</t>
  </si>
  <si>
    <t>510-15-6</t>
  </si>
  <si>
    <t>480-43-3</t>
  </si>
  <si>
    <t>2595-54-2</t>
  </si>
  <si>
    <t>95-50-1</t>
  </si>
  <si>
    <t>3926-62-3</t>
  </si>
  <si>
    <t>6485-40-1</t>
  </si>
  <si>
    <t>56-23-5</t>
  </si>
  <si>
    <t>84-65-1</t>
  </si>
  <si>
    <t>5259-88-1</t>
  </si>
  <si>
    <t>127-79-7</t>
  </si>
  <si>
    <t>7779-27-3</t>
  </si>
  <si>
    <t>849818-58-2</t>
  </si>
  <si>
    <t>143-50-0</t>
  </si>
  <si>
    <t>59-92-7</t>
  </si>
  <si>
    <t>57-09-0</t>
  </si>
  <si>
    <t>20679-58-7</t>
  </si>
  <si>
    <t>111-92-2</t>
  </si>
  <si>
    <t>66063-05-6</t>
  </si>
  <si>
    <t>91-23-6</t>
  </si>
  <si>
    <t>39515-40-7</t>
  </si>
  <si>
    <t>1646-88-4</t>
  </si>
  <si>
    <t>1490-04-6</t>
  </si>
  <si>
    <t>76824-35-6</t>
  </si>
  <si>
    <t>113-48-4</t>
  </si>
  <si>
    <t>865363-39-9</t>
  </si>
  <si>
    <t>102-69-2</t>
  </si>
  <si>
    <t>86-30-6</t>
  </si>
  <si>
    <t>43210-67-9</t>
  </si>
  <si>
    <t>21689-84-9</t>
  </si>
  <si>
    <t>102-08-9</t>
  </si>
  <si>
    <t>75-56-9</t>
  </si>
  <si>
    <t>2050-92-2</t>
  </si>
  <si>
    <t>131-57-7</t>
  </si>
  <si>
    <t>6062-26-6</t>
  </si>
  <si>
    <t>2702-72-9</t>
  </si>
  <si>
    <t>36335-67-8</t>
  </si>
  <si>
    <t>86-57-7</t>
  </si>
  <si>
    <t>94-80-4</t>
  </si>
  <si>
    <t>72-55-9</t>
  </si>
  <si>
    <t>75-05-8</t>
  </si>
  <si>
    <t>81335-37-7</t>
  </si>
  <si>
    <t>55290-64-7</t>
  </si>
  <si>
    <t>123-03-5</t>
  </si>
  <si>
    <t>75-65-0</t>
  </si>
  <si>
    <t>125590-73-0</t>
  </si>
  <si>
    <t>13980-00-2</t>
  </si>
  <si>
    <t>40596-80-3</t>
  </si>
  <si>
    <t>107-10-8</t>
  </si>
  <si>
    <t>53404-19-6</t>
  </si>
  <si>
    <t>2156-97-0</t>
  </si>
  <si>
    <t>21829-25-4</t>
  </si>
  <si>
    <t>87-11-6</t>
  </si>
  <si>
    <t>10311-84-9</t>
  </si>
  <si>
    <t>93-76-5</t>
  </si>
  <si>
    <t>25059-80-7</t>
  </si>
  <si>
    <t>2682-20-4</t>
  </si>
  <si>
    <t>120-51-4</t>
  </si>
  <si>
    <t>629-62-9</t>
  </si>
  <si>
    <t>2098-66-0</t>
  </si>
  <si>
    <t>4602-84-0</t>
  </si>
  <si>
    <t>2224-44-4</t>
  </si>
  <si>
    <t>1929-86-8</t>
  </si>
  <si>
    <t>93697-74-6</t>
  </si>
  <si>
    <t>17606-31-4</t>
  </si>
  <si>
    <t>78491-02-8</t>
  </si>
  <si>
    <t>71758-44-6</t>
  </si>
  <si>
    <t>1702-17-6</t>
  </si>
  <si>
    <t>288-13-1</t>
  </si>
  <si>
    <t>103055-07-8</t>
  </si>
  <si>
    <t>24934-91-6</t>
  </si>
  <si>
    <t>89-79-2</t>
  </si>
  <si>
    <t>116-29-0</t>
  </si>
  <si>
    <t>10458-14-7</t>
  </si>
  <si>
    <t>83066-88-0</t>
  </si>
  <si>
    <t>62571-86-2</t>
  </si>
  <si>
    <t>7212-44-4</t>
  </si>
  <si>
    <t>51218-49-6</t>
  </si>
  <si>
    <t>100-01-6</t>
  </si>
  <si>
    <t>2764-72-9</t>
  </si>
  <si>
    <t>95-06-7</t>
  </si>
  <si>
    <t>88283-41-4</t>
  </si>
  <si>
    <t>141280-04-8</t>
  </si>
  <si>
    <t>85-01-8</t>
  </si>
  <si>
    <t>75-91-2</t>
  </si>
  <si>
    <t>2492-26-4</t>
  </si>
  <si>
    <t>7696-12-0</t>
  </si>
  <si>
    <t>14088-71-2</t>
  </si>
  <si>
    <t>14433-76-2</t>
  </si>
  <si>
    <t>4849-32-5</t>
  </si>
  <si>
    <t>3085-42-5</t>
  </si>
  <si>
    <t>65343-67-1</t>
  </si>
  <si>
    <t>31502-57-5</t>
  </si>
  <si>
    <t>131-11-3</t>
  </si>
  <si>
    <t>23210-56-2</t>
  </si>
  <si>
    <t>104-42-7</t>
  </si>
  <si>
    <t>38727-55-8</t>
  </si>
  <si>
    <t>92-52-4</t>
  </si>
  <si>
    <t>145307-17-1</t>
  </si>
  <si>
    <t>107-49-3</t>
  </si>
  <si>
    <t>80-35-3</t>
  </si>
  <si>
    <t>52508-35-7</t>
  </si>
  <si>
    <t>136-25-4</t>
  </si>
  <si>
    <t>101463-69-8</t>
  </si>
  <si>
    <t>72-56-0</t>
  </si>
  <si>
    <t>14168-42-4</t>
  </si>
  <si>
    <t>139-87-7</t>
  </si>
  <si>
    <t>94-09-7</t>
  </si>
  <si>
    <t>93-15-2</t>
  </si>
  <si>
    <t>121-44-8</t>
  </si>
  <si>
    <t>95977-29-0</t>
  </si>
  <si>
    <t>107-19-7</t>
  </si>
  <si>
    <t>1135-24-6</t>
  </si>
  <si>
    <t>2439-00-1</t>
  </si>
  <si>
    <t>123-72-8</t>
  </si>
  <si>
    <t>112-70-9</t>
  </si>
  <si>
    <t>2687-96-9</t>
  </si>
  <si>
    <t>93-65-2</t>
  </si>
  <si>
    <t>76-22-2</t>
  </si>
  <si>
    <t>54992-23-3</t>
  </si>
  <si>
    <t>92-04-6</t>
  </si>
  <si>
    <t>108-18-9</t>
  </si>
  <si>
    <t>94051-08-8</t>
  </si>
  <si>
    <t>7785-26-4</t>
  </si>
  <si>
    <t>74-89-5</t>
  </si>
  <si>
    <t>42615-29-2</t>
  </si>
  <si>
    <t>201742-26-9</t>
  </si>
  <si>
    <t>584-84-9</t>
  </si>
  <si>
    <t>112-12-9</t>
  </si>
  <si>
    <t>85977-73-7</t>
  </si>
  <si>
    <t>57-14-7</t>
  </si>
  <si>
    <t>54003-27-9</t>
  </si>
  <si>
    <t>22037-97-4</t>
  </si>
  <si>
    <t>96-31-1</t>
  </si>
  <si>
    <t>562-74-3</t>
  </si>
  <si>
    <t>29091-05-2</t>
  </si>
  <si>
    <t>121-25-5</t>
  </si>
  <si>
    <t>70-30-4</t>
  </si>
  <si>
    <t>75-04-7</t>
  </si>
  <si>
    <t>5736-15-2</t>
  </si>
  <si>
    <t>75-52-5</t>
  </si>
  <si>
    <t>13411-16-0</t>
  </si>
  <si>
    <t>628-63-7</t>
  </si>
  <si>
    <t>110-73-6</t>
  </si>
  <si>
    <t>13710-19-5</t>
  </si>
  <si>
    <t>72-43-5</t>
  </si>
  <si>
    <t>2372-82-9</t>
  </si>
  <si>
    <t>88150-42-9</t>
  </si>
  <si>
    <t>28772-56-7</t>
  </si>
  <si>
    <t>110-96-3</t>
  </si>
  <si>
    <t>491-54-3</t>
  </si>
  <si>
    <t>1675-54-3</t>
  </si>
  <si>
    <t>68-12-2</t>
  </si>
  <si>
    <t>121-57-3</t>
  </si>
  <si>
    <t>126801-58-9</t>
  </si>
  <si>
    <t>58-14-0</t>
  </si>
  <si>
    <t>886-65-7</t>
  </si>
  <si>
    <t>102-82-9</t>
  </si>
  <si>
    <t>74-83-9</t>
  </si>
  <si>
    <t>17303-67-2</t>
  </si>
  <si>
    <t>125116-23-6</t>
  </si>
  <si>
    <t>2636-26-2</t>
  </si>
  <si>
    <t>872-50-4</t>
  </si>
  <si>
    <t>57-06-7</t>
  </si>
  <si>
    <t>79-92-5</t>
  </si>
  <si>
    <t>21259-20-1</t>
  </si>
  <si>
    <t>907204-31-3</t>
  </si>
  <si>
    <t>57-67-0</t>
  </si>
  <si>
    <t>7677-24-9</t>
  </si>
  <si>
    <t>3194-55-6</t>
  </si>
  <si>
    <t>97553-90-7</t>
  </si>
  <si>
    <t>85-22-3</t>
  </si>
  <si>
    <t>3478-94-2</t>
  </si>
  <si>
    <t>464-49-3</t>
  </si>
  <si>
    <t>51481-61-9</t>
  </si>
  <si>
    <t>603-34-9</t>
  </si>
  <si>
    <t>504-24-5</t>
  </si>
  <si>
    <t>108-73-6</t>
  </si>
  <si>
    <t>41591-87-1</t>
  </si>
  <si>
    <t>307-55-1</t>
  </si>
  <si>
    <t>62-50-0</t>
  </si>
  <si>
    <t>75-25-2</t>
  </si>
  <si>
    <t>83-26-1</t>
  </si>
  <si>
    <t>1007-28-9</t>
  </si>
  <si>
    <t>66-22-8</t>
  </si>
  <si>
    <t>14360-50-0</t>
  </si>
  <si>
    <t>105024-66-6</t>
  </si>
  <si>
    <t>141318-03-8</t>
  </si>
  <si>
    <t>100-37-8</t>
  </si>
  <si>
    <t>129-03-3</t>
  </si>
  <si>
    <t>657-24-9</t>
  </si>
  <si>
    <t>61-33-6</t>
  </si>
  <si>
    <t>29082-74-4</t>
  </si>
  <si>
    <t>111353-84-5</t>
  </si>
  <si>
    <t>2163-68-0</t>
  </si>
  <si>
    <t>106-44-5</t>
  </si>
  <si>
    <t>120-32-1</t>
  </si>
  <si>
    <t>64-19-7</t>
  </si>
  <si>
    <t>767-00-0</t>
  </si>
  <si>
    <t>79-31-2</t>
  </si>
  <si>
    <t>145307-19-3</t>
  </si>
  <si>
    <t>19932-84-4</t>
  </si>
  <si>
    <t>50-65-7</t>
  </si>
  <si>
    <t>3397-62-4</t>
  </si>
  <si>
    <t>626-23-3</t>
  </si>
  <si>
    <t>554-00-7</t>
  </si>
  <si>
    <t>877-43-0</t>
  </si>
  <si>
    <t>79-19-6</t>
  </si>
  <si>
    <t>506-96-7</t>
  </si>
  <si>
    <t>75-36-5</t>
  </si>
  <si>
    <t>28434-00-6</t>
  </si>
  <si>
    <t>485-31-4</t>
  </si>
  <si>
    <t>37764-25-3</t>
  </si>
  <si>
    <t>54-11-5</t>
  </si>
  <si>
    <t>69004-03-1</t>
  </si>
  <si>
    <t>119-80-2</t>
  </si>
  <si>
    <t>140-57-8</t>
  </si>
  <si>
    <t>71-36-3</t>
  </si>
  <si>
    <t>65695-97-8</t>
  </si>
  <si>
    <t>5051-22-9</t>
  </si>
  <si>
    <t>3808-87-5</t>
  </si>
  <si>
    <t>80471-63-2</t>
  </si>
  <si>
    <t>462-18-0</t>
  </si>
  <si>
    <t>100-44-7</t>
  </si>
  <si>
    <t>57-55-6</t>
  </si>
  <si>
    <t>56-89-3</t>
  </si>
  <si>
    <t>119-61-9</t>
  </si>
  <si>
    <t>71939-50-9</t>
  </si>
  <si>
    <t>62-56-6</t>
  </si>
  <si>
    <t>99-61-6</t>
  </si>
  <si>
    <t>127-69-5</t>
  </si>
  <si>
    <t>120-83-2</t>
  </si>
  <si>
    <t>484-47-9</t>
  </si>
  <si>
    <t>22259-30-9</t>
  </si>
  <si>
    <t>41096-46-2</t>
  </si>
  <si>
    <t>521-11-9</t>
  </si>
  <si>
    <t>99-96-7</t>
  </si>
  <si>
    <t>78-81-9</t>
  </si>
  <si>
    <t>6629-29-4</t>
  </si>
  <si>
    <t>55-18-5</t>
  </si>
  <si>
    <t>125-84-8</t>
  </si>
  <si>
    <t>532-94-5</t>
  </si>
  <si>
    <t>144-82-1</t>
  </si>
  <si>
    <t>106-22-9</t>
  </si>
  <si>
    <t>333-20-0</t>
  </si>
  <si>
    <t>59-40-5</t>
  </si>
  <si>
    <t>7700-17-6</t>
  </si>
  <si>
    <t>82560-54-1</t>
  </si>
  <si>
    <t>86-40-8</t>
  </si>
  <si>
    <t>35572-78-2</t>
  </si>
  <si>
    <t>127-91-3</t>
  </si>
  <si>
    <t>576-26-1</t>
  </si>
  <si>
    <t>3060-89-7</t>
  </si>
  <si>
    <t>19406-51-0</t>
  </si>
  <si>
    <t>1139-30-6</t>
  </si>
  <si>
    <t>15545-48-9</t>
  </si>
  <si>
    <t>142-84-7</t>
  </si>
  <si>
    <t>303-81-1</t>
  </si>
  <si>
    <t>31638-89-8</t>
  </si>
  <si>
    <t>109-21-7</t>
  </si>
  <si>
    <t>110-58-7</t>
  </si>
  <si>
    <t>75-85-4</t>
  </si>
  <si>
    <t>129-00-0</t>
  </si>
  <si>
    <t>13350-71-5</t>
  </si>
  <si>
    <t>112-02-7</t>
  </si>
  <si>
    <t>532-34-3</t>
  </si>
  <si>
    <t>52888-80-9</t>
  </si>
  <si>
    <t>13181-17-4</t>
  </si>
  <si>
    <t>14214-32-5</t>
  </si>
  <si>
    <t>34681-10-2</t>
  </si>
  <si>
    <t>107-07-3</t>
  </si>
  <si>
    <t>123-54-6</t>
  </si>
  <si>
    <t>1204-21-3</t>
  </si>
  <si>
    <t>3698-83-7</t>
  </si>
  <si>
    <t>75-99-0</t>
  </si>
  <si>
    <t>112-36-7</t>
  </si>
  <si>
    <t>93-08-3</t>
  </si>
  <si>
    <t>120-12-7</t>
  </si>
  <si>
    <t>117-80-6</t>
  </si>
  <si>
    <t>75-09-2</t>
  </si>
  <si>
    <t>2104-96-3</t>
  </si>
  <si>
    <t>97-00-7</t>
  </si>
  <si>
    <t>110-54-3</t>
  </si>
  <si>
    <t>111-70-6</t>
  </si>
  <si>
    <t>106-69-4</t>
  </si>
  <si>
    <t>100-97-0</t>
  </si>
  <si>
    <t>78-83-1</t>
  </si>
  <si>
    <t>105-37-3</t>
  </si>
  <si>
    <t>107-11-9</t>
  </si>
  <si>
    <t>95-48-7</t>
  </si>
  <si>
    <t>90-02-8</t>
  </si>
  <si>
    <t>650-51-1</t>
  </si>
  <si>
    <t>95-49-8</t>
  </si>
  <si>
    <t>1634-04-4</t>
  </si>
  <si>
    <t>75-15-0</t>
  </si>
  <si>
    <t>577-11-7</t>
  </si>
  <si>
    <t>2655-14-3</t>
  </si>
  <si>
    <t>66860-80-8</t>
  </si>
  <si>
    <t>57-74-9</t>
  </si>
  <si>
    <t>39807-15-3</t>
  </si>
  <si>
    <t>2539-17-5</t>
  </si>
  <si>
    <t>1740-19-8</t>
  </si>
  <si>
    <t>2270-40-8</t>
  </si>
  <si>
    <t>83-88-5</t>
  </si>
  <si>
    <t>654-66-0</t>
  </si>
  <si>
    <t>141-78-6</t>
  </si>
  <si>
    <t>110-86-1</t>
  </si>
  <si>
    <t>584-79-2</t>
  </si>
  <si>
    <t>15263-53-3</t>
  </si>
  <si>
    <t>108-88-3</t>
  </si>
  <si>
    <t>1746-81-2</t>
  </si>
  <si>
    <t>118-95-6</t>
  </si>
  <si>
    <t>32809-16-8</t>
  </si>
  <si>
    <t>3811-49-2</t>
  </si>
  <si>
    <t>17109-49-8</t>
  </si>
  <si>
    <t>148-24-3</t>
  </si>
  <si>
    <t>107-41-5</t>
  </si>
  <si>
    <t>34911-46-1</t>
  </si>
  <si>
    <t>27541-88-4</t>
  </si>
  <si>
    <t>309-00-2</t>
  </si>
  <si>
    <t>1129-41-5</t>
  </si>
  <si>
    <t>19398-13-1</t>
  </si>
  <si>
    <t>19480-43-4</t>
  </si>
  <si>
    <t>143-08-8</t>
  </si>
  <si>
    <t>77-99-6</t>
  </si>
  <si>
    <t>111-27-3</t>
  </si>
  <si>
    <t>112-42-5</t>
  </si>
  <si>
    <t>109-66-0</t>
  </si>
  <si>
    <t>142-82-5</t>
  </si>
  <si>
    <t>112-00-5</t>
  </si>
  <si>
    <t>311-45-5</t>
  </si>
  <si>
    <t>57369-32-1</t>
  </si>
  <si>
    <t>126-73-8</t>
  </si>
  <si>
    <t>319-84-6</t>
  </si>
  <si>
    <t>319-86-8</t>
  </si>
  <si>
    <t>87-61-6</t>
  </si>
  <si>
    <t>38260-54-7</t>
  </si>
  <si>
    <t>13593-03-8</t>
  </si>
  <si>
    <t>33878-50-1</t>
  </si>
  <si>
    <t>100-66-3</t>
  </si>
  <si>
    <t>59-87-0</t>
  </si>
  <si>
    <t>76-44-8</t>
  </si>
  <si>
    <t>120-82-1</t>
  </si>
  <si>
    <t>62-75-9</t>
  </si>
  <si>
    <t>108-05-4</t>
  </si>
  <si>
    <t>9004-81-3</t>
  </si>
  <si>
    <t>117-18-0</t>
  </si>
  <si>
    <t>58-90-2</t>
  </si>
  <si>
    <t>88-75-5</t>
  </si>
  <si>
    <t>1014-70-6</t>
  </si>
  <si>
    <t>79-00-5</t>
  </si>
  <si>
    <t>1836-75-5</t>
  </si>
  <si>
    <t>131-89-5</t>
  </si>
  <si>
    <t>3416-17-9</t>
  </si>
  <si>
    <t>78-34-2</t>
  </si>
  <si>
    <t>67129-08-2</t>
  </si>
  <si>
    <t>55792-61-5</t>
  </si>
  <si>
    <t>67-72-1</t>
  </si>
  <si>
    <t>100-25-4</t>
  </si>
  <si>
    <t>111-15-9</t>
  </si>
  <si>
    <t>118-55-8</t>
  </si>
  <si>
    <t>118-61-6</t>
  </si>
  <si>
    <t>95-47-6</t>
  </si>
  <si>
    <t>111-90-0</t>
  </si>
  <si>
    <t>115-20-8</t>
  </si>
  <si>
    <t>771-60-8</t>
  </si>
  <si>
    <t>434-64-0</t>
  </si>
  <si>
    <t>392-56-3</t>
  </si>
  <si>
    <t>355-68-0</t>
  </si>
  <si>
    <t>355-02-2</t>
  </si>
  <si>
    <t>577-19-5</t>
  </si>
  <si>
    <t>627-30-5</t>
  </si>
  <si>
    <t>1471-17-6</t>
  </si>
  <si>
    <t>21386-21-0</t>
  </si>
  <si>
    <t>19758-05-5</t>
  </si>
  <si>
    <t>19161-30-9</t>
  </si>
  <si>
    <t>17826-68-5</t>
  </si>
  <si>
    <t>17823-38-0</t>
  </si>
  <si>
    <t>308-24-7</t>
  </si>
  <si>
    <t>97-23-4</t>
  </si>
  <si>
    <t>626-43-7</t>
  </si>
  <si>
    <t>90-15-3</t>
  </si>
  <si>
    <t>475-20-7</t>
  </si>
  <si>
    <t>299-85-4</t>
  </si>
  <si>
    <t>299-84-3</t>
  </si>
  <si>
    <t>956-48-9</t>
  </si>
  <si>
    <t>67-45-8</t>
  </si>
  <si>
    <t>1162-65-8</t>
  </si>
  <si>
    <t>75-21-8</t>
  </si>
  <si>
    <t>2642-71-9</t>
  </si>
  <si>
    <t>87-68-3</t>
  </si>
  <si>
    <t>1835-65-0</t>
  </si>
  <si>
    <t>1835-49-0</t>
  </si>
  <si>
    <t>773-82-0</t>
  </si>
  <si>
    <t>771-62-0</t>
  </si>
  <si>
    <t>771-61-9</t>
  </si>
  <si>
    <t>121-46-0</t>
  </si>
  <si>
    <t>112-34-5</t>
  </si>
  <si>
    <t>112-27-6</t>
  </si>
  <si>
    <t>93-72-1</t>
  </si>
  <si>
    <t>2545-59-7</t>
  </si>
  <si>
    <t>105-67-9</t>
  </si>
  <si>
    <t>112-65-2</t>
  </si>
  <si>
    <t>2461-15-6</t>
  </si>
  <si>
    <t>3033-77-0</t>
  </si>
  <si>
    <t>3452-97-9</t>
  </si>
  <si>
    <t>108-67-8</t>
  </si>
  <si>
    <t>1445-75-6</t>
  </si>
  <si>
    <t>77-73-6</t>
  </si>
  <si>
    <t>60-34-4</t>
  </si>
  <si>
    <t>33442-83-0</t>
  </si>
  <si>
    <t>1191-50-0</t>
  </si>
  <si>
    <t>106-47-8</t>
  </si>
  <si>
    <t>26259-45-0</t>
  </si>
  <si>
    <t>24151-93-7</t>
  </si>
  <si>
    <t>22936-75-0</t>
  </si>
  <si>
    <t>10108-86-8</t>
  </si>
  <si>
    <t>13150-00-0</t>
  </si>
  <si>
    <t>535-83-1</t>
  </si>
  <si>
    <t>2200-70-6</t>
  </si>
  <si>
    <t>16583-07-6</t>
  </si>
  <si>
    <t>16583-02-1</t>
  </si>
  <si>
    <t>16582-99-3</t>
  </si>
  <si>
    <t>16582-98-2</t>
  </si>
  <si>
    <t>16582-87-9</t>
  </si>
  <si>
    <t>10585-07-6</t>
  </si>
  <si>
    <t>10386-84-2</t>
  </si>
  <si>
    <t>10311-26-9</t>
  </si>
  <si>
    <t>6257-03-0</t>
  </si>
  <si>
    <t>5580-84-7</t>
  </si>
  <si>
    <t>5580-83-6</t>
  </si>
  <si>
    <t>314-41-0</t>
  </si>
  <si>
    <t>3905-96-2</t>
  </si>
  <si>
    <t>17823-37-9</t>
  </si>
  <si>
    <t>5510-39-4</t>
  </si>
  <si>
    <t>28520-20-9</t>
  </si>
  <si>
    <t>28520-18-5</t>
  </si>
  <si>
    <t>28442-30-0</t>
  </si>
  <si>
    <t>28442-27-5</t>
  </si>
  <si>
    <t>28442-22-0</t>
  </si>
  <si>
    <t>28442-18-4</t>
  </si>
  <si>
    <t>16768-38-0</t>
  </si>
  <si>
    <t>28042-88-8</t>
  </si>
  <si>
    <t>17823-35-7</t>
  </si>
  <si>
    <t>28041-62-5</t>
  </si>
  <si>
    <t>28041-61-4</t>
  </si>
  <si>
    <t>26666-56-8</t>
  </si>
  <si>
    <t>6980-18-3</t>
  </si>
  <si>
    <t>97-77-8</t>
  </si>
  <si>
    <t>97-74-5</t>
  </si>
  <si>
    <t>634-83-3</t>
  </si>
  <si>
    <t>57157-80-9</t>
  </si>
  <si>
    <t>85-44-9</t>
  </si>
  <si>
    <t>636-30-6</t>
  </si>
  <si>
    <t>319-85-7</t>
  </si>
  <si>
    <t>5274-68-0</t>
  </si>
  <si>
    <t>108-20-3</t>
  </si>
  <si>
    <t>108-38-3</t>
  </si>
  <si>
    <t>98-73-7</t>
  </si>
  <si>
    <t>2386-53-0</t>
  </si>
  <si>
    <t>7378-99-6</t>
  </si>
  <si>
    <t>5137-55-3</t>
  </si>
  <si>
    <t>106-43-4</t>
  </si>
  <si>
    <t>108-42-9</t>
  </si>
  <si>
    <t>527-20-8</t>
  </si>
  <si>
    <t>78-93-3</t>
  </si>
  <si>
    <t>22431-62-5</t>
  </si>
  <si>
    <t>111-76-2</t>
  </si>
  <si>
    <t>112-18-5</t>
  </si>
  <si>
    <t>112-53-8</t>
  </si>
  <si>
    <t>105-75-9</t>
  </si>
  <si>
    <t>124-02-7</t>
  </si>
  <si>
    <t>100-42-5</t>
  </si>
  <si>
    <t>123-34-2</t>
  </si>
  <si>
    <t>107-05-1</t>
  </si>
  <si>
    <t>64-18-6</t>
  </si>
  <si>
    <t>1563-38-8</t>
  </si>
  <si>
    <t>2275-23-2</t>
  </si>
  <si>
    <t>108-39-4</t>
  </si>
  <si>
    <t>98-95-3</t>
  </si>
  <si>
    <t>540-72-7</t>
  </si>
  <si>
    <t>2274-99-9</t>
  </si>
  <si>
    <t>626-93-7</t>
  </si>
  <si>
    <t>106-89-8</t>
  </si>
  <si>
    <t>123-86-4</t>
  </si>
  <si>
    <t>100-47-0</t>
  </si>
  <si>
    <t>109-46-6</t>
  </si>
  <si>
    <t>2782-91-4</t>
  </si>
  <si>
    <t>298-07-7</t>
  </si>
  <si>
    <t>13457-18-6</t>
  </si>
  <si>
    <t>71561-11-0</t>
  </si>
  <si>
    <t>83657-22-1</t>
  </si>
  <si>
    <t>139-13-9</t>
  </si>
  <si>
    <t>100-41-4</t>
  </si>
  <si>
    <t>3347-22-6</t>
  </si>
  <si>
    <t>535-89-7</t>
  </si>
  <si>
    <t>18467-77-1</t>
  </si>
  <si>
    <t>18181-70-9</t>
  </si>
  <si>
    <t>71531-34-5</t>
  </si>
  <si>
    <t>108-10-1</t>
  </si>
  <si>
    <t>80-62-6</t>
  </si>
  <si>
    <t>78-79-5</t>
  </si>
  <si>
    <t>108-11-2</t>
  </si>
  <si>
    <t>86-73-7</t>
  </si>
  <si>
    <t>95-93-2</t>
  </si>
  <si>
    <t>91-57-6</t>
  </si>
  <si>
    <t>90-12-0</t>
  </si>
  <si>
    <t>95-63-6</t>
  </si>
  <si>
    <t>4316-42-1</t>
  </si>
  <si>
    <t>19902-04-6</t>
  </si>
  <si>
    <t>544-25-2</t>
  </si>
  <si>
    <t>504-63-2</t>
  </si>
  <si>
    <t>481-39-0</t>
  </si>
  <si>
    <t>149-31-5</t>
  </si>
  <si>
    <t>87-62-7</t>
  </si>
  <si>
    <t>121-69-7</t>
  </si>
  <si>
    <t>95-53-4</t>
  </si>
  <si>
    <t>13674-87-8</t>
  </si>
  <si>
    <t>306-52-5</t>
  </si>
  <si>
    <t>100-61-8</t>
  </si>
  <si>
    <t>17109-36-3</t>
  </si>
  <si>
    <t>106-95-6</t>
  </si>
  <si>
    <t>110-49-6</t>
  </si>
  <si>
    <t>106-92-3</t>
  </si>
  <si>
    <t>96-24-2</t>
  </si>
  <si>
    <t>75-98-9</t>
  </si>
  <si>
    <t>78-92-2</t>
  </si>
  <si>
    <t>78-96-6</t>
  </si>
  <si>
    <t>96-23-1</t>
  </si>
  <si>
    <t>109-59-1</t>
  </si>
  <si>
    <t>98-51-1</t>
  </si>
  <si>
    <t>102-71-6</t>
  </si>
  <si>
    <t>109-70-6</t>
  </si>
  <si>
    <t>71379-75-4</t>
  </si>
  <si>
    <t>504-20-1</t>
  </si>
  <si>
    <t>18530-56-8</t>
  </si>
  <si>
    <t>4904-61-4</t>
  </si>
  <si>
    <t>563-47-3</t>
  </si>
  <si>
    <t>142-28-9</t>
  </si>
  <si>
    <t>112-50-5</t>
  </si>
  <si>
    <t>95-57-8</t>
  </si>
  <si>
    <t>541-85-5</t>
  </si>
  <si>
    <t>110-97-4</t>
  </si>
  <si>
    <t>122-60-1</t>
  </si>
  <si>
    <t>110-82-7</t>
  </si>
  <si>
    <t>126-33-0</t>
  </si>
  <si>
    <t>108-68-9</t>
  </si>
  <si>
    <t>110-80-5</t>
  </si>
  <si>
    <t>123-42-2</t>
  </si>
  <si>
    <t>23504-07-6</t>
  </si>
  <si>
    <t>841-06-5</t>
  </si>
  <si>
    <t>33693-04-8</t>
  </si>
  <si>
    <t>119-38-0</t>
  </si>
  <si>
    <t>1967-16-4</t>
  </si>
  <si>
    <t>2079-00-7</t>
  </si>
  <si>
    <t>3761-60-2</t>
  </si>
  <si>
    <t>2275-14-1</t>
  </si>
  <si>
    <t>6988-21-2</t>
  </si>
  <si>
    <t>77-92-9</t>
  </si>
  <si>
    <t>93-89-0</t>
  </si>
  <si>
    <t>108-86-1</t>
  </si>
  <si>
    <t>609-19-8</t>
  </si>
  <si>
    <t>2668-24-8</t>
  </si>
  <si>
    <t>1126-79-0</t>
  </si>
  <si>
    <t>275-51-4</t>
  </si>
  <si>
    <t>78-59-1</t>
  </si>
  <si>
    <t>3209-22-1</t>
  </si>
  <si>
    <t>78-87-5</t>
  </si>
  <si>
    <t>75-07-0</t>
  </si>
  <si>
    <t>61949-76-6</t>
  </si>
  <si>
    <t>959-98-8</t>
  </si>
  <si>
    <t>33213-65-9</t>
  </si>
  <si>
    <t>584-02-1</t>
  </si>
  <si>
    <t>76-01-7</t>
  </si>
  <si>
    <t>38444-84-7</t>
  </si>
  <si>
    <t>587-98-4</t>
  </si>
  <si>
    <t>534-52-1</t>
  </si>
  <si>
    <t>385-00-2</t>
  </si>
  <si>
    <t>4376-20-9</t>
  </si>
  <si>
    <t>104-76-7</t>
  </si>
  <si>
    <t>89-61-2</t>
  </si>
  <si>
    <t>88-73-3</t>
  </si>
  <si>
    <t>634-67-3</t>
  </si>
  <si>
    <t>89-59-8</t>
  </si>
  <si>
    <t>28288-05-3</t>
  </si>
  <si>
    <t>108-87-2</t>
  </si>
  <si>
    <t>65732-07-2</t>
  </si>
  <si>
    <t>66827-38-1</t>
  </si>
  <si>
    <t>229-87-8</t>
  </si>
  <si>
    <t>2051-62-9</t>
  </si>
  <si>
    <t>935-95-5</t>
  </si>
  <si>
    <t>634-90-2</t>
  </si>
  <si>
    <t>77-71-4</t>
  </si>
  <si>
    <t>91-22-5</t>
  </si>
  <si>
    <t>135-19-3</t>
  </si>
  <si>
    <t>260-94-6</t>
  </si>
  <si>
    <t>140-38-5</t>
  </si>
  <si>
    <t>88-99-3</t>
  </si>
  <si>
    <t>21609-90-5</t>
  </si>
  <si>
    <t>85-02-9</t>
  </si>
  <si>
    <t>230-27-3</t>
  </si>
  <si>
    <t>225-11-6</t>
  </si>
  <si>
    <t>107-64-2</t>
  </si>
  <si>
    <t>3211-76-5</t>
  </si>
  <si>
    <t>115-86-6</t>
  </si>
  <si>
    <t>148-18-5</t>
  </si>
  <si>
    <t>2556-42-5</t>
  </si>
  <si>
    <t>632-22-4</t>
  </si>
  <si>
    <t>33813-20-6</t>
  </si>
  <si>
    <t>2008-58-4</t>
  </si>
  <si>
    <t>1634-02-2</t>
  </si>
  <si>
    <t>120-93-4</t>
  </si>
  <si>
    <t>461-72-3</t>
  </si>
  <si>
    <t>2686-99-9</t>
  </si>
  <si>
    <t>64047-88-7</t>
  </si>
  <si>
    <t>65195-55-3</t>
  </si>
  <si>
    <t>1241-94-7</t>
  </si>
  <si>
    <t>556-67-2</t>
  </si>
  <si>
    <t>18181-80-1</t>
  </si>
  <si>
    <t>919-86-8</t>
  </si>
  <si>
    <t>144-54-7</t>
  </si>
  <si>
    <t>95-51-2</t>
  </si>
  <si>
    <t>99-99-0</t>
  </si>
  <si>
    <t>83-41-0</t>
  </si>
  <si>
    <t>83-42-1</t>
  </si>
  <si>
    <t>88-72-2</t>
  </si>
  <si>
    <t>13738-63-1</t>
  </si>
  <si>
    <t>20115-34-8</t>
  </si>
  <si>
    <t>598-16-3</t>
  </si>
  <si>
    <t>108-85-0</t>
  </si>
  <si>
    <t>110-83-8</t>
  </si>
  <si>
    <t>3281-96-7</t>
  </si>
  <si>
    <t>90717-03-6</t>
  </si>
  <si>
    <t>10552-74-6</t>
  </si>
  <si>
    <t>101205-02-1</t>
  </si>
  <si>
    <t>1593-77-7</t>
  </si>
  <si>
    <t>578-54-1</t>
  </si>
  <si>
    <t>99-51-4</t>
  </si>
  <si>
    <t>100-00-5</t>
  </si>
  <si>
    <t>95-82-9</t>
  </si>
  <si>
    <t>103-69-5</t>
  </si>
  <si>
    <t>121-73-3</t>
  </si>
  <si>
    <t>618-62-2</t>
  </si>
  <si>
    <t>611-06-3</t>
  </si>
  <si>
    <t>589-16-2</t>
  </si>
  <si>
    <t>148-01-6</t>
  </si>
  <si>
    <t>25875-51-8</t>
  </si>
  <si>
    <t>1420-07-1</t>
  </si>
  <si>
    <t>302-17-0</t>
  </si>
  <si>
    <t>55634-91-8</t>
  </si>
  <si>
    <t>83164-33-4</t>
  </si>
  <si>
    <t>51249-05-9</t>
  </si>
  <si>
    <t>61213-25-0</t>
  </si>
  <si>
    <t>87-65-0</t>
  </si>
  <si>
    <t>680-31-9</t>
  </si>
  <si>
    <t>89784-60-1</t>
  </si>
  <si>
    <t>2674-91-1</t>
  </si>
  <si>
    <t>2797-51-5</t>
  </si>
  <si>
    <t>2307-68-8</t>
  </si>
  <si>
    <t>23564-06-9</t>
  </si>
  <si>
    <t>27355-22-2</t>
  </si>
  <si>
    <t>27949-52-6</t>
  </si>
  <si>
    <t>6164-98-3</t>
  </si>
  <si>
    <t>2303-25-5</t>
  </si>
  <si>
    <t>6392-46-7</t>
  </si>
  <si>
    <t>6119-92-2</t>
  </si>
  <si>
    <t>5349-28-0</t>
  </si>
  <si>
    <t>97-17-6</t>
  </si>
  <si>
    <t>15457-05-3</t>
  </si>
  <si>
    <t>5903-13-9</t>
  </si>
  <si>
    <t>1630-17-7</t>
  </si>
  <si>
    <t>297-78-9</t>
  </si>
  <si>
    <t>29104-30-1</t>
  </si>
  <si>
    <t>1086-02-8</t>
  </si>
  <si>
    <t>3942-54-9</t>
  </si>
  <si>
    <t>3309-87-3</t>
  </si>
  <si>
    <t>59720-42-2</t>
  </si>
  <si>
    <t>1820-81-1</t>
  </si>
  <si>
    <t>36557-27-4</t>
  </si>
  <si>
    <t>15067-52-4</t>
  </si>
  <si>
    <t>142-96-1</t>
  </si>
  <si>
    <t>107-06-2</t>
  </si>
  <si>
    <t>602-01-7</t>
  </si>
  <si>
    <t>141-33-3</t>
  </si>
  <si>
    <t>88-74-4</t>
  </si>
  <si>
    <t>31431-39-7</t>
  </si>
  <si>
    <t>95-74-9</t>
  </si>
  <si>
    <t>7149-79-3</t>
  </si>
  <si>
    <t>1982-42-9</t>
  </si>
  <si>
    <t>2782-70-9</t>
  </si>
  <si>
    <t>72178-02-0</t>
  </si>
  <si>
    <t>7003-89-6</t>
  </si>
  <si>
    <t>74070-46-5</t>
  </si>
  <si>
    <t>2464-37-1</t>
  </si>
  <si>
    <t>50563-36-5</t>
  </si>
  <si>
    <t>57646-30-7</t>
  </si>
  <si>
    <t>2540-82-1</t>
  </si>
  <si>
    <t>591-21-9</t>
  </si>
  <si>
    <t>1678-91-7</t>
  </si>
  <si>
    <t>115-31-1</t>
  </si>
  <si>
    <t>583-57-3</t>
  </si>
  <si>
    <t>589-90-2</t>
  </si>
  <si>
    <t>590-66-9</t>
  </si>
  <si>
    <t>89-72-5</t>
  </si>
  <si>
    <t>2446-69-7</t>
  </si>
  <si>
    <t>99-71-8</t>
  </si>
  <si>
    <t>80-46-6</t>
  </si>
  <si>
    <t>104-43-8</t>
  </si>
  <si>
    <t>88-18-6</t>
  </si>
  <si>
    <t>22248-79-9</t>
  </si>
  <si>
    <t>132-64-9</t>
  </si>
  <si>
    <t>101-84-8</t>
  </si>
  <si>
    <t>2234-13-1</t>
  </si>
  <si>
    <t>110-88-3</t>
  </si>
  <si>
    <t>127-20-8</t>
  </si>
  <si>
    <t>87546-18-7</t>
  </si>
  <si>
    <t>21923-23-9</t>
  </si>
  <si>
    <t>22555-16-4</t>
  </si>
  <si>
    <t>1757-18-2</t>
  </si>
  <si>
    <t>327-98-0</t>
  </si>
  <si>
    <t>629-97-0</t>
  </si>
  <si>
    <t>94-62-2</t>
  </si>
  <si>
    <t>13366-73-9</t>
  </si>
  <si>
    <t>3212-28-0</t>
  </si>
  <si>
    <t>99-55-8</t>
  </si>
  <si>
    <t>646-06-0</t>
  </si>
  <si>
    <t>85-69-8</t>
  </si>
  <si>
    <t>67-43-6</t>
  </si>
  <si>
    <t>49866-87-7</t>
  </si>
  <si>
    <t>95-94-3</t>
  </si>
  <si>
    <t>108-70-3</t>
  </si>
  <si>
    <t>465-73-6</t>
  </si>
  <si>
    <t>34622-58-7</t>
  </si>
  <si>
    <t>35575-96-3</t>
  </si>
  <si>
    <t>56840-61-0</t>
  </si>
  <si>
    <t>66246-88-6</t>
  </si>
  <si>
    <t>2813-95-8</t>
  </si>
  <si>
    <t>69581-33-5</t>
  </si>
  <si>
    <t>3648-20-2</t>
  </si>
  <si>
    <t>78-99-9</t>
  </si>
  <si>
    <t>120-92-3</t>
  </si>
  <si>
    <t>122-79-2</t>
  </si>
  <si>
    <t>121-29-9</t>
  </si>
  <si>
    <t>505-29-3</t>
  </si>
  <si>
    <t>7012-37-5</t>
  </si>
  <si>
    <t>106-93-4</t>
  </si>
  <si>
    <t>90-13-1</t>
  </si>
  <si>
    <t>75-35-4</t>
  </si>
  <si>
    <t>35512-33-5</t>
  </si>
  <si>
    <t>124-18-5</t>
  </si>
  <si>
    <t>127-18-4</t>
  </si>
  <si>
    <t>2051-60-7</t>
  </si>
  <si>
    <t>62441-54-7</t>
  </si>
  <si>
    <t>2437-79-8</t>
  </si>
  <si>
    <t>2051-61-8</t>
  </si>
  <si>
    <t>1570-65-6</t>
  </si>
  <si>
    <t>37248-47-8</t>
  </si>
  <si>
    <t>23560-59-0</t>
  </si>
  <si>
    <t>83121-18-0</t>
  </si>
  <si>
    <t>119-06-2</t>
  </si>
  <si>
    <t>83657-17-4</t>
  </si>
  <si>
    <t>34681-23-7</t>
  </si>
  <si>
    <t>74738-17-3</t>
  </si>
  <si>
    <t>60207-31-0</t>
  </si>
  <si>
    <t>87130-20-9</t>
  </si>
  <si>
    <t>973-21-7</t>
  </si>
  <si>
    <t>1646-87-3</t>
  </si>
  <si>
    <t>6393-42-6</t>
  </si>
  <si>
    <t>10202-92-3</t>
  </si>
  <si>
    <t>18292-97-2</t>
  </si>
  <si>
    <t>4920-77-8</t>
  </si>
  <si>
    <t>70343-06-5</t>
  </si>
  <si>
    <t>700-38-9</t>
  </si>
  <si>
    <t>111-44-4</t>
  </si>
  <si>
    <t>126-22-7</t>
  </si>
  <si>
    <t>74-97-5</t>
  </si>
  <si>
    <t>124-48-1</t>
  </si>
  <si>
    <t>1120-01-0</t>
  </si>
  <si>
    <t>100-29-8</t>
  </si>
  <si>
    <t>20711-10-8</t>
  </si>
  <si>
    <t>1031-07-8</t>
  </si>
  <si>
    <t>4824-78-6</t>
  </si>
  <si>
    <t>34643-47-5</t>
  </si>
  <si>
    <t>50-21-5</t>
  </si>
  <si>
    <t>2460-49-3</t>
  </si>
  <si>
    <t>33963-45-0</t>
  </si>
  <si>
    <t>933-78-8</t>
  </si>
  <si>
    <t>121-86-8</t>
  </si>
  <si>
    <t>634-93-5</t>
  </si>
  <si>
    <t>53939-28-9</t>
  </si>
  <si>
    <t>525-79-1</t>
  </si>
  <si>
    <t>41394-05-2</t>
  </si>
  <si>
    <t>608-31-1</t>
  </si>
  <si>
    <t>38380-07-3</t>
  </si>
  <si>
    <t>5367-28-2</t>
  </si>
  <si>
    <t>110-16-7</t>
  </si>
  <si>
    <t>618-87-1</t>
  </si>
  <si>
    <t>103-85-5</t>
  </si>
  <si>
    <t>111-40-0</t>
  </si>
  <si>
    <t>3055-97-8</t>
  </si>
  <si>
    <t>35065-27-1</t>
  </si>
  <si>
    <t>143-07-7</t>
  </si>
  <si>
    <t>1689-83-4</t>
  </si>
  <si>
    <t>63284-71-9</t>
  </si>
  <si>
    <t>542-59-6</t>
  </si>
  <si>
    <t>123-91-1</t>
  </si>
  <si>
    <t>554-12-1</t>
  </si>
  <si>
    <t>151-56-4</t>
  </si>
  <si>
    <t>10061-01-5</t>
  </si>
  <si>
    <t>126-07-8</t>
  </si>
  <si>
    <t>105-60-2</t>
  </si>
  <si>
    <t>99-54-7</t>
  </si>
  <si>
    <t>111-69-3</t>
  </si>
  <si>
    <t>933-75-5</t>
  </si>
  <si>
    <t>79-11-8</t>
  </si>
  <si>
    <t>500-99-2</t>
  </si>
  <si>
    <t>156-54-7</t>
  </si>
  <si>
    <t>503-87-7</t>
  </si>
  <si>
    <t>119-65-3</t>
  </si>
  <si>
    <t>141-90-2</t>
  </si>
  <si>
    <t>120-72-9</t>
  </si>
  <si>
    <t>576-24-9</t>
  </si>
  <si>
    <t>108-43-0</t>
  </si>
  <si>
    <t>95-15-8</t>
  </si>
  <si>
    <t>92-83-1</t>
  </si>
  <si>
    <t>625-53-6</t>
  </si>
  <si>
    <t>132-65-0</t>
  </si>
  <si>
    <t>592-82-5</t>
  </si>
  <si>
    <t>578-46-1</t>
  </si>
  <si>
    <t>603-83-8</t>
  </si>
  <si>
    <t>610-39-9</t>
  </si>
  <si>
    <t>5267-27-6</t>
  </si>
  <si>
    <t>616-73-9</t>
  </si>
  <si>
    <t>104-51-8</t>
  </si>
  <si>
    <t>98-82-8</t>
  </si>
  <si>
    <t>18259-05-7</t>
  </si>
  <si>
    <t>95-56-7</t>
  </si>
  <si>
    <t>97-80-3</t>
  </si>
  <si>
    <t>583-60-8</t>
  </si>
  <si>
    <t>109-60-4</t>
  </si>
  <si>
    <t>109-57-9</t>
  </si>
  <si>
    <t>144-49-0</t>
  </si>
  <si>
    <t>119-33-5</t>
  </si>
  <si>
    <t>119-93-7</t>
  </si>
  <si>
    <t>103-23-1</t>
  </si>
  <si>
    <t>534-13-4</t>
  </si>
  <si>
    <t>532-55-8</t>
  </si>
  <si>
    <t>57055-38-6</t>
  </si>
  <si>
    <t>57055-39-7</t>
  </si>
  <si>
    <t>205-43-6</t>
  </si>
  <si>
    <t>110-02-1</t>
  </si>
  <si>
    <t>113-98-4</t>
  </si>
  <si>
    <t>95-77-2</t>
  </si>
  <si>
    <t>111-91-1</t>
  </si>
  <si>
    <t>2937-53-3</t>
  </si>
  <si>
    <t>106-68-3</t>
  </si>
  <si>
    <t>100-17-4</t>
  </si>
  <si>
    <t>6972-05-0</t>
  </si>
  <si>
    <t>4104-75-0</t>
  </si>
  <si>
    <t>2489-77-2</t>
  </si>
  <si>
    <t>1516-32-1</t>
  </si>
  <si>
    <t>631-67-4</t>
  </si>
  <si>
    <t>4044-65-9</t>
  </si>
  <si>
    <t>598-52-7</t>
  </si>
  <si>
    <t>75-08-1</t>
  </si>
  <si>
    <t>107-03-9</t>
  </si>
  <si>
    <t>554-84-7</t>
  </si>
  <si>
    <t>615-36-1</t>
  </si>
  <si>
    <t>5138-93-2</t>
  </si>
  <si>
    <t>38638-05-0</t>
  </si>
  <si>
    <t>103-72-0</t>
  </si>
  <si>
    <t>542-85-8</t>
  </si>
  <si>
    <t>622-78-6</t>
  </si>
  <si>
    <t>101-55-3</t>
  </si>
  <si>
    <t>630-20-6</t>
  </si>
  <si>
    <t>1570-64-5</t>
  </si>
  <si>
    <t>156-60-5</t>
  </si>
  <si>
    <t>119-32-4</t>
  </si>
  <si>
    <t>2581-34-2</t>
  </si>
  <si>
    <t>67-47-0</t>
  </si>
  <si>
    <t>18268-80-9</t>
  </si>
  <si>
    <t>1198-55-6</t>
  </si>
  <si>
    <t>494-99-5</t>
  </si>
  <si>
    <t>452-86-8</t>
  </si>
  <si>
    <t>112-24-3</t>
  </si>
  <si>
    <t>89-63-4</t>
  </si>
  <si>
    <t>92-87-5</t>
  </si>
  <si>
    <t>95-68-1</t>
  </si>
  <si>
    <t>99-92-3</t>
  </si>
  <si>
    <t>13548-68-0</t>
  </si>
  <si>
    <t>10310-21-1</t>
  </si>
  <si>
    <t>112-29-8</t>
  </si>
  <si>
    <t>485-49-4</t>
  </si>
  <si>
    <t>121-87-9</t>
  </si>
  <si>
    <t>661-20-1</t>
  </si>
  <si>
    <t>56207-39-7</t>
  </si>
  <si>
    <t>616-72-8</t>
  </si>
  <si>
    <t>618-85-9</t>
  </si>
  <si>
    <t>619-15-8</t>
  </si>
  <si>
    <t>619-24-9</t>
  </si>
  <si>
    <t>619-72-7</t>
  </si>
  <si>
    <t>104-75-6</t>
  </si>
  <si>
    <t>105-54-4</t>
  </si>
  <si>
    <t>33963-32-5</t>
  </si>
  <si>
    <t>25306-75-6</t>
  </si>
  <si>
    <t>95-64-7</t>
  </si>
  <si>
    <t>141-82-2</t>
  </si>
  <si>
    <t>107-92-6</t>
  </si>
  <si>
    <t>108-21-4</t>
  </si>
  <si>
    <t>108-94-1</t>
  </si>
  <si>
    <t>109-99-9</t>
  </si>
  <si>
    <t>110-12-3</t>
  </si>
  <si>
    <t>110-19-0</t>
  </si>
  <si>
    <t>590-01-2</t>
  </si>
  <si>
    <t>622-45-7</t>
  </si>
  <si>
    <t>623-37-0</t>
  </si>
  <si>
    <t>77-47-4</t>
  </si>
  <si>
    <t>79-08-3</t>
  </si>
  <si>
    <t>107-20-0</t>
  </si>
  <si>
    <t>1138-52-9</t>
  </si>
  <si>
    <t>527-60-6</t>
  </si>
  <si>
    <t>103112-35-2</t>
  </si>
  <si>
    <t>127-09-3</t>
  </si>
  <si>
    <t>131-17-9</t>
  </si>
  <si>
    <t>141-97-9</t>
  </si>
  <si>
    <t>534-22-5</t>
  </si>
  <si>
    <t>540-88-5</t>
  </si>
  <si>
    <t>15950-66-0</t>
  </si>
  <si>
    <t>4901-51-3</t>
  </si>
  <si>
    <t>2317-24-0</t>
  </si>
  <si>
    <t>78-62-6</t>
  </si>
  <si>
    <t>5324-84-5</t>
  </si>
  <si>
    <t>6106-41-8</t>
  </si>
  <si>
    <t>96-13-9</t>
  </si>
  <si>
    <t>97-02-9</t>
  </si>
  <si>
    <t>97-50-7</t>
  </si>
  <si>
    <t>98-16-8</t>
  </si>
  <si>
    <t>98-17-9</t>
  </si>
  <si>
    <t>27304-13-8</t>
  </si>
  <si>
    <t>100-21-0</t>
  </si>
  <si>
    <t>1825-21-4</t>
  </si>
  <si>
    <t>108-44-1</t>
  </si>
  <si>
    <t>14409-72-4</t>
  </si>
  <si>
    <t>56961-20-7</t>
  </si>
  <si>
    <t>93-51-6</t>
  </si>
  <si>
    <t>98-06-6</t>
  </si>
  <si>
    <t>96-41-3</t>
  </si>
  <si>
    <t>95-92-1</t>
  </si>
  <si>
    <t>75-87-6</t>
  </si>
  <si>
    <t>80-15-9</t>
  </si>
  <si>
    <t>98-00-0</t>
  </si>
  <si>
    <t>10051-44-2</t>
  </si>
  <si>
    <t>14047-60-0</t>
  </si>
  <si>
    <t>629-25-4</t>
  </si>
  <si>
    <t>1002-62-6</t>
  </si>
  <si>
    <t>75-18-3</t>
  </si>
  <si>
    <t>110-81-6</t>
  </si>
  <si>
    <t>110-77-0</t>
  </si>
  <si>
    <t>57057-83-7</t>
  </si>
  <si>
    <t>598-02-7</t>
  </si>
  <si>
    <t>298-06-6</t>
  </si>
  <si>
    <t>33963-23-4</t>
  </si>
  <si>
    <t>2897-21-4</t>
  </si>
  <si>
    <t>104-94-9</t>
  </si>
  <si>
    <t>90-04-0</t>
  </si>
  <si>
    <t>3428-24-8</t>
  </si>
  <si>
    <t>33963-40-5</t>
  </si>
  <si>
    <t>536-90-3</t>
  </si>
  <si>
    <t>33963-24-5</t>
  </si>
  <si>
    <t>253-52-1</t>
  </si>
  <si>
    <t>4658-28-0</t>
  </si>
  <si>
    <t>103-65-1</t>
  </si>
  <si>
    <t>506-77-4</t>
  </si>
  <si>
    <t>89-60-1</t>
  </si>
  <si>
    <t>110-15-6</t>
  </si>
  <si>
    <t>108-40-7</t>
  </si>
  <si>
    <t>89-82-7</t>
  </si>
  <si>
    <t>93-04-9</t>
  </si>
  <si>
    <t>109-69-3</t>
  </si>
  <si>
    <t>123-07-9</t>
  </si>
  <si>
    <t>4726-14-1</t>
  </si>
  <si>
    <t>123-30-8</t>
  </si>
  <si>
    <t>140-93-2</t>
  </si>
  <si>
    <t>103-11-7</t>
  </si>
  <si>
    <t>35693-99-3</t>
  </si>
  <si>
    <t>35694-08-7</t>
  </si>
  <si>
    <t>37680-65-2</t>
  </si>
  <si>
    <t>52663-71-5</t>
  </si>
  <si>
    <t>693-21-0</t>
  </si>
  <si>
    <t>59-06-3</t>
  </si>
  <si>
    <t>2720-73-2</t>
  </si>
  <si>
    <t>95-84-1</t>
  </si>
  <si>
    <t>103-33-3</t>
  </si>
  <si>
    <t>591-27-5</t>
  </si>
  <si>
    <t>701-82-6</t>
  </si>
  <si>
    <t>14062-34-1</t>
  </si>
  <si>
    <t>87-59-2</t>
  </si>
  <si>
    <t>129-06-6</t>
  </si>
  <si>
    <t>56-93-9</t>
  </si>
  <si>
    <t>66728-50-5</t>
  </si>
  <si>
    <t>39765-80-5</t>
  </si>
  <si>
    <t>37677-17-1</t>
  </si>
  <si>
    <t>140-90-9</t>
  </si>
  <si>
    <t>302-04-5</t>
  </si>
  <si>
    <t>105-39-5</t>
  </si>
  <si>
    <t>103-82-2</t>
  </si>
  <si>
    <t>628-92-2</t>
  </si>
  <si>
    <t>79-10-7</t>
  </si>
  <si>
    <t>108-41-8</t>
  </si>
  <si>
    <t>98-07-7</t>
  </si>
  <si>
    <t>123-92-2</t>
  </si>
  <si>
    <t>115-77-5</t>
  </si>
  <si>
    <t>108-24-7</t>
  </si>
  <si>
    <t>291-64-5</t>
  </si>
  <si>
    <t>60-29-7</t>
  </si>
  <si>
    <t>60-35-5</t>
  </si>
  <si>
    <t>110-17-8</t>
  </si>
  <si>
    <t>144-62-7</t>
  </si>
  <si>
    <t>825-90-1</t>
  </si>
  <si>
    <t>321-14-2</t>
  </si>
  <si>
    <t>74-11-3</t>
  </si>
  <si>
    <t>112-52-7</t>
  </si>
  <si>
    <t>119-64-2</t>
  </si>
  <si>
    <t>473-55-2</t>
  </si>
  <si>
    <t>513-48-4</t>
  </si>
  <si>
    <t>541-28-6</t>
  </si>
  <si>
    <t>56-53-1</t>
  </si>
  <si>
    <t>85-34-7</t>
  </si>
  <si>
    <t>15862-07-4</t>
  </si>
  <si>
    <t>83-66-9</t>
  </si>
  <si>
    <t>1016-05-3</t>
  </si>
  <si>
    <t>100-63-0</t>
  </si>
  <si>
    <t>7398-69-8</t>
  </si>
  <si>
    <t>100-68-5</t>
  </si>
  <si>
    <t>96-09-3</t>
  </si>
  <si>
    <t>91-94-1</t>
  </si>
  <si>
    <t>86-74-8</t>
  </si>
  <si>
    <t>96-18-4</t>
  </si>
  <si>
    <t>13532-18-8</t>
  </si>
  <si>
    <t>29587-92-6</t>
  </si>
  <si>
    <t>34825-93-9</t>
  </si>
  <si>
    <t>50-44-2</t>
  </si>
  <si>
    <t>29973-13-5</t>
  </si>
  <si>
    <t>205-99-2</t>
  </si>
  <si>
    <t>118-91-2</t>
  </si>
  <si>
    <t>95-88-5</t>
  </si>
  <si>
    <t>53-70-3</t>
  </si>
  <si>
    <t>77-75-8</t>
  </si>
  <si>
    <t>2880-89-9</t>
  </si>
  <si>
    <t>1878-66-6</t>
  </si>
  <si>
    <t>581-42-0</t>
  </si>
  <si>
    <t>535-80-8</t>
  </si>
  <si>
    <t>492-86-4</t>
  </si>
  <si>
    <t>4921-49-7</t>
  </si>
  <si>
    <t>128-37-0</t>
  </si>
  <si>
    <t>294-62-2</t>
  </si>
  <si>
    <t>931-53-3</t>
  </si>
  <si>
    <t>56-55-3</t>
  </si>
  <si>
    <t>544-77-4</t>
  </si>
  <si>
    <t>493-09-4</t>
  </si>
  <si>
    <t>5407-87-4</t>
  </si>
  <si>
    <t>575-41-7</t>
  </si>
  <si>
    <t>103-74-2</t>
  </si>
  <si>
    <t>4005-51-0</t>
  </si>
  <si>
    <t>616-45-5</t>
  </si>
  <si>
    <t>1008-80-6</t>
  </si>
  <si>
    <t>693-58-3</t>
  </si>
  <si>
    <t>2040-96-2</t>
  </si>
  <si>
    <t>626-62-0</t>
  </si>
  <si>
    <t>542-18-7</t>
  </si>
  <si>
    <t>55723-99-4</t>
  </si>
  <si>
    <t>91-17-8</t>
  </si>
  <si>
    <t>6221-88-1</t>
  </si>
  <si>
    <t>32273-77-1</t>
  </si>
  <si>
    <t>29812-79-1</t>
  </si>
  <si>
    <t>18402-10-3</t>
  </si>
  <si>
    <t>6876-23-9</t>
  </si>
  <si>
    <t>6651-36-1</t>
  </si>
  <si>
    <t>19078-35-4</t>
  </si>
  <si>
    <t>3296-50-2</t>
  </si>
  <si>
    <t>558-17-8</t>
  </si>
  <si>
    <t>613-12-7</t>
  </si>
  <si>
    <t>2395-96-2</t>
  </si>
  <si>
    <t>613-31-0</t>
  </si>
  <si>
    <t>41483-43-6</t>
  </si>
  <si>
    <t>87237-48-7</t>
  </si>
  <si>
    <t>5836-29-3</t>
  </si>
  <si>
    <t>3878-19-1</t>
  </si>
  <si>
    <t>84-11-7</t>
  </si>
  <si>
    <t>462-06-6</t>
  </si>
  <si>
    <t>98-08-8</t>
  </si>
  <si>
    <t>518-75-2</t>
  </si>
  <si>
    <t>500-38-9</t>
  </si>
  <si>
    <t>404-86-4</t>
  </si>
  <si>
    <t>1948-33-0</t>
  </si>
  <si>
    <t>121-79-9</t>
  </si>
  <si>
    <t>139-07-1</t>
  </si>
  <si>
    <t>1119-97-7</t>
  </si>
  <si>
    <t>3282-73-3</t>
  </si>
  <si>
    <t>1643-19-2</t>
  </si>
  <si>
    <t>2245-38-7</t>
  </si>
  <si>
    <t>2698-41-1</t>
  </si>
  <si>
    <t>2425-66-3</t>
  </si>
  <si>
    <t>112-56-1</t>
  </si>
  <si>
    <t>6416-68-8</t>
  </si>
  <si>
    <t>953-17-3</t>
  </si>
  <si>
    <t>109-77-3</t>
  </si>
  <si>
    <t>89-98-5</t>
  </si>
  <si>
    <t>152-16-9</t>
  </si>
  <si>
    <t>2050-68-2</t>
  </si>
  <si>
    <t>95-65-8</t>
  </si>
  <si>
    <t>13067-93-1</t>
  </si>
  <si>
    <t>80-06-8</t>
  </si>
  <si>
    <t>25319-82-8</t>
  </si>
  <si>
    <t>25319-80-6</t>
  </si>
  <si>
    <t>140-89-6</t>
  </si>
  <si>
    <t>36551-21-0</t>
  </si>
  <si>
    <t>38444-85-8</t>
  </si>
  <si>
    <t>80-12-6</t>
  </si>
  <si>
    <t>34883-43-7</t>
  </si>
  <si>
    <t>301-11-1</t>
  </si>
  <si>
    <t>10042-84-9</t>
  </si>
  <si>
    <t>58-27-5</t>
  </si>
  <si>
    <t>961-11-5</t>
  </si>
  <si>
    <t>109-79-5</t>
  </si>
  <si>
    <t>33125-97-2</t>
  </si>
  <si>
    <t>25474-41-3</t>
  </si>
  <si>
    <t>70-38-2</t>
  </si>
  <si>
    <t>83-89-6</t>
  </si>
  <si>
    <t>94-96-2</t>
  </si>
  <si>
    <t>555-89-5</t>
  </si>
  <si>
    <t>25474-61-7</t>
  </si>
  <si>
    <t>59708-54-2</t>
  </si>
  <si>
    <t>108-31-6</t>
  </si>
  <si>
    <t>2303-16-4</t>
  </si>
  <si>
    <t>1024-57-3</t>
  </si>
  <si>
    <t>122-88-3</t>
  </si>
  <si>
    <t>39196-18-4</t>
  </si>
  <si>
    <t>29804-22-6</t>
  </si>
  <si>
    <t>540-59-0</t>
  </si>
  <si>
    <t>133-90-4</t>
  </si>
  <si>
    <t>3734-48-3</t>
  </si>
  <si>
    <t>33323-93-2</t>
  </si>
  <si>
    <t>15271-41-7</t>
  </si>
  <si>
    <t>21757-82-4</t>
  </si>
  <si>
    <t>110-75-8</t>
  </si>
  <si>
    <t>2866-43-5</t>
  </si>
  <si>
    <t>5103-74-2</t>
  </si>
  <si>
    <t>2814-20-2</t>
  </si>
  <si>
    <t>5103-71-9</t>
  </si>
  <si>
    <t>14959-86-5</t>
  </si>
  <si>
    <t>506-68-3</t>
  </si>
  <si>
    <t>64-00-6</t>
  </si>
  <si>
    <t>20056-92-2</t>
  </si>
  <si>
    <t>94-81-5</t>
  </si>
  <si>
    <t>80-38-6</t>
  </si>
  <si>
    <t>5871-17-0</t>
  </si>
  <si>
    <t>78-32-0</t>
  </si>
  <si>
    <t>126-72-7</t>
  </si>
  <si>
    <t>3096-70-6</t>
  </si>
  <si>
    <t>150-39-0</t>
  </si>
  <si>
    <t>29118-87-4</t>
  </si>
  <si>
    <t>4779-86-6</t>
  </si>
  <si>
    <t>101-42-8</t>
  </si>
  <si>
    <t>74-87-3</t>
  </si>
  <si>
    <t>111-55-7</t>
  </si>
  <si>
    <t>124-63-0</t>
  </si>
  <si>
    <t>50-30-6</t>
  </si>
  <si>
    <t>951-42-8</t>
  </si>
  <si>
    <t>2818-16-8</t>
  </si>
  <si>
    <t>110-99-6</t>
  </si>
  <si>
    <t>4170-30-3</t>
  </si>
  <si>
    <t>357-57-3</t>
  </si>
  <si>
    <t>123-38-6</t>
  </si>
  <si>
    <t>1918-18-9</t>
  </si>
  <si>
    <t>77-78-1</t>
  </si>
  <si>
    <t>75-86-5</t>
  </si>
  <si>
    <t>108-93-0</t>
  </si>
  <si>
    <t>103-84-4</t>
  </si>
  <si>
    <t>79270-78-3</t>
  </si>
  <si>
    <t>2463-84-5</t>
  </si>
  <si>
    <t>3648-36-0</t>
  </si>
  <si>
    <t>120-18-3</t>
  </si>
  <si>
    <t>5567-15-7</t>
  </si>
  <si>
    <t>121-54-0</t>
  </si>
  <si>
    <t>110-50-9</t>
  </si>
  <si>
    <t>5377-20-8</t>
  </si>
  <si>
    <t>218-01-9</t>
  </si>
  <si>
    <t>62938-15-2</t>
  </si>
  <si>
    <t>627-63-4</t>
  </si>
  <si>
    <t>514-10-3</t>
  </si>
  <si>
    <t>84-76-4</t>
  </si>
  <si>
    <t>84-69-5</t>
  </si>
  <si>
    <t>66794-75-0</t>
  </si>
  <si>
    <t>5835-26-7</t>
  </si>
  <si>
    <t>590-28-3</t>
  </si>
  <si>
    <t>142-90-5</t>
  </si>
  <si>
    <t>99-97-8</t>
  </si>
  <si>
    <t>22212-56-2</t>
  </si>
  <si>
    <t>106-63-8</t>
  </si>
  <si>
    <t>141-98-0</t>
  </si>
  <si>
    <t>5896-54-8</t>
  </si>
  <si>
    <t>15310-01-7</t>
  </si>
  <si>
    <t>120-80-9</t>
  </si>
  <si>
    <t>140-11-4</t>
  </si>
  <si>
    <t>106-51-4</t>
  </si>
  <si>
    <t>66-81-9</t>
  </si>
  <si>
    <t>80-33-1</t>
  </si>
  <si>
    <t>123-96-6</t>
  </si>
  <si>
    <t>583-78-8</t>
  </si>
  <si>
    <t>633-96-5</t>
  </si>
  <si>
    <t>504-29-0</t>
  </si>
  <si>
    <t>95-80-7</t>
  </si>
  <si>
    <t>548-62-9</t>
  </si>
  <si>
    <t>127-19-5</t>
  </si>
  <si>
    <t>134-32-7</t>
  </si>
  <si>
    <t>868-77-9</t>
  </si>
  <si>
    <t>2867-47-2</t>
  </si>
  <si>
    <t>96-33-3</t>
  </si>
  <si>
    <t>140-88-5</t>
  </si>
  <si>
    <t>97-88-1</t>
  </si>
  <si>
    <t>141-32-2</t>
  </si>
  <si>
    <t>115-96-8</t>
  </si>
  <si>
    <t>106-50-3</t>
  </si>
  <si>
    <t>108-69-0</t>
  </si>
  <si>
    <t>106-49-0</t>
  </si>
  <si>
    <t>75-50-3</t>
  </si>
  <si>
    <t>85-41-6</t>
  </si>
  <si>
    <t>91-15-6</t>
  </si>
  <si>
    <t>91-66-7</t>
  </si>
  <si>
    <t>482-89-3</t>
  </si>
  <si>
    <t>51-79-6</t>
  </si>
  <si>
    <t>60-09-3</t>
  </si>
  <si>
    <t>104-88-1</t>
  </si>
  <si>
    <t>78-27-3</t>
  </si>
  <si>
    <t>5372-81-6</t>
  </si>
  <si>
    <t>107-45-9</t>
  </si>
  <si>
    <t>106-94-5</t>
  </si>
  <si>
    <t>103-05-9</t>
  </si>
  <si>
    <t>24691-80-3</t>
  </si>
  <si>
    <t>6361-21-3</t>
  </si>
  <si>
    <t>513-81-5</t>
  </si>
  <si>
    <t>119-34-6</t>
  </si>
  <si>
    <t>120-07-0</t>
  </si>
  <si>
    <t>2234-16-4</t>
  </si>
  <si>
    <t>629-40-3</t>
  </si>
  <si>
    <t>623-25-6</t>
  </si>
  <si>
    <t>621-42-1</t>
  </si>
  <si>
    <t>570-24-1</t>
  </si>
  <si>
    <t>528-29-0</t>
  </si>
  <si>
    <t>22104-62-7</t>
  </si>
  <si>
    <t>123-66-0</t>
  </si>
  <si>
    <t>128-58-5</t>
  </si>
  <si>
    <t>645-56-7</t>
  </si>
  <si>
    <t>2370-63-0</t>
  </si>
  <si>
    <t>2176-62-7</t>
  </si>
  <si>
    <t>5813-64-9</t>
  </si>
  <si>
    <t>3066-71-5</t>
  </si>
  <si>
    <t>598-74-3</t>
  </si>
  <si>
    <t>110-43-0</t>
  </si>
  <si>
    <t>109-64-8</t>
  </si>
  <si>
    <t>109-07-9</t>
  </si>
  <si>
    <t>109-06-8</t>
  </si>
  <si>
    <t>57-43-2</t>
  </si>
  <si>
    <t>57-33-0</t>
  </si>
  <si>
    <t>76-29-9</t>
  </si>
  <si>
    <t>56-37-1</t>
  </si>
  <si>
    <t>110-93-0</t>
  </si>
  <si>
    <t>90-59-5</t>
  </si>
  <si>
    <t>110-40-7</t>
  </si>
  <si>
    <t>133-11-9</t>
  </si>
  <si>
    <t>120-21-8</t>
  </si>
  <si>
    <t>123-15-9</t>
  </si>
  <si>
    <t>2905-69-3</t>
  </si>
  <si>
    <t>5331-91-9</t>
  </si>
  <si>
    <t>5465-65-6</t>
  </si>
  <si>
    <t>5922-60-1</t>
  </si>
  <si>
    <t>142-92-7</t>
  </si>
  <si>
    <t>2150-47-2</t>
  </si>
  <si>
    <t>16879-02-0</t>
  </si>
  <si>
    <t>105-53-3</t>
  </si>
  <si>
    <t>454-89-7</t>
  </si>
  <si>
    <t>111-83-1</t>
  </si>
  <si>
    <t>13608-87-2</t>
  </si>
  <si>
    <t>99-52-5</t>
  </si>
  <si>
    <t>79-20-9</t>
  </si>
  <si>
    <t>88-68-6</t>
  </si>
  <si>
    <t>111-13-7</t>
  </si>
  <si>
    <t>141-03-7</t>
  </si>
  <si>
    <t>110-00-9</t>
  </si>
  <si>
    <t>121-33-5</t>
  </si>
  <si>
    <t>613-45-6</t>
  </si>
  <si>
    <t>927-74-2</t>
  </si>
  <si>
    <t>920-66-1</t>
  </si>
  <si>
    <t>118-79-6</t>
  </si>
  <si>
    <t>39905-57-2</t>
  </si>
  <si>
    <t>107-47-1</t>
  </si>
  <si>
    <t>84-62-8</t>
  </si>
  <si>
    <t>150-19-6</t>
  </si>
  <si>
    <t>1484-26-0</t>
  </si>
  <si>
    <t>932-16-1</t>
  </si>
  <si>
    <t>1761-61-1</t>
  </si>
  <si>
    <t>42087-80-9</t>
  </si>
  <si>
    <t>110-56-5</t>
  </si>
  <si>
    <t>148-53-8</t>
  </si>
  <si>
    <t>371-40-4</t>
  </si>
  <si>
    <t>614-80-2</t>
  </si>
  <si>
    <t>615-65-6</t>
  </si>
  <si>
    <t>107-22-2</t>
  </si>
  <si>
    <t>387-45-1</t>
  </si>
  <si>
    <t>368-77-4</t>
  </si>
  <si>
    <t>350-46-9</t>
  </si>
  <si>
    <t>142-62-1</t>
  </si>
  <si>
    <t>693-16-3</t>
  </si>
  <si>
    <t>683-72-7</t>
  </si>
  <si>
    <t>653-37-2</t>
  </si>
  <si>
    <t>822-86-6</t>
  </si>
  <si>
    <t>874-42-0</t>
  </si>
  <si>
    <t>635-93-8</t>
  </si>
  <si>
    <t>1129-35-7</t>
  </si>
  <si>
    <t>93-91-4</t>
  </si>
  <si>
    <t>87-72-9</t>
  </si>
  <si>
    <t>83-34-1</t>
  </si>
  <si>
    <t>89-62-3</t>
  </si>
  <si>
    <t>2973-76-4</t>
  </si>
  <si>
    <t>141-28-6</t>
  </si>
  <si>
    <t>55-21-0</t>
  </si>
  <si>
    <t>65-45-2</t>
  </si>
  <si>
    <t>3481-20-7</t>
  </si>
  <si>
    <t>2859-67-8</t>
  </si>
  <si>
    <t>393-39-5</t>
  </si>
  <si>
    <t>3252-43-5</t>
  </si>
  <si>
    <t>631-64-1</t>
  </si>
  <si>
    <t>96-17-3</t>
  </si>
  <si>
    <t>105-99-7</t>
  </si>
  <si>
    <t>110-62-3</t>
  </si>
  <si>
    <t>2357-47-3</t>
  </si>
  <si>
    <t>761-65-9</t>
  </si>
  <si>
    <t>95-01-2</t>
  </si>
  <si>
    <t>1324-11-4</t>
  </si>
  <si>
    <t>16245-79-7</t>
  </si>
  <si>
    <t>620-88-2</t>
  </si>
  <si>
    <t>608-71-9</t>
  </si>
  <si>
    <t>600-36-2</t>
  </si>
  <si>
    <t>593-08-8</t>
  </si>
  <si>
    <t>592-46-1</t>
  </si>
  <si>
    <t>583-53-9</t>
  </si>
  <si>
    <t>525-82-6</t>
  </si>
  <si>
    <t>498-66-8</t>
  </si>
  <si>
    <t>497-37-0</t>
  </si>
  <si>
    <t>607-00-1</t>
  </si>
  <si>
    <t>589-09-3</t>
  </si>
  <si>
    <t>563-80-4</t>
  </si>
  <si>
    <t>552-41-0</t>
  </si>
  <si>
    <t>502-56-7</t>
  </si>
  <si>
    <t>459-59-6</t>
  </si>
  <si>
    <t>447-60-9</t>
  </si>
  <si>
    <t>708-76-9</t>
  </si>
  <si>
    <t>693-98-1</t>
  </si>
  <si>
    <t>693-54-9</t>
  </si>
  <si>
    <t>75-97-8</t>
  </si>
  <si>
    <t>78-90-0</t>
  </si>
  <si>
    <t>14064-10-9</t>
  </si>
  <si>
    <t>13909-73-4</t>
  </si>
  <si>
    <t>111-47-7</t>
  </si>
  <si>
    <t>54576-32-8</t>
  </si>
  <si>
    <t>122-99-6</t>
  </si>
  <si>
    <t>625-86-5</t>
  </si>
  <si>
    <t>706-14-9</t>
  </si>
  <si>
    <t>111-86-4</t>
  </si>
  <si>
    <t>75-47-8</t>
  </si>
  <si>
    <t>71-73-8</t>
  </si>
  <si>
    <t>6408-78-2</t>
  </si>
  <si>
    <t>7576-65-0</t>
  </si>
  <si>
    <t>1787-61-7</t>
  </si>
  <si>
    <t>124-04-9</t>
  </si>
  <si>
    <t>112-80-1</t>
  </si>
  <si>
    <t>109-52-4</t>
  </si>
  <si>
    <t>98-86-2</t>
  </si>
  <si>
    <t>95-16-9</t>
  </si>
  <si>
    <t>868-85-9</t>
  </si>
  <si>
    <t>2074-67-1</t>
  </si>
  <si>
    <t>23060-14-2</t>
  </si>
  <si>
    <t>121-32-4</t>
  </si>
  <si>
    <t>56348-40-4</t>
  </si>
  <si>
    <t>69770-23-6</t>
  </si>
  <si>
    <t>79124-76-8</t>
  </si>
  <si>
    <t>20662-84-4</t>
  </si>
  <si>
    <t>14321-27-8</t>
  </si>
  <si>
    <t>107-14-2</t>
  </si>
  <si>
    <t>109-75-1</t>
  </si>
  <si>
    <t>104-90-5</t>
  </si>
  <si>
    <t>96-22-0</t>
  </si>
  <si>
    <t>96-29-7</t>
  </si>
  <si>
    <t>102-27-2</t>
  </si>
  <si>
    <t>95-75-0</t>
  </si>
  <si>
    <t>109-97-7</t>
  </si>
  <si>
    <t>109-85-3</t>
  </si>
  <si>
    <t>109-76-2</t>
  </si>
  <si>
    <t>937-20-2</t>
  </si>
  <si>
    <t>4412-91-3</t>
  </si>
  <si>
    <t>32749-94-3</t>
  </si>
  <si>
    <t>4460-86-0</t>
  </si>
  <si>
    <t>2362-61-0</t>
  </si>
  <si>
    <t>5292-45-5</t>
  </si>
  <si>
    <t>6636-78-8</t>
  </si>
  <si>
    <t>1072-97-5</t>
  </si>
  <si>
    <t>6921-29-5</t>
  </si>
  <si>
    <t>939-23-1</t>
  </si>
  <si>
    <t>127-00-4</t>
  </si>
  <si>
    <t>5600-21-5</t>
  </si>
  <si>
    <t>4916-57-8</t>
  </si>
  <si>
    <t>4655-34-9</t>
  </si>
  <si>
    <t>4214-79-3</t>
  </si>
  <si>
    <t>3558-69-8</t>
  </si>
  <si>
    <t>1122-54-9</t>
  </si>
  <si>
    <t>2759-28-6</t>
  </si>
  <si>
    <t>1484-13-5</t>
  </si>
  <si>
    <t>2495-37-6</t>
  </si>
  <si>
    <t>6602-32-0</t>
  </si>
  <si>
    <t>591-78-6</t>
  </si>
  <si>
    <t>109-01-3</t>
  </si>
  <si>
    <t>108-89-4</t>
  </si>
  <si>
    <t>1891-95-8</t>
  </si>
  <si>
    <t>110-65-6</t>
  </si>
  <si>
    <t>7383-19-9</t>
  </si>
  <si>
    <t>112-20-9</t>
  </si>
  <si>
    <t>17754-90-4</t>
  </si>
  <si>
    <t>71862-02-7</t>
  </si>
  <si>
    <t>61096-84-2</t>
  </si>
  <si>
    <t>4253-89-8</t>
  </si>
  <si>
    <t>760-23-6</t>
  </si>
  <si>
    <t>471-77-2</t>
  </si>
  <si>
    <t>590-86-3</t>
  </si>
  <si>
    <t>607-81-8</t>
  </si>
  <si>
    <t>2894-51-1</t>
  </si>
  <si>
    <t>629-19-6</t>
  </si>
  <si>
    <t>6203-18-5</t>
  </si>
  <si>
    <t>882-33-7</t>
  </si>
  <si>
    <t>1647-16-1</t>
  </si>
  <si>
    <t>1745-81-9</t>
  </si>
  <si>
    <t>2138-22-9</t>
  </si>
  <si>
    <t>619-80-7</t>
  </si>
  <si>
    <t>5395-75-5</t>
  </si>
  <si>
    <t>42454-06-8</t>
  </si>
  <si>
    <t>6284-83-9</t>
  </si>
  <si>
    <t>5124-25-4</t>
  </si>
  <si>
    <t>15045-43-9</t>
  </si>
  <si>
    <t>15673-00-4</t>
  </si>
  <si>
    <t>464-48-2</t>
  </si>
  <si>
    <t>555-16-8</t>
  </si>
  <si>
    <t>7307-55-3</t>
  </si>
  <si>
    <t>7209-38-3</t>
  </si>
  <si>
    <t>1327-79-3</t>
  </si>
  <si>
    <t>3179-90-6</t>
  </si>
  <si>
    <t>2832-40-8</t>
  </si>
  <si>
    <t>3271-76-9</t>
  </si>
  <si>
    <t>4208-80-4</t>
  </si>
  <si>
    <t>17418-58-5</t>
  </si>
  <si>
    <t>628-76-2</t>
  </si>
  <si>
    <t>131-92-0</t>
  </si>
  <si>
    <t>130-20-1</t>
  </si>
  <si>
    <t>129-09-9</t>
  </si>
  <si>
    <t>2447-79-2</t>
  </si>
  <si>
    <t>2455-24-5</t>
  </si>
  <si>
    <t>1871-57-4</t>
  </si>
  <si>
    <t>821-55-6</t>
  </si>
  <si>
    <t>791-28-6</t>
  </si>
  <si>
    <t>769-28-8</t>
  </si>
  <si>
    <t>768-94-5</t>
  </si>
  <si>
    <t>764-13-6</t>
  </si>
  <si>
    <t>700-58-3</t>
  </si>
  <si>
    <t>693-93-6</t>
  </si>
  <si>
    <t>6948-86-3</t>
  </si>
  <si>
    <t>2499-95-8</t>
  </si>
  <si>
    <t>5683-33-0</t>
  </si>
  <si>
    <t>107-87-9</t>
  </si>
  <si>
    <t>111-26-2</t>
  </si>
  <si>
    <t>105-14-6</t>
  </si>
  <si>
    <t>104-13-2</t>
  </si>
  <si>
    <t>103-83-3</t>
  </si>
  <si>
    <t>103-76-4</t>
  </si>
  <si>
    <t>100-70-9</t>
  </si>
  <si>
    <t>281-23-2</t>
  </si>
  <si>
    <t>616-86-4</t>
  </si>
  <si>
    <t>14548-45-9</t>
  </si>
  <si>
    <t>596-85-0</t>
  </si>
  <si>
    <t>18368-63-3</t>
  </si>
  <si>
    <t>538-68-1</t>
  </si>
  <si>
    <t>500-22-1</t>
  </si>
  <si>
    <t>622-40-2</t>
  </si>
  <si>
    <t>141-93-5</t>
  </si>
  <si>
    <t>141-91-3</t>
  </si>
  <si>
    <t>140-31-8</t>
  </si>
  <si>
    <t>383-63-1</t>
  </si>
  <si>
    <t>329-71-5</t>
  </si>
  <si>
    <t>309-43-3</t>
  </si>
  <si>
    <t>280-57-9</t>
  </si>
  <si>
    <t>496-16-2</t>
  </si>
  <si>
    <t>128-44-9</t>
  </si>
  <si>
    <t>126-81-8</t>
  </si>
  <si>
    <t>115-19-5</t>
  </si>
  <si>
    <t>15128-82-2</t>
  </si>
  <si>
    <t>271-89-6</t>
  </si>
  <si>
    <t>629-04-9</t>
  </si>
  <si>
    <t>1962-75-0</t>
  </si>
  <si>
    <t>1080-32-6</t>
  </si>
  <si>
    <t>924-41-4</t>
  </si>
  <si>
    <t>872-31-1</t>
  </si>
  <si>
    <t>764-01-2</t>
  </si>
  <si>
    <t>464-45-9</t>
  </si>
  <si>
    <t>693-65-2</t>
  </si>
  <si>
    <t>111-25-1</t>
  </si>
  <si>
    <t>50-06-6</t>
  </si>
  <si>
    <t>69723-94-0</t>
  </si>
  <si>
    <t>2028-63-9</t>
  </si>
  <si>
    <t>34274-04-9</t>
  </si>
  <si>
    <t>24544-04-5</t>
  </si>
  <si>
    <t>91-88-3</t>
  </si>
  <si>
    <t>17584-12-2</t>
  </si>
  <si>
    <t>57-15-8</t>
  </si>
  <si>
    <t>98-04-4</t>
  </si>
  <si>
    <t>109-65-9</t>
  </si>
  <si>
    <t>75-57-0</t>
  </si>
  <si>
    <t>100-79-8</t>
  </si>
  <si>
    <t>14548-46-0</t>
  </si>
  <si>
    <t>96-80-0</t>
  </si>
  <si>
    <t>91-65-6</t>
  </si>
  <si>
    <t>80-52-4</t>
  </si>
  <si>
    <t>79-95-8</t>
  </si>
  <si>
    <t>79-77-6</t>
  </si>
  <si>
    <t>77-74-7</t>
  </si>
  <si>
    <t>29553-26-2</t>
  </si>
  <si>
    <t>2216-51-5</t>
  </si>
  <si>
    <t>3206-31-3</t>
  </si>
  <si>
    <t>89-68-9</t>
  </si>
  <si>
    <t>34723-82-5</t>
  </si>
  <si>
    <t>37529-30-9</t>
  </si>
  <si>
    <t>5217-47-0</t>
  </si>
  <si>
    <t>108-99-6</t>
  </si>
  <si>
    <t>141-05-9</t>
  </si>
  <si>
    <t>623-91-6</t>
  </si>
  <si>
    <t>496-11-7</t>
  </si>
  <si>
    <t>4839-46-7</t>
  </si>
  <si>
    <t>75-89-8</t>
  </si>
  <si>
    <t>95-52-3</t>
  </si>
  <si>
    <t>51-21-8</t>
  </si>
  <si>
    <t>499-83-2</t>
  </si>
  <si>
    <t>96-05-9</t>
  </si>
  <si>
    <t>818-61-1</t>
  </si>
  <si>
    <t>999-61-1</t>
  </si>
  <si>
    <t>6175-49-1</t>
  </si>
  <si>
    <t>6266-23-5</t>
  </si>
  <si>
    <t>13209-15-9</t>
  </si>
  <si>
    <t>14338-32-0</t>
  </si>
  <si>
    <t>573-56-8</t>
  </si>
  <si>
    <t>756-80-9</t>
  </si>
  <si>
    <t>87-91-2</t>
  </si>
  <si>
    <t>50-31-7</t>
  </si>
  <si>
    <t>512-56-1</t>
  </si>
  <si>
    <t>107-29-9</t>
  </si>
  <si>
    <t>685-91-6</t>
  </si>
  <si>
    <t>609-23-4</t>
  </si>
  <si>
    <t>4117-14-0</t>
  </si>
  <si>
    <t>2416-94-6</t>
  </si>
  <si>
    <t>2869-34-3</t>
  </si>
  <si>
    <t>928-97-2</t>
  </si>
  <si>
    <t>928-96-1</t>
  </si>
  <si>
    <t>818-72-4</t>
  </si>
  <si>
    <t>621-08-9</t>
  </si>
  <si>
    <t>127-66-2</t>
  </si>
  <si>
    <t>732-26-3</t>
  </si>
  <si>
    <t>945-51-7</t>
  </si>
  <si>
    <t>813-78-5</t>
  </si>
  <si>
    <t>123-25-1</t>
  </si>
  <si>
    <t>109-87-5</t>
  </si>
  <si>
    <t>94-67-7</t>
  </si>
  <si>
    <t>70-69-9</t>
  </si>
  <si>
    <t>66-76-2</t>
  </si>
  <si>
    <t>66-25-1</t>
  </si>
  <si>
    <t>100-46-9</t>
  </si>
  <si>
    <t>124-22-1</t>
  </si>
  <si>
    <t>107-12-0</t>
  </si>
  <si>
    <t>127-06-0</t>
  </si>
  <si>
    <t>100-64-1</t>
  </si>
  <si>
    <t>100-71-0</t>
  </si>
  <si>
    <t>28680-45-7</t>
  </si>
  <si>
    <t>4798-44-1</t>
  </si>
  <si>
    <t>120-62-7</t>
  </si>
  <si>
    <t>3389-71-7</t>
  </si>
  <si>
    <t>137-19-9</t>
  </si>
  <si>
    <t>603-86-1</t>
  </si>
  <si>
    <t>60-24-2</t>
  </si>
  <si>
    <t>609-89-2</t>
  </si>
  <si>
    <t>1570-76-9</t>
  </si>
  <si>
    <t>13997-73-4</t>
  </si>
  <si>
    <t>7533-79-1</t>
  </si>
  <si>
    <t>82-71-3</t>
  </si>
  <si>
    <t>7778-73-6</t>
  </si>
  <si>
    <t>24353-61-5</t>
  </si>
  <si>
    <t>24096-53-5</t>
  </si>
  <si>
    <t>31934-88-0</t>
  </si>
  <si>
    <t>13673-92-2</t>
  </si>
  <si>
    <t>3260-87-5</t>
  </si>
  <si>
    <t>13286-32-3</t>
  </si>
  <si>
    <t>98-09-9</t>
  </si>
  <si>
    <t>31895-21-3</t>
  </si>
  <si>
    <t>92-82-0</t>
  </si>
  <si>
    <t>1631-58-9</t>
  </si>
  <si>
    <t>2655-19-8</t>
  </si>
  <si>
    <t>1918-13-4</t>
  </si>
  <si>
    <t>271-44-3</t>
  </si>
  <si>
    <t>100-43-6</t>
  </si>
  <si>
    <t>2116-65-6</t>
  </si>
  <si>
    <t>15311-99-6</t>
  </si>
  <si>
    <t>3344-14-7</t>
  </si>
  <si>
    <t>2259-85-0</t>
  </si>
  <si>
    <t>20190-95-8</t>
  </si>
  <si>
    <t>30406-18-9</t>
  </si>
  <si>
    <t>7005-72-3</t>
  </si>
  <si>
    <t>51892-26-3</t>
  </si>
  <si>
    <t>35440-53-0</t>
  </si>
  <si>
    <t>1423-60-5</t>
  </si>
  <si>
    <t>1665-48-1</t>
  </si>
  <si>
    <t>1812-30-2</t>
  </si>
  <si>
    <t>2135-17-3</t>
  </si>
  <si>
    <t>124-07-2</t>
  </si>
  <si>
    <t>830-96-6</t>
  </si>
  <si>
    <t>87-51-4</t>
  </si>
  <si>
    <t>556-52-5</t>
  </si>
  <si>
    <t>78-94-4</t>
  </si>
  <si>
    <t>56-34-8</t>
  </si>
  <si>
    <t>594-20-7</t>
  </si>
  <si>
    <t>5401-94-5</t>
  </si>
  <si>
    <t>5192-03-0</t>
  </si>
  <si>
    <t>586-95-8</t>
  </si>
  <si>
    <t>149-30-4</t>
  </si>
  <si>
    <t>536-75-4</t>
  </si>
  <si>
    <t>111-36-4</t>
  </si>
  <si>
    <t>109-09-1</t>
  </si>
  <si>
    <t>462-08-8</t>
  </si>
  <si>
    <t>1008-88-4</t>
  </si>
  <si>
    <t>156-87-6</t>
  </si>
  <si>
    <t>1622-61-3</t>
  </si>
  <si>
    <t>111-65-9</t>
  </si>
  <si>
    <t>31822-29-4</t>
  </si>
  <si>
    <t>1544-68-9</t>
  </si>
  <si>
    <t>17849-38-6</t>
  </si>
  <si>
    <t>7325-46-4</t>
  </si>
  <si>
    <t>7205-94-9</t>
  </si>
  <si>
    <t>4238-71-5</t>
  </si>
  <si>
    <t>78-88-6</t>
  </si>
  <si>
    <t>588-59-0</t>
  </si>
  <si>
    <t>94-41-7</t>
  </si>
  <si>
    <t>138-59-0</t>
  </si>
  <si>
    <t>149-73-5</t>
  </si>
  <si>
    <t>154-42-7</t>
  </si>
  <si>
    <t>100-55-0</t>
  </si>
  <si>
    <t>100-54-9</t>
  </si>
  <si>
    <t>101-82-6</t>
  </si>
  <si>
    <t>1008-89-5</t>
  </si>
  <si>
    <t>540-38-5</t>
  </si>
  <si>
    <t>104-87-0</t>
  </si>
  <si>
    <t>586-78-7</t>
  </si>
  <si>
    <t>623-03-0</t>
  </si>
  <si>
    <t>106-41-2</t>
  </si>
  <si>
    <t>75-27-4</t>
  </si>
  <si>
    <t>78-42-2</t>
  </si>
  <si>
    <t>10238-21-8</t>
  </si>
  <si>
    <t>105-58-8</t>
  </si>
  <si>
    <t>106266-06-2</t>
  </si>
  <si>
    <t>479-27-6</t>
  </si>
  <si>
    <t>776-34-1</t>
  </si>
  <si>
    <t>771-97-1</t>
  </si>
  <si>
    <t>613-50-3</t>
  </si>
  <si>
    <t>611-34-7</t>
  </si>
  <si>
    <t>607-34-1</t>
  </si>
  <si>
    <t>580-17-6</t>
  </si>
  <si>
    <t>1122-61-8</t>
  </si>
  <si>
    <t>2243-62-1</t>
  </si>
  <si>
    <t>99-56-9</t>
  </si>
  <si>
    <t>95-54-5</t>
  </si>
  <si>
    <t>586-98-1</t>
  </si>
  <si>
    <t>620-95-1</t>
  </si>
  <si>
    <t>597-43-3</t>
  </si>
  <si>
    <t>107-80-2</t>
  </si>
  <si>
    <t>1759-28-0</t>
  </si>
  <si>
    <t>94-52-0</t>
  </si>
  <si>
    <t>57-85-2</t>
  </si>
  <si>
    <t>58-55-9</t>
  </si>
  <si>
    <t>127-07-1</t>
  </si>
  <si>
    <t>149-57-5</t>
  </si>
  <si>
    <t>577-85-5</t>
  </si>
  <si>
    <t>1122-58-3</t>
  </si>
  <si>
    <t>872-85-5</t>
  </si>
  <si>
    <t>696-54-8</t>
  </si>
  <si>
    <t>934-32-7</t>
  </si>
  <si>
    <t>100-48-1</t>
  </si>
  <si>
    <t>3978-81-2</t>
  </si>
  <si>
    <t>55-22-1</t>
  </si>
  <si>
    <t>35975-00-9</t>
  </si>
  <si>
    <t>19335-11-6</t>
  </si>
  <si>
    <t>6972-71-0</t>
  </si>
  <si>
    <t>6146-52-7</t>
  </si>
  <si>
    <t>87-82-1</t>
  </si>
  <si>
    <t>99-66-1</t>
  </si>
  <si>
    <t>98-92-0</t>
  </si>
  <si>
    <t>302-79-4</t>
  </si>
  <si>
    <t>120-78-5</t>
  </si>
  <si>
    <t>623-00-7</t>
  </si>
  <si>
    <t>589-18-4</t>
  </si>
  <si>
    <t>371-41-5</t>
  </si>
  <si>
    <t>92-69-3</t>
  </si>
  <si>
    <t>99-89-8</t>
  </si>
  <si>
    <t>873-76-7</t>
  </si>
  <si>
    <t>1194-02-1</t>
  </si>
  <si>
    <t>459-57-4</t>
  </si>
  <si>
    <t>626-60-8</t>
  </si>
  <si>
    <t>1121-60-4</t>
  </si>
  <si>
    <t>59-67-6</t>
  </si>
  <si>
    <t>142-08-5</t>
  </si>
  <si>
    <t>98-98-6</t>
  </si>
  <si>
    <t>90-45-9</t>
  </si>
  <si>
    <t>71422-67-8</t>
  </si>
  <si>
    <t>3740-92-9</t>
  </si>
  <si>
    <t>92-88-6</t>
  </si>
  <si>
    <t>15547-89-4</t>
  </si>
  <si>
    <t>824-98-6</t>
  </si>
  <si>
    <t>94201-35-1</t>
  </si>
  <si>
    <t>84731-62-4</t>
  </si>
  <si>
    <t>54944-56-8</t>
  </si>
  <si>
    <t>51436-99-8</t>
  </si>
  <si>
    <t>603-35-0</t>
  </si>
  <si>
    <t>72-33-3</t>
  </si>
  <si>
    <t>72956-09-3</t>
  </si>
  <si>
    <t>73590-58-6</t>
  </si>
  <si>
    <t>7481-89-2</t>
  </si>
  <si>
    <t>74-96-4</t>
  </si>
  <si>
    <t>79-04-9</t>
  </si>
  <si>
    <t>79660-72-3</t>
  </si>
  <si>
    <t>54965-21-8</t>
  </si>
  <si>
    <t>55-98-1</t>
  </si>
  <si>
    <t>38126-73-7</t>
  </si>
  <si>
    <t>136426-54-5</t>
  </si>
  <si>
    <t>105-76-0</t>
  </si>
  <si>
    <t>4016-22-2</t>
  </si>
  <si>
    <t>4548-45-2</t>
  </si>
  <si>
    <t>6635-86-5</t>
  </si>
  <si>
    <t>7087-68-5</t>
  </si>
  <si>
    <t>7324-17-6</t>
  </si>
  <si>
    <t>90-30-2</t>
  </si>
  <si>
    <t>503-74-2</t>
  </si>
  <si>
    <t>59467-70-8</t>
  </si>
  <si>
    <t>59729-33-8</t>
  </si>
  <si>
    <t>60142-96-3</t>
  </si>
  <si>
    <t>111-14-8</t>
  </si>
  <si>
    <t>107-93-7</t>
  </si>
  <si>
    <t>63675-72-9</t>
  </si>
  <si>
    <t>64544-07-6</t>
  </si>
  <si>
    <t>67-20-9</t>
  </si>
  <si>
    <t>67306-00-7</t>
  </si>
  <si>
    <t>81098-60-4</t>
  </si>
  <si>
    <t>935-92-2</t>
  </si>
  <si>
    <t>98319-26-7</t>
  </si>
  <si>
    <t>999-97-3</t>
  </si>
  <si>
    <t>107-98-2</t>
  </si>
  <si>
    <t>108-01-0</t>
  </si>
  <si>
    <t>110-89-4</t>
  </si>
  <si>
    <t>112-54-9</t>
  </si>
  <si>
    <t>1141-88-4</t>
  </si>
  <si>
    <t>22664-55-7</t>
  </si>
  <si>
    <t>2447-57-6</t>
  </si>
  <si>
    <t>27589-33-9</t>
  </si>
  <si>
    <t>3056-17-5</t>
  </si>
  <si>
    <t>3282-30-2</t>
  </si>
  <si>
    <t>37517-30-9</t>
  </si>
  <si>
    <t>3930-20-9</t>
  </si>
  <si>
    <t>396-01-0</t>
  </si>
  <si>
    <t>50-48-6</t>
  </si>
  <si>
    <t>51333-22-3</t>
  </si>
  <si>
    <t>52-24-4</t>
  </si>
  <si>
    <t>59277-89-3</t>
  </si>
  <si>
    <t>130-37-0</t>
  </si>
  <si>
    <t>17640-21-0</t>
  </si>
  <si>
    <t>20546-32-1</t>
  </si>
  <si>
    <t>111-96-6</t>
  </si>
  <si>
    <t>75-12-7</t>
  </si>
  <si>
    <t>83657-24-3</t>
  </si>
  <si>
    <t>626-58-4</t>
  </si>
  <si>
    <t>626-67-5</t>
  </si>
  <si>
    <t>766-09-6</t>
  </si>
  <si>
    <t>927-62-8</t>
  </si>
  <si>
    <t>1124-33-0</t>
  </si>
  <si>
    <t>477-30-5</t>
  </si>
  <si>
    <t>492-62-6</t>
  </si>
  <si>
    <t>98-94-2</t>
  </si>
  <si>
    <t>101-83-7</t>
  </si>
  <si>
    <t>107-85-7</t>
  </si>
  <si>
    <t>109-05-7</t>
  </si>
  <si>
    <t>110-13-4</t>
  </si>
  <si>
    <t>111-49-9</t>
  </si>
  <si>
    <t>123-39-7</t>
  </si>
  <si>
    <t>123-51-3</t>
  </si>
  <si>
    <t>591-20-8</t>
  </si>
  <si>
    <t>598-56-1</t>
  </si>
  <si>
    <t>608-33-3</t>
  </si>
  <si>
    <t>613-94-5</t>
  </si>
  <si>
    <t>615-58-7</t>
  </si>
  <si>
    <t>616-39-7</t>
  </si>
  <si>
    <t>625-45-6</t>
  </si>
  <si>
    <t>1484-80-6</t>
  </si>
  <si>
    <t>2430-27-5</t>
  </si>
  <si>
    <t>2530-26-9</t>
  </si>
  <si>
    <t>56-57-5</t>
  </si>
  <si>
    <t>10075-50-0</t>
  </si>
  <si>
    <t>14432-16-7</t>
  </si>
  <si>
    <t>52415-29-9</t>
  </si>
  <si>
    <t>52488-36-5</t>
  </si>
  <si>
    <t>54381-08-7</t>
  </si>
  <si>
    <t>56775-88-3</t>
  </si>
  <si>
    <t>81-07-2</t>
  </si>
  <si>
    <t>196618-13-0</t>
  </si>
  <si>
    <t>62-23-7</t>
  </si>
  <si>
    <t>104030-54-8</t>
  </si>
  <si>
    <t>84332-86-5</t>
  </si>
  <si>
    <t>80060-09-9</t>
  </si>
  <si>
    <t>950-10-7</t>
  </si>
  <si>
    <t>83130-01-2</t>
  </si>
  <si>
    <t>149961-52-4</t>
  </si>
  <si>
    <t>62850-32-2</t>
  </si>
  <si>
    <t>38083-17-9</t>
  </si>
  <si>
    <t>136-85-6</t>
  </si>
  <si>
    <t>138402-11-6</t>
  </si>
  <si>
    <t>84057-84-1</t>
  </si>
  <si>
    <t>83799-24-0</t>
  </si>
  <si>
    <t>139481-59-7</t>
  </si>
  <si>
    <t>137862-53-4</t>
  </si>
  <si>
    <t>13674-84-5</t>
  </si>
  <si>
    <t>126-71-6</t>
  </si>
  <si>
    <t>140923-17-7</t>
  </si>
  <si>
    <t>95-14-7</t>
  </si>
  <si>
    <t>99105-77-8</t>
  </si>
  <si>
    <t>75-01-4</t>
  </si>
  <si>
    <t>1806-26-4</t>
  </si>
  <si>
    <t>208-96-8</t>
  </si>
  <si>
    <t>13475-82-6</t>
  </si>
  <si>
    <t>16096-31-4</t>
  </si>
  <si>
    <t>87787-67-5</t>
  </si>
  <si>
    <t>832088-68-3</t>
  </si>
  <si>
    <t>64485-90-1</t>
  </si>
  <si>
    <t>5466-77-3</t>
  </si>
  <si>
    <t>99-93-4</t>
  </si>
  <si>
    <t>99-88-7</t>
  </si>
  <si>
    <t>99-82-1</t>
  </si>
  <si>
    <t>99817-36-4</t>
  </si>
  <si>
    <t>99788-75-7</t>
  </si>
  <si>
    <t>99-76-3</t>
  </si>
  <si>
    <t>99-75-2</t>
  </si>
  <si>
    <t>99-63-8</t>
  </si>
  <si>
    <t>996-35-0</t>
  </si>
  <si>
    <t>99627-05-1</t>
  </si>
  <si>
    <t>99-62-7</t>
  </si>
  <si>
    <t>99610-72-7</t>
  </si>
  <si>
    <t>99-59-2</t>
  </si>
  <si>
    <t>99591-74-9</t>
  </si>
  <si>
    <t>99-57-0</t>
  </si>
  <si>
    <t>99520-81-7</t>
  </si>
  <si>
    <t>99464-83-2</t>
  </si>
  <si>
    <t>994-05-8</t>
  </si>
  <si>
    <t>99395-88-7</t>
  </si>
  <si>
    <t>99-34-3</t>
  </si>
  <si>
    <t>993-13-5</t>
  </si>
  <si>
    <t>99305-42-7</t>
  </si>
  <si>
    <t>993-00-0</t>
  </si>
  <si>
    <t>99189-60-3</t>
  </si>
  <si>
    <t>98-89-5</t>
  </si>
  <si>
    <t>98-85-1</t>
  </si>
  <si>
    <t>98-83-9</t>
  </si>
  <si>
    <t>98760-08-8</t>
  </si>
  <si>
    <t>98737-29-2</t>
  </si>
  <si>
    <t>98730-04-2</t>
  </si>
  <si>
    <t>98-67-9</t>
  </si>
  <si>
    <t>98-59-9</t>
  </si>
  <si>
    <t>98-56-6</t>
  </si>
  <si>
    <t>98-53-3</t>
  </si>
  <si>
    <t>98-52-2</t>
  </si>
  <si>
    <t>98-44-2</t>
  </si>
  <si>
    <t>98-43-1</t>
  </si>
  <si>
    <t>98-42-0</t>
  </si>
  <si>
    <t>98377-35-6</t>
  </si>
  <si>
    <t>98-37-3</t>
  </si>
  <si>
    <t>98-29-3</t>
  </si>
  <si>
    <t>98-11-3</t>
  </si>
  <si>
    <t>980-26-7</t>
  </si>
  <si>
    <t>97-99-4</t>
  </si>
  <si>
    <t>97963-62-7</t>
  </si>
  <si>
    <t>97-90-5</t>
  </si>
  <si>
    <t>97888-41-0</t>
  </si>
  <si>
    <t>97-86-9</t>
  </si>
  <si>
    <t>97-78-9</t>
  </si>
  <si>
    <t>97-72-3</t>
  </si>
  <si>
    <t>976-71-6</t>
  </si>
  <si>
    <t>976-70-5</t>
  </si>
  <si>
    <t>97-65-4</t>
  </si>
  <si>
    <t>97-63-2</t>
  </si>
  <si>
    <t>97-52-9</t>
  </si>
  <si>
    <t>97-39-2</t>
  </si>
  <si>
    <t>97384-48-0</t>
  </si>
  <si>
    <t>97173-34-7</t>
  </si>
  <si>
    <t>97101-46-7</t>
  </si>
  <si>
    <t>97042-18-7</t>
  </si>
  <si>
    <t>96-97-9</t>
  </si>
  <si>
    <t>96-96-8</t>
  </si>
  <si>
    <t>96-93-5</t>
  </si>
  <si>
    <t>96-76-4</t>
  </si>
  <si>
    <t>96702-03-3</t>
  </si>
  <si>
    <t>96-69-5</t>
  </si>
  <si>
    <t>96-67-3</t>
  </si>
  <si>
    <t>96662-24-7</t>
  </si>
  <si>
    <t>96562-58-2</t>
  </si>
  <si>
    <t>96-49-1</t>
  </si>
  <si>
    <t>96-48-0</t>
  </si>
  <si>
    <t>96-47-9</t>
  </si>
  <si>
    <t>96478-09-0</t>
  </si>
  <si>
    <t>96-34-4</t>
  </si>
  <si>
    <t>96-26-4</t>
  </si>
  <si>
    <t>96220-76-7</t>
  </si>
  <si>
    <t>96-20-8</t>
  </si>
  <si>
    <t>96141-86-5</t>
  </si>
  <si>
    <t>96123-54-5</t>
  </si>
  <si>
    <t>95-96-5</t>
  </si>
  <si>
    <t>95962-14-4</t>
  </si>
  <si>
    <t>95885-13-5</t>
  </si>
  <si>
    <t>958445-54-0</t>
  </si>
  <si>
    <t>95-79-4</t>
  </si>
  <si>
    <t>95-78-3</t>
  </si>
  <si>
    <t>957-68-6</t>
  </si>
  <si>
    <t>95-73-8</t>
  </si>
  <si>
    <t>956317-36-5</t>
  </si>
  <si>
    <t>95-38-5</t>
  </si>
  <si>
    <t>95-33-0</t>
  </si>
  <si>
    <t>95-31-8</t>
  </si>
  <si>
    <t>95235-30-6</t>
  </si>
  <si>
    <t>95235-29-3</t>
  </si>
  <si>
    <t>95154-01-1</t>
  </si>
  <si>
    <t>94-91-7</t>
  </si>
  <si>
    <t>947753-66-4</t>
  </si>
  <si>
    <t>947701-81-7</t>
  </si>
  <si>
    <t>94723-86-1</t>
  </si>
  <si>
    <t>947-19-3</t>
  </si>
  <si>
    <t>94-71-3</t>
  </si>
  <si>
    <t>947-05-7</t>
  </si>
  <si>
    <t>947-04-6</t>
  </si>
  <si>
    <t>94695-52-0</t>
  </si>
  <si>
    <t>94612-91-6</t>
  </si>
  <si>
    <t>94441-92-6</t>
  </si>
  <si>
    <t>94361-26-9</t>
  </si>
  <si>
    <t>94-36-0</t>
  </si>
  <si>
    <t>94346-09-5</t>
  </si>
  <si>
    <t>94317-64-3</t>
  </si>
  <si>
    <t>94-28-0</t>
  </si>
  <si>
    <t>94239-04-0</t>
  </si>
  <si>
    <t>94200-74-5</t>
  </si>
  <si>
    <t>941-69-5</t>
  </si>
  <si>
    <t>94-13-3</t>
  </si>
  <si>
    <t>94097-88-8</t>
  </si>
  <si>
    <t>94-05-3</t>
  </si>
  <si>
    <t>94050-90-5</t>
  </si>
  <si>
    <t>94050-51-8</t>
  </si>
  <si>
    <t>94-04-2</t>
  </si>
  <si>
    <t>939-97-9</t>
  </si>
  <si>
    <t>93957-50-7</t>
  </si>
  <si>
    <t>93957-49-4</t>
  </si>
  <si>
    <t>93-92-5</t>
  </si>
  <si>
    <t>93839-71-5</t>
  </si>
  <si>
    <t>93803-89-5</t>
  </si>
  <si>
    <t>93-70-9</t>
  </si>
  <si>
    <t>93-69-6</t>
  </si>
  <si>
    <t>93-68-5</t>
  </si>
  <si>
    <t>93680-80-9</t>
  </si>
  <si>
    <t>936-49-2</t>
  </si>
  <si>
    <t>93629-90-4</t>
  </si>
  <si>
    <t>93589-69-6</t>
  </si>
  <si>
    <t>93-58-3</t>
  </si>
  <si>
    <t>934841-17-5</t>
  </si>
  <si>
    <t>93413-62-8</t>
  </si>
  <si>
    <t>932742-30-8</t>
  </si>
  <si>
    <t>932-64-9</t>
  </si>
  <si>
    <t>93-20-9</t>
  </si>
  <si>
    <t>931-87-3</t>
  </si>
  <si>
    <t>93-17-4</t>
  </si>
  <si>
    <t>931419-77-1</t>
  </si>
  <si>
    <t>931-40-8</t>
  </si>
  <si>
    <t>931-36-2</t>
  </si>
  <si>
    <t>93107-30-3</t>
  </si>
  <si>
    <t>930-02-9</t>
  </si>
  <si>
    <t>92952-81-3</t>
  </si>
  <si>
    <t>929-06-6</t>
  </si>
  <si>
    <t>92878-95-0</t>
  </si>
  <si>
    <t>928-70-1</t>
  </si>
  <si>
    <t>92-84-2</t>
  </si>
  <si>
    <t>92761-26-7</t>
  </si>
  <si>
    <t>927395-20-8</t>
  </si>
  <si>
    <t>927-07-1</t>
  </si>
  <si>
    <t>92-70-6</t>
  </si>
  <si>
    <t>92671-67-5</t>
  </si>
  <si>
    <t>926-63-6</t>
  </si>
  <si>
    <t>926-57-8</t>
  </si>
  <si>
    <t>926-50-1</t>
  </si>
  <si>
    <t>926010-02-8</t>
  </si>
  <si>
    <t>92585-24-5</t>
  </si>
  <si>
    <t>925-21-3</t>
  </si>
  <si>
    <t>92484-48-5</t>
  </si>
  <si>
    <t>92444-89-8</t>
  </si>
  <si>
    <t>924-42-5</t>
  </si>
  <si>
    <t>92409-09-1</t>
  </si>
  <si>
    <t>923-02-4</t>
  </si>
  <si>
    <t>922165-31-9</t>
  </si>
  <si>
    <t>921-03-9</t>
  </si>
  <si>
    <t>92077-08-2</t>
  </si>
  <si>
    <t>919-94-8</t>
  </si>
  <si>
    <t>91-97-4</t>
  </si>
  <si>
    <t>91-96-3</t>
  </si>
  <si>
    <t>919-31-3</t>
  </si>
  <si>
    <t>919-30-2</t>
  </si>
  <si>
    <t>919005-14-4</t>
  </si>
  <si>
    <t>918504-27-5</t>
  </si>
  <si>
    <t>91-76-9</t>
  </si>
  <si>
    <t>917-61-3</t>
  </si>
  <si>
    <t>91-68-9</t>
  </si>
  <si>
    <t>916887-53-1</t>
  </si>
  <si>
    <t>915416-45-4</t>
  </si>
  <si>
    <t>91538-82-8</t>
  </si>
  <si>
    <t>91273-04-0</t>
  </si>
  <si>
    <t>91259-47-1</t>
  </si>
  <si>
    <t>91-21-4</t>
  </si>
  <si>
    <t>91-16-7</t>
  </si>
  <si>
    <t>91161-71-6</t>
  </si>
  <si>
    <t>90-82-4</t>
  </si>
  <si>
    <t>90-80-2</t>
  </si>
  <si>
    <t>90-72-2</t>
  </si>
  <si>
    <t>90719-32-7</t>
  </si>
  <si>
    <t>90622-59-6</t>
  </si>
  <si>
    <t>90536-66-6</t>
  </si>
  <si>
    <t>90-51-7</t>
  </si>
  <si>
    <t>90474-13-8</t>
  </si>
  <si>
    <t>90357-53-2</t>
  </si>
  <si>
    <t>902272-78-0</t>
  </si>
  <si>
    <t>90-17-5</t>
  </si>
  <si>
    <t>901-44-0</t>
  </si>
  <si>
    <t>90076-65-6</t>
  </si>
  <si>
    <t>90-05-1</t>
  </si>
  <si>
    <t>9005-00-9</t>
  </si>
  <si>
    <t>90035-08-8</t>
  </si>
  <si>
    <t>899-79-6</t>
  </si>
  <si>
    <t>89929-65-7</t>
  </si>
  <si>
    <t>89786-04-9</t>
  </si>
  <si>
    <t>897626-46-9</t>
  </si>
  <si>
    <t>897-06-3</t>
  </si>
  <si>
    <t>89-65-6</t>
  </si>
  <si>
    <t>89604-92-2</t>
  </si>
  <si>
    <t>89604-91-1</t>
  </si>
  <si>
    <t>895-85-2</t>
  </si>
  <si>
    <t>89-57-6</t>
  </si>
  <si>
    <t>89544-48-9</t>
  </si>
  <si>
    <t>89-48-5</t>
  </si>
  <si>
    <t>89415-87-2</t>
  </si>
  <si>
    <t>89402-43-7</t>
  </si>
  <si>
    <t>89392-03-0</t>
  </si>
  <si>
    <t>89331-94-2</t>
  </si>
  <si>
    <t>89226-12-0</t>
  </si>
  <si>
    <t>89182-60-5</t>
  </si>
  <si>
    <t>89114-90-9</t>
  </si>
  <si>
    <t>89079-92-5</t>
  </si>
  <si>
    <t>890707-28-5</t>
  </si>
  <si>
    <t>89-05-4</t>
  </si>
  <si>
    <t>89-04-3</t>
  </si>
  <si>
    <t>88949-33-1</t>
  </si>
  <si>
    <t>88938-23-2</t>
  </si>
  <si>
    <t>888504-28-7</t>
  </si>
  <si>
    <t>888504-27-6</t>
  </si>
  <si>
    <t>88805-65-6</t>
  </si>
  <si>
    <t>88784-33-2</t>
  </si>
  <si>
    <t>88-66-4</t>
  </si>
  <si>
    <t>88642-03-9</t>
  </si>
  <si>
    <t>88-60-8</t>
  </si>
  <si>
    <t>88558-41-2</t>
  </si>
  <si>
    <t>88-51-7</t>
  </si>
  <si>
    <t>88-45-9</t>
  </si>
  <si>
    <t>88-44-8</t>
  </si>
  <si>
    <t>884-35-5</t>
  </si>
  <si>
    <t>883794-93-2</t>
  </si>
  <si>
    <t>88374-05-4</t>
  </si>
  <si>
    <t>88-27-7</t>
  </si>
  <si>
    <t>88-21-1</t>
  </si>
  <si>
    <t>882073-43-0</t>
  </si>
  <si>
    <t>88-19-7</t>
  </si>
  <si>
    <t>88196-70-7</t>
  </si>
  <si>
    <t>88190-28-7</t>
  </si>
  <si>
    <t>88-17-5</t>
  </si>
  <si>
    <t>88150-62-3</t>
  </si>
  <si>
    <t>88128-57-8</t>
  </si>
  <si>
    <t>88-12-0</t>
  </si>
  <si>
    <t>87-99-0</t>
  </si>
  <si>
    <t>87907-35-5</t>
  </si>
  <si>
    <t>878665-13-5</t>
  </si>
  <si>
    <t>877670-90-1</t>
  </si>
  <si>
    <t>877179-04-9</t>
  </si>
  <si>
    <t>877179-03-8</t>
  </si>
  <si>
    <t>133-37-9</t>
  </si>
  <si>
    <t>87-60-5</t>
  </si>
  <si>
    <t>87563-89-1</t>
  </si>
  <si>
    <t>875210-74-5</t>
  </si>
  <si>
    <t>874819-71-3</t>
  </si>
  <si>
    <t>874649-82-8</t>
  </si>
  <si>
    <t>873-94-9</t>
  </si>
  <si>
    <t>873888-84-7</t>
  </si>
  <si>
    <t>87333-22-0</t>
  </si>
  <si>
    <t>873-32-5</t>
  </si>
  <si>
    <t>87305-03-1</t>
  </si>
  <si>
    <t>872-36-6</t>
  </si>
  <si>
    <t>872-05-9</t>
  </si>
  <si>
    <t>87199-17-5</t>
  </si>
  <si>
    <t>871-70-5</t>
  </si>
  <si>
    <t>870778-34-0</t>
  </si>
  <si>
    <t>87061-04-9</t>
  </si>
  <si>
    <t>87-02-5</t>
  </si>
  <si>
    <t>87010-29-5</t>
  </si>
  <si>
    <t>86978-24-7</t>
  </si>
  <si>
    <t>86960-46-5</t>
  </si>
  <si>
    <t>868839-23-0</t>
  </si>
  <si>
    <t>868-14-4</t>
  </si>
  <si>
    <t>86771-76-8</t>
  </si>
  <si>
    <t>867-56-1</t>
  </si>
  <si>
    <t>867-13-0</t>
  </si>
  <si>
    <t>86579-53-5</t>
  </si>
  <si>
    <t>865-48-5</t>
  </si>
  <si>
    <t>865-33-8</t>
  </si>
  <si>
    <t>86432-23-7</t>
  </si>
  <si>
    <t>86404-04-8</t>
  </si>
  <si>
    <t>86393-34-2</t>
  </si>
  <si>
    <t>86329-09-1</t>
  </si>
  <si>
    <t>86273-46-3</t>
  </si>
  <si>
    <t>86261-90-7</t>
  </si>
  <si>
    <t>85-98-3</t>
  </si>
  <si>
    <t>85954-11-6</t>
  </si>
  <si>
    <t>85943-26-6</t>
  </si>
  <si>
    <t>85877-79-8</t>
  </si>
  <si>
    <t>858036-65-4</t>
  </si>
  <si>
    <t>85776-14-3</t>
  </si>
  <si>
    <t>85-73-4</t>
  </si>
  <si>
    <t>85702-90-5</t>
  </si>
  <si>
    <t>85633-96-1</t>
  </si>
  <si>
    <t>85-60-9</t>
  </si>
  <si>
    <t>85-43-8</t>
  </si>
  <si>
    <t>85-42-7</t>
  </si>
  <si>
    <t>85-40-5</t>
  </si>
  <si>
    <t>85-27-8</t>
  </si>
  <si>
    <t>852379-28-3</t>
  </si>
  <si>
    <t>852282-89-4</t>
  </si>
  <si>
    <t>85209-93-4</t>
  </si>
  <si>
    <t>85209-91-2</t>
  </si>
  <si>
    <t>850546-74-6</t>
  </si>
  <si>
    <t>850545-42-5</t>
  </si>
  <si>
    <t>850222-40-1</t>
  </si>
  <si>
    <t>84988-61-4</t>
  </si>
  <si>
    <t>84852-53-9</t>
  </si>
  <si>
    <t>848484-93-5</t>
  </si>
  <si>
    <t>84816-56-8</t>
  </si>
  <si>
    <t>84793-24-8</t>
  </si>
  <si>
    <t>846-48-0</t>
  </si>
  <si>
    <t>84632-66-6</t>
  </si>
  <si>
    <t>84632-65-5</t>
  </si>
  <si>
    <t>84632-59-7</t>
  </si>
  <si>
    <t>84632-50-8</t>
  </si>
  <si>
    <t>84-61-7</t>
  </si>
  <si>
    <t>846023-24-3</t>
  </si>
  <si>
    <t>84592-32-5</t>
  </si>
  <si>
    <t>84583-68-6</t>
  </si>
  <si>
    <t>84563-90-6</t>
  </si>
  <si>
    <t>84-51-5</t>
  </si>
  <si>
    <t>84434-23-1</t>
  </si>
  <si>
    <t>84434-11-7</t>
  </si>
  <si>
    <t>84392-17-6</t>
  </si>
  <si>
    <t>84268-33-7</t>
  </si>
  <si>
    <t>839-90-7</t>
  </si>
  <si>
    <t>83953-73-5</t>
  </si>
  <si>
    <t>83926-73-2</t>
  </si>
  <si>
    <t>83857-96-9</t>
  </si>
  <si>
    <t>83847-14-7</t>
  </si>
  <si>
    <t>83-73-8</t>
  </si>
  <si>
    <t>83708-14-9</t>
  </si>
  <si>
    <t>83623-61-4</t>
  </si>
  <si>
    <t>83598-13-4</t>
  </si>
  <si>
    <t>83524-75-8</t>
  </si>
  <si>
    <t>83411-71-6</t>
  </si>
  <si>
    <t>83372-55-8</t>
  </si>
  <si>
    <t>83261-15-8</t>
  </si>
  <si>
    <t>831-52-7</t>
  </si>
  <si>
    <t>83056-32-0</t>
  </si>
  <si>
    <t>830322-14-0</t>
  </si>
  <si>
    <t>83016-70-0</t>
  </si>
  <si>
    <t>830-13-7</t>
  </si>
  <si>
    <t>83011-43-2</t>
  </si>
  <si>
    <t>82985-35-1</t>
  </si>
  <si>
    <t>82961-52-2</t>
  </si>
  <si>
    <t>82923-75-9</t>
  </si>
  <si>
    <t>82911-32-8</t>
  </si>
  <si>
    <t>82796-69-8</t>
  </si>
  <si>
    <t>826-55-1</t>
  </si>
  <si>
    <t>82654-98-6</t>
  </si>
  <si>
    <t>826-36-8</t>
  </si>
  <si>
    <t>82560-12-1</t>
  </si>
  <si>
    <t>82543-16-6</t>
  </si>
  <si>
    <t>82543-15-5</t>
  </si>
  <si>
    <t>82530-64-1</t>
  </si>
  <si>
    <t>82469-79-2</t>
  </si>
  <si>
    <t>82413-20-5</t>
  </si>
  <si>
    <t>82380-18-5</t>
  </si>
  <si>
    <t>823178-41-2</t>
  </si>
  <si>
    <t>822-06-0</t>
  </si>
  <si>
    <t>82203-23-4</t>
  </si>
  <si>
    <t>82200-53-1</t>
  </si>
  <si>
    <t>82199-12-0</t>
  </si>
  <si>
    <t>82113-65-3</t>
  </si>
  <si>
    <t>821-06-7</t>
  </si>
  <si>
    <t>82091-12-1</t>
  </si>
  <si>
    <t>81992-66-7</t>
  </si>
  <si>
    <t>81936-33-6</t>
  </si>
  <si>
    <t>81782-77-6</t>
  </si>
  <si>
    <t>81752-87-6</t>
  </si>
  <si>
    <t>81653-77-2</t>
  </si>
  <si>
    <t>813-76-3</t>
  </si>
  <si>
    <t>81-33-4</t>
  </si>
  <si>
    <t>81282-60-2</t>
  </si>
  <si>
    <t>81232-22-6</t>
  </si>
  <si>
    <t>811-97-2</t>
  </si>
  <si>
    <t>811412-48-3</t>
  </si>
  <si>
    <t>81-13-0</t>
  </si>
  <si>
    <t>81-11-8</t>
  </si>
  <si>
    <t>80-73-9</t>
  </si>
  <si>
    <t>80657-64-3</t>
  </si>
  <si>
    <t>80-54-6</t>
  </si>
  <si>
    <t>80544-17-8</t>
  </si>
  <si>
    <t>80-51-3</t>
  </si>
  <si>
    <t>80-43-3</t>
  </si>
  <si>
    <t>80-10-4</t>
  </si>
  <si>
    <t>80-09-1</t>
  </si>
  <si>
    <t>80-08-0</t>
  </si>
  <si>
    <t>80-07-9</t>
  </si>
  <si>
    <t>80-04-6</t>
  </si>
  <si>
    <t>79881-89-3</t>
  </si>
  <si>
    <t>79876-59-8</t>
  </si>
  <si>
    <t>79832-89-6</t>
  </si>
  <si>
    <t>79815-20-6</t>
  </si>
  <si>
    <t>79-81-2</t>
  </si>
  <si>
    <t>79-74-3</t>
  </si>
  <si>
    <t>79665-24-0</t>
  </si>
  <si>
    <t>79568-06-2</t>
  </si>
  <si>
    <t>79560-20-6</t>
  </si>
  <si>
    <t>79538-03-7</t>
  </si>
  <si>
    <t>79463-77-7</t>
  </si>
  <si>
    <t>79456-26-1</t>
  </si>
  <si>
    <t>79-41-4</t>
  </si>
  <si>
    <t>79-38-9</t>
  </si>
  <si>
    <t>79371-37-2</t>
  </si>
  <si>
    <t>79370-78-8</t>
  </si>
  <si>
    <t>79349-82-9</t>
  </si>
  <si>
    <t>793-24-8</t>
  </si>
  <si>
    <t>79-30-1</t>
  </si>
  <si>
    <t>79277-18-2</t>
  </si>
  <si>
    <t>79-24-3</t>
  </si>
  <si>
    <t>79-22-1</t>
  </si>
  <si>
    <t>79200-56-9</t>
  </si>
  <si>
    <t>79185-77-6</t>
  </si>
  <si>
    <t>791838-11-4</t>
  </si>
  <si>
    <t>79-16-3</t>
  </si>
  <si>
    <t>79-14-1</t>
  </si>
  <si>
    <t>79-07-2</t>
  </si>
  <si>
    <t>79-03-8</t>
  </si>
  <si>
    <t>79026-02-1</t>
  </si>
  <si>
    <t>78-98-8</t>
  </si>
  <si>
    <t>78-97-7</t>
  </si>
  <si>
    <t>78-86-4</t>
  </si>
  <si>
    <t>78850-37-0</t>
  </si>
  <si>
    <t>78-84-2</t>
  </si>
  <si>
    <t>78-78-4</t>
  </si>
  <si>
    <t>78-69-3</t>
  </si>
  <si>
    <t>78-67-1</t>
  </si>
  <si>
    <t>78-63-7</t>
  </si>
  <si>
    <t>78605-96-6</t>
  </si>
  <si>
    <t>78531-61-0</t>
  </si>
  <si>
    <t>78521-39-8</t>
  </si>
  <si>
    <t>78450-75-6</t>
  </si>
  <si>
    <t>78182-00-0</t>
  </si>
  <si>
    <t>78181-99-4</t>
  </si>
  <si>
    <t>78-16-0</t>
  </si>
  <si>
    <t>78-10-4</t>
  </si>
  <si>
    <t>78-08-0</t>
  </si>
  <si>
    <t>77-94-1</t>
  </si>
  <si>
    <t>77-93-0</t>
  </si>
  <si>
    <t>77-90-7</t>
  </si>
  <si>
    <t>778-94-9</t>
  </si>
  <si>
    <t>77889-90-8</t>
  </si>
  <si>
    <t>7787-93-1</t>
  </si>
  <si>
    <t>7786-67-6</t>
  </si>
  <si>
    <t>7786-17-6</t>
  </si>
  <si>
    <t>77-86-1</t>
  </si>
  <si>
    <t>77855-73-3</t>
  </si>
  <si>
    <t>77-83-8</t>
  </si>
  <si>
    <t>77804-81-0</t>
  </si>
  <si>
    <t>77703-56-1</t>
  </si>
  <si>
    <t>7756-94-7</t>
  </si>
  <si>
    <t>77421-68-2</t>
  </si>
  <si>
    <t>77375-79-2</t>
  </si>
  <si>
    <t>77341-67-4</t>
  </si>
  <si>
    <t>773-14-8</t>
  </si>
  <si>
    <t>770-35-4</t>
  </si>
  <si>
    <t>77017-20-0</t>
  </si>
  <si>
    <t>769953-18-6</t>
  </si>
  <si>
    <t>7695-91-2</t>
  </si>
  <si>
    <t>7693-82-5</t>
  </si>
  <si>
    <t>76932-17-7</t>
  </si>
  <si>
    <t>768-56-9</t>
  </si>
  <si>
    <t>76855-69-1</t>
  </si>
  <si>
    <t>76823-93-3</t>
  </si>
  <si>
    <t>76811-98-8</t>
  </si>
  <si>
    <t>76801-93-9</t>
  </si>
  <si>
    <t>76746-95-7</t>
  </si>
  <si>
    <t>76646-91-8</t>
  </si>
  <si>
    <t>7659-86-1</t>
  </si>
  <si>
    <t>765-63-9</t>
  </si>
  <si>
    <t>76524-94-2</t>
  </si>
  <si>
    <t>765-12-8</t>
  </si>
  <si>
    <t>764-99-8</t>
  </si>
  <si>
    <t>764659-72-5</t>
  </si>
  <si>
    <t>763-69-9</t>
  </si>
  <si>
    <t>763-32-6</t>
  </si>
  <si>
    <t>76311-95-0</t>
  </si>
  <si>
    <t>76275-14-4</t>
  </si>
  <si>
    <t>7620-77-1</t>
  </si>
  <si>
    <t>762-04-9</t>
  </si>
  <si>
    <t>76201-56-4</t>
  </si>
  <si>
    <t>76-16-4</t>
  </si>
  <si>
    <t>76114-73-3</t>
  </si>
  <si>
    <t>760-93-0</t>
  </si>
  <si>
    <t>760-67-8</t>
  </si>
  <si>
    <t>7605-52-9</t>
  </si>
  <si>
    <t>76-05-1</t>
  </si>
  <si>
    <t>76-02-8</t>
  </si>
  <si>
    <t>75980-60-8</t>
  </si>
  <si>
    <t>75-94-5</t>
  </si>
  <si>
    <t>7580-85-0</t>
  </si>
  <si>
    <t>75-79-6</t>
  </si>
  <si>
    <t>7579-36-4</t>
  </si>
  <si>
    <t>75-78-5</t>
  </si>
  <si>
    <t>75-77-4</t>
  </si>
  <si>
    <t>75-76-3</t>
  </si>
  <si>
    <t>7575-23-7</t>
  </si>
  <si>
    <t>75-75-2</t>
  </si>
  <si>
    <t>75-71-8</t>
  </si>
  <si>
    <t>75-68-3</t>
  </si>
  <si>
    <t>75-66-1</t>
  </si>
  <si>
    <t>756-12-7</t>
  </si>
  <si>
    <t>75-54-7</t>
  </si>
  <si>
    <t>75540-64-6</t>
  </si>
  <si>
    <t>75511-91-0</t>
  </si>
  <si>
    <t>75490-39-0</t>
  </si>
  <si>
    <t>75-46-7</t>
  </si>
  <si>
    <t>75-45-6</t>
  </si>
  <si>
    <t>754-12-1</t>
  </si>
  <si>
    <t>75405-06-0</t>
  </si>
  <si>
    <t>75-38-7</t>
  </si>
  <si>
    <t>75-37-6</t>
  </si>
  <si>
    <t>7534-94-3</t>
  </si>
  <si>
    <t>75-33-2</t>
  </si>
  <si>
    <t>752984-24-0</t>
  </si>
  <si>
    <t>75-29-6</t>
  </si>
  <si>
    <t>75-28-5</t>
  </si>
  <si>
    <t>75-26-3</t>
  </si>
  <si>
    <t>7526-26-3</t>
  </si>
  <si>
    <t>75-10-5</t>
  </si>
  <si>
    <t>75046-16-1</t>
  </si>
  <si>
    <t>75-02-5</t>
  </si>
  <si>
    <t>75-00-3</t>
  </si>
  <si>
    <t>74988-05-9</t>
  </si>
  <si>
    <t>74-98-6</t>
  </si>
  <si>
    <t>74974-54-2</t>
  </si>
  <si>
    <t>74953-03-0</t>
  </si>
  <si>
    <t>74-93-1</t>
  </si>
  <si>
    <t>7491-09-0</t>
  </si>
  <si>
    <t>74-86-2</t>
  </si>
  <si>
    <t>74860-00-7</t>
  </si>
  <si>
    <t>74-85-1</t>
  </si>
  <si>
    <t>74-84-0</t>
  </si>
  <si>
    <t>74-82-8</t>
  </si>
  <si>
    <t>74805-60-0</t>
  </si>
  <si>
    <t>7480-35-5</t>
  </si>
  <si>
    <t>74-79-3</t>
  </si>
  <si>
    <t>7474-78-4</t>
  </si>
  <si>
    <t>7473-98-5</t>
  </si>
  <si>
    <t>74638-76-9</t>
  </si>
  <si>
    <t>74546-14-8</t>
  </si>
  <si>
    <t>7452-79-1</t>
  </si>
  <si>
    <t>745070-61-5</t>
  </si>
  <si>
    <t>7450-69-3</t>
  </si>
  <si>
    <t>7450-59-1</t>
  </si>
  <si>
    <t>7446-81-3</t>
  </si>
  <si>
    <t>74462-02-5</t>
  </si>
  <si>
    <t>74441-05-7</t>
  </si>
  <si>
    <t>74345-73-6</t>
  </si>
  <si>
    <t>74338-72-0</t>
  </si>
  <si>
    <t>74149-72-7</t>
  </si>
  <si>
    <t>7402-77-9</t>
  </si>
  <si>
    <t>7397-62-8</t>
  </si>
  <si>
    <t>7397-46-8</t>
  </si>
  <si>
    <t>7396-58-9</t>
  </si>
  <si>
    <t>73942-87-7</t>
  </si>
  <si>
    <t>73936-91-1</t>
  </si>
  <si>
    <t>7381-13-7</t>
  </si>
  <si>
    <t>7379-51-3</t>
  </si>
  <si>
    <t>73611-02-6</t>
  </si>
  <si>
    <t>7357-67-7</t>
  </si>
  <si>
    <t>73573-87-2</t>
  </si>
  <si>
    <t>7340-97-8</t>
  </si>
  <si>
    <t>7340-90-1</t>
  </si>
  <si>
    <t>7331-52-4</t>
  </si>
  <si>
    <t>7328-22-5</t>
  </si>
  <si>
    <t>7327-60-8</t>
  </si>
  <si>
    <t>73246-45-4</t>
  </si>
  <si>
    <t>73-22-3</t>
  </si>
  <si>
    <t>73096-98-7</t>
  </si>
  <si>
    <t>7305-71-7</t>
  </si>
  <si>
    <t>7300-34-7</t>
  </si>
  <si>
    <t>72955-94-3</t>
  </si>
  <si>
    <t>72903-27-6</t>
  </si>
  <si>
    <t>72752-52-4</t>
  </si>
  <si>
    <t>72716-26-8</t>
  </si>
  <si>
    <t>72684-95-8</t>
  </si>
  <si>
    <t>72576-80-8</t>
  </si>
  <si>
    <t>72531-53-4</t>
  </si>
  <si>
    <t>7237-83-4</t>
  </si>
  <si>
    <t>72291-30-6</t>
  </si>
  <si>
    <t>72217-12-0</t>
  </si>
  <si>
    <t>72-18-4</t>
  </si>
  <si>
    <t>72-17-3</t>
  </si>
  <si>
    <t>72162-46-0</t>
  </si>
  <si>
    <t>72120-54-8</t>
  </si>
  <si>
    <t>7195-44-0</t>
  </si>
  <si>
    <t>71902-23-3</t>
  </si>
  <si>
    <t>71868-15-0</t>
  </si>
  <si>
    <t>71868-10-5</t>
  </si>
  <si>
    <t>7173-62-8</t>
  </si>
  <si>
    <t>71735-74-5</t>
  </si>
  <si>
    <t>71617-10-2</t>
  </si>
  <si>
    <t>71604-74-5</t>
  </si>
  <si>
    <t>7153-86-8</t>
  </si>
  <si>
    <t>71526-07-3</t>
  </si>
  <si>
    <t>71487-08-6</t>
  </si>
  <si>
    <t>713-95-1</t>
  </si>
  <si>
    <t>713-65-5</t>
  </si>
  <si>
    <t>71308-16-2</t>
  </si>
  <si>
    <t>712-50-5</t>
  </si>
  <si>
    <t>71170-82-6</t>
  </si>
  <si>
    <t>71119-22-7</t>
  </si>
  <si>
    <t>71048-82-3</t>
  </si>
  <si>
    <t>70987-78-9</t>
  </si>
  <si>
    <t>70969-58-3</t>
  </si>
  <si>
    <t>70958-20-2</t>
  </si>
  <si>
    <t>709-55-7</t>
  </si>
  <si>
    <t>709031-43-6</t>
  </si>
  <si>
    <t>7089-59-0</t>
  </si>
  <si>
    <t>7078-98-0</t>
  </si>
  <si>
    <t>7069-42-3</t>
  </si>
  <si>
    <t>70693-57-1</t>
  </si>
  <si>
    <t>705-86-2</t>
  </si>
  <si>
    <t>70-55-3</t>
  </si>
  <si>
    <t>70516-51-7</t>
  </si>
  <si>
    <t>70516-41-5</t>
  </si>
  <si>
    <t>70445-33-9</t>
  </si>
  <si>
    <t>70441-63-3</t>
  </si>
  <si>
    <t>70356-09-1</t>
  </si>
  <si>
    <t>70321-86-7</t>
  </si>
  <si>
    <t>70264-94-7</t>
  </si>
  <si>
    <t>70258-18-3</t>
  </si>
  <si>
    <t>70223-33-5</t>
  </si>
  <si>
    <t>70203-04-2</t>
  </si>
  <si>
    <t>700-13-0</t>
  </si>
  <si>
    <t>69999-16-2</t>
  </si>
  <si>
    <t>69904-10-5</t>
  </si>
  <si>
    <t>69901-75-3</t>
  </si>
  <si>
    <t>698-29-3</t>
  </si>
  <si>
    <t>69788-75-6</t>
  </si>
  <si>
    <t>697235-49-7</t>
  </si>
  <si>
    <t>6969-71-7</t>
  </si>
  <si>
    <t>694-83-7</t>
  </si>
  <si>
    <t>69432-40-2</t>
  </si>
  <si>
    <t>6940-53-0</t>
  </si>
  <si>
    <t>6938-94-9</t>
  </si>
  <si>
    <t>693-57-2</t>
  </si>
  <si>
    <t>693-36-7</t>
  </si>
  <si>
    <t>693-23-2</t>
  </si>
  <si>
    <t>6925-69-5</t>
  </si>
  <si>
    <t>692-49-9</t>
  </si>
  <si>
    <t>69227-51-6</t>
  </si>
  <si>
    <t>6920-22-5</t>
  </si>
  <si>
    <t>6915-15-7</t>
  </si>
  <si>
    <t>6914-71-2</t>
  </si>
  <si>
    <t>69098-08-4</t>
  </si>
  <si>
    <t>69094-18-4</t>
  </si>
  <si>
    <t>69082-76-4</t>
  </si>
  <si>
    <t>69045-84-7</t>
  </si>
  <si>
    <t>690-39-1</t>
  </si>
  <si>
    <t>6903-18-0</t>
  </si>
  <si>
    <t>688-84-6</t>
  </si>
  <si>
    <t>68860-54-8</t>
  </si>
  <si>
    <t>687-47-8</t>
  </si>
  <si>
    <t>6864-37-5</t>
  </si>
  <si>
    <t>686-31-7</t>
  </si>
  <si>
    <t>68541-50-4</t>
  </si>
  <si>
    <t>68516-75-6</t>
  </si>
  <si>
    <t>68516-73-4</t>
  </si>
  <si>
    <t>6850-63-1</t>
  </si>
  <si>
    <t>6846-50-0</t>
  </si>
  <si>
    <t>6843-66-9</t>
  </si>
  <si>
    <t>6842-62-2</t>
  </si>
  <si>
    <t>68283-19-2</t>
  </si>
  <si>
    <t>682809-44-5</t>
  </si>
  <si>
    <t>68-26-8</t>
  </si>
  <si>
    <t>68259-05-2</t>
  </si>
  <si>
    <t>68252-19-7</t>
  </si>
  <si>
    <t>68227-78-1</t>
  </si>
  <si>
    <t>682-11-1</t>
  </si>
  <si>
    <t>682-09-7</t>
  </si>
  <si>
    <t>682-01-9</t>
  </si>
  <si>
    <t>681-84-5</t>
  </si>
  <si>
    <t>681433-04-5</t>
  </si>
  <si>
    <t>68134-22-5</t>
  </si>
  <si>
    <t>68127-59-3</t>
  </si>
  <si>
    <t>6807-17-6</t>
  </si>
  <si>
    <t>68047-07-4</t>
  </si>
  <si>
    <t>67990-05-0</t>
  </si>
  <si>
    <t>67938-21-0</t>
  </si>
  <si>
    <t>67914-69-6</t>
  </si>
  <si>
    <t>67887-47-2</t>
  </si>
  <si>
    <t>67881-98-5</t>
  </si>
  <si>
    <t>6786-83-0</t>
  </si>
  <si>
    <t>67843-74-7</t>
  </si>
  <si>
    <t>67801-20-1</t>
  </si>
  <si>
    <t>67801-15-4</t>
  </si>
  <si>
    <t>67739-11-1</t>
  </si>
  <si>
    <t>67669-19-6</t>
  </si>
  <si>
    <t>67643-70-3</t>
  </si>
  <si>
    <t>67584-55-8</t>
  </si>
  <si>
    <t>67567-23-1</t>
  </si>
  <si>
    <t>675-62-7</t>
  </si>
  <si>
    <t>67-51-6</t>
  </si>
  <si>
    <t>674-82-8</t>
  </si>
  <si>
    <t>674773-13-8</t>
  </si>
  <si>
    <t>6746-94-7</t>
  </si>
  <si>
    <t>674347-28-5</t>
  </si>
  <si>
    <t>6731-36-8</t>
  </si>
  <si>
    <t>67151-63-7</t>
  </si>
  <si>
    <t>6712-98-7</t>
  </si>
  <si>
    <t>6711-48-4</t>
  </si>
  <si>
    <t>67075-37-0</t>
  </si>
  <si>
    <t>670234-47-6</t>
  </si>
  <si>
    <t>67014-36-2</t>
  </si>
  <si>
    <t>66938-41-8</t>
  </si>
  <si>
    <t>669005-94-1</t>
  </si>
  <si>
    <t>667937-05-5</t>
  </si>
  <si>
    <t>667-84-5</t>
  </si>
  <si>
    <t>6674-22-2</t>
  </si>
  <si>
    <t>66710-66-5</t>
  </si>
  <si>
    <t>66682-07-3</t>
  </si>
  <si>
    <t>66492-51-1</t>
  </si>
  <si>
    <t>6642-31-5</t>
  </si>
  <si>
    <t>66423-13-0</t>
  </si>
  <si>
    <t>6640-24-0</t>
  </si>
  <si>
    <t>6635-20-7</t>
  </si>
  <si>
    <t>66346-83-6</t>
  </si>
  <si>
    <t>66346-01-8</t>
  </si>
  <si>
    <t>66309-83-9</t>
  </si>
  <si>
    <t>66195-26-4</t>
  </si>
  <si>
    <t>6615-00-5</t>
  </si>
  <si>
    <t>6613-44-1</t>
  </si>
  <si>
    <t>66108-89-2</t>
  </si>
  <si>
    <t>6610-29-3</t>
  </si>
  <si>
    <t>6607-41-6</t>
  </si>
  <si>
    <t>6607-34-7</t>
  </si>
  <si>
    <t>66068-84-6</t>
  </si>
  <si>
    <t>66063-15-8</t>
  </si>
  <si>
    <t>66003-87-0</t>
  </si>
  <si>
    <t>6600-31-3</t>
  </si>
  <si>
    <t>65962-45-0</t>
  </si>
  <si>
    <t>65870-94-2</t>
  </si>
  <si>
    <t>65855-02-9</t>
  </si>
  <si>
    <t>65854-91-3</t>
  </si>
  <si>
    <t>657-84-1</t>
  </si>
  <si>
    <t>65756-41-4</t>
  </si>
  <si>
    <t>65753-47-1</t>
  </si>
  <si>
    <t>6563-83-3</t>
  </si>
  <si>
    <t>65520-46-9</t>
  </si>
  <si>
    <t>654636-62-1</t>
  </si>
  <si>
    <t>65405-84-7</t>
  </si>
  <si>
    <t>65405-77-8</t>
  </si>
  <si>
    <t>6528-34-3</t>
  </si>
  <si>
    <t>652-18-6</t>
  </si>
  <si>
    <t>65181-78-4</t>
  </si>
  <si>
    <t>65113-95-3</t>
  </si>
  <si>
    <t>64987-06-0</t>
  </si>
  <si>
    <t>64900-65-8</t>
  </si>
  <si>
    <t>6486-23-3</t>
  </si>
  <si>
    <t>6485-67-2</t>
  </si>
  <si>
    <t>6485-55-8</t>
  </si>
  <si>
    <t>6485-45-6</t>
  </si>
  <si>
    <t>64744-50-9</t>
  </si>
  <si>
    <t>647-42-7</t>
  </si>
  <si>
    <t>6471-50-7</t>
  </si>
  <si>
    <t>646-25-3</t>
  </si>
  <si>
    <t>646-24-2</t>
  </si>
  <si>
    <t>645-62-5</t>
  </si>
  <si>
    <t>6448-95-9</t>
  </si>
  <si>
    <t>6443-69-2</t>
  </si>
  <si>
    <t>6425-39-4</t>
  </si>
  <si>
    <t>6422-86-2</t>
  </si>
  <si>
    <t>6419-19-8</t>
  </si>
  <si>
    <t>64137-52-6</t>
  </si>
  <si>
    <t>6410-41-9</t>
  </si>
  <si>
    <t>6410-32-8</t>
  </si>
  <si>
    <t>64053-02-7</t>
  </si>
  <si>
    <t>63967-10-2</t>
  </si>
  <si>
    <t>6386-38-5</t>
  </si>
  <si>
    <t>63843-89-0</t>
  </si>
  <si>
    <t>638-29-9</t>
  </si>
  <si>
    <t>6381-77-7</t>
  </si>
  <si>
    <t>637-92-3</t>
  </si>
  <si>
    <t>6368-20-3</t>
  </si>
  <si>
    <t>6364-17-6</t>
  </si>
  <si>
    <t>6362-80-7</t>
  </si>
  <si>
    <t>63589-25-3</t>
  </si>
  <si>
    <t>6358-87-8</t>
  </si>
  <si>
    <t>6358-85-6</t>
  </si>
  <si>
    <t>6358-64-1</t>
  </si>
  <si>
    <t>6358-37-8</t>
  </si>
  <si>
    <t>63562-34-5</t>
  </si>
  <si>
    <t>63562-33-4</t>
  </si>
  <si>
    <t>63547-25-1</t>
  </si>
  <si>
    <t>63500-71-0</t>
  </si>
  <si>
    <t>634-55-9</t>
  </si>
  <si>
    <t>63450-43-1</t>
  </si>
  <si>
    <t>6334-25-4</t>
  </si>
  <si>
    <t>6331-96-0</t>
  </si>
  <si>
    <t>63187-91-7</t>
  </si>
  <si>
    <t>63141-09-3</t>
  </si>
  <si>
    <t>6309-51-9</t>
  </si>
  <si>
    <t>6298-96-0</t>
  </si>
  <si>
    <t>629-82-3</t>
  </si>
  <si>
    <t>629-73-2</t>
  </si>
  <si>
    <t>629-59-4</t>
  </si>
  <si>
    <t>629-50-5</t>
  </si>
  <si>
    <t>6292-59-7</t>
  </si>
  <si>
    <t>6291-95-8</t>
  </si>
  <si>
    <t>629-15-2</t>
  </si>
  <si>
    <t>629-11-8</t>
  </si>
  <si>
    <t>629-03-8</t>
  </si>
  <si>
    <t>628-96-6</t>
  </si>
  <si>
    <t>628-89-7</t>
  </si>
  <si>
    <t>62889-66-1</t>
  </si>
  <si>
    <t>6284-43-1</t>
  </si>
  <si>
    <t>6283-86-9</t>
  </si>
  <si>
    <t>628-11-5</t>
  </si>
  <si>
    <t>627-93-0</t>
  </si>
  <si>
    <t>627-83-8</t>
  </si>
  <si>
    <t>62782-03-0</t>
  </si>
  <si>
    <t>6274-22-2</t>
  </si>
  <si>
    <t>6261-30-9</t>
  </si>
  <si>
    <t>62600-71-9</t>
  </si>
  <si>
    <t>6259-76-3</t>
  </si>
  <si>
    <t>624-89-5</t>
  </si>
  <si>
    <t>624-86-2</t>
  </si>
  <si>
    <t>624-54-4</t>
  </si>
  <si>
    <t>624-48-6</t>
  </si>
  <si>
    <t>62435-71-6</t>
  </si>
  <si>
    <t>62409-13-6</t>
  </si>
  <si>
    <t>62406-73-9</t>
  </si>
  <si>
    <t>624-03-3</t>
  </si>
  <si>
    <t>623-84-7</t>
  </si>
  <si>
    <t>623-53-0</t>
  </si>
  <si>
    <t>623-40-5</t>
  </si>
  <si>
    <t>623-36-9</t>
  </si>
  <si>
    <t>62285-89-6</t>
  </si>
  <si>
    <t>6226-25-1</t>
  </si>
  <si>
    <t>622-58-2</t>
  </si>
  <si>
    <t>621-29-4</t>
  </si>
  <si>
    <t>620-67-7</t>
  </si>
  <si>
    <t>6197-30-4</t>
  </si>
  <si>
    <t>6196-98-1</t>
  </si>
  <si>
    <t>61-90-5</t>
  </si>
  <si>
    <t>618-88-2</t>
  </si>
  <si>
    <t>618-83-7</t>
  </si>
  <si>
    <t>61847-48-1</t>
  </si>
  <si>
    <t>618-36-0</t>
  </si>
  <si>
    <t>61826-76-4</t>
  </si>
  <si>
    <t>61792-11-8</t>
  </si>
  <si>
    <t>617-55-0</t>
  </si>
  <si>
    <t>61718-80-7</t>
  </si>
  <si>
    <t>6166-86-5</t>
  </si>
  <si>
    <t>616-47-7</t>
  </si>
  <si>
    <t>616-38-6</t>
  </si>
  <si>
    <t>616-30-8</t>
  </si>
  <si>
    <t>61597-98-6</t>
  </si>
  <si>
    <t>61597-96-4</t>
  </si>
  <si>
    <t>61571-06-0</t>
  </si>
  <si>
    <t>6156-18-9</t>
  </si>
  <si>
    <t>615-60-1</t>
  </si>
  <si>
    <t>61551-69-7</t>
  </si>
  <si>
    <t>615-20-3</t>
  </si>
  <si>
    <t>614-45-9</t>
  </si>
  <si>
    <t>6139-83-9</t>
  </si>
  <si>
    <t>613-62-7</t>
  </si>
  <si>
    <t>613222-52-9</t>
  </si>
  <si>
    <t>61320-65-8</t>
  </si>
  <si>
    <t>61260-55-7</t>
  </si>
  <si>
    <t>61203-83-6</t>
  </si>
  <si>
    <t>611-70-1</t>
  </si>
  <si>
    <t>611-20-1</t>
  </si>
  <si>
    <t>611-19-8</t>
  </si>
  <si>
    <t>6104-30-9</t>
  </si>
  <si>
    <t>6099-57-6</t>
  </si>
  <si>
    <t>609-15-4</t>
  </si>
  <si>
    <t>60857-05-8</t>
  </si>
  <si>
    <t>608-25-3</t>
  </si>
  <si>
    <t>608-23-1</t>
  </si>
  <si>
    <t>60658-04-0</t>
  </si>
  <si>
    <t>60547-97-9</t>
  </si>
  <si>
    <t>6041-94-7</t>
  </si>
  <si>
    <t>60-12-8</t>
  </si>
  <si>
    <t>60113-43-1</t>
  </si>
  <si>
    <t>60111-54-8</t>
  </si>
  <si>
    <t>60046-49-3</t>
  </si>
  <si>
    <t>600-00-0</t>
  </si>
  <si>
    <t>599-64-4</t>
  </si>
  <si>
    <t>599-61-1</t>
  </si>
  <si>
    <t>599-04-2</t>
  </si>
  <si>
    <t>598-78-7</t>
  </si>
  <si>
    <t>59875-04-6</t>
  </si>
  <si>
    <t>598-50-5</t>
  </si>
  <si>
    <t>59820-43-8</t>
  </si>
  <si>
    <t>59802-10-7</t>
  </si>
  <si>
    <t>597-82-0</t>
  </si>
  <si>
    <t>59719-67-4</t>
  </si>
  <si>
    <t>59653-74-6</t>
  </si>
  <si>
    <t>596120-00-2</t>
  </si>
  <si>
    <t>59587-44-9</t>
  </si>
  <si>
    <t>59487-23-9</t>
  </si>
  <si>
    <t>59447-55-1</t>
  </si>
  <si>
    <t>59-42-7</t>
  </si>
  <si>
    <t>5941-55-9</t>
  </si>
  <si>
    <t>59354-78-8</t>
  </si>
  <si>
    <t>593-45-3</t>
  </si>
  <si>
    <t>5933-41-5</t>
  </si>
  <si>
    <t>59320-13-7</t>
  </si>
  <si>
    <t>592-41-6</t>
  </si>
  <si>
    <t>59227-88-2</t>
  </si>
  <si>
    <t>59084-08-1</t>
  </si>
  <si>
    <t>590-19-2</t>
  </si>
  <si>
    <t>5894-60-0</t>
  </si>
  <si>
    <t>588-93-2</t>
  </si>
  <si>
    <t>5888-87-9</t>
  </si>
  <si>
    <t>5888-33-5</t>
  </si>
  <si>
    <t>58797-58-3</t>
  </si>
  <si>
    <t>5873-54-1</t>
  </si>
  <si>
    <t>586-70-9</t>
  </si>
  <si>
    <t>58670-89-6</t>
  </si>
  <si>
    <t>5856-77-9</t>
  </si>
  <si>
    <t>58567-11-6</t>
  </si>
  <si>
    <t>5851-49-0</t>
  </si>
  <si>
    <t>585-07-9</t>
  </si>
  <si>
    <t>58430-94-7</t>
  </si>
  <si>
    <t>583-39-1</t>
  </si>
  <si>
    <t>58190-62-8</t>
  </si>
  <si>
    <t>58190-57-1</t>
  </si>
  <si>
    <t>57999-49-2</t>
  </si>
  <si>
    <t>57987-55-0</t>
  </si>
  <si>
    <t>5788-17-0</t>
  </si>
  <si>
    <t>57848-46-1</t>
  </si>
  <si>
    <t>57843-53-5</t>
  </si>
  <si>
    <t>57675-44-2</t>
  </si>
  <si>
    <t>5766-67-6</t>
  </si>
  <si>
    <t>5763-44-0</t>
  </si>
  <si>
    <t>57625-74-8</t>
  </si>
  <si>
    <t>57583-54-7</t>
  </si>
  <si>
    <t>574-93-6</t>
  </si>
  <si>
    <t>5734-64-5</t>
  </si>
  <si>
    <t>5728-16-5</t>
  </si>
  <si>
    <t>57280-22-5</t>
  </si>
  <si>
    <t>5726-19-2</t>
  </si>
  <si>
    <t>57090-45-6</t>
  </si>
  <si>
    <t>57018-52-7</t>
  </si>
  <si>
    <t>56992-87-1</t>
  </si>
  <si>
    <t>56973-87-6</t>
  </si>
  <si>
    <t>56966-52-0</t>
  </si>
  <si>
    <t>56962-04-0</t>
  </si>
  <si>
    <t>56-86-0</t>
  </si>
  <si>
    <t>56-84-8</t>
  </si>
  <si>
    <t>56718-71-9</t>
  </si>
  <si>
    <t>56706-10-6</t>
  </si>
  <si>
    <t>5669-19-2</t>
  </si>
  <si>
    <t>56677-60-2</t>
  </si>
  <si>
    <t>5661-03-0</t>
  </si>
  <si>
    <t>56539-66-3</t>
  </si>
  <si>
    <t>56519-71-2</t>
  </si>
  <si>
    <t>564-63-6</t>
  </si>
  <si>
    <t>56-45-1</t>
  </si>
  <si>
    <t>56-41-7</t>
  </si>
  <si>
    <t>56-40-6</t>
  </si>
  <si>
    <t>56375-79-2</t>
  </si>
  <si>
    <t>56358-17-9</t>
  </si>
  <si>
    <t>56341-37-8</t>
  </si>
  <si>
    <t>56309-94-5</t>
  </si>
  <si>
    <t>56-18-8</t>
  </si>
  <si>
    <t>5614-37-9</t>
  </si>
  <si>
    <t>561-41-1</t>
  </si>
  <si>
    <t>55974-25-9</t>
  </si>
  <si>
    <t>5595-79-9</t>
  </si>
  <si>
    <t>55934-93-5</t>
  </si>
  <si>
    <t>558-30-5</t>
  </si>
  <si>
    <t>5580-58-5</t>
  </si>
  <si>
    <t>5580-57-4</t>
  </si>
  <si>
    <t>5578-42-7</t>
  </si>
  <si>
    <t>5577-72-0</t>
  </si>
  <si>
    <t>5575-48-4</t>
  </si>
  <si>
    <t>55701-03-6</t>
  </si>
  <si>
    <t>556-82-1</t>
  </si>
  <si>
    <t>55612-11-8</t>
  </si>
  <si>
    <t>55589-62-3</t>
  </si>
  <si>
    <t>55-56-1</t>
  </si>
  <si>
    <t>555-43-1</t>
  </si>
  <si>
    <t>55542-27-3</t>
  </si>
  <si>
    <t>55542-26-2</t>
  </si>
  <si>
    <t>554-62-1</t>
  </si>
  <si>
    <t>553-86-6</t>
  </si>
  <si>
    <t>55349-01-4</t>
  </si>
  <si>
    <t>55314-16-4</t>
  </si>
  <si>
    <t>55310-46-8</t>
  </si>
  <si>
    <t>5521-31-3</t>
  </si>
  <si>
    <t>55066-49-4</t>
  </si>
  <si>
    <t>55066-48-3</t>
  </si>
  <si>
    <t>54914-95-3</t>
  </si>
  <si>
    <t>54914-37-3</t>
  </si>
  <si>
    <t>54839-24-6</t>
  </si>
  <si>
    <t>54807-34-0</t>
  </si>
  <si>
    <t>5470-82-6</t>
  </si>
  <si>
    <t>5470-70-2</t>
  </si>
  <si>
    <t>5468-75-7</t>
  </si>
  <si>
    <t>5460-63-9</t>
  </si>
  <si>
    <t>5459-93-8</t>
  </si>
  <si>
    <t>54586-78-6</t>
  </si>
  <si>
    <t>54574-82-2</t>
  </si>
  <si>
    <t>54549-24-5</t>
  </si>
  <si>
    <t>544-76-3</t>
  </si>
  <si>
    <t>54440-17-4</t>
  </si>
  <si>
    <t>54423-67-5</t>
  </si>
  <si>
    <t>54422-45-6</t>
  </si>
  <si>
    <t>544-01-4</t>
  </si>
  <si>
    <t>5435-64-3</t>
  </si>
  <si>
    <t>54322-20-2</t>
  </si>
  <si>
    <t>54301-26-7</t>
  </si>
  <si>
    <t>54236-98-5</t>
  </si>
  <si>
    <t>542-28-9</t>
  </si>
  <si>
    <t>542-05-2</t>
  </si>
  <si>
    <t>5417-35-6</t>
  </si>
  <si>
    <t>541-41-3</t>
  </si>
  <si>
    <t>5413-60-5</t>
  </si>
  <si>
    <t>5413-49-0</t>
  </si>
  <si>
    <t>541-05-9</t>
  </si>
  <si>
    <t>541-02-6</t>
  </si>
  <si>
    <t>540-97-6</t>
  </si>
  <si>
    <t>540-84-1</t>
  </si>
  <si>
    <t>5406-86-0</t>
  </si>
  <si>
    <t>54041-17-7</t>
  </si>
  <si>
    <t>53936-56-4</t>
  </si>
  <si>
    <t>5384-21-4</t>
  </si>
  <si>
    <t>53651-69-7</t>
  </si>
  <si>
    <t>53641-10-4</t>
  </si>
  <si>
    <t>53535-81-2</t>
  </si>
  <si>
    <t>5343-92-0</t>
  </si>
  <si>
    <t>5343-44-2</t>
  </si>
  <si>
    <t>53-43-0</t>
  </si>
  <si>
    <t>534-03-2</t>
  </si>
  <si>
    <t>53378-52-2</t>
  </si>
  <si>
    <t>533-50-6</t>
  </si>
  <si>
    <t>5333-84-6</t>
  </si>
  <si>
    <t>5333-42-6</t>
  </si>
  <si>
    <t>5332-73-0</t>
  </si>
  <si>
    <t>53306-54-0</t>
  </si>
  <si>
    <t>53250-83-2</t>
  </si>
  <si>
    <t>53220-22-7</t>
  </si>
  <si>
    <t>53213-98-2</t>
  </si>
  <si>
    <t>53207-58-2</t>
  </si>
  <si>
    <t>53201-62-0</t>
  </si>
  <si>
    <t>5308-25-8</t>
  </si>
  <si>
    <t>530-78-9</t>
  </si>
  <si>
    <t>53056-20-5</t>
  </si>
  <si>
    <t>530-48-3</t>
  </si>
  <si>
    <t>5301-78-0</t>
  </si>
  <si>
    <t>52997-43-0</t>
  </si>
  <si>
    <t>52950-18-2</t>
  </si>
  <si>
    <t>52-90-4</t>
  </si>
  <si>
    <t>52894-02-7</t>
  </si>
  <si>
    <t>52870-46-9</t>
  </si>
  <si>
    <t>52846-56-7</t>
  </si>
  <si>
    <t>52829-07-9</t>
  </si>
  <si>
    <t>5280-78-4</t>
  </si>
  <si>
    <t>5280-68-2</t>
  </si>
  <si>
    <t>52722-86-8</t>
  </si>
  <si>
    <t>52667-88-6</t>
  </si>
  <si>
    <t>52603-48-2</t>
  </si>
  <si>
    <t>52583-35-4</t>
  </si>
  <si>
    <t>52449-76-0</t>
  </si>
  <si>
    <t>52449-44-2</t>
  </si>
  <si>
    <t>52301-18-5</t>
  </si>
  <si>
    <t>52238-92-3</t>
  </si>
  <si>
    <t>52185-43-0</t>
  </si>
  <si>
    <t>5216-25-1</t>
  </si>
  <si>
    <t>5208-93-5</t>
  </si>
  <si>
    <t>5205-93-6</t>
  </si>
  <si>
    <t>51934-41-9</t>
  </si>
  <si>
    <t>51920-12-8</t>
  </si>
  <si>
    <t>5187-23-5</t>
  </si>
  <si>
    <t>518048-03-8</t>
  </si>
  <si>
    <t>51762-67-5</t>
  </si>
  <si>
    <t>51755-83-0</t>
  </si>
  <si>
    <t>517-23-7</t>
  </si>
  <si>
    <t>5165-97-9</t>
  </si>
  <si>
    <t>51594-55-9</t>
  </si>
  <si>
    <t>515-84-4</t>
  </si>
  <si>
    <t>51566-62-2</t>
  </si>
  <si>
    <t>51554-95-1</t>
  </si>
  <si>
    <t>51410-72-1</t>
  </si>
  <si>
    <t>51395-42-7</t>
  </si>
  <si>
    <t>51390-14-8</t>
  </si>
  <si>
    <t>513-85-9</t>
  </si>
  <si>
    <t>51368-55-9</t>
  </si>
  <si>
    <t>51336-94-8</t>
  </si>
  <si>
    <t>513-35-9</t>
  </si>
  <si>
    <t>5131-66-8</t>
  </si>
  <si>
    <t>5124-30-1</t>
  </si>
  <si>
    <t>51240-95-0</t>
  </si>
  <si>
    <t>51229-78-8</t>
  </si>
  <si>
    <t>51167-18-1</t>
  </si>
  <si>
    <t>51122-91-9</t>
  </si>
  <si>
    <t>5102-83-0</t>
  </si>
  <si>
    <t>50940-49-3</t>
  </si>
  <si>
    <t>50905-10-7</t>
  </si>
  <si>
    <t>5089-70-3</t>
  </si>
  <si>
    <t>50-89-5</t>
  </si>
  <si>
    <t>5080-22-8</t>
  </si>
  <si>
    <t>507448-65-9</t>
  </si>
  <si>
    <t>507-20-0</t>
  </si>
  <si>
    <t>50715-28-1</t>
  </si>
  <si>
    <t>507-09-5</t>
  </si>
  <si>
    <t>50652-76-1</t>
  </si>
  <si>
    <t>506-30-9</t>
  </si>
  <si>
    <t>505-65-7</t>
  </si>
  <si>
    <t>505-32-8</t>
  </si>
  <si>
    <t>504-02-9</t>
  </si>
  <si>
    <t>5039-78-1</t>
  </si>
  <si>
    <t>5036-48-6</t>
  </si>
  <si>
    <t>503614-91-3</t>
  </si>
  <si>
    <t>5026-74-4</t>
  </si>
  <si>
    <t>5026-62-0</t>
  </si>
  <si>
    <t>502453-61-4</t>
  </si>
  <si>
    <t>502-44-3</t>
  </si>
  <si>
    <t>501925-98-0</t>
  </si>
  <si>
    <t>501921-30-8</t>
  </si>
  <si>
    <t>4985-85-7</t>
  </si>
  <si>
    <t>4979-32-2</t>
  </si>
  <si>
    <t>49744-42-5</t>
  </si>
  <si>
    <t>497-18-7</t>
  </si>
  <si>
    <t>49707-23-5</t>
  </si>
  <si>
    <t>4965-33-7</t>
  </si>
  <si>
    <t>4948-15-6</t>
  </si>
  <si>
    <t>4928-88-5</t>
  </si>
  <si>
    <t>4866-00-6</t>
  </si>
  <si>
    <t>486455-65-6</t>
  </si>
  <si>
    <t>482-35-9</t>
  </si>
  <si>
    <t>48145-04-6</t>
  </si>
  <si>
    <t>4813-57-4</t>
  </si>
  <si>
    <t>48076-38-6</t>
  </si>
  <si>
    <t>479194-50-8</t>
  </si>
  <si>
    <t>478695-70-4</t>
  </si>
  <si>
    <t>478285-18-6</t>
  </si>
  <si>
    <t>47758-37-2</t>
  </si>
  <si>
    <t>477218-42-1</t>
  </si>
  <si>
    <t>474754-93-3</t>
  </si>
  <si>
    <t>4747-21-1</t>
  </si>
  <si>
    <t>474645-93-7</t>
  </si>
  <si>
    <t>474510-57-1</t>
  </si>
  <si>
    <t>474-25-9</t>
  </si>
  <si>
    <t>474044-10-5</t>
  </si>
  <si>
    <t>4724-48-5</t>
  </si>
  <si>
    <t>471-01-2</t>
  </si>
  <si>
    <t>47073-92-7</t>
  </si>
  <si>
    <t>46830-22-2</t>
  </si>
  <si>
    <t>46755-94-6</t>
  </si>
  <si>
    <t>4651-67-6</t>
  </si>
  <si>
    <t>4637-24-5</t>
  </si>
  <si>
    <t>4635-87-4</t>
  </si>
  <si>
    <t>4635-59-0</t>
  </si>
  <si>
    <t>462-95-3</t>
  </si>
  <si>
    <t>462-94-2</t>
  </si>
  <si>
    <t>461-96-1</t>
  </si>
  <si>
    <t>461-58-5</t>
  </si>
  <si>
    <t>460-73-1</t>
  </si>
  <si>
    <t>460-19-5</t>
  </si>
  <si>
    <t>456-04-2</t>
  </si>
  <si>
    <t>4559-86-8</t>
  </si>
  <si>
    <t>4553-62-2</t>
  </si>
  <si>
    <t>455-14-1</t>
  </si>
  <si>
    <t>454-31-9</t>
  </si>
  <si>
    <t>4531-49-1</t>
  </si>
  <si>
    <t>452962-97-9</t>
  </si>
  <si>
    <t>4524-95-2</t>
  </si>
  <si>
    <t>4511-42-6</t>
  </si>
  <si>
    <t>45021-77-0</t>
  </si>
  <si>
    <t>4500-29-2</t>
  </si>
  <si>
    <t>44992-01-0</t>
  </si>
  <si>
    <t>4498-67-3</t>
  </si>
  <si>
    <t>44914-03-6</t>
  </si>
  <si>
    <t>4488-57-7</t>
  </si>
  <si>
    <t>4457-71-0</t>
  </si>
  <si>
    <t>4443-26-9</t>
  </si>
  <si>
    <t>444-14-4</t>
  </si>
  <si>
    <t>443965-81-9</t>
  </si>
  <si>
    <t>443965-79-5</t>
  </si>
  <si>
    <t>4435-53-4</t>
  </si>
  <si>
    <t>4431-83-8</t>
  </si>
  <si>
    <t>4403-70-7</t>
  </si>
  <si>
    <t>4402-30-6</t>
  </si>
  <si>
    <t>439685-79-7</t>
  </si>
  <si>
    <t>4394-85-8</t>
  </si>
  <si>
    <t>438056-69-0</t>
  </si>
  <si>
    <t>4378-61-4</t>
  </si>
  <si>
    <t>437717-43-6</t>
  </si>
  <si>
    <t>4369-14-6</t>
  </si>
  <si>
    <t>436097-28-8</t>
  </si>
  <si>
    <t>434-03-7</t>
  </si>
  <si>
    <t>431-89-0</t>
  </si>
  <si>
    <t>4316-74-9</t>
  </si>
  <si>
    <t>4316-73-8</t>
  </si>
  <si>
    <t>43157-50-2</t>
  </si>
  <si>
    <t>43151-99-1</t>
  </si>
  <si>
    <t>43057-68-7</t>
  </si>
  <si>
    <t>43028-69-9</t>
  </si>
  <si>
    <t>42978-66-5</t>
  </si>
  <si>
    <t>42872-30-0</t>
  </si>
  <si>
    <t>42872-29-7</t>
  </si>
  <si>
    <t>42774-15-2</t>
  </si>
  <si>
    <t>42594-17-2</t>
  </si>
  <si>
    <t>42558-54-3</t>
  </si>
  <si>
    <t>4253-34-3</t>
  </si>
  <si>
    <t>42487-72-9</t>
  </si>
  <si>
    <t>4246-51-9</t>
  </si>
  <si>
    <t>4245-76-5</t>
  </si>
  <si>
    <t>42413-03-6</t>
  </si>
  <si>
    <t>4229-69-0</t>
  </si>
  <si>
    <t>42288-26-6</t>
  </si>
  <si>
    <t>42252-34-6</t>
  </si>
  <si>
    <t>42222-50-4</t>
  </si>
  <si>
    <t>421-85-2</t>
  </si>
  <si>
    <t>42131-25-9</t>
  </si>
  <si>
    <t>42125-46-2</t>
  </si>
  <si>
    <t>4212-49-1</t>
  </si>
  <si>
    <t>420805-16-9</t>
  </si>
  <si>
    <t>42019-78-3</t>
  </si>
  <si>
    <t>4187-38-6</t>
  </si>
  <si>
    <t>41870-52-4</t>
  </si>
  <si>
    <t>41864-22-6</t>
  </si>
  <si>
    <t>41851-59-6</t>
  </si>
  <si>
    <t>41844-71-7</t>
  </si>
  <si>
    <t>41687-30-3</t>
  </si>
  <si>
    <t>41672-81-5</t>
  </si>
  <si>
    <t>4166-20-5</t>
  </si>
  <si>
    <t>41620-33-1</t>
  </si>
  <si>
    <t>41564-62-9</t>
  </si>
  <si>
    <t>4156-21-2</t>
  </si>
  <si>
    <t>4151-51-3</t>
  </si>
  <si>
    <t>41492-05-1</t>
  </si>
  <si>
    <t>41484-35-9</t>
  </si>
  <si>
    <t>41481-66-7</t>
  </si>
  <si>
    <t>4137-56-8</t>
  </si>
  <si>
    <t>41340-36-7</t>
  </si>
  <si>
    <t>41253-21-8</t>
  </si>
  <si>
    <t>4111-54-0</t>
  </si>
  <si>
    <t>41107-56-6</t>
  </si>
  <si>
    <t>4102-53-8</t>
  </si>
  <si>
    <t>4098-71-9</t>
  </si>
  <si>
    <t>4090-51-1</t>
  </si>
  <si>
    <t>4084-38-2</t>
  </si>
  <si>
    <t>10329-41-6</t>
  </si>
  <si>
    <t>40758-65-4</t>
  </si>
  <si>
    <t>4073-98-7</t>
  </si>
  <si>
    <t>407-25-0</t>
  </si>
  <si>
    <t>4067-16-7</t>
  </si>
  <si>
    <t>406679-89-8</t>
  </si>
  <si>
    <t>4065-45-6</t>
  </si>
  <si>
    <t>40649-36-3</t>
  </si>
  <si>
    <t>406488-30-0</t>
  </si>
  <si>
    <t>4062-46-8</t>
  </si>
  <si>
    <t>40618-31-3</t>
  </si>
  <si>
    <t>40601-76-1</t>
  </si>
  <si>
    <t>40548-04-7</t>
  </si>
  <si>
    <t>40306-75-0</t>
  </si>
  <si>
    <t>402470-91-1</t>
  </si>
  <si>
    <t>402-31-3</t>
  </si>
  <si>
    <t>40188-41-8</t>
  </si>
  <si>
    <t>40150-98-9</t>
  </si>
  <si>
    <t>4009-98-7</t>
  </si>
  <si>
    <t>39906-04-2</t>
  </si>
  <si>
    <t>3978-58-3</t>
  </si>
  <si>
    <t>39716-58-0</t>
  </si>
  <si>
    <t>39670-09-2</t>
  </si>
  <si>
    <t>3965-55-7</t>
  </si>
  <si>
    <t>39643-08-8</t>
  </si>
  <si>
    <t>39537-23-0</t>
  </si>
  <si>
    <t>3952-66-7</t>
  </si>
  <si>
    <t>393-75-9</t>
  </si>
  <si>
    <t>393-52-2</t>
  </si>
  <si>
    <t>39267-05-5</t>
  </si>
  <si>
    <t>39255-32-8</t>
  </si>
  <si>
    <t>39236-46-9</t>
  </si>
  <si>
    <t>39202-17-0</t>
  </si>
  <si>
    <t>39183-17-0</t>
  </si>
  <si>
    <t>39148-16-8</t>
  </si>
  <si>
    <t>39142-36-4</t>
  </si>
  <si>
    <t>3905-19-9</t>
  </si>
  <si>
    <t>390359-18-9</t>
  </si>
  <si>
    <t>3900-45-6</t>
  </si>
  <si>
    <t>389083-83-4</t>
  </si>
  <si>
    <t>3886-69-9</t>
  </si>
  <si>
    <t>388606-32-4</t>
  </si>
  <si>
    <t>387868-07-7</t>
  </si>
  <si>
    <t>38746-92-8</t>
  </si>
  <si>
    <t>387353-77-7</t>
  </si>
  <si>
    <t>38720-66-0</t>
  </si>
  <si>
    <t>38675-10-4</t>
  </si>
  <si>
    <t>38668-48-3</t>
  </si>
  <si>
    <t>3862-73-5</t>
  </si>
  <si>
    <t>38585-74-9</t>
  </si>
  <si>
    <t>3855-32-1</t>
  </si>
  <si>
    <t>385398-71-0</t>
  </si>
  <si>
    <t>3851-87-4</t>
  </si>
  <si>
    <t>38489-24-6</t>
  </si>
  <si>
    <t>3847-58-3</t>
  </si>
  <si>
    <t>3845-76-9</t>
  </si>
  <si>
    <t>38313-48-3</t>
  </si>
  <si>
    <t>3828-49-7</t>
  </si>
  <si>
    <t>38233-76-0</t>
  </si>
  <si>
    <t>382-28-5</t>
  </si>
  <si>
    <t>38223-29-9</t>
  </si>
  <si>
    <t>381-73-7</t>
  </si>
  <si>
    <t>381209-09-2</t>
  </si>
  <si>
    <t>3811-73-2</t>
  </si>
  <si>
    <t>38051-10-4</t>
  </si>
  <si>
    <t>37971-36-1</t>
  </si>
  <si>
    <t>379685-96-8</t>
  </si>
  <si>
    <t>379268-96-9</t>
  </si>
  <si>
    <t>37859-55-5</t>
  </si>
  <si>
    <t>378-44-9</t>
  </si>
  <si>
    <t>3779-63-3</t>
  </si>
  <si>
    <t>376653-42-8</t>
  </si>
  <si>
    <t>376592-58-4</t>
  </si>
  <si>
    <t>376588-17-9</t>
  </si>
  <si>
    <t>376348-76-4</t>
  </si>
  <si>
    <t>3753-18-2</t>
  </si>
  <si>
    <t>37526-59-3</t>
  </si>
  <si>
    <t>375-03-1</t>
  </si>
  <si>
    <t>3748-13-8</t>
  </si>
  <si>
    <t>37443-42-8</t>
  </si>
  <si>
    <t>37439-34-2</t>
  </si>
  <si>
    <t>3741-80-8</t>
  </si>
  <si>
    <t>373-44-4</t>
  </si>
  <si>
    <t>372-31-6</t>
  </si>
  <si>
    <t>372-09-8</t>
  </si>
  <si>
    <t>371921-62-9</t>
  </si>
  <si>
    <t>371921-34-5</t>
  </si>
  <si>
    <t>371771-07-2</t>
  </si>
  <si>
    <t>3717-40-6</t>
  </si>
  <si>
    <t>37143-54-7</t>
  </si>
  <si>
    <t>3710-84-7</t>
  </si>
  <si>
    <t>3710-30-3</t>
  </si>
  <si>
    <t>37052-78-1</t>
  </si>
  <si>
    <t>3699-54-5</t>
  </si>
  <si>
    <t>36968-27-1</t>
  </si>
  <si>
    <t>369634-22-0</t>
  </si>
  <si>
    <t>36944-85-1</t>
  </si>
  <si>
    <t>368450-39-9</t>
  </si>
  <si>
    <t>36837-50-0</t>
  </si>
  <si>
    <t>3681-73-0</t>
  </si>
  <si>
    <t>3681-71-8</t>
  </si>
  <si>
    <t>36768-62-4</t>
  </si>
  <si>
    <t>367-51-1</t>
  </si>
  <si>
    <t>3673-79-8</t>
  </si>
  <si>
    <t>36727-29-4</t>
  </si>
  <si>
    <t>366448-52-4</t>
  </si>
  <si>
    <t>36635-56-0</t>
  </si>
  <si>
    <t>365411-50-3</t>
  </si>
  <si>
    <t>1522-92-5</t>
  </si>
  <si>
    <t>36443-68-2</t>
  </si>
  <si>
    <t>36394-75-9</t>
  </si>
  <si>
    <t>36374-49-9</t>
  </si>
  <si>
    <t>3634-83-1</t>
  </si>
  <si>
    <t>362525-73-3</t>
  </si>
  <si>
    <t>3624-77-9</t>
  </si>
  <si>
    <t>362467-67-2</t>
  </si>
  <si>
    <t>3622-84-2</t>
  </si>
  <si>
    <t>362-03-8</t>
  </si>
  <si>
    <t>36177-92-1</t>
  </si>
  <si>
    <t>361442-00-4</t>
  </si>
  <si>
    <t>361379-00-2</t>
  </si>
  <si>
    <t>361366-16-7</t>
  </si>
  <si>
    <t>361366-15-6</t>
  </si>
  <si>
    <t>36078-10-1</t>
  </si>
  <si>
    <t>3598-16-1</t>
  </si>
  <si>
    <t>35948-25-5</t>
  </si>
  <si>
    <t>35869-64-8</t>
  </si>
  <si>
    <t>358629-51-3</t>
  </si>
  <si>
    <t>35836-72-7</t>
  </si>
  <si>
    <t>3576-88-3</t>
  </si>
  <si>
    <t>35636-63-6</t>
  </si>
  <si>
    <t>3558-60-9</t>
  </si>
  <si>
    <t>35541-81-2</t>
  </si>
  <si>
    <t>354-38-1</t>
  </si>
  <si>
    <t>35435-21-3</t>
  </si>
  <si>
    <t>354-33-6</t>
  </si>
  <si>
    <t>353497-35-5</t>
  </si>
  <si>
    <t>352-93-2</t>
  </si>
  <si>
    <t>35272-27-6</t>
  </si>
  <si>
    <t>35265-04-4</t>
  </si>
  <si>
    <t>3520-72-7</t>
  </si>
  <si>
    <t>35180-01-9</t>
  </si>
  <si>
    <t>35123-06-9</t>
  </si>
  <si>
    <t>351197-46-1</t>
  </si>
  <si>
    <t>3508-98-3</t>
  </si>
  <si>
    <t>35077-00-0</t>
  </si>
  <si>
    <t>35037-73-1</t>
  </si>
  <si>
    <t>35000-38-5</t>
  </si>
  <si>
    <t>34893-92-0</t>
  </si>
  <si>
    <t>34841-35-5</t>
  </si>
  <si>
    <t>347174-87-2</t>
  </si>
  <si>
    <t>34708-08-2</t>
  </si>
  <si>
    <t>34690-00-1</t>
  </si>
  <si>
    <t>34640-92-1</t>
  </si>
  <si>
    <t>3459-83-4</t>
  </si>
  <si>
    <t>345-92-6</t>
  </si>
  <si>
    <t>3457-61-2</t>
  </si>
  <si>
    <t>345217-02-9</t>
  </si>
  <si>
    <t>34452-51-2</t>
  </si>
  <si>
    <t>34432-92-3</t>
  </si>
  <si>
    <t>34396-03-7</t>
  </si>
  <si>
    <t>3437-84-1</t>
  </si>
  <si>
    <t>34316-64-8</t>
  </si>
  <si>
    <t>3425-89-6</t>
  </si>
  <si>
    <t>3425-61-4</t>
  </si>
  <si>
    <t>3423-28-7</t>
  </si>
  <si>
    <t>3423-25-4</t>
  </si>
  <si>
    <t>342-25-6</t>
  </si>
  <si>
    <t>34206-40-1</t>
  </si>
  <si>
    <t>3407-42-9</t>
  </si>
  <si>
    <t>34052-90-9</t>
  </si>
  <si>
    <t>34036-80-1</t>
  </si>
  <si>
    <t>34036-07-2</t>
  </si>
  <si>
    <t>340041-91-0</t>
  </si>
  <si>
    <t>33996-58-6</t>
  </si>
  <si>
    <t>338-83-0</t>
  </si>
  <si>
    <t>338735-71-0</t>
  </si>
  <si>
    <t>33831-83-3</t>
  </si>
  <si>
    <t>3382-63-6</t>
  </si>
  <si>
    <t>3380-30-1</t>
  </si>
  <si>
    <t>337906-36-2</t>
  </si>
  <si>
    <t>33734-57-5</t>
  </si>
  <si>
    <t>33719-11-8</t>
  </si>
  <si>
    <t>33704-61-9</t>
  </si>
  <si>
    <t>3353-51-3</t>
  </si>
  <si>
    <t>335153-21-4</t>
  </si>
  <si>
    <t>3338-24-7</t>
  </si>
  <si>
    <t>33367-55-4</t>
  </si>
  <si>
    <t>3335-98-6</t>
  </si>
  <si>
    <t>33329-35-0</t>
  </si>
  <si>
    <t>3332-27-2</t>
  </si>
  <si>
    <t>332903-78-3</t>
  </si>
  <si>
    <t>3327-22-8</t>
  </si>
  <si>
    <t>3320-83-0</t>
  </si>
  <si>
    <t>3319-31-1</t>
  </si>
  <si>
    <t>33125-90-5</t>
  </si>
  <si>
    <t>33021-02-2</t>
  </si>
  <si>
    <t>33016-77-2</t>
  </si>
  <si>
    <t>32998-95-1</t>
  </si>
  <si>
    <t>329925-33-9</t>
  </si>
  <si>
    <t>3296-90-0</t>
  </si>
  <si>
    <t>32940-15-1</t>
  </si>
  <si>
    <t>329187-59-9</t>
  </si>
  <si>
    <t>3290-92-4</t>
  </si>
  <si>
    <t>329039-38-5</t>
  </si>
  <si>
    <t>329-01-1</t>
  </si>
  <si>
    <t>328-84-7</t>
  </si>
  <si>
    <t>32863-32-4</t>
  </si>
  <si>
    <t>3277-26-7</t>
  </si>
  <si>
    <t>32750-89-3</t>
  </si>
  <si>
    <t>32687-78-8</t>
  </si>
  <si>
    <t>3268-49-3</t>
  </si>
  <si>
    <t>3266-23-7</t>
  </si>
  <si>
    <t>325855-90-1</t>
  </si>
  <si>
    <t>325740-68-9</t>
  </si>
  <si>
    <t>325715-13-7</t>
  </si>
  <si>
    <t>32539-83-6</t>
  </si>
  <si>
    <t>3250-74-6</t>
  </si>
  <si>
    <t>32480-08-3</t>
  </si>
  <si>
    <t>324763-39-5</t>
  </si>
  <si>
    <t>32454-35-6</t>
  </si>
  <si>
    <t>32388-55-9</t>
  </si>
  <si>
    <t>32360-05-7</t>
  </si>
  <si>
    <t>3234-85-3</t>
  </si>
  <si>
    <t>32210-23-4</t>
  </si>
  <si>
    <t>320-60-5</t>
  </si>
  <si>
    <t>3197-25-9</t>
  </si>
  <si>
    <t>319-24-4</t>
  </si>
  <si>
    <t>319002-92-1</t>
  </si>
  <si>
    <t>31837-42-0</t>
  </si>
  <si>
    <t>3179-80-4</t>
  </si>
  <si>
    <t>3179-76-8</t>
  </si>
  <si>
    <t>3179-63-3</t>
  </si>
  <si>
    <t>3179-47-3</t>
  </si>
  <si>
    <t>31778-10-6</t>
  </si>
  <si>
    <t>31775-89-0</t>
  </si>
  <si>
    <t>3173-72-6</t>
  </si>
  <si>
    <t>3164-85-0</t>
  </si>
  <si>
    <t>31618-90-3</t>
  </si>
  <si>
    <t>31560-20-0</t>
  </si>
  <si>
    <t>31506-43-1</t>
  </si>
  <si>
    <t>3148-73-0</t>
  </si>
  <si>
    <t>3147-75-9</t>
  </si>
  <si>
    <t>31469-15-5</t>
  </si>
  <si>
    <t>314020-40-1</t>
  </si>
  <si>
    <t>313973-37-4</t>
  </si>
  <si>
    <t>31335-74-7</t>
  </si>
  <si>
    <t>3131-52-0</t>
  </si>
  <si>
    <t>3121-61-7</t>
  </si>
  <si>
    <t>3115-49-9</t>
  </si>
  <si>
    <t>31138-65-5</t>
  </si>
  <si>
    <t>31127-80-7</t>
  </si>
  <si>
    <t>31127-54-5</t>
  </si>
  <si>
    <t>31098-20-1</t>
  </si>
  <si>
    <t>31027-31-3</t>
  </si>
  <si>
    <t>31024-56-3</t>
  </si>
  <si>
    <t>3101-60-8</t>
  </si>
  <si>
    <t>30989-05-0</t>
  </si>
  <si>
    <t>3089-17-6</t>
  </si>
  <si>
    <t>3089-16-5</t>
  </si>
  <si>
    <t>3088-31-1</t>
  </si>
  <si>
    <t>3088-15-1</t>
  </si>
  <si>
    <t>3081-14-9</t>
  </si>
  <si>
    <t>307000-42-6</t>
  </si>
  <si>
    <t>3069-40-7</t>
  </si>
  <si>
    <t>3069-29-2</t>
  </si>
  <si>
    <t>306-83-2</t>
  </si>
  <si>
    <t>30674-80-7</t>
  </si>
  <si>
    <t>3061-75-4</t>
  </si>
  <si>
    <t>3048-64-4</t>
  </si>
  <si>
    <t>3047-32-3</t>
  </si>
  <si>
    <t>30433-91-1</t>
  </si>
  <si>
    <t>3039-83-6</t>
  </si>
  <si>
    <t>3033-62-3</t>
  </si>
  <si>
    <t>3031-66-1</t>
  </si>
  <si>
    <t>3030-47-5</t>
  </si>
  <si>
    <t>302-97-6</t>
  </si>
  <si>
    <t>302964-24-5</t>
  </si>
  <si>
    <t>302776-68-7</t>
  </si>
  <si>
    <t>3010-96-6</t>
  </si>
  <si>
    <t>3009-45-8</t>
  </si>
  <si>
    <t>3006-82-4</t>
  </si>
  <si>
    <t>2996-92-1</t>
  </si>
  <si>
    <t>29923-31-7</t>
  </si>
  <si>
    <t>29920-31-8</t>
  </si>
  <si>
    <t>29911-28-2</t>
  </si>
  <si>
    <t>298695-60-0</t>
  </si>
  <si>
    <t>298692-41-8</t>
  </si>
  <si>
    <t>29857-13-4</t>
  </si>
  <si>
    <t>298-14-6</t>
  </si>
  <si>
    <t>298-12-4</t>
  </si>
  <si>
    <t>29806-73-3</t>
  </si>
  <si>
    <t>297730-93-9</t>
  </si>
  <si>
    <t>2973-59-3</t>
  </si>
  <si>
    <t>29617-66-1</t>
  </si>
  <si>
    <t>2960-66-9</t>
  </si>
  <si>
    <t>294-90-6</t>
  </si>
  <si>
    <t>2943-75-1</t>
  </si>
  <si>
    <t>2942-59-8</t>
  </si>
  <si>
    <t>2935-90-2</t>
  </si>
  <si>
    <t>292605-05-1</t>
  </si>
  <si>
    <t>2923-16-2</t>
  </si>
  <si>
    <t>2920-38-9</t>
  </si>
  <si>
    <t>29171-20-8</t>
  </si>
  <si>
    <t>2915-57-3</t>
  </si>
  <si>
    <t>291536-35-1</t>
  </si>
  <si>
    <t>2909-38-8</t>
  </si>
  <si>
    <t>29091-09-6</t>
  </si>
  <si>
    <t>290822-07-0</t>
  </si>
  <si>
    <t>2901-13-5</t>
  </si>
  <si>
    <t>289708-41-4</t>
  </si>
  <si>
    <t>2896-70-0</t>
  </si>
  <si>
    <t>28889-54-5</t>
  </si>
  <si>
    <t>288579-85-1</t>
  </si>
  <si>
    <t>288-32-4</t>
  </si>
  <si>
    <t>287-92-3</t>
  </si>
  <si>
    <t>28768-32-3</t>
  </si>
  <si>
    <t>2873-97-4</t>
  </si>
  <si>
    <t>28698-31-9</t>
  </si>
  <si>
    <t>285977-85-7</t>
  </si>
  <si>
    <t>2855-13-2</t>
  </si>
  <si>
    <t>28535-81-1</t>
  </si>
  <si>
    <t>28510-23-8</t>
  </si>
  <si>
    <t>28479-22-3</t>
  </si>
  <si>
    <t>28473-19-0</t>
  </si>
  <si>
    <t>284462-37-9</t>
  </si>
  <si>
    <t>284461-73-0</t>
  </si>
  <si>
    <t>28416-82-2</t>
  </si>
  <si>
    <t>28365-08-4</t>
  </si>
  <si>
    <t>2833-30-9</t>
  </si>
  <si>
    <t>2830-40-2</t>
  </si>
  <si>
    <t>28068-91-9</t>
  </si>
  <si>
    <t>27955-94-8</t>
  </si>
  <si>
    <t>2788-74-1</t>
  </si>
  <si>
    <t>27871-49-4</t>
  </si>
  <si>
    <t>2786-76-7</t>
  </si>
  <si>
    <t>2778-42-9</t>
  </si>
  <si>
    <t>27676-62-6</t>
  </si>
  <si>
    <t>27624-67-5</t>
  </si>
  <si>
    <t>27610-48-6</t>
  </si>
  <si>
    <t>2752-17-2</t>
  </si>
  <si>
    <t>27460-02-2</t>
  </si>
  <si>
    <t>27445-54-1</t>
  </si>
  <si>
    <t>27375-52-6</t>
  </si>
  <si>
    <t>27329-70-0</t>
  </si>
  <si>
    <t>27325-97-9</t>
  </si>
  <si>
    <t>27298-98-2</t>
  </si>
  <si>
    <t>2725-22-6</t>
  </si>
  <si>
    <t>27080-42-8</t>
  </si>
  <si>
    <t>2705-87-5</t>
  </si>
  <si>
    <t>2701-50-0</t>
  </si>
  <si>
    <t>269401-43-6</t>
  </si>
  <si>
    <t>2687-94-7</t>
  </si>
  <si>
    <t>2687-91-4</t>
  </si>
  <si>
    <t>268568-11-2</t>
  </si>
  <si>
    <t>268567-32-4</t>
  </si>
  <si>
    <t>26741-53-7</t>
  </si>
  <si>
    <t>2668-75-9</t>
  </si>
  <si>
    <t>26658-19-5</t>
  </si>
  <si>
    <t>266310-25-2</t>
  </si>
  <si>
    <t>26586-02-7</t>
  </si>
  <si>
    <t>26479-35-6</t>
  </si>
  <si>
    <t>26452-81-3</t>
  </si>
  <si>
    <t>26401-35-4</t>
  </si>
  <si>
    <t>26399-02-0</t>
  </si>
  <si>
    <t>26364-65-8</t>
  </si>
  <si>
    <t>2628-16-2</t>
  </si>
  <si>
    <t>2627-95-4</t>
  </si>
  <si>
    <t>2627-86-3</t>
  </si>
  <si>
    <t>26272-90-2</t>
  </si>
  <si>
    <t>2624-17-1</t>
  </si>
  <si>
    <t>26218-04-2</t>
  </si>
  <si>
    <t>26184-62-3</t>
  </si>
  <si>
    <t>26159-31-9</t>
  </si>
  <si>
    <t>26157-73-3</t>
  </si>
  <si>
    <t>2612-57-9</t>
  </si>
  <si>
    <t>260980-89-0</t>
  </si>
  <si>
    <t>2605-79-0</t>
  </si>
  <si>
    <t>2605-78-9</t>
  </si>
  <si>
    <t>26040-51-7</t>
  </si>
  <si>
    <t>2602-34-8</t>
  </si>
  <si>
    <t>25973-55-1</t>
  </si>
  <si>
    <t>25965-81-5</t>
  </si>
  <si>
    <t>2590-41-2</t>
  </si>
  <si>
    <t>25899-50-7</t>
  </si>
  <si>
    <t>2579-20-6</t>
  </si>
  <si>
    <t>2568-90-3</t>
  </si>
  <si>
    <t>2568-33-4</t>
  </si>
  <si>
    <t>256473-05-9</t>
  </si>
  <si>
    <t>256473-04-8</t>
  </si>
  <si>
    <t>25634-93-9</t>
  </si>
  <si>
    <t>25628-08-4</t>
  </si>
  <si>
    <t>25625-62-1</t>
  </si>
  <si>
    <t>25601-41-6</t>
  </si>
  <si>
    <t>2557-13-3</t>
  </si>
  <si>
    <t>255387-46-3</t>
  </si>
  <si>
    <t>2550-52-9</t>
  </si>
  <si>
    <t>2550-26-7</t>
  </si>
  <si>
    <t>2549-53-3</t>
  </si>
  <si>
    <t>25485-88-5</t>
  </si>
  <si>
    <t>2540-36-5</t>
  </si>
  <si>
    <t>2437-56-1</t>
  </si>
  <si>
    <t>253585-83-0</t>
  </si>
  <si>
    <t>253430-12-5</t>
  </si>
  <si>
    <t>2530-87-2</t>
  </si>
  <si>
    <t>2530-85-0</t>
  </si>
  <si>
    <t>2530-83-8</t>
  </si>
  <si>
    <t>25307-17-9</t>
  </si>
  <si>
    <t>2528-61-2</t>
  </si>
  <si>
    <t>2526-64-9</t>
  </si>
  <si>
    <t>2526-62-7</t>
  </si>
  <si>
    <t>2524-03-0</t>
  </si>
  <si>
    <t>2517-44-4</t>
  </si>
  <si>
    <t>25151-96-6</t>
  </si>
  <si>
    <t>2512-29-0</t>
  </si>
  <si>
    <t>25103-58-6</t>
  </si>
  <si>
    <t>2501-94-2</t>
  </si>
  <si>
    <t>25015-63-8</t>
  </si>
  <si>
    <t>2500-88-1</t>
  </si>
  <si>
    <t>2495-39-8</t>
  </si>
  <si>
    <t>2495-27-4</t>
  </si>
  <si>
    <t>2494-88-4</t>
  </si>
  <si>
    <t>24863-70-5</t>
  </si>
  <si>
    <t>248593-16-0</t>
  </si>
  <si>
    <t>24856-00-6</t>
  </si>
  <si>
    <t>24851-98-7</t>
  </si>
  <si>
    <t>24748-23-0</t>
  </si>
  <si>
    <t>24731-73-5</t>
  </si>
  <si>
    <t>247089-62-9</t>
  </si>
  <si>
    <t>24701-69-7</t>
  </si>
  <si>
    <t>246871-16-9</t>
  </si>
  <si>
    <t>24650-42-8</t>
  </si>
  <si>
    <t>24634-61-5</t>
  </si>
  <si>
    <t>24549-06-2</t>
  </si>
  <si>
    <t>24487-91-0</t>
  </si>
  <si>
    <t>24468-13-1</t>
  </si>
  <si>
    <t>244303-78-4</t>
  </si>
  <si>
    <t>24424-99-5</t>
  </si>
  <si>
    <t>24403-04-1</t>
  </si>
  <si>
    <t>2440-22-4</t>
  </si>
  <si>
    <t>24400-75-7</t>
  </si>
  <si>
    <t>2439-35-2</t>
  </si>
  <si>
    <t>2437-17-4</t>
  </si>
  <si>
    <t>2431-50-7</t>
  </si>
  <si>
    <t>24294-01-7</t>
  </si>
  <si>
    <t>24293-43-4</t>
  </si>
  <si>
    <t>24280-93-1</t>
  </si>
  <si>
    <t>24279-39-8</t>
  </si>
  <si>
    <t>2425-79-8</t>
  </si>
  <si>
    <t>2425-77-6</t>
  </si>
  <si>
    <t>2422-91-5</t>
  </si>
  <si>
    <t>2421-28-5</t>
  </si>
  <si>
    <t>2420-17-9</t>
  </si>
  <si>
    <t>24199-46-0</t>
  </si>
  <si>
    <t>24190-77-0</t>
  </si>
  <si>
    <t>2409-55-4</t>
  </si>
  <si>
    <t>24085-06-1</t>
  </si>
  <si>
    <t>24066-82-8</t>
  </si>
  <si>
    <t>2403-89-6</t>
  </si>
  <si>
    <t>2403-88-5</t>
  </si>
  <si>
    <t>2403-54-5</t>
  </si>
  <si>
    <t>2402-79-1</t>
  </si>
  <si>
    <t>2402-58-6</t>
  </si>
  <si>
    <t>23996-53-4</t>
  </si>
  <si>
    <t>23920-15-2</t>
  </si>
  <si>
    <t>23911-85-5</t>
  </si>
  <si>
    <t>23911-56-0</t>
  </si>
  <si>
    <t>2386-87-0</t>
  </si>
  <si>
    <t>2385-77-5</t>
  </si>
  <si>
    <t>2380-86-1</t>
  </si>
  <si>
    <t>23783-42-8</t>
  </si>
  <si>
    <t>23783-26-8</t>
  </si>
  <si>
    <t>23779-32-0</t>
  </si>
  <si>
    <t>2373-38-8</t>
  </si>
  <si>
    <t>2370-88-9</t>
  </si>
  <si>
    <t>236391-76-7</t>
  </si>
  <si>
    <t>2362-14-3</t>
  </si>
  <si>
    <t>23432-65-7</t>
  </si>
  <si>
    <t>23432-64-6</t>
  </si>
  <si>
    <t>23410-40-4</t>
  </si>
  <si>
    <t>23386-52-9</t>
  </si>
  <si>
    <t>23357-52-0</t>
  </si>
  <si>
    <t>23357-46-2</t>
  </si>
  <si>
    <t>23328-71-4</t>
  </si>
  <si>
    <t>232938-43-1</t>
  </si>
  <si>
    <t>23235-61-2</t>
  </si>
  <si>
    <t>23128-74-7</t>
  </si>
  <si>
    <t>231278-20-9</t>
  </si>
  <si>
    <t>23085-60-1</t>
  </si>
  <si>
    <t>2306-88-9</t>
  </si>
  <si>
    <t>230615-59-5</t>
  </si>
  <si>
    <t>22984-54-9</t>
  </si>
  <si>
    <t>228863-28-3</t>
  </si>
  <si>
    <t>22871-58-5</t>
  </si>
  <si>
    <t>2280-49-1</t>
  </si>
  <si>
    <t>227197-72-0</t>
  </si>
  <si>
    <t>227025-33-4</t>
  </si>
  <si>
    <t>226065-73-2</t>
  </si>
  <si>
    <t>224785-90-4</t>
  </si>
  <si>
    <t>22471-55-2</t>
  </si>
  <si>
    <t>224049-04-1</t>
  </si>
  <si>
    <t>22393-85-7</t>
  </si>
  <si>
    <t>223595-20-8</t>
  </si>
  <si>
    <t>2235-46-3</t>
  </si>
  <si>
    <t>2235-00-9</t>
  </si>
  <si>
    <t>22328-90-1</t>
  </si>
  <si>
    <t>22288-41-1</t>
  </si>
  <si>
    <t>2226-96-2</t>
  </si>
  <si>
    <t>2224-33-1</t>
  </si>
  <si>
    <t>222408-91-5</t>
  </si>
  <si>
    <t>222408-90-4</t>
  </si>
  <si>
    <t>2217-40-5</t>
  </si>
  <si>
    <t>221667-31-8</t>
  </si>
  <si>
    <t>221526-72-3</t>
  </si>
  <si>
    <t>221452-67-1</t>
  </si>
  <si>
    <t>2210-79-9</t>
  </si>
  <si>
    <t>2210-24-4</t>
  </si>
  <si>
    <t>22094-93-5</t>
  </si>
  <si>
    <t>22094-85-5</t>
  </si>
  <si>
    <t>22094-83-3</t>
  </si>
  <si>
    <t>22094-81-1</t>
  </si>
  <si>
    <t>220727-26-4</t>
  </si>
  <si>
    <t>22047-49-0</t>
  </si>
  <si>
    <t>22038-86-4</t>
  </si>
  <si>
    <t>220198-21-0</t>
  </si>
  <si>
    <t>21983-80-2</t>
  </si>
  <si>
    <t>21981-33-9</t>
  </si>
  <si>
    <t>219715-34-1</t>
  </si>
  <si>
    <t>21873-52-9</t>
  </si>
  <si>
    <t>2186-92-7</t>
  </si>
  <si>
    <t>21862-63-5</t>
  </si>
  <si>
    <t>2182-55-0</t>
  </si>
  <si>
    <t>21800-83-9</t>
  </si>
  <si>
    <t>21743-27-1</t>
  </si>
  <si>
    <t>21700-31-2</t>
  </si>
  <si>
    <t>216698-07-6</t>
  </si>
  <si>
    <t>216439-38-2</t>
  </si>
  <si>
    <t>21643-42-5</t>
  </si>
  <si>
    <t>2163-42-0</t>
  </si>
  <si>
    <t>2163-00-0</t>
  </si>
  <si>
    <t>2162-74-5</t>
  </si>
  <si>
    <t>2162-73-4</t>
  </si>
  <si>
    <t>215877-64-8</t>
  </si>
  <si>
    <t>21542-96-1</t>
  </si>
  <si>
    <t>21535-43-3</t>
  </si>
  <si>
    <t>215054-80-1</t>
  </si>
  <si>
    <t>2146-71-6</t>
  </si>
  <si>
    <t>2144-53-8</t>
  </si>
  <si>
    <t>214417-91-1</t>
  </si>
  <si>
    <t>214330-29-7</t>
  </si>
  <si>
    <t>214194-00-0</t>
  </si>
  <si>
    <t>214115-79-4</t>
  </si>
  <si>
    <t>213967-55-6</t>
  </si>
  <si>
    <t>2136-89-2</t>
  </si>
  <si>
    <t>21331-43-1</t>
  </si>
  <si>
    <t>213265-83-9</t>
  </si>
  <si>
    <t>213265-81-7</t>
  </si>
  <si>
    <t>21282-97-3</t>
  </si>
  <si>
    <t>2125-23-7</t>
  </si>
  <si>
    <t>2123-24-2</t>
  </si>
  <si>
    <t>212322-56-0</t>
  </si>
  <si>
    <t>211515-46-7</t>
  </si>
  <si>
    <t>21145-77-7</t>
  </si>
  <si>
    <t>211238-85-6</t>
  </si>
  <si>
    <t>2109-22-0</t>
  </si>
  <si>
    <t>210706-50-6</t>
  </si>
  <si>
    <t>21016-46-6</t>
  </si>
  <si>
    <t>2100-42-7</t>
  </si>
  <si>
    <t>20962-70-3</t>
  </si>
  <si>
    <t>208711-58-4</t>
  </si>
  <si>
    <t>20859-02-3</t>
  </si>
  <si>
    <t>20846-91-7</t>
  </si>
  <si>
    <t>208343-47-9</t>
  </si>
  <si>
    <t>2082-81-7</t>
  </si>
  <si>
    <t>2082-79-3</t>
  </si>
  <si>
    <t>20769-85-1</t>
  </si>
  <si>
    <t>207574-76-3</t>
  </si>
  <si>
    <t>20749-68-2</t>
  </si>
  <si>
    <t>20701-68-2</t>
  </si>
  <si>
    <t>206876-08-6</t>
  </si>
  <si>
    <t>2065-75-0</t>
  </si>
  <si>
    <t>20627-73-0</t>
  </si>
  <si>
    <t>20566-35-2</t>
  </si>
  <si>
    <t>2052-25-7</t>
  </si>
  <si>
    <t>2050-46-6</t>
  </si>
  <si>
    <t>2049-95-8</t>
  </si>
  <si>
    <t>204918-22-9</t>
  </si>
  <si>
    <t>20488-27-1</t>
  </si>
  <si>
    <t>20485-39-6</t>
  </si>
  <si>
    <t>204848-45-3</t>
  </si>
  <si>
    <t>204583-39-1</t>
  </si>
  <si>
    <t>204580-52-9</t>
  </si>
  <si>
    <t>2044-64-6</t>
  </si>
  <si>
    <t>2044-56-6</t>
  </si>
  <si>
    <t>204277-61-2</t>
  </si>
  <si>
    <t>204255-06-1</t>
  </si>
  <si>
    <t>204254-96-6</t>
  </si>
  <si>
    <t>204254-84-2</t>
  </si>
  <si>
    <t>2040-90-6</t>
  </si>
  <si>
    <t>203448-76-4</t>
  </si>
  <si>
    <t>2032-75-9</t>
  </si>
  <si>
    <t>203255-81-6</t>
  </si>
  <si>
    <t>2031-67-6</t>
  </si>
  <si>
    <t>20298-69-5</t>
  </si>
  <si>
    <t>20292-08-4</t>
  </si>
  <si>
    <t>202483-62-3</t>
  </si>
  <si>
    <t>202197-26-0</t>
  </si>
  <si>
    <t>2019-69-4</t>
  </si>
  <si>
    <t>20193-20-8</t>
  </si>
  <si>
    <t>201290-01-9</t>
  </si>
  <si>
    <t>20120-33-6</t>
  </si>
  <si>
    <t>200799-20-8</t>
  </si>
  <si>
    <t>2004-62-8</t>
  </si>
  <si>
    <t>20030-30-2</t>
  </si>
  <si>
    <t>1999-85-5</t>
  </si>
  <si>
    <t>199433-38-0</t>
  </si>
  <si>
    <t>199119-58-9</t>
  </si>
  <si>
    <t>198904-85-7</t>
  </si>
  <si>
    <t>198625-33-1</t>
  </si>
  <si>
    <t>198625-32-0</t>
  </si>
  <si>
    <t>19835-69-9</t>
  </si>
  <si>
    <t>19812-93-2</t>
  </si>
  <si>
    <t>19766-89-3</t>
  </si>
  <si>
    <t>1975-78-6</t>
  </si>
  <si>
    <t>19719-28-9</t>
  </si>
  <si>
    <t>197098-61-6</t>
  </si>
  <si>
    <t>19621-92-2</t>
  </si>
  <si>
    <t>1955-46-0</t>
  </si>
  <si>
    <t>19494-73-6</t>
  </si>
  <si>
    <t>194805-07-7</t>
  </si>
  <si>
    <t>194608-78-1</t>
  </si>
  <si>
    <t>19450-38-5</t>
  </si>
  <si>
    <t>1944-63-4</t>
  </si>
  <si>
    <t>19444-21-4</t>
  </si>
  <si>
    <t>19438-60-9</t>
  </si>
  <si>
    <t>1943-82-4</t>
  </si>
  <si>
    <t>19430-93-4</t>
  </si>
  <si>
    <t>1941-30-6</t>
  </si>
  <si>
    <t>19398-06-2</t>
  </si>
  <si>
    <t>1939-36-2</t>
  </si>
  <si>
    <t>193486-83-8</t>
  </si>
  <si>
    <t>19321-40-5</t>
  </si>
  <si>
    <t>192869-10-6</t>
  </si>
  <si>
    <t>1927-95-3</t>
  </si>
  <si>
    <t>19247-05-3</t>
  </si>
  <si>
    <t>192439-46-6</t>
  </si>
  <si>
    <t>19234-20-9</t>
  </si>
  <si>
    <t>19223-55-3</t>
  </si>
  <si>
    <t>192185-68-5</t>
  </si>
  <si>
    <t>191988-38-2</t>
  </si>
  <si>
    <t>19196-63-5</t>
  </si>
  <si>
    <t>19186-97-1</t>
  </si>
  <si>
    <t>1917-64-2</t>
  </si>
  <si>
    <t>1917-44-8</t>
  </si>
  <si>
    <t>191617-01-3</t>
  </si>
  <si>
    <t>191605-10-4</t>
  </si>
  <si>
    <t>191226-98-9</t>
  </si>
  <si>
    <t>191018-25-4</t>
  </si>
  <si>
    <t>19013-07-1</t>
  </si>
  <si>
    <t>190085-41-7</t>
  </si>
  <si>
    <t>18996-35-5</t>
  </si>
  <si>
    <t>189813-45-4</t>
  </si>
  <si>
    <t>1897-41-2</t>
  </si>
  <si>
    <t>189440-77-5</t>
  </si>
  <si>
    <t>18934-00-4</t>
  </si>
  <si>
    <t>189253-72-3</t>
  </si>
  <si>
    <t>189028-93-1</t>
  </si>
  <si>
    <t>1889-67-4</t>
  </si>
  <si>
    <t>188570-78-7</t>
  </si>
  <si>
    <t>188417-26-7</t>
  </si>
  <si>
    <t>18835-34-2</t>
  </si>
  <si>
    <t>18835-33-1</t>
  </si>
  <si>
    <t>188199-50-0</t>
  </si>
  <si>
    <t>1879-09-0</t>
  </si>
  <si>
    <t>18759-96-1</t>
  </si>
  <si>
    <t>187585-64-4</t>
  </si>
  <si>
    <t>18755-43-6</t>
  </si>
  <si>
    <t>187393-00-6</t>
  </si>
  <si>
    <t>1873-90-1</t>
  </si>
  <si>
    <t>1873-88-7</t>
  </si>
  <si>
    <t>1869-24-5</t>
  </si>
  <si>
    <t>186817-80-1</t>
  </si>
  <si>
    <t>18671-97-1</t>
  </si>
  <si>
    <t>186598-40-3</t>
  </si>
  <si>
    <t>186450-73-7</t>
  </si>
  <si>
    <t>1862-07-3</t>
  </si>
  <si>
    <t>186038-82-4</t>
  </si>
  <si>
    <t>1860-26-0</t>
  </si>
  <si>
    <t>18600-59-4</t>
  </si>
  <si>
    <t>185993-72-0</t>
  </si>
  <si>
    <t>1852-17-1</t>
  </si>
  <si>
    <t>185216-75-5</t>
  </si>
  <si>
    <t>18479-58-8</t>
  </si>
  <si>
    <t>1843-05-6</t>
  </si>
  <si>
    <t>1843-03-4</t>
  </si>
  <si>
    <t>18418-53-6</t>
  </si>
  <si>
    <t>18395-30-7</t>
  </si>
  <si>
    <t>18379-25-4</t>
  </si>
  <si>
    <t>18361-03-0</t>
  </si>
  <si>
    <t>183487-56-1</t>
  </si>
  <si>
    <t>183476-82-6</t>
  </si>
  <si>
    <t>183208-35-7</t>
  </si>
  <si>
    <t>183196-57-8</t>
  </si>
  <si>
    <t>183065-68-1</t>
  </si>
  <si>
    <t>18299-85-9</t>
  </si>
  <si>
    <t>182918-16-7</t>
  </si>
  <si>
    <t>18282-59-2</t>
  </si>
  <si>
    <t>18278-34-7</t>
  </si>
  <si>
    <t>1823-59-2</t>
  </si>
  <si>
    <t>18230-61-0</t>
  </si>
  <si>
    <t>182235-14-9</t>
  </si>
  <si>
    <t>182121-12-6</t>
  </si>
  <si>
    <t>18209-75-1</t>
  </si>
  <si>
    <t>181943-57-7</t>
  </si>
  <si>
    <t>181943-56-6</t>
  </si>
  <si>
    <t>18171-19-2</t>
  </si>
  <si>
    <t>181696-73-1</t>
  </si>
  <si>
    <t>18169-57-8</t>
  </si>
  <si>
    <t>181695-72-7</t>
  </si>
  <si>
    <t>181587-01-9</t>
  </si>
  <si>
    <t>18143-33-4</t>
  </si>
  <si>
    <t>18127-01-0</t>
  </si>
  <si>
    <t>1809-19-4</t>
  </si>
  <si>
    <t>18085-02-4</t>
  </si>
  <si>
    <t>18084-64-5</t>
  </si>
  <si>
    <t>180637-89-2</t>
  </si>
  <si>
    <t>18063-03-1</t>
  </si>
  <si>
    <t>18048-64-1</t>
  </si>
  <si>
    <t>179911-08-1</t>
  </si>
  <si>
    <t>17980-47-1</t>
  </si>
  <si>
    <t>179688-29-0</t>
  </si>
  <si>
    <t>179474-79-4</t>
  </si>
  <si>
    <t>17928-28-8</t>
  </si>
  <si>
    <t>17913-76-7</t>
  </si>
  <si>
    <t>179104-32-6</t>
  </si>
  <si>
    <t>178671-69-7</t>
  </si>
  <si>
    <t>17865-32-6</t>
  </si>
  <si>
    <t>17865-07-5</t>
  </si>
  <si>
    <t>17861-60-8</t>
  </si>
  <si>
    <t>17832-28-9</t>
  </si>
  <si>
    <t>1780-26-3</t>
  </si>
  <si>
    <t>17796-82-6</t>
  </si>
  <si>
    <t>177964-68-0</t>
  </si>
  <si>
    <t>1779-49-3</t>
  </si>
  <si>
    <t>176969-34-9</t>
  </si>
  <si>
    <t>17689-77-9</t>
  </si>
  <si>
    <t>17630-75-0</t>
  </si>
  <si>
    <t>1761-71-3</t>
  </si>
  <si>
    <t>17616-03-4</t>
  </si>
  <si>
    <t>1760-24-3</t>
  </si>
  <si>
    <t>1758-73-2</t>
  </si>
  <si>
    <t>17573-92-1</t>
  </si>
  <si>
    <t>175712-02-4</t>
  </si>
  <si>
    <t>17526-94-2</t>
  </si>
  <si>
    <t>175161-86-1</t>
  </si>
  <si>
    <t>174728-86-0</t>
  </si>
  <si>
    <t>1746-23-2</t>
  </si>
  <si>
    <t>174489-76-0</t>
  </si>
  <si>
    <t>174489-43-1</t>
  </si>
  <si>
    <t>17417-32-2</t>
  </si>
  <si>
    <t>174079-92-6</t>
  </si>
  <si>
    <t>1739-84-0</t>
  </si>
  <si>
    <t>17392-83-5</t>
  </si>
  <si>
    <t>173904-11-5</t>
  </si>
  <si>
    <t>173838-67-0</t>
  </si>
  <si>
    <t>1738-25-6</t>
  </si>
  <si>
    <t>17351-75-6</t>
  </si>
  <si>
    <t>173336-76-0</t>
  </si>
  <si>
    <t>173140-90-4</t>
  </si>
  <si>
    <t>17273-79-9</t>
  </si>
  <si>
    <t>172733-78-7</t>
  </si>
  <si>
    <t>17270-01-8</t>
  </si>
  <si>
    <t>17261-28-8</t>
  </si>
  <si>
    <t>172529-93-0</t>
  </si>
  <si>
    <t>1724-39-6</t>
  </si>
  <si>
    <t>1719-58-0</t>
  </si>
  <si>
    <t>17193-28-1</t>
  </si>
  <si>
    <t>171887-03-9</t>
  </si>
  <si>
    <t>171850-30-9</t>
  </si>
  <si>
    <t>17175-66-5</t>
  </si>
  <si>
    <t>1717-00-6</t>
  </si>
  <si>
    <t>170865-52-8</t>
  </si>
  <si>
    <t>1704-62-7</t>
  </si>
  <si>
    <t>170424-65-4</t>
  </si>
  <si>
    <t>170222-39-6</t>
  </si>
  <si>
    <t>169685-34-1</t>
  </si>
  <si>
    <t>1696-20-4</t>
  </si>
  <si>
    <t>16958-92-2</t>
  </si>
  <si>
    <t>1694-31-1</t>
  </si>
  <si>
    <t>169280-56-2</t>
  </si>
  <si>
    <t>169280-10-8</t>
  </si>
  <si>
    <t>169196-11-6</t>
  </si>
  <si>
    <t>169153-14-4</t>
  </si>
  <si>
    <t>168960-18-7</t>
  </si>
  <si>
    <t>168900-02-5</t>
  </si>
  <si>
    <t>168899-58-9</t>
  </si>
  <si>
    <t>16883-83-3</t>
  </si>
  <si>
    <t>16881-77-9</t>
  </si>
  <si>
    <t>168689-49-4</t>
  </si>
  <si>
    <t>168612-06-4</t>
  </si>
  <si>
    <t>168253-59-6</t>
  </si>
  <si>
    <t>168151-92-6</t>
  </si>
  <si>
    <t>1680-31-5</t>
  </si>
  <si>
    <t>167940-11-6</t>
  </si>
  <si>
    <t>167684-63-1</t>
  </si>
  <si>
    <t>167678-46-8</t>
  </si>
  <si>
    <t>1671-49-4</t>
  </si>
  <si>
    <t>16712-64-4</t>
  </si>
  <si>
    <t>167004-78-6</t>
  </si>
  <si>
    <t>1668-86-6</t>
  </si>
  <si>
    <t>166815-96-9</t>
  </si>
  <si>
    <t>166524-75-0</t>
  </si>
  <si>
    <t>166524-65-8</t>
  </si>
  <si>
    <t>16634-82-5</t>
  </si>
  <si>
    <t>1663-39-4</t>
  </si>
  <si>
    <t>166255-23-8</t>
  </si>
  <si>
    <t>16610-63-2</t>
  </si>
  <si>
    <t>16606-55-6</t>
  </si>
  <si>
    <t>165542-15-4</t>
  </si>
  <si>
    <t>1655-07-8</t>
  </si>
  <si>
    <t>1653-19-6</t>
  </si>
  <si>
    <t>16529-56-9</t>
  </si>
  <si>
    <t>165184-98-5</t>
  </si>
  <si>
    <t>16510-27-3</t>
  </si>
  <si>
    <t>165101-57-5</t>
  </si>
  <si>
    <t>16485-10-2</t>
  </si>
  <si>
    <t>1647-12-7</t>
  </si>
  <si>
    <t>164578-11-4</t>
  </si>
  <si>
    <t>164524-02-1</t>
  </si>
  <si>
    <t>16415-12-6</t>
  </si>
  <si>
    <t>16409-43-1</t>
  </si>
  <si>
    <t>164058-20-2</t>
  </si>
  <si>
    <t>1638-05-7</t>
  </si>
  <si>
    <t>163802-53-7</t>
  </si>
  <si>
    <t>16298-38-7</t>
  </si>
  <si>
    <t>16298-03-6</t>
  </si>
  <si>
    <t>162881-26-7</t>
  </si>
  <si>
    <t>162691-59-0</t>
  </si>
  <si>
    <t>16251-77-7</t>
  </si>
  <si>
    <t>1624-62-0</t>
  </si>
  <si>
    <t>162401-62-9</t>
  </si>
  <si>
    <t>162241-33-0</t>
  </si>
  <si>
    <t>162221-28-5</t>
  </si>
  <si>
    <t>162208-27-7</t>
  </si>
  <si>
    <t>162208-01-7</t>
  </si>
  <si>
    <t>16219-75-3</t>
  </si>
  <si>
    <t>161462-35-7</t>
  </si>
  <si>
    <t>16111-62-9</t>
  </si>
  <si>
    <t>16066-35-6</t>
  </si>
  <si>
    <t>16064-08-7</t>
  </si>
  <si>
    <t>16063-70-0</t>
  </si>
  <si>
    <t>160231-69-6</t>
  </si>
  <si>
    <t>160194-26-3</t>
  </si>
  <si>
    <t>15993-42-7</t>
  </si>
  <si>
    <t>159453-24-4</t>
  </si>
  <si>
    <t>159235-16-2</t>
  </si>
  <si>
    <t>159010-67-0</t>
  </si>
  <si>
    <t>1589-49-7</t>
  </si>
  <si>
    <t>15894-70-9</t>
  </si>
  <si>
    <t>158894-67-8</t>
  </si>
  <si>
    <t>15875-13-5</t>
  </si>
  <si>
    <t>15848-49-4</t>
  </si>
  <si>
    <t>15834-04-5</t>
  </si>
  <si>
    <t>15827-60-8</t>
  </si>
  <si>
    <t>1579-89-1</t>
  </si>
  <si>
    <t>15793-73-4</t>
  </si>
  <si>
    <t>157859-20-6</t>
  </si>
  <si>
    <t>157707-95-4</t>
  </si>
  <si>
    <t>15768-07-7</t>
  </si>
  <si>
    <t>157661-93-3</t>
  </si>
  <si>
    <t>15763-76-5</t>
  </si>
  <si>
    <t>157362-53-3</t>
  </si>
  <si>
    <t>15721-78-5</t>
  </si>
  <si>
    <t>1571-75-1</t>
  </si>
  <si>
    <t>1570-95-2</t>
  </si>
  <si>
    <t>1569-69-3</t>
  </si>
  <si>
    <t>1569-02-4</t>
  </si>
  <si>
    <t>156732-13-7</t>
  </si>
  <si>
    <t>156679-39-9</t>
  </si>
  <si>
    <t>15667-63-7</t>
  </si>
  <si>
    <t>156572-81-5</t>
  </si>
  <si>
    <t>156564-74-8</t>
  </si>
  <si>
    <t>156-43-4</t>
  </si>
  <si>
    <t>156324-82-2</t>
  </si>
  <si>
    <t>156294-54-1</t>
  </si>
  <si>
    <t>15625-89-5</t>
  </si>
  <si>
    <t>1562-00-1</t>
  </si>
  <si>
    <t>156145-66-3</t>
  </si>
  <si>
    <t>156145-64-1</t>
  </si>
  <si>
    <t>156145-62-9</t>
  </si>
  <si>
    <t>1559-36-0</t>
  </si>
  <si>
    <t>1558-33-4</t>
  </si>
  <si>
    <t>155633-54-8</t>
  </si>
  <si>
    <t>15520-11-3</t>
  </si>
  <si>
    <t>15520-10-2</t>
  </si>
  <si>
    <t>155041-85-3</t>
  </si>
  <si>
    <t>154825-97-5</t>
  </si>
  <si>
    <t>154825-62-4</t>
  </si>
  <si>
    <t>1547-26-8</t>
  </si>
  <si>
    <t>15471-17-7</t>
  </si>
  <si>
    <t>154702-15-5</t>
  </si>
  <si>
    <t>154477-55-1</t>
  </si>
  <si>
    <t>154440-80-9</t>
  </si>
  <si>
    <t>154346-21-1</t>
  </si>
  <si>
    <t>154279-60-4</t>
  </si>
  <si>
    <t>154265-59-5</t>
  </si>
  <si>
    <t>154212-61-0</t>
  </si>
  <si>
    <t>154212-60-9</t>
  </si>
  <si>
    <t>154186-23-9</t>
  </si>
  <si>
    <t>154171-77-4</t>
  </si>
  <si>
    <t>153977-22-1</t>
  </si>
  <si>
    <t>15396-00-6</t>
  </si>
  <si>
    <t>15375-21-0</t>
  </si>
  <si>
    <t>153719-38-1</t>
  </si>
  <si>
    <t>15356-60-2</t>
  </si>
  <si>
    <t>153441-77-1</t>
  </si>
  <si>
    <t>1530-32-1</t>
  </si>
  <si>
    <t>15290-77-4</t>
  </si>
  <si>
    <t>152828-25-6</t>
  </si>
  <si>
    <t>152828-23-4</t>
  </si>
  <si>
    <t>152827-98-0</t>
  </si>
  <si>
    <t>15267-95-5</t>
  </si>
  <si>
    <t>152630-47-2</t>
  </si>
  <si>
    <t>152628-03-0</t>
  </si>
  <si>
    <t>152460-10-1</t>
  </si>
  <si>
    <t>152402-98-7</t>
  </si>
  <si>
    <t>15217-42-2</t>
  </si>
  <si>
    <t>15214-89-8</t>
  </si>
  <si>
    <t>152146-59-3</t>
  </si>
  <si>
    <t>151900-44-6</t>
  </si>
  <si>
    <t>151882-81-4</t>
  </si>
  <si>
    <t>151860-15-0</t>
  </si>
  <si>
    <t>1514-82-5</t>
  </si>
  <si>
    <t>151338-11-3</t>
  </si>
  <si>
    <t>151213-39-7</t>
  </si>
  <si>
    <t>151213-15-9</t>
  </si>
  <si>
    <t>151019-95-3</t>
  </si>
  <si>
    <t>150-84-5</t>
  </si>
  <si>
    <t>150726-89-9</t>
  </si>
  <si>
    <t>150379-92-3</t>
  </si>
  <si>
    <t>15024-10-9</t>
  </si>
  <si>
    <t>15022-08-9</t>
  </si>
  <si>
    <t>150215-07-9</t>
  </si>
  <si>
    <t>149968-48-9</t>
  </si>
  <si>
    <t>149879-98-1</t>
  </si>
  <si>
    <t>149850-30-6</t>
  </si>
  <si>
    <t>14984-21-5</t>
  </si>
  <si>
    <t>149-74-6</t>
  </si>
  <si>
    <t>14960-06-6</t>
  </si>
  <si>
    <t>149-44-0</t>
  </si>
  <si>
    <t>149437-76-3</t>
  </si>
  <si>
    <t>149330-25-6</t>
  </si>
  <si>
    <t>1493-13-6</t>
  </si>
  <si>
    <t>149182-72-9</t>
  </si>
  <si>
    <t>149118-66-1</t>
  </si>
  <si>
    <t>149021-58-9</t>
  </si>
  <si>
    <t>14901-07-6</t>
  </si>
  <si>
    <t>148757-89-5</t>
  </si>
  <si>
    <t>148719-91-9</t>
  </si>
  <si>
    <t>14858-73-2</t>
  </si>
  <si>
    <t>148528-05-6</t>
  </si>
  <si>
    <t>148462-57-1</t>
  </si>
  <si>
    <t>148348-13-4</t>
  </si>
  <si>
    <t>148348-12-3</t>
  </si>
  <si>
    <t>14814-09-6</t>
  </si>
  <si>
    <t>1480-96-2</t>
  </si>
  <si>
    <t>148043-73-6</t>
  </si>
  <si>
    <t>147-85-3</t>
  </si>
  <si>
    <t>147783-69-5</t>
  </si>
  <si>
    <t>147768-39-6</t>
  </si>
  <si>
    <t>1477-55-0</t>
  </si>
  <si>
    <t>147741-93-3</t>
  </si>
  <si>
    <t>147613-95-4</t>
  </si>
  <si>
    <t>147504-92-5</t>
  </si>
  <si>
    <t>147315-50-2</t>
  </si>
  <si>
    <t>120298-38-6</t>
  </si>
  <si>
    <t>147126-62-3</t>
  </si>
  <si>
    <t>147086-81-5</t>
  </si>
  <si>
    <t>14704-31-5</t>
  </si>
  <si>
    <t>147027-10-9</t>
  </si>
  <si>
    <t>147027-04-1</t>
  </si>
  <si>
    <t>14691-89-5</t>
  </si>
  <si>
    <t>14657-64-8</t>
  </si>
  <si>
    <t>14653-91-9</t>
  </si>
  <si>
    <t>146421-65-0</t>
  </si>
  <si>
    <t>1459-93-4</t>
  </si>
  <si>
    <t>145963-84-4</t>
  </si>
  <si>
    <t>1458-18-0</t>
  </si>
  <si>
    <t>145783-14-8</t>
  </si>
  <si>
    <t>145650-60-8</t>
  </si>
  <si>
    <t>1455-42-1</t>
  </si>
  <si>
    <t>14543-49-8</t>
  </si>
  <si>
    <t>1453-58-3</t>
  </si>
  <si>
    <t>14531-84-1</t>
  </si>
  <si>
    <t>145052-34-2</t>
  </si>
  <si>
    <t>144978-12-1</t>
  </si>
  <si>
    <t>1448-36-8</t>
  </si>
  <si>
    <t>144740-59-0</t>
  </si>
  <si>
    <t>144702-27-2</t>
  </si>
  <si>
    <t>144550-06-1</t>
  </si>
  <si>
    <t>144447-11-0</t>
  </si>
  <si>
    <t>144429-84-5</t>
  </si>
  <si>
    <t>14442-94-5</t>
  </si>
  <si>
    <t>144-19-4</t>
  </si>
  <si>
    <t>144163-85-9</t>
  </si>
  <si>
    <t>144-15-0</t>
  </si>
  <si>
    <t>143860-04-2</t>
  </si>
  <si>
    <t>143612-79-7</t>
  </si>
  <si>
    <t>14352-61-5</t>
  </si>
  <si>
    <t>143468-96-6</t>
  </si>
  <si>
    <t>143446-73-5</t>
  </si>
  <si>
    <t>14338-82-0</t>
  </si>
  <si>
    <t>143322-57-0</t>
  </si>
  <si>
    <t>143-29-3</t>
  </si>
  <si>
    <t>143-28-2</t>
  </si>
  <si>
    <t>143269-74-3</t>
  </si>
  <si>
    <t>1432505-97-9</t>
  </si>
  <si>
    <t>143-24-8</t>
  </si>
  <si>
    <t>143-22-6</t>
  </si>
  <si>
    <t>142994-05-6</t>
  </si>
  <si>
    <t>142-91-6</t>
  </si>
  <si>
    <t>142877-45-0</t>
  </si>
  <si>
    <t>142-87-0</t>
  </si>
  <si>
    <t>142776-95-2</t>
  </si>
  <si>
    <t>142770-42-1</t>
  </si>
  <si>
    <t>142653-61-0</t>
  </si>
  <si>
    <t>142623-48-1</t>
  </si>
  <si>
    <t>142-47-2</t>
  </si>
  <si>
    <t>14246-53-8</t>
  </si>
  <si>
    <t>142-31-4</t>
  </si>
  <si>
    <t>142-22-3</t>
  </si>
  <si>
    <t>142-19-8</t>
  </si>
  <si>
    <t>142-18-7</t>
  </si>
  <si>
    <t>142-16-5</t>
  </si>
  <si>
    <t>14206-62-3</t>
  </si>
  <si>
    <t>141980-03-2</t>
  </si>
  <si>
    <t>141942-85-0</t>
  </si>
  <si>
    <t>141915-64-2</t>
  </si>
  <si>
    <t>14189-82-3</t>
  </si>
  <si>
    <t>141856-57-7</t>
  </si>
  <si>
    <t>141847-13-4</t>
  </si>
  <si>
    <t>141846-57-3</t>
  </si>
  <si>
    <t>141834-14-2</t>
  </si>
  <si>
    <t>141-79-7</t>
  </si>
  <si>
    <t>141773-73-1</t>
  </si>
  <si>
    <t>141772-37-4</t>
  </si>
  <si>
    <t>141-75-3</t>
  </si>
  <si>
    <t>141-63-9</t>
  </si>
  <si>
    <t>141-62-8</t>
  </si>
  <si>
    <t>141-57-1</t>
  </si>
  <si>
    <t>141545-99-5</t>
  </si>
  <si>
    <t>141-53-7</t>
  </si>
  <si>
    <t>141-52-6</t>
  </si>
  <si>
    <t>141-27-5</t>
  </si>
  <si>
    <t>141-18-4</t>
  </si>
  <si>
    <t>141-17-3</t>
  </si>
  <si>
    <t>141-10-6</t>
  </si>
  <si>
    <t>141-02-6</t>
  </si>
  <si>
    <t>140921-24-0</t>
  </si>
  <si>
    <t>14080-23-0</t>
  </si>
  <si>
    <t>14078-41-2</t>
  </si>
  <si>
    <t>14073-97-3</t>
  </si>
  <si>
    <t>14035-94-0</t>
  </si>
  <si>
    <t>140-29-4</t>
  </si>
  <si>
    <t>140234-93-1</t>
  </si>
  <si>
    <t>139756-01-7</t>
  </si>
  <si>
    <t>139528-85-1</t>
  </si>
  <si>
    <t>13951-70-7</t>
  </si>
  <si>
    <t>139504-68-0</t>
  </si>
  <si>
    <t>139481-22-4</t>
  </si>
  <si>
    <t>13940-94-8</t>
  </si>
  <si>
    <t>139306-10-8</t>
  </si>
  <si>
    <t>139147-73-2</t>
  </si>
  <si>
    <t>139122-17-1</t>
  </si>
  <si>
    <t>13909-63-2</t>
  </si>
  <si>
    <t>139007-06-0</t>
  </si>
  <si>
    <t>13893-53-3</t>
  </si>
  <si>
    <t>138666-92-9</t>
  </si>
  <si>
    <t>138564-59-7</t>
  </si>
  <si>
    <t>138526-69-9</t>
  </si>
  <si>
    <t>138495-42-8</t>
  </si>
  <si>
    <t>138401-24-8</t>
  </si>
  <si>
    <t>13822-56-5</t>
  </si>
  <si>
    <t>138164-12-2</t>
  </si>
  <si>
    <t>138113-08-3</t>
  </si>
  <si>
    <t>1378867-81-2</t>
  </si>
  <si>
    <t>137864-22-3</t>
  </si>
  <si>
    <t>137863-20-8</t>
  </si>
  <si>
    <t>137796-06-6</t>
  </si>
  <si>
    <t>137759-38-7</t>
  </si>
  <si>
    <t>137658-79-8</t>
  </si>
  <si>
    <t>137641-05-5</t>
  </si>
  <si>
    <t>137605-95-9</t>
  </si>
  <si>
    <t>13752-51-7</t>
  </si>
  <si>
    <t>137-51-9</t>
  </si>
  <si>
    <t>13749-61-6</t>
  </si>
  <si>
    <t>137472-67-4</t>
  </si>
  <si>
    <t>137-32-6</t>
  </si>
  <si>
    <t>137281-39-1</t>
  </si>
  <si>
    <t>137234-87-8</t>
  </si>
  <si>
    <t>137-16-6</t>
  </si>
  <si>
    <t>136997-71-2</t>
  </si>
  <si>
    <t>1369500-14-0</t>
  </si>
  <si>
    <t>13676-54-5</t>
  </si>
  <si>
    <t>136522-17-3</t>
  </si>
  <si>
    <t>1364731-90-7</t>
  </si>
  <si>
    <t>136465-99-1</t>
  </si>
  <si>
    <t>136465-81-1</t>
  </si>
  <si>
    <t>136450-06-1</t>
  </si>
  <si>
    <t>13641-96-8</t>
  </si>
  <si>
    <t>136-30-1</t>
  </si>
  <si>
    <t>136239-66-2</t>
  </si>
  <si>
    <t>136213-74-6</t>
  </si>
  <si>
    <t>136210-32-7</t>
  </si>
  <si>
    <t>136210-30-5</t>
  </si>
  <si>
    <t>136122-15-1</t>
  </si>
  <si>
    <t>1360085-10-4</t>
  </si>
  <si>
    <t>13595-25-0</t>
  </si>
  <si>
    <t>135934-43-9</t>
  </si>
  <si>
    <t>135756-61-5</t>
  </si>
  <si>
    <t>135-57-9</t>
  </si>
  <si>
    <t>135302-13-5</t>
  </si>
  <si>
    <t>13515-40-7</t>
  </si>
  <si>
    <t>13512-31-7</t>
  </si>
  <si>
    <t>13501-76-3</t>
  </si>
  <si>
    <t>134865-58-0</t>
  </si>
  <si>
    <t>134841-35-3</t>
  </si>
  <si>
    <t>13474-64-1</t>
  </si>
  <si>
    <t>134724-55-3</t>
  </si>
  <si>
    <t>13472-08-7</t>
  </si>
  <si>
    <t>134701-20-5</t>
  </si>
  <si>
    <t>13459-62-6</t>
  </si>
  <si>
    <t>134575-17-0</t>
  </si>
  <si>
    <t>13423-15-9</t>
  </si>
  <si>
    <t>134123-93-6</t>
  </si>
  <si>
    <t>134-03-2</t>
  </si>
  <si>
    <t>13402-02-3</t>
  </si>
  <si>
    <t>13398-26-0</t>
  </si>
  <si>
    <t>133949-92-5</t>
  </si>
  <si>
    <t>13393-93-6</t>
  </si>
  <si>
    <t>133-91-5</t>
  </si>
  <si>
    <t>1339119-15-1</t>
  </si>
  <si>
    <t>1338-23-4</t>
  </si>
  <si>
    <t>133647-88-8</t>
  </si>
  <si>
    <t>133636-82-5</t>
  </si>
  <si>
    <t>13361-34-7</t>
  </si>
  <si>
    <t>13360-78-6</t>
  </si>
  <si>
    <t>13360-63-9</t>
  </si>
  <si>
    <t>133481-10-4</t>
  </si>
  <si>
    <t>133467-41-1</t>
  </si>
  <si>
    <t>133336-92-2</t>
  </si>
  <si>
    <t>133167-77-8</t>
  </si>
  <si>
    <t>13304-62-6</t>
  </si>
  <si>
    <t>132900-75-5</t>
  </si>
  <si>
    <t>13287-24-6</t>
  </si>
  <si>
    <t>13276-08-9</t>
  </si>
  <si>
    <t>132694-65-6</t>
  </si>
  <si>
    <t>132584-17-9</t>
  </si>
  <si>
    <t>132388-59-1</t>
  </si>
  <si>
    <t>132182-92-4</t>
  </si>
  <si>
    <t>132123-54-7</t>
  </si>
  <si>
    <t>131984-21-9</t>
  </si>
  <si>
    <t>13185-09-6</t>
  </si>
  <si>
    <t>131812-67-4</t>
  </si>
  <si>
    <t>131766-73-9</t>
  </si>
  <si>
    <t>13170-23-5</t>
  </si>
  <si>
    <t>131657-78-8</t>
  </si>
  <si>
    <t>13162-05-5</t>
  </si>
  <si>
    <t>131-56-6</t>
  </si>
  <si>
    <t>13154-25-1</t>
  </si>
  <si>
    <t>131538-00-6</t>
  </si>
  <si>
    <t>1315251-11-6</t>
  </si>
  <si>
    <t>131266-10-9</t>
  </si>
  <si>
    <t>13122-18-4</t>
  </si>
  <si>
    <t>130841-23-5</t>
  </si>
  <si>
    <t>13076-17-0</t>
  </si>
  <si>
    <t>130728-76-6</t>
  </si>
  <si>
    <t>13060-24-7</t>
  </si>
  <si>
    <t>13054-81-4</t>
  </si>
  <si>
    <t>13051-49-5</t>
  </si>
  <si>
    <t>13048-33-4</t>
  </si>
  <si>
    <t>13031-41-9</t>
  </si>
  <si>
    <t>130-26-7</t>
  </si>
  <si>
    <t>13014-24-9</t>
  </si>
  <si>
    <t>13014-18-1</t>
  </si>
  <si>
    <t>130-13-2</t>
  </si>
  <si>
    <t>13007-85-7</t>
  </si>
  <si>
    <t>130066-57-8</t>
  </si>
  <si>
    <t>130049-82-0</t>
  </si>
  <si>
    <t>130016-98-7</t>
  </si>
  <si>
    <t>13001-46-2</t>
  </si>
  <si>
    <t>129499-78-1</t>
  </si>
  <si>
    <t>129385-59-7</t>
  </si>
  <si>
    <t>129228-21-3</t>
  </si>
  <si>
    <t>129205-19-2</t>
  </si>
  <si>
    <t>129188-99-4</t>
  </si>
  <si>
    <t>128-80-3</t>
  </si>
  <si>
    <t>128-69-8</t>
  </si>
  <si>
    <t>128489-04-3</t>
  </si>
  <si>
    <t>128422-75-3</t>
  </si>
  <si>
    <t>128-39-2</t>
  </si>
  <si>
    <t>128119-70-0</t>
  </si>
  <si>
    <t>128-08-5</t>
  </si>
  <si>
    <t>127-95-7</t>
  </si>
  <si>
    <t>98-47-5</t>
  </si>
  <si>
    <t>127-63-9</t>
  </si>
  <si>
    <t>127-47-9</t>
  </si>
  <si>
    <t>127-39-9</t>
  </si>
  <si>
    <t>1271488-66-4</t>
  </si>
  <si>
    <t>127047-77-2</t>
  </si>
  <si>
    <t>126-99-8</t>
  </si>
  <si>
    <t>126990-35-0</t>
  </si>
  <si>
    <t>126990-31-6</t>
  </si>
  <si>
    <t>126-98-7</t>
  </si>
  <si>
    <t>126-92-1</t>
  </si>
  <si>
    <t>126877-06-3</t>
  </si>
  <si>
    <t>126877-05-2</t>
  </si>
  <si>
    <t>126-86-3</t>
  </si>
  <si>
    <t>126-58-9</t>
  </si>
  <si>
    <t>126586-91-2</t>
  </si>
  <si>
    <t>126535-26-0</t>
  </si>
  <si>
    <t>126-30-7</t>
  </si>
  <si>
    <t>126050-54-2</t>
  </si>
  <si>
    <t>125971-96-2</t>
  </si>
  <si>
    <t>125971-94-0</t>
  </si>
  <si>
    <t>125971-57-5</t>
  </si>
  <si>
    <t>125962-80-3</t>
  </si>
  <si>
    <t>1259300-69-0</t>
  </si>
  <si>
    <t>125630-94-6</t>
  </si>
  <si>
    <t>125496-22-2</t>
  </si>
  <si>
    <t>1254940-85-6</t>
  </si>
  <si>
    <t>125474-34-2</t>
  </si>
  <si>
    <t>1254469-57-2</t>
  </si>
  <si>
    <t>125418-72-6</t>
  </si>
  <si>
    <t>125328-86-1</t>
  </si>
  <si>
    <t>125-12-2</t>
  </si>
  <si>
    <t>125109-85-5</t>
  </si>
  <si>
    <t>125109-84-4</t>
  </si>
  <si>
    <t>124832-31-1</t>
  </si>
  <si>
    <t>1247790-47-1</t>
  </si>
  <si>
    <t>124728-93-4</t>
  </si>
  <si>
    <t>124719-26-2</t>
  </si>
  <si>
    <t>124-70-9</t>
  </si>
  <si>
    <t>124-68-5</t>
  </si>
  <si>
    <t>124655-09-0</t>
  </si>
  <si>
    <t>124-64-1</t>
  </si>
  <si>
    <t>124-41-4</t>
  </si>
  <si>
    <t>124379-29-9</t>
  </si>
  <si>
    <t>124351-77-5</t>
  </si>
  <si>
    <t>124-30-1</t>
  </si>
  <si>
    <t>124-28-7</t>
  </si>
  <si>
    <t>124-26-5</t>
  </si>
  <si>
    <t>124-19-6</t>
  </si>
  <si>
    <t>124185-35-9</t>
  </si>
  <si>
    <t>124-17-4</t>
  </si>
  <si>
    <t>124172-53-8</t>
  </si>
  <si>
    <t>124-13-0</t>
  </si>
  <si>
    <t>124-09-4</t>
  </si>
  <si>
    <t>123-99-9</t>
  </si>
  <si>
    <t>123989-31-1</t>
  </si>
  <si>
    <t>123989-29-7</t>
  </si>
  <si>
    <t>123989-28-6</t>
  </si>
  <si>
    <t>123968-25-2</t>
  </si>
  <si>
    <t>1238449-42-7</t>
  </si>
  <si>
    <t>123-77-3</t>
  </si>
  <si>
    <t>123-75-1</t>
  </si>
  <si>
    <t>123-68-2</t>
  </si>
  <si>
    <t>123654-26-2</t>
  </si>
  <si>
    <t>123-62-6</t>
  </si>
  <si>
    <t>123-56-8</t>
  </si>
  <si>
    <t>123-28-4</t>
  </si>
  <si>
    <t>1232839-86-9</t>
  </si>
  <si>
    <t>123-26-2</t>
  </si>
  <si>
    <t>123-17-1</t>
  </si>
  <si>
    <t>123-11-5</t>
  </si>
  <si>
    <t>123-05-7</t>
  </si>
  <si>
    <t>123-04-6</t>
  </si>
  <si>
    <t>122886-55-9</t>
  </si>
  <si>
    <t>122882-99-9</t>
  </si>
  <si>
    <t>122795-41-9</t>
  </si>
  <si>
    <t>122760-85-4</t>
  </si>
  <si>
    <t>122760-84-3</t>
  </si>
  <si>
    <t>122665-97-8</t>
  </si>
  <si>
    <t>122665-86-5</t>
  </si>
  <si>
    <t>122-63-4</t>
  </si>
  <si>
    <t>122630-55-1</t>
  </si>
  <si>
    <t>122-62-3</t>
  </si>
  <si>
    <t>122586-52-1</t>
  </si>
  <si>
    <t>122-57-6</t>
  </si>
  <si>
    <t>122-52-1</t>
  </si>
  <si>
    <t>122-51-0</t>
  </si>
  <si>
    <t>12236-64-5</t>
  </si>
  <si>
    <t>12236-62-3</t>
  </si>
  <si>
    <t>122-32-7</t>
  </si>
  <si>
    <t>122321-04-4</t>
  </si>
  <si>
    <t>12225-18-2</t>
  </si>
  <si>
    <t>12225-08-0</t>
  </si>
  <si>
    <t>12225-06-8</t>
  </si>
  <si>
    <t>1222-05-5</t>
  </si>
  <si>
    <t>122-20-3</t>
  </si>
  <si>
    <t>122035-71-6</t>
  </si>
  <si>
    <t>122-01-0</t>
  </si>
  <si>
    <t>122-00-9</t>
  </si>
  <si>
    <t>121954-50-5</t>
  </si>
  <si>
    <t>121-91-5</t>
  </si>
  <si>
    <t>121776-33-8</t>
  </si>
  <si>
    <t>1217271-49-2</t>
  </si>
  <si>
    <t>1217271-02-7</t>
  </si>
  <si>
    <t>121627-17-6</t>
  </si>
  <si>
    <t>121626-74-2</t>
  </si>
  <si>
    <t>121626-73-1</t>
  </si>
  <si>
    <t>121-60-8</t>
  </si>
  <si>
    <t>1215841-86-3</t>
  </si>
  <si>
    <t>121487-83-0</t>
  </si>
  <si>
    <t>121-47-1</t>
  </si>
  <si>
    <t>121451-05-6</t>
  </si>
  <si>
    <t>121-43-7</t>
  </si>
  <si>
    <t>121-30-2</t>
  </si>
  <si>
    <t>121246-28-4</t>
  </si>
  <si>
    <t>121219-07-6</t>
  </si>
  <si>
    <t>121177-93-3</t>
  </si>
  <si>
    <t>121-17-5</t>
  </si>
  <si>
    <t>121-03-9</t>
  </si>
  <si>
    <t>120903-40-4</t>
  </si>
  <si>
    <t>1207339-61-4</t>
  </si>
  <si>
    <t>12069-32-8</t>
  </si>
  <si>
    <t>120635-49-6</t>
  </si>
  <si>
    <t>120-61-6</t>
  </si>
  <si>
    <t>120578-03-2</t>
  </si>
  <si>
    <t>120570-77-6</t>
  </si>
  <si>
    <t>120-57-0</t>
  </si>
  <si>
    <t>120-55-8</t>
  </si>
  <si>
    <t>120-47-8</t>
  </si>
  <si>
    <t>120-46-7</t>
  </si>
  <si>
    <t>120447-91-8</t>
  </si>
  <si>
    <t>120-40-1</t>
  </si>
  <si>
    <t>120187-29-3</t>
  </si>
  <si>
    <t>1201-31-6</t>
  </si>
  <si>
    <t>120128-90-7</t>
  </si>
  <si>
    <t>120118-14-1</t>
  </si>
  <si>
    <t>120086-58-0</t>
  </si>
  <si>
    <t>120068-79-3</t>
  </si>
  <si>
    <t>120-00-3</t>
  </si>
  <si>
    <t>119916-05-1</t>
  </si>
  <si>
    <t>119895-68-0</t>
  </si>
  <si>
    <t>119851-28-4</t>
  </si>
  <si>
    <t>119738-06-6</t>
  </si>
  <si>
    <t>119-70-0</t>
  </si>
  <si>
    <t>119-60-8</t>
  </si>
  <si>
    <t>119-53-9</t>
  </si>
  <si>
    <t>119515-38-7</t>
  </si>
  <si>
    <t>119-47-1</t>
  </si>
  <si>
    <t>119462-56-5</t>
  </si>
  <si>
    <t>119-36-8</t>
  </si>
  <si>
    <t>119344-86-4</t>
  </si>
  <si>
    <t>1193-24-4</t>
  </si>
  <si>
    <t>119313-12-1</t>
  </si>
  <si>
    <t>119302-24-8</t>
  </si>
  <si>
    <t>119299-10-4</t>
  </si>
  <si>
    <t>119-17-5</t>
  </si>
  <si>
    <t>119126-15-7</t>
  </si>
  <si>
    <t>1191-16-8</t>
  </si>
  <si>
    <t>1190931-41-9</t>
  </si>
  <si>
    <t>1190931-39-5</t>
  </si>
  <si>
    <t>119018-29-0</t>
  </si>
  <si>
    <t>118-92-3</t>
  </si>
  <si>
    <t>1189-08-8</t>
  </si>
  <si>
    <t>1189052-95-6</t>
  </si>
  <si>
    <t>118-88-7</t>
  </si>
  <si>
    <t>118864-75-8</t>
  </si>
  <si>
    <t>118-82-1</t>
  </si>
  <si>
    <t>118800-30-9</t>
  </si>
  <si>
    <t>1187-93-5</t>
  </si>
  <si>
    <t>1187-74-2</t>
  </si>
  <si>
    <t>118-75-2</t>
  </si>
  <si>
    <t>118712-89-3</t>
  </si>
  <si>
    <t>118-69-4</t>
  </si>
  <si>
    <t>118685-34-0</t>
  </si>
  <si>
    <t>118-60-5</t>
  </si>
  <si>
    <t>118-58-1</t>
  </si>
  <si>
    <t>118562-73-5</t>
  </si>
  <si>
    <t>1185-55-3</t>
  </si>
  <si>
    <t>118-48-9</t>
  </si>
  <si>
    <t>118-45-6</t>
  </si>
  <si>
    <t>118289-55-7</t>
  </si>
  <si>
    <t>118135-28-7</t>
  </si>
  <si>
    <t>118058-74-5</t>
  </si>
  <si>
    <t>1180558-15-9</t>
  </si>
  <si>
    <t>117827-06-2</t>
  </si>
  <si>
    <t>1176-81-4</t>
  </si>
  <si>
    <t>117671-01-9</t>
  </si>
  <si>
    <t>117-61-3</t>
  </si>
  <si>
    <t>117584-16-4</t>
  </si>
  <si>
    <t>117573-89-4</t>
  </si>
  <si>
    <t>117570-93-1</t>
  </si>
  <si>
    <t>117541-83-0</t>
  </si>
  <si>
    <t>117528-65-1</t>
  </si>
  <si>
    <t>1174931-74-8</t>
  </si>
  <si>
    <t>1015689-48-1</t>
  </si>
  <si>
    <t>117346-08-4</t>
  </si>
  <si>
    <t>117291-73-3</t>
  </si>
  <si>
    <t>117-21-5</t>
  </si>
  <si>
    <t>117-08-8</t>
  </si>
  <si>
    <t>116903-47-0</t>
  </si>
  <si>
    <t>116-75-6</t>
  </si>
  <si>
    <t>116539-55-0</t>
  </si>
  <si>
    <t>1164-92-7</t>
  </si>
  <si>
    <t>116412-83-0</t>
  </si>
  <si>
    <t>116-37-0</t>
  </si>
  <si>
    <t>116313-85-0</t>
  </si>
  <si>
    <t>116230-20-7</t>
  </si>
  <si>
    <t>116193-72-7</t>
  </si>
  <si>
    <t>116163-96-3</t>
  </si>
  <si>
    <t>116-15-4</t>
  </si>
  <si>
    <t>116-11-0</t>
  </si>
  <si>
    <t>1160806-44-9</t>
  </si>
  <si>
    <t>116-02-9</t>
  </si>
  <si>
    <t>115-95-7</t>
  </si>
  <si>
    <t>115895-09-5</t>
  </si>
  <si>
    <t>115887-91-7</t>
  </si>
  <si>
    <t>115-70-8</t>
  </si>
  <si>
    <t>115685-19-3</t>
  </si>
  <si>
    <t>1154308-86-7</t>
  </si>
  <si>
    <t>115-27-5</t>
  </si>
  <si>
    <t>115258-10-1</t>
  </si>
  <si>
    <t>115-21-9</t>
  </si>
  <si>
    <t>115-11-7</t>
  </si>
  <si>
    <t>115-10-6</t>
  </si>
  <si>
    <t>115-07-1</t>
  </si>
  <si>
    <t>114798-26-4</t>
  </si>
  <si>
    <t>114772-54-2</t>
  </si>
  <si>
    <t>114625-74-0</t>
  </si>
  <si>
    <t>114565-66-1</t>
  </si>
  <si>
    <t>114341-88-7</t>
  </si>
  <si>
    <t>1141487-54-8</t>
  </si>
  <si>
    <t>114119-97-0</t>
  </si>
  <si>
    <t>113786-33-7</t>
  </si>
  <si>
    <t>1137-73-1</t>
  </si>
  <si>
    <t>1134-94-7</t>
  </si>
  <si>
    <t>1132-95-2</t>
  </si>
  <si>
    <t>113221-74-2</t>
  </si>
  <si>
    <t>112-95-8</t>
  </si>
  <si>
    <t>1129-42-6</t>
  </si>
  <si>
    <t>112-92-5</t>
  </si>
  <si>
    <t>112-91-4</t>
  </si>
  <si>
    <t>112-88-9</t>
  </si>
  <si>
    <t>112-85-6</t>
  </si>
  <si>
    <t>112-84-5</t>
  </si>
  <si>
    <t>1128026-41-4</t>
  </si>
  <si>
    <t>112-76-5</t>
  </si>
  <si>
    <t>112-75-4</t>
  </si>
  <si>
    <t>112-73-2</t>
  </si>
  <si>
    <t>112-72-1</t>
  </si>
  <si>
    <t>112704-51-5</t>
  </si>
  <si>
    <t>112-69-6</t>
  </si>
  <si>
    <t>112-67-4</t>
  </si>
  <si>
    <t>112-61-8</t>
  </si>
  <si>
    <t>112-60-7</t>
  </si>
  <si>
    <t>112-59-4</t>
  </si>
  <si>
    <t>112-55-0</t>
  </si>
  <si>
    <t>112-45-8</t>
  </si>
  <si>
    <t>112-44-7</t>
  </si>
  <si>
    <t>112-41-4</t>
  </si>
  <si>
    <t>112-40-3</t>
  </si>
  <si>
    <t>112-38-9</t>
  </si>
  <si>
    <t>112-35-6</t>
  </si>
  <si>
    <t>112-33-4</t>
  </si>
  <si>
    <t>1123-25-7</t>
  </si>
  <si>
    <t>112-31-2</t>
  </si>
  <si>
    <t>112281-82-0</t>
  </si>
  <si>
    <t>112-25-4</t>
  </si>
  <si>
    <t>1122460-01-8</t>
  </si>
  <si>
    <t>112-16-3</t>
  </si>
  <si>
    <t>112-15-2</t>
  </si>
  <si>
    <t>112-11-8</t>
  </si>
  <si>
    <t>112101-81-2</t>
  </si>
  <si>
    <t>112-07-2</t>
  </si>
  <si>
    <t>1120-71-4</t>
  </si>
  <si>
    <t>112-03-8</t>
  </si>
  <si>
    <t>1120-36-1</t>
  </si>
  <si>
    <t>1120-24-7</t>
  </si>
  <si>
    <t>1120-21-4</t>
  </si>
  <si>
    <t>112006-75-4</t>
  </si>
  <si>
    <t>111974-73-3</t>
  </si>
  <si>
    <t>111969-64-3</t>
  </si>
  <si>
    <t>1119-40-0</t>
  </si>
  <si>
    <t>1118-92-9</t>
  </si>
  <si>
    <t>111-88-6</t>
  </si>
  <si>
    <t>1118-84-9</t>
  </si>
  <si>
    <t>111-85-3</t>
  </si>
  <si>
    <t>111850-25-0</t>
  </si>
  <si>
    <t>111850-24-9</t>
  </si>
  <si>
    <t>111-84-2</t>
  </si>
  <si>
    <t>111-82-0</t>
  </si>
  <si>
    <t>111-81-9</t>
  </si>
  <si>
    <t>1117-86-8</t>
  </si>
  <si>
    <t>111753-60-7</t>
  </si>
  <si>
    <t>111-75-1</t>
  </si>
  <si>
    <t>1117-37-9</t>
  </si>
  <si>
    <t>1117-31-3</t>
  </si>
  <si>
    <t>111-71-7</t>
  </si>
  <si>
    <t>111-66-0</t>
  </si>
  <si>
    <t>111-64-8</t>
  </si>
  <si>
    <t>111-57-9</t>
  </si>
  <si>
    <t>1115-20-4</t>
  </si>
  <si>
    <t>111-48-8</t>
  </si>
  <si>
    <t>111453-32-8</t>
  </si>
  <si>
    <t>111439-76-0</t>
  </si>
  <si>
    <t>111-41-1</t>
  </si>
  <si>
    <t>111337-53-2</t>
  </si>
  <si>
    <t>111-29-5</t>
  </si>
  <si>
    <t>1112-39-6</t>
  </si>
  <si>
    <t>111-21-7</t>
  </si>
  <si>
    <t>111-20-6</t>
  </si>
  <si>
    <t>111-18-2</t>
  </si>
  <si>
    <t>111-17-1</t>
  </si>
  <si>
    <t>111-11-5</t>
  </si>
  <si>
    <t>110964-79-9</t>
  </si>
  <si>
    <t>110-95-2</t>
  </si>
  <si>
    <t>110929-85-6</t>
  </si>
  <si>
    <t>110-87-2</t>
  </si>
  <si>
    <t>110-85-0</t>
  </si>
  <si>
    <t>110-76-9</t>
  </si>
  <si>
    <t>110-71-4</t>
  </si>
  <si>
    <t>110675-26-8</t>
  </si>
  <si>
    <t>110-64-5</t>
  </si>
  <si>
    <t>110-63-4</t>
  </si>
  <si>
    <t>110-60-1</t>
  </si>
  <si>
    <t>110-59-8</t>
  </si>
  <si>
    <t>110553-27-0</t>
  </si>
  <si>
    <t>110-53-2</t>
  </si>
  <si>
    <t>110483-43-7</t>
  </si>
  <si>
    <t>110-44-1</t>
  </si>
  <si>
    <t>110-42-9</t>
  </si>
  <si>
    <t>110-41-8</t>
  </si>
  <si>
    <t>110-33-8</t>
  </si>
  <si>
    <t>1103234-56-5</t>
  </si>
  <si>
    <t>110-31-6</t>
  </si>
  <si>
    <t>110-27-0</t>
  </si>
  <si>
    <t>110-25-8</t>
  </si>
  <si>
    <t>110235-47-7</t>
  </si>
  <si>
    <t>110057-45-9</t>
  </si>
  <si>
    <t>110-05-4</t>
  </si>
  <si>
    <t>110-03-2</t>
  </si>
  <si>
    <t>110-01-0</t>
  </si>
  <si>
    <t>109-92-2</t>
  </si>
  <si>
    <t>109-83-1</t>
  </si>
  <si>
    <t>109828-01-5</t>
  </si>
  <si>
    <t>109-78-4</t>
  </si>
  <si>
    <t>109678-33-3</t>
  </si>
  <si>
    <t>109-67-1</t>
  </si>
  <si>
    <t>109-61-5</t>
  </si>
  <si>
    <t>109-55-7</t>
  </si>
  <si>
    <t>109-53-5</t>
  </si>
  <si>
    <t>109423-00-9</t>
  </si>
  <si>
    <t>1091-93-6</t>
  </si>
  <si>
    <t>109-16-0</t>
  </si>
  <si>
    <t>109-13-7</t>
  </si>
  <si>
    <t>109113-72-6</t>
  </si>
  <si>
    <t>109-02-4</t>
  </si>
  <si>
    <t>108-98-5</t>
  </si>
  <si>
    <t>108-83-8</t>
  </si>
  <si>
    <t>108-78-1</t>
  </si>
  <si>
    <t>108-77-0</t>
  </si>
  <si>
    <t>108-74-7</t>
  </si>
  <si>
    <t>108-65-6</t>
  </si>
  <si>
    <t>108-59-8</t>
  </si>
  <si>
    <t>108-45-2</t>
  </si>
  <si>
    <t>108313-21-9</t>
  </si>
  <si>
    <t>108-30-5</t>
  </si>
  <si>
    <t>108-22-5</t>
  </si>
  <si>
    <t>108196-44-7</t>
  </si>
  <si>
    <t>108-16-7</t>
  </si>
  <si>
    <t>108-12-3</t>
  </si>
  <si>
    <t>108-03-2</t>
  </si>
  <si>
    <t>1079-66-9</t>
  </si>
  <si>
    <t>107-96-0</t>
  </si>
  <si>
    <t>107-94-8</t>
  </si>
  <si>
    <t>107934-68-9</t>
  </si>
  <si>
    <t>107898-54-4</t>
  </si>
  <si>
    <t>107-88-0</t>
  </si>
  <si>
    <t>107-86-8</t>
  </si>
  <si>
    <t>107761-81-9</t>
  </si>
  <si>
    <t>107-75-5</t>
  </si>
  <si>
    <t>107737-97-3</t>
  </si>
  <si>
    <t>1076-97-7</t>
  </si>
  <si>
    <t>107667-02-7</t>
  </si>
  <si>
    <t>107-66-4</t>
  </si>
  <si>
    <t>107-58-4</t>
  </si>
  <si>
    <t>107-56-2</t>
  </si>
  <si>
    <t>107558-48-5</t>
  </si>
  <si>
    <t>107-51-7</t>
  </si>
  <si>
    <t>107481-28-7</t>
  </si>
  <si>
    <t>107-46-0</t>
  </si>
  <si>
    <t>107-43-7</t>
  </si>
  <si>
    <t>1073-69-4</t>
  </si>
  <si>
    <t>107-31-3</t>
  </si>
  <si>
    <t>1072957-71-1</t>
  </si>
  <si>
    <t>1072-63-5</t>
  </si>
  <si>
    <t>107-25-5</t>
  </si>
  <si>
    <t>1072-15-7</t>
  </si>
  <si>
    <t>1071-93-8</t>
  </si>
  <si>
    <t>107144-30-9</t>
  </si>
  <si>
    <t>1071-22-3</t>
  </si>
  <si>
    <t>1070-64-0</t>
  </si>
  <si>
    <t>107-01-7</t>
  </si>
  <si>
    <t>106-99-0</t>
  </si>
  <si>
    <t>106-98-9</t>
  </si>
  <si>
    <t>106-97-8</t>
  </si>
  <si>
    <t>106966-25-0</t>
  </si>
  <si>
    <t>106917-31-1</t>
  </si>
  <si>
    <t>106917-30-0</t>
  </si>
  <si>
    <t>106-91-2</t>
  </si>
  <si>
    <t>106904-09-0</t>
  </si>
  <si>
    <t>106-88-7</t>
  </si>
  <si>
    <t>106797-53-9</t>
  </si>
  <si>
    <t>106-79-6</t>
  </si>
  <si>
    <t>1067-55-6</t>
  </si>
  <si>
    <t>1067-53-4</t>
  </si>
  <si>
    <t>106-70-7</t>
  </si>
  <si>
    <t>106-65-0</t>
  </si>
  <si>
    <t>1066-35-9</t>
  </si>
  <si>
    <t>106615-61-6</t>
  </si>
  <si>
    <t>106-58-1</t>
  </si>
  <si>
    <t>106461-41-0</t>
  </si>
  <si>
    <t>106447-44-3</t>
  </si>
  <si>
    <t>106359-94-8</t>
  </si>
  <si>
    <t>106349-49-9</t>
  </si>
  <si>
    <t>106-31-0</t>
  </si>
  <si>
    <t>106-26-3</t>
  </si>
  <si>
    <t>106-25-2</t>
  </si>
  <si>
    <t>106246-33-7</t>
  </si>
  <si>
    <t>106-23-0</t>
  </si>
  <si>
    <t>106-21-8</t>
  </si>
  <si>
    <t>106-20-7</t>
  </si>
  <si>
    <t>28219-61-6</t>
  </si>
  <si>
    <t>106-14-9</t>
  </si>
  <si>
    <t>106-02-5</t>
  </si>
  <si>
    <t>105996-54-1</t>
  </si>
  <si>
    <t>10596-22-2</t>
  </si>
  <si>
    <t>10595-60-5</t>
  </si>
  <si>
    <t>105-95-3</t>
  </si>
  <si>
    <t>10591-85-2</t>
  </si>
  <si>
    <t>10591-84-1</t>
  </si>
  <si>
    <t>105-87-3</t>
  </si>
  <si>
    <t>105-83-9</t>
  </si>
  <si>
    <t>105827-91-6</t>
  </si>
  <si>
    <t>105-74-8</t>
  </si>
  <si>
    <t>105707-47-9</t>
  </si>
  <si>
    <t>10563-29-8</t>
  </si>
  <si>
    <t>10563-26-5</t>
  </si>
  <si>
    <t>105-59-9</t>
  </si>
  <si>
    <t>105-56-6</t>
  </si>
  <si>
    <t>105529-58-6</t>
  </si>
  <si>
    <t>105488-33-3</t>
  </si>
  <si>
    <t>105-45-3</t>
  </si>
  <si>
    <t>105-34-0</t>
  </si>
  <si>
    <t>105296-07-9</t>
  </si>
  <si>
    <t>105254-85-1</t>
  </si>
  <si>
    <t>105-13-5</t>
  </si>
  <si>
    <t>105-08-8</t>
  </si>
  <si>
    <t>10508-09-5</t>
  </si>
  <si>
    <t>105076-77-5</t>
  </si>
  <si>
    <t>105-05-5</t>
  </si>
  <si>
    <t>104986-28-9</t>
  </si>
  <si>
    <t>104-93-8</t>
  </si>
  <si>
    <t>104872-06-2</t>
  </si>
  <si>
    <t>104860-26-6</t>
  </si>
  <si>
    <t>104797-47-9</t>
  </si>
  <si>
    <t>104-78-9</t>
  </si>
  <si>
    <t>1047-16-1</t>
  </si>
  <si>
    <t>10471-24-6</t>
  </si>
  <si>
    <t>104-68-7</t>
  </si>
  <si>
    <t>104-67-6</t>
  </si>
  <si>
    <t>104-66-5</t>
  </si>
  <si>
    <t>104632-26-0</t>
  </si>
  <si>
    <t>10461-98-0</t>
  </si>
  <si>
    <t>104-61-0</t>
  </si>
  <si>
    <t>104560-40-9</t>
  </si>
  <si>
    <t>104541-33-5</t>
  </si>
  <si>
    <t>104-54-1</t>
  </si>
  <si>
    <t>104468-21-5</t>
  </si>
  <si>
    <t>10442-83-8</t>
  </si>
  <si>
    <t>10441-26-6</t>
  </si>
  <si>
    <t>104-38-1</t>
  </si>
  <si>
    <t>104333-00-8</t>
  </si>
  <si>
    <t>104295-55-8</t>
  </si>
  <si>
    <t>10425-11-3</t>
  </si>
  <si>
    <t>104-23-4</t>
  </si>
  <si>
    <t>104226-21-3</t>
  </si>
  <si>
    <t>104226-19-9</t>
  </si>
  <si>
    <t>104218-44-2</t>
  </si>
  <si>
    <t>10420-33-4</t>
  </si>
  <si>
    <t>104-15-4</t>
  </si>
  <si>
    <t>104147-32-2</t>
  </si>
  <si>
    <t>104146-10-3</t>
  </si>
  <si>
    <t>104-12-1</t>
  </si>
  <si>
    <t>10411-92-4</t>
  </si>
  <si>
    <t>103976-28-9</t>
  </si>
  <si>
    <t>103-95-7</t>
  </si>
  <si>
    <t>10377-81-8</t>
  </si>
  <si>
    <t>103765-01-1</t>
  </si>
  <si>
    <t>103-73-1</t>
  </si>
  <si>
    <t>103-71-9</t>
  </si>
  <si>
    <t>103694-68-4</t>
  </si>
  <si>
    <t>103-60-6</t>
  </si>
  <si>
    <t>103597-45-1</t>
  </si>
  <si>
    <t>10357-99-0</t>
  </si>
  <si>
    <t>103577-66-8</t>
  </si>
  <si>
    <t>103-50-4</t>
  </si>
  <si>
    <t>103-49-1</t>
  </si>
  <si>
    <t>103-45-7</t>
  </si>
  <si>
    <t>1034138-69-6</t>
  </si>
  <si>
    <t>10341-03-4</t>
  </si>
  <si>
    <t>10339-55-6</t>
  </si>
  <si>
    <t>103-34-4</t>
  </si>
  <si>
    <t>103335-54-2</t>
  </si>
  <si>
    <t>103300-91-0</t>
  </si>
  <si>
    <t>103300-89-6</t>
  </si>
  <si>
    <t>10326-41-7</t>
  </si>
  <si>
    <t>103-26-4</t>
  </si>
  <si>
    <t>103-24-2</t>
  </si>
  <si>
    <t>1031-15-8</t>
  </si>
  <si>
    <t>103-09-3</t>
  </si>
  <si>
    <t>10305-41-6</t>
  </si>
  <si>
    <t>10305-38-1</t>
  </si>
  <si>
    <t>103015-84-5</t>
  </si>
  <si>
    <t>102985-93-3</t>
  </si>
  <si>
    <t>102-81-8</t>
  </si>
  <si>
    <t>102-77-2</t>
  </si>
  <si>
    <t>102-76-1</t>
  </si>
  <si>
    <t>102714-93-2</t>
  </si>
  <si>
    <t>102-60-3</t>
  </si>
  <si>
    <t>102601-34-3</t>
  </si>
  <si>
    <t>10254-57-6</t>
  </si>
  <si>
    <t>1025-15-6</t>
  </si>
  <si>
    <t>102387-48-4</t>
  </si>
  <si>
    <t>102-36-3</t>
  </si>
  <si>
    <t>10233-13-3</t>
  </si>
  <si>
    <t>10221-57-5</t>
  </si>
  <si>
    <t>102-20-5</t>
  </si>
  <si>
    <t>10217-34-2</t>
  </si>
  <si>
    <t>102-09-0</t>
  </si>
  <si>
    <t>102089-33-8</t>
  </si>
  <si>
    <t>102-06-7</t>
  </si>
  <si>
    <t>102061-82-5</t>
  </si>
  <si>
    <t>102029-44-7</t>
  </si>
  <si>
    <t>102-01-2</t>
  </si>
  <si>
    <t>101-96-2</t>
  </si>
  <si>
    <t>101947-16-4</t>
  </si>
  <si>
    <t>101-80-4</t>
  </si>
  <si>
    <t>101-77-9</t>
  </si>
  <si>
    <t>10175-31-2</t>
  </si>
  <si>
    <t>101-72-4</t>
  </si>
  <si>
    <t>101-68-8</t>
  </si>
  <si>
    <t>101-54-2</t>
  </si>
  <si>
    <t>101513-70-6</t>
  </si>
  <si>
    <t>101-43-9</t>
  </si>
  <si>
    <t>101-41-7</t>
  </si>
  <si>
    <t>101-39-3</t>
  </si>
  <si>
    <t>1013-88-3</t>
  </si>
  <si>
    <t>101377-47-3</t>
  </si>
  <si>
    <t>101-37-1</t>
  </si>
  <si>
    <t>1013-69-0</t>
  </si>
  <si>
    <t>101238-01-1</t>
  </si>
  <si>
    <t>101226-85-1</t>
  </si>
  <si>
    <t>10116-20-8</t>
  </si>
  <si>
    <t>101-14-4</t>
  </si>
  <si>
    <t>101128-56-7</t>
  </si>
  <si>
    <t>100988-63-4</t>
  </si>
  <si>
    <t>100983-91-3</t>
  </si>
  <si>
    <t>100983-90-2</t>
  </si>
  <si>
    <t>100983-89-9</t>
  </si>
  <si>
    <t>10097-09-3</t>
  </si>
  <si>
    <t>10097-02-6</t>
  </si>
  <si>
    <t>10081-67-1</t>
  </si>
  <si>
    <t>100-69-6</t>
  </si>
  <si>
    <t>100622-41-1</t>
  </si>
  <si>
    <t>10061-02-6</t>
  </si>
  <si>
    <t>100-50-5</t>
  </si>
  <si>
    <t>100491-29-0</t>
  </si>
  <si>
    <t>100443-95-6</t>
  </si>
  <si>
    <t>10042-59-8</t>
  </si>
  <si>
    <t>1004-14-4</t>
  </si>
  <si>
    <t>1003859-14-0</t>
  </si>
  <si>
    <t>1003-52-7</t>
  </si>
  <si>
    <t>1003-14-1</t>
  </si>
  <si>
    <t>1003-03-8</t>
  </si>
  <si>
    <t>100-20-9</t>
  </si>
  <si>
    <t>100-18-5</t>
  </si>
  <si>
    <t>1001354-72-8</t>
  </si>
  <si>
    <t>1001320-38-2</t>
  </si>
  <si>
    <t>10009-20-8</t>
  </si>
  <si>
    <t>1000701-92-7</t>
  </si>
  <si>
    <t>215247-95-3</t>
  </si>
  <si>
    <t>84852-15-3</t>
  </si>
  <si>
    <t>56296-78-7</t>
  </si>
  <si>
    <t>9051-48-3</t>
  </si>
  <si>
    <t>81541-12-0</t>
  </si>
  <si>
    <t>64742-95-6</t>
  </si>
  <si>
    <t>65975-01-1</t>
  </si>
  <si>
    <t>7631-89-2</t>
  </si>
  <si>
    <t>25322-20-7</t>
  </si>
  <si>
    <t>9005-90-7</t>
  </si>
  <si>
    <t>33240-95-8</t>
  </si>
  <si>
    <t>67708-83-2</t>
  </si>
  <si>
    <t>59-05-2</t>
  </si>
  <si>
    <t>2034-22-2</t>
  </si>
  <si>
    <t>33979-03-2</t>
  </si>
  <si>
    <t>37680-73-2</t>
  </si>
  <si>
    <t>4214-76-0</t>
  </si>
  <si>
    <t>434-90-2</t>
  </si>
  <si>
    <t>529-69-1</t>
  </si>
  <si>
    <t>555-60-2</t>
  </si>
  <si>
    <t>626-64-2</t>
  </si>
  <si>
    <t>68-35-9</t>
  </si>
  <si>
    <t>94050-52-9</t>
  </si>
  <si>
    <t>101-02-0</t>
  </si>
  <si>
    <t>102851-06-9</t>
  </si>
  <si>
    <t>109-00-2</t>
  </si>
  <si>
    <t>114311-32-9</t>
  </si>
  <si>
    <t>119446-68-3</t>
  </si>
  <si>
    <t>122836-35-5</t>
  </si>
  <si>
    <t>125401-92-5</t>
  </si>
  <si>
    <t>1912-26-1</t>
  </si>
  <si>
    <t>23947-60-6</t>
  </si>
  <si>
    <t>2545-60-0</t>
  </si>
  <si>
    <t>32598-13-3</t>
  </si>
  <si>
    <t>11096-82-5</t>
  </si>
  <si>
    <t>12122-67-7</t>
  </si>
  <si>
    <t>12427-38-2</t>
  </si>
  <si>
    <t>12674-11-2</t>
  </si>
  <si>
    <t>14484-64-1</t>
  </si>
  <si>
    <t>2425-06-1</t>
  </si>
  <si>
    <t>2439-01-2</t>
  </si>
  <si>
    <t>2597-03-7</t>
  </si>
  <si>
    <t>39148-24-8</t>
  </si>
  <si>
    <t>43222-48-6</t>
  </si>
  <si>
    <t>612-83-9</t>
  </si>
  <si>
    <t>8001-35-2</t>
  </si>
  <si>
    <t>8003-34-7</t>
  </si>
  <si>
    <t>9006-42-2</t>
  </si>
  <si>
    <t>1937-37-7</t>
  </si>
  <si>
    <t>16071-86-6</t>
  </si>
  <si>
    <t>434-07-1</t>
  </si>
  <si>
    <t>1918-02-1</t>
  </si>
  <si>
    <t>39300-45-3</t>
  </si>
  <si>
    <t>75-60-5</t>
  </si>
  <si>
    <t>77182-82-2</t>
  </si>
  <si>
    <t>85-00-7</t>
  </si>
  <si>
    <t>2602-46-2</t>
  </si>
  <si>
    <t>1336-36-3</t>
  </si>
  <si>
    <t>1401-55-4</t>
  </si>
  <si>
    <t>1420-04-8</t>
  </si>
  <si>
    <t>142-59-6</t>
  </si>
  <si>
    <t>14324-55-1</t>
  </si>
  <si>
    <t>25168-26-7</t>
  </si>
  <si>
    <t>3844-45-9</t>
  </si>
  <si>
    <t>64-75-5</t>
  </si>
  <si>
    <t>62-54-4</t>
  </si>
  <si>
    <t>7235-40-7</t>
  </si>
  <si>
    <t>156-62-7</t>
  </si>
  <si>
    <t>7336-20-1</t>
  </si>
  <si>
    <t>25265-71-8</t>
  </si>
  <si>
    <t>155-04-4</t>
  </si>
  <si>
    <t>61-76-7</t>
  </si>
  <si>
    <t>126-13-6</t>
  </si>
  <si>
    <t>55566-30-8</t>
  </si>
  <si>
    <t>2783-94-0</t>
  </si>
  <si>
    <t>136-23-2</t>
  </si>
  <si>
    <t>111-78-4</t>
  </si>
  <si>
    <t>12002-53-8</t>
  </si>
  <si>
    <t>124-87-8</t>
  </si>
  <si>
    <t>1320-07-6</t>
  </si>
  <si>
    <t>15245-44-0</t>
  </si>
  <si>
    <t>16485-47-5</t>
  </si>
  <si>
    <t>1984-06-1</t>
  </si>
  <si>
    <t>20824-56-0</t>
  </si>
  <si>
    <t>2207-01-4</t>
  </si>
  <si>
    <t>22473-78-5</t>
  </si>
  <si>
    <t>2257-09-2</t>
  </si>
  <si>
    <t>2338-12-7</t>
  </si>
  <si>
    <t>2459-09-8</t>
  </si>
  <si>
    <t>2475-46-9</t>
  </si>
  <si>
    <t>2497-07-6</t>
  </si>
  <si>
    <t>25155-23-1</t>
  </si>
  <si>
    <t>25168-15-4</t>
  </si>
  <si>
    <t>25637-99-4</t>
  </si>
  <si>
    <t>2741-06-2</t>
  </si>
  <si>
    <t>27458-93-1</t>
  </si>
  <si>
    <t>28108-99-8</t>
  </si>
  <si>
    <t>30030-25-2</t>
  </si>
  <si>
    <t>3351-05-1</t>
  </si>
  <si>
    <t>34364-42-6</t>
  </si>
  <si>
    <t>3483-12-3</t>
  </si>
  <si>
    <t>4403-90-1</t>
  </si>
  <si>
    <t>5610-64-0</t>
  </si>
  <si>
    <t>5673-07-4</t>
  </si>
  <si>
    <t>56803-37-3</t>
  </si>
  <si>
    <t>5827-05-4</t>
  </si>
  <si>
    <t>593-57-7</t>
  </si>
  <si>
    <t>631-61-8</t>
  </si>
  <si>
    <t>7377-03-9</t>
  </si>
  <si>
    <t>78-51-3</t>
  </si>
  <si>
    <t>81510-83-0</t>
  </si>
  <si>
    <t>9004-70-0</t>
  </si>
  <si>
    <t>98-13-5</t>
  </si>
  <si>
    <t>1076-46-6</t>
  </si>
  <si>
    <t>11141-17-6</t>
  </si>
  <si>
    <t>124-65-2</t>
  </si>
  <si>
    <t>12672-29-6</t>
  </si>
  <si>
    <t>1320-18-9</t>
  </si>
  <si>
    <t>13863-31-5</t>
  </si>
  <si>
    <t>138-93-2</t>
  </si>
  <si>
    <t>140-01-2</t>
  </si>
  <si>
    <t>15662-33-6</t>
  </si>
  <si>
    <t>16090-02-1</t>
  </si>
  <si>
    <t>17095-24-8</t>
  </si>
  <si>
    <t>2008-39-1</t>
  </si>
  <si>
    <t>2039-46-5</t>
  </si>
  <si>
    <t>2163-80-6</t>
  </si>
  <si>
    <t>2164-07-0</t>
  </si>
  <si>
    <t>2164-08-1</t>
  </si>
  <si>
    <t>2215-35-2</t>
  </si>
  <si>
    <t>2314-09-2</t>
  </si>
  <si>
    <t>23422-53-9</t>
  </si>
  <si>
    <t>2425-10-7</t>
  </si>
  <si>
    <t>25167-83-3</t>
  </si>
  <si>
    <t>25265-77-4</t>
  </si>
  <si>
    <t>25339-17-7</t>
  </si>
  <si>
    <t>25339-53-1</t>
  </si>
  <si>
    <t>25339-56-4</t>
  </si>
  <si>
    <t>25377-83-7</t>
  </si>
  <si>
    <t>25606-41-1</t>
  </si>
  <si>
    <t>25954-13-6</t>
  </si>
  <si>
    <t>26761-40-0</t>
  </si>
  <si>
    <t>26761-45-5</t>
  </si>
  <si>
    <t>27344-41-8</t>
  </si>
  <si>
    <t>27458-92-0</t>
  </si>
  <si>
    <t>27458-94-2</t>
  </si>
  <si>
    <t>2809-21-4</t>
  </si>
  <si>
    <t>28631-35-8</t>
  </si>
  <si>
    <t>29761-21-5</t>
  </si>
  <si>
    <t>31570-04-4</t>
  </si>
  <si>
    <t>3813-05-6</t>
  </si>
  <si>
    <t>38640-62-9</t>
  </si>
  <si>
    <t>38641-94-0</t>
  </si>
  <si>
    <t>4075-81-4</t>
  </si>
  <si>
    <t>4259-15-8</t>
  </si>
  <si>
    <t>4329-03-7</t>
  </si>
  <si>
    <t>4719-04-4</t>
  </si>
  <si>
    <t>5064-31-3</t>
  </si>
  <si>
    <t>506-93-4</t>
  </si>
  <si>
    <t>51000-52-3</t>
  </si>
  <si>
    <t>518-47-8</t>
  </si>
  <si>
    <t>53445-37-7</t>
  </si>
  <si>
    <t>53469-21-9</t>
  </si>
  <si>
    <t>57213-69-1</t>
  </si>
  <si>
    <t>5742-17-6</t>
  </si>
  <si>
    <t>5742-19-8</t>
  </si>
  <si>
    <t>593-81-7</t>
  </si>
  <si>
    <t>61-73-4</t>
  </si>
  <si>
    <t>62-76-0</t>
  </si>
  <si>
    <t>64-02-8</t>
  </si>
  <si>
    <t>65-30-5</t>
  </si>
  <si>
    <t>6683-19-8</t>
  </si>
  <si>
    <t>68-04-2</t>
  </si>
  <si>
    <t>68439-50-9</t>
  </si>
  <si>
    <t>68515-47-9</t>
  </si>
  <si>
    <t>68526-86-3</t>
  </si>
  <si>
    <t>68938-07-8</t>
  </si>
  <si>
    <t>71662-46-9</t>
  </si>
  <si>
    <t>8004-87-3</t>
  </si>
  <si>
    <t>81-88-9</t>
  </si>
  <si>
    <t>886-86-2</t>
  </si>
  <si>
    <t>9002-93-1</t>
  </si>
  <si>
    <t>93762-80-2</t>
  </si>
  <si>
    <t>95% CI provided (z0.975=1.96)</t>
  </si>
  <si>
    <t>scale</t>
  </si>
  <si>
    <t>3.5. TrackMPD transfer rates between marine compartments</t>
  </si>
  <si>
    <t>SimpleBox directly reads these sheets to retrive data for fate factors and characterization factors calculations. The sheet contains regional landscape data (e.g. rainrate, wind speed, depth of compartments), polymer data (e.g. degradation rates, density), TrackMPD transfer rates, exposure and effect data (in water, soil, and sediments), and confidence intervals (distribution) when available.</t>
  </si>
  <si>
    <t>2.2. TrackMPD results</t>
  </si>
  <si>
    <t>2. Transfer rates in the marine environment</t>
  </si>
  <si>
    <t>2.1. Default sedimentation rates for low density polymers</t>
  </si>
  <si>
    <t>polymer</t>
  </si>
  <si>
    <t>Sphere</t>
  </si>
  <si>
    <t>Fiber</t>
  </si>
  <si>
    <t>Film</t>
  </si>
  <si>
    <t>SBoo retrieves the regional values in this sheet to initialize the model for different regions. Keep in mind that the scale "Regional" of SB corresponds to our continental USEtox scale. "Continental" in Sb corresponds to global scale of USEtox.</t>
  </si>
  <si>
    <t>Default sedimentation rates are input when SBoo returns a settling velocity of 0 m/s (for particles with density lower than that of water). However, for the marine environment, these default settling velocities are not used, as TrackMPD is used to derive settling velocities from water surface to water column, from water column to sediments, at continental and global scales. These settling velocities can be found here.</t>
  </si>
  <si>
    <t>Settling and transfer rates derived from TrackMPD</t>
  </si>
  <si>
    <t>Hajjar, C., Bulle, C., Agez, M., Corella-Puertas, E., &amp; Boulay, A.-M. (2025). Identifying influencing physical and environmental parameters on fate and characterization factors for microplastic emissions in the marine environment. The International Journal of Life Cycle Assessment. https://doi.org/10.1007/s11367-024-02421-8</t>
  </si>
  <si>
    <t>Hajjar et al. (2025)</t>
  </si>
  <si>
    <t>CAS_Harmonized</t>
  </si>
  <si>
    <t>93763-87-2</t>
  </si>
  <si>
    <t>91722-10-0</t>
  </si>
  <si>
    <t>65996-71-6</t>
  </si>
  <si>
    <t>13963-57-0</t>
  </si>
  <si>
    <t>65996-69-2</t>
  </si>
  <si>
    <t>14038-43-8</t>
  </si>
  <si>
    <t>12111-24-9</t>
  </si>
  <si>
    <t>7681-38-1</t>
  </si>
  <si>
    <t>93685-79-1</t>
  </si>
  <si>
    <t>93685-80-4</t>
  </si>
  <si>
    <t>135800-37-2</t>
  </si>
  <si>
    <t>11138-60-6</t>
  </si>
  <si>
    <t>68424-31-7</t>
  </si>
  <si>
    <t>68441-94-1</t>
  </si>
  <si>
    <t>85116-93-4</t>
  </si>
  <si>
    <t>85566-29-6</t>
  </si>
  <si>
    <t>85586-24-9</t>
  </si>
  <si>
    <t>91050-89-4</t>
  </si>
  <si>
    <t>1463474-95-4</t>
  </si>
  <si>
    <t>84539-53-7</t>
  </si>
  <si>
    <t>84539-55-9</t>
  </si>
  <si>
    <t>161907-79-5</t>
  </si>
  <si>
    <t>91722-09-7</t>
  </si>
  <si>
    <t>158129-86-3</t>
  </si>
  <si>
    <t>1345-25-1</t>
  </si>
  <si>
    <t>10544-72-6</t>
  </si>
  <si>
    <t>19082-42-9</t>
  </si>
  <si>
    <t>10028-22-5</t>
  </si>
  <si>
    <t>7601-90-3</t>
  </si>
  <si>
    <t>22691-02-7</t>
  </si>
  <si>
    <t>9004-32-4</t>
  </si>
  <si>
    <t>6484-52-2</t>
  </si>
  <si>
    <t>102242-48-8</t>
  </si>
  <si>
    <t>102242-49-9</t>
  </si>
  <si>
    <t>166441-77-6</t>
  </si>
  <si>
    <t>90193-76-3</t>
  </si>
  <si>
    <t>91050-88-3</t>
  </si>
  <si>
    <t>59690-88-9</t>
  </si>
  <si>
    <t>1344-95-2</t>
  </si>
  <si>
    <t>85586-34-1</t>
  </si>
  <si>
    <t>100684-39-7</t>
  </si>
  <si>
    <t>100684-40-0</t>
  </si>
  <si>
    <t>12040-43-6</t>
  </si>
  <si>
    <t>1327-36-2</t>
  </si>
  <si>
    <t>1327-43-1</t>
  </si>
  <si>
    <t>1335-30-4</t>
  </si>
  <si>
    <t>42613-21-8</t>
  </si>
  <si>
    <t>64741-50-0</t>
  </si>
  <si>
    <t>64741-51-1</t>
  </si>
  <si>
    <t>64741-52-2</t>
  </si>
  <si>
    <t>64741-53-3</t>
  </si>
  <si>
    <t>64741-56-6</t>
  </si>
  <si>
    <t>64742-85-4</t>
  </si>
  <si>
    <t>64742-93-4</t>
  </si>
  <si>
    <t>68814-89-1</t>
  </si>
  <si>
    <t>8052-42-4</t>
  </si>
  <si>
    <t>92062-05-0</t>
  </si>
  <si>
    <t>92704-41-1</t>
  </si>
  <si>
    <t>1309-42-8</t>
  </si>
  <si>
    <t>84539-54-8</t>
  </si>
  <si>
    <t>7790-62-7</t>
  </si>
  <si>
    <t>68424-30-6</t>
  </si>
  <si>
    <t>3486-35-9</t>
  </si>
  <si>
    <t>59355-53-2</t>
  </si>
  <si>
    <t>546-93-0</t>
  </si>
  <si>
    <t>68201-32-1</t>
  </si>
  <si>
    <t>132983-41-6</t>
  </si>
  <si>
    <t>177966-51-7</t>
  </si>
  <si>
    <t>86472-37-9</t>
  </si>
  <si>
    <t>91050-80-5</t>
  </si>
  <si>
    <t>10042-76-9</t>
  </si>
  <si>
    <t>1633-05-2</t>
  </si>
  <si>
    <t>18480-07-4</t>
  </si>
  <si>
    <t>7757-82-6</t>
  </si>
  <si>
    <t>24800-44-0</t>
  </si>
  <si>
    <t>3495-36-1</t>
  </si>
  <si>
    <t>102184-95-2</t>
  </si>
  <si>
    <t>598-63-0</t>
  </si>
  <si>
    <t>1344-09-8</t>
  </si>
  <si>
    <t>57017-80-8</t>
  </si>
  <si>
    <t>12167-74-7</t>
  </si>
  <si>
    <t>13092-66-5</t>
  </si>
  <si>
    <t>14887-42-4</t>
  </si>
  <si>
    <t>7558-79-4</t>
  </si>
  <si>
    <t>7757-86-0</t>
  </si>
  <si>
    <t>7757-87-1</t>
  </si>
  <si>
    <t>7757-93-9</t>
  </si>
  <si>
    <t>7758-11-4</t>
  </si>
  <si>
    <t>7758-23-8</t>
  </si>
  <si>
    <t>7758-87-4</t>
  </si>
  <si>
    <t>7778-53-2</t>
  </si>
  <si>
    <t>660-68-4</t>
  </si>
  <si>
    <t>130525-62-1</t>
  </si>
  <si>
    <t>12136-45-7</t>
  </si>
  <si>
    <t>68130-53-0</t>
  </si>
  <si>
    <t>7647-14-5</t>
  </si>
  <si>
    <t>3811-04-9</t>
  </si>
  <si>
    <t>64742-89-8</t>
  </si>
  <si>
    <t>10043-52-4</t>
  </si>
  <si>
    <t>14797-73-0</t>
  </si>
  <si>
    <t>94581-02-9</t>
  </si>
  <si>
    <t>25322-69-4</t>
  </si>
  <si>
    <t>3047-33-4</t>
  </si>
  <si>
    <t>14265-44-2</t>
  </si>
  <si>
    <t>949109-75-5</t>
  </si>
  <si>
    <t>13601-19-9</t>
  </si>
  <si>
    <t>1410795-90-2</t>
  </si>
  <si>
    <t>68784-48-5</t>
  </si>
  <si>
    <t>68131-72-6</t>
  </si>
  <si>
    <t>6413-10-1</t>
  </si>
  <si>
    <t>1333-07-9</t>
  </si>
  <si>
    <t>15375-84-5</t>
  </si>
  <si>
    <t>234446-82-3</t>
  </si>
  <si>
    <t>67711-92-6</t>
  </si>
  <si>
    <t>15467-20-6</t>
  </si>
  <si>
    <t>4454-05-1</t>
  </si>
  <si>
    <t>39403-84-4</t>
  </si>
  <si>
    <t>66669-53-2</t>
  </si>
  <si>
    <t>51981-21-6</t>
  </si>
  <si>
    <t>5117-12-4</t>
  </si>
  <si>
    <t>52013-44-2</t>
  </si>
  <si>
    <t>64742-10-5</t>
  </si>
  <si>
    <t>91995-70-9</t>
  </si>
  <si>
    <t>12774-30-0</t>
  </si>
  <si>
    <t>151006-61-0</t>
  </si>
  <si>
    <t>34128-01-3</t>
  </si>
  <si>
    <t>12264-18-5</t>
  </si>
  <si>
    <t>130603-71-3</t>
  </si>
  <si>
    <t>55543-68-5</t>
  </si>
  <si>
    <t>1175612-76-6</t>
  </si>
  <si>
    <t>28305-25-1</t>
  </si>
  <si>
    <t>7631-99-4</t>
  </si>
  <si>
    <t>25321-41-9</t>
  </si>
  <si>
    <t>7601-54-9</t>
  </si>
  <si>
    <t>7647-15-6</t>
  </si>
  <si>
    <t>26919-50-6</t>
  </si>
  <si>
    <t>93981-14-7</t>
  </si>
  <si>
    <t>14402-88-1</t>
  </si>
  <si>
    <t>62-33-9</t>
  </si>
  <si>
    <t>67859-51-2</t>
  </si>
  <si>
    <t>67989-88-2</t>
  </si>
  <si>
    <t>68015-77-0</t>
  </si>
  <si>
    <t>128446-35-5</t>
  </si>
  <si>
    <t>8004-05-5</t>
  </si>
  <si>
    <t>85049-37-2</t>
  </si>
  <si>
    <t>91031-48-0</t>
  </si>
  <si>
    <t>151615-91-7</t>
  </si>
  <si>
    <t>1314-96-1</t>
  </si>
  <si>
    <t>7719-09-7</t>
  </si>
  <si>
    <t>8042-47-5</t>
  </si>
  <si>
    <t>5719-73-3</t>
  </si>
  <si>
    <t>58374-69-9</t>
  </si>
  <si>
    <t>7789-41-5</t>
  </si>
  <si>
    <t>14075-53-7</t>
  </si>
  <si>
    <t>16872-11-0</t>
  </si>
  <si>
    <t>7785-21-9</t>
  </si>
  <si>
    <t>30025-38-8</t>
  </si>
  <si>
    <t>3344-18-1</t>
  </si>
  <si>
    <t>813-94-5</t>
  </si>
  <si>
    <t>866-84-2</t>
  </si>
  <si>
    <t>1119-34-2</t>
  </si>
  <si>
    <t>1320-51-0</t>
  </si>
  <si>
    <t>101200-49-1</t>
  </si>
  <si>
    <t>101227-09-2</t>
  </si>
  <si>
    <t>1151-84-4</t>
  </si>
  <si>
    <t>130201-55-7</t>
  </si>
  <si>
    <t>130201-56-8</t>
  </si>
  <si>
    <t>1343-88-0</t>
  </si>
  <si>
    <t>13598-36-2</t>
  </si>
  <si>
    <t>1373883-45-4</t>
  </si>
  <si>
    <t>146177-84-6</t>
  </si>
  <si>
    <t>147256-33-5</t>
  </si>
  <si>
    <t>156653-67-7</t>
  </si>
  <si>
    <t>159875-28-2</t>
  </si>
  <si>
    <t>171966-22-6</t>
  </si>
  <si>
    <t>206886-58-0</t>
  </si>
  <si>
    <t>206886-64-8</t>
  </si>
  <si>
    <t>35052-92-7</t>
  </si>
  <si>
    <t>457883-29-3</t>
  </si>
  <si>
    <t>52479-58-0</t>
  </si>
  <si>
    <t>63310-16-7</t>
  </si>
  <si>
    <t>64543-93-7</t>
  </si>
  <si>
    <t>68514-35-2</t>
  </si>
  <si>
    <t>68938-84-1</t>
  </si>
  <si>
    <t>69012-27-7</t>
  </si>
  <si>
    <t>69430-40-6</t>
  </si>
  <si>
    <t>71808-39-4</t>
  </si>
  <si>
    <t>71809-65-9</t>
  </si>
  <si>
    <t>74135-10-7</t>
  </si>
  <si>
    <t>8016-81-7</t>
  </si>
  <si>
    <t>91696-74-1</t>
  </si>
  <si>
    <t>88917-22-0</t>
  </si>
  <si>
    <t>13762-14-6</t>
  </si>
  <si>
    <t>7778-18-9</t>
  </si>
  <si>
    <t>8061-51-6</t>
  </si>
  <si>
    <t>533-96-0</t>
  </si>
  <si>
    <t>1413933-05-7</t>
  </si>
  <si>
    <t>638-38-0</t>
  </si>
  <si>
    <t>66069-34-9</t>
  </si>
  <si>
    <t>39322-78-6</t>
  </si>
  <si>
    <t>93572-43-1</t>
  </si>
  <si>
    <t>13780-39-7</t>
  </si>
  <si>
    <t>81898-60-4</t>
  </si>
  <si>
    <t>1303-96-4</t>
  </si>
  <si>
    <t>7550-45-0</t>
  </si>
  <si>
    <t>10026-04-7</t>
  </si>
  <si>
    <t>57017-81-9</t>
  </si>
  <si>
    <t>2680-03-7</t>
  </si>
  <si>
    <t>9004-77-7</t>
  </si>
  <si>
    <t>1067-25-0</t>
  </si>
  <si>
    <t>93857-00-2</t>
  </si>
  <si>
    <t>101316-69-2</t>
  </si>
  <si>
    <t>101316-72-7</t>
  </si>
  <si>
    <t>64741-76-0</t>
  </si>
  <si>
    <t>64741-88-4</t>
  </si>
  <si>
    <t>64741-89-5</t>
  </si>
  <si>
    <t>64741-95-3</t>
  </si>
  <si>
    <t>64741-96-4</t>
  </si>
  <si>
    <t>64741-97-5</t>
  </si>
  <si>
    <t>64742-01-4</t>
  </si>
  <si>
    <t>64742-44-5</t>
  </si>
  <si>
    <t>64742-52-5</t>
  </si>
  <si>
    <t>64742-53-6</t>
  </si>
  <si>
    <t>64742-54-7</t>
  </si>
  <si>
    <t>64742-55-8</t>
  </si>
  <si>
    <t>64742-56-9</t>
  </si>
  <si>
    <t>64742-57-0</t>
  </si>
  <si>
    <t>64742-62-7</t>
  </si>
  <si>
    <t>64742-65-0</t>
  </si>
  <si>
    <t>64742-70-7</t>
  </si>
  <si>
    <t>64742-71-8</t>
  </si>
  <si>
    <t>70514-12-4</t>
  </si>
  <si>
    <t>72623-85-9</t>
  </si>
  <si>
    <t>72623-86-0</t>
  </si>
  <si>
    <t>72623-87-1</t>
  </si>
  <si>
    <t>74869-22-0</t>
  </si>
  <si>
    <t>90669-74-2</t>
  </si>
  <si>
    <t>91770-57-9</t>
  </si>
  <si>
    <t>91995-40-3</t>
  </si>
  <si>
    <t>94733-08-1</t>
  </si>
  <si>
    <t>94733-15-0</t>
  </si>
  <si>
    <t>97862-82-3</t>
  </si>
  <si>
    <t>409-21-2</t>
  </si>
  <si>
    <t>68475-76-3</t>
  </si>
  <si>
    <t>7447-40-7</t>
  </si>
  <si>
    <t>93686-48-7</t>
  </si>
  <si>
    <t>13825-74-6</t>
  </si>
  <si>
    <t>12389-75-2</t>
  </si>
  <si>
    <t>19529-38-5</t>
  </si>
  <si>
    <t>7216-95-7</t>
  </si>
  <si>
    <t>85959-68-8</t>
  </si>
  <si>
    <t>12411-64-2</t>
  </si>
  <si>
    <t>12612-50-9</t>
  </si>
  <si>
    <t>13769-81-8</t>
  </si>
  <si>
    <t>18868-43-4</t>
  </si>
  <si>
    <t>27546-07-2</t>
  </si>
  <si>
    <t>7789-82-4</t>
  </si>
  <si>
    <t>84144-95-6</t>
  </si>
  <si>
    <t>86089-09-0</t>
  </si>
  <si>
    <t>14025-15-1</t>
  </si>
  <si>
    <t>10377-60-3</t>
  </si>
  <si>
    <t>61789-87-5</t>
  </si>
  <si>
    <t>61790-48-5</t>
  </si>
  <si>
    <t>68584-26-9</t>
  </si>
  <si>
    <t>93820-55-4</t>
  </si>
  <si>
    <t>7637-07-2</t>
  </si>
  <si>
    <t>1280193-05-6</t>
  </si>
  <si>
    <t>165172-60-1</t>
  </si>
  <si>
    <t>37247-91-9</t>
  </si>
  <si>
    <t>134737-17-0</t>
  </si>
  <si>
    <t>52623-84-4</t>
  </si>
  <si>
    <t>95312-90-6</t>
  </si>
  <si>
    <t>27813-02-1</t>
  </si>
  <si>
    <t>14808-79-8</t>
  </si>
  <si>
    <t>84713-17-7</t>
  </si>
  <si>
    <t>134595-59-8</t>
  </si>
  <si>
    <t>61789-85-3</t>
  </si>
  <si>
    <t>68584-22-5</t>
  </si>
  <si>
    <t>68584-23-6</t>
  </si>
  <si>
    <t>68608-26-4</t>
  </si>
  <si>
    <t>90194-27-7</t>
  </si>
  <si>
    <t>34041-09-3</t>
  </si>
  <si>
    <t>55949-38-7</t>
  </si>
  <si>
    <t>1000172-11-1</t>
  </si>
  <si>
    <t>151006-58-5</t>
  </si>
  <si>
    <t>151006-60-9</t>
  </si>
  <si>
    <t>151006-62-1</t>
  </si>
  <si>
    <t>151006-63-2</t>
  </si>
  <si>
    <t>157707-86-3</t>
  </si>
  <si>
    <t>163149-28-8</t>
  </si>
  <si>
    <t>68649-11-6</t>
  </si>
  <si>
    <t>68649-12-7</t>
  </si>
  <si>
    <t>883233-48-5</t>
  </si>
  <si>
    <t>883233-91-8</t>
  </si>
  <si>
    <t>883233-93-0</t>
  </si>
  <si>
    <t>440-17-5</t>
  </si>
  <si>
    <t>68603-11-2</t>
  </si>
  <si>
    <t>22113-87-7</t>
  </si>
  <si>
    <t>10016-20-3</t>
  </si>
  <si>
    <t>17465-86-0</t>
  </si>
  <si>
    <t>7585-39-9</t>
  </si>
  <si>
    <t>161907-80-8</t>
  </si>
  <si>
    <t>2300-66-5</t>
  </si>
  <si>
    <t>160683-19-2</t>
  </si>
  <si>
    <t>22042-96-2</t>
  </si>
  <si>
    <t>61792-09-4</t>
  </si>
  <si>
    <t>84852-49-3</t>
  </si>
  <si>
    <t>6834-92-0</t>
  </si>
  <si>
    <t>89797-01-3</t>
  </si>
  <si>
    <t>14852-17-6</t>
  </si>
  <si>
    <t>13826-83-0</t>
  </si>
  <si>
    <t>25322-68-3</t>
  </si>
  <si>
    <t>14025-21-9</t>
  </si>
  <si>
    <t>68002-78-8</t>
  </si>
  <si>
    <t>68002-79-9</t>
  </si>
  <si>
    <t>91001-61-5</t>
  </si>
  <si>
    <t>92113-48-9</t>
  </si>
  <si>
    <t>7757-79-1</t>
  </si>
  <si>
    <t>73561-16-7</t>
  </si>
  <si>
    <t>2550-06-3</t>
  </si>
  <si>
    <t>51158-19-1</t>
  </si>
  <si>
    <t>107246-80-0</t>
  </si>
  <si>
    <t>111211-40-6</t>
  </si>
  <si>
    <t>56180-94-0</t>
  </si>
  <si>
    <t>15709-82-7</t>
  </si>
  <si>
    <t>26248-42-0</t>
  </si>
  <si>
    <t>51222-40-3</t>
  </si>
  <si>
    <t>481066-69-7</t>
  </si>
  <si>
    <t>98635-34-8</t>
  </si>
  <si>
    <t>51158-21-5</t>
  </si>
  <si>
    <t>100684-33-1</t>
  </si>
  <si>
    <t>1234694-02-0</t>
  </si>
  <si>
    <t>1264747-45-6</t>
  </si>
  <si>
    <t>128446-36-6</t>
  </si>
  <si>
    <t>1317-35-7</t>
  </si>
  <si>
    <t>1365095-43-7</t>
  </si>
  <si>
    <t>143239-08-1</t>
  </si>
  <si>
    <t>147853-32-5</t>
  </si>
  <si>
    <t>147900-93-4</t>
  </si>
  <si>
    <t>148691-66-1</t>
  </si>
  <si>
    <t>162627-17-0</t>
  </si>
  <si>
    <t>178671-58-4</t>
  </si>
  <si>
    <t>203515-86-0</t>
  </si>
  <si>
    <t>308065-15-8</t>
  </si>
  <si>
    <t>333459-85-1</t>
  </si>
  <si>
    <t>537-01-9</t>
  </si>
  <si>
    <t>544-17-2</t>
  </si>
  <si>
    <t>56287-23-1</t>
  </si>
  <si>
    <t>5895-46-5</t>
  </si>
  <si>
    <t>63231-60-7</t>
  </si>
  <si>
    <t>63393-93-1</t>
  </si>
  <si>
    <t>64742-42-3</t>
  </si>
  <si>
    <t>64742-43-4</t>
  </si>
  <si>
    <t>64742-51-4</t>
  </si>
  <si>
    <t>64742-60-5</t>
  </si>
  <si>
    <t>64742-61-6</t>
  </si>
  <si>
    <t>64742-67-2</t>
  </si>
  <si>
    <t>64743-01-7</t>
  </si>
  <si>
    <t>649747-80-8</t>
  </si>
  <si>
    <t>67762-63-4</t>
  </si>
  <si>
    <t>68425-34-3</t>
  </si>
  <si>
    <t>68604-38-6</t>
  </si>
  <si>
    <t>7440-45-1</t>
  </si>
  <si>
    <t>75198-80-0</t>
  </si>
  <si>
    <t>8002-74-2</t>
  </si>
  <si>
    <t>8009-03-8</t>
  </si>
  <si>
    <t>83249-32-5</t>
  </si>
  <si>
    <t>84988-74-9</t>
  </si>
  <si>
    <t>84988-79-4</t>
  </si>
  <si>
    <t>85408-76-0</t>
  </si>
  <si>
    <t>85865-69-6</t>
  </si>
  <si>
    <t>90669-78-6</t>
  </si>
  <si>
    <t>91031-58-2</t>
  </si>
  <si>
    <t>91051-05-7</t>
  </si>
  <si>
    <t>92044-87-6</t>
  </si>
  <si>
    <t>92045-12-0</t>
  </si>
  <si>
    <t>92045-76-6</t>
  </si>
  <si>
    <t>92045-77-7</t>
  </si>
  <si>
    <t>92062-09-4</t>
  </si>
  <si>
    <t>93924-19-7</t>
  </si>
  <si>
    <t>93924-32-4</t>
  </si>
  <si>
    <t>939402-02-5</t>
  </si>
  <si>
    <t>9000-90-2</t>
  </si>
  <si>
    <t>7487-88-9</t>
  </si>
  <si>
    <t>7601-89-0</t>
  </si>
  <si>
    <t>26591-72-0</t>
  </si>
  <si>
    <t>12033-94-2</t>
  </si>
  <si>
    <t>11120-25-5</t>
  </si>
  <si>
    <t>12028-48-7</t>
  </si>
  <si>
    <t>12036-22-5</t>
  </si>
  <si>
    <t>12070-12-1</t>
  </si>
  <si>
    <t>1314-35-8</t>
  </si>
  <si>
    <t>39318-18-8</t>
  </si>
  <si>
    <t>7440-33-7</t>
  </si>
  <si>
    <t>7783-03-1</t>
  </si>
  <si>
    <t>304-59-6</t>
  </si>
  <si>
    <t>68333-89-1</t>
  </si>
  <si>
    <t>8050-81-5</t>
  </si>
  <si>
    <t>1313-27-5</t>
  </si>
  <si>
    <t>130221-75-9</t>
  </si>
  <si>
    <t>31795-24-1</t>
  </si>
  <si>
    <t>74665-84-2</t>
  </si>
  <si>
    <t>51181-50-1</t>
  </si>
  <si>
    <t>65996-95-4</t>
  </si>
  <si>
    <t>7722-76-1</t>
  </si>
  <si>
    <t>7783-28-0</t>
  </si>
  <si>
    <t>3214-47-9</t>
  </si>
  <si>
    <t>39315-87-2</t>
  </si>
  <si>
    <t>39315-97-4</t>
  </si>
  <si>
    <t>8032-80-2</t>
  </si>
  <si>
    <t>84402-58-4</t>
  </si>
  <si>
    <t>7697-37-2</t>
  </si>
  <si>
    <t>7778-77-0</t>
  </si>
  <si>
    <t>92908-35-5</t>
  </si>
  <si>
    <t>92908-36-6</t>
  </si>
  <si>
    <t>7631-95-0</t>
  </si>
  <si>
    <t>68784-17-8</t>
  </si>
  <si>
    <t>848301-66-6</t>
  </si>
  <si>
    <t>848301-67-7</t>
  </si>
  <si>
    <t>2550-02-9</t>
  </si>
  <si>
    <t>68610-84-4</t>
  </si>
  <si>
    <t>122467-32-7</t>
  </si>
  <si>
    <t>68411-76-7</t>
  </si>
  <si>
    <t>51158-18-0</t>
  </si>
  <si>
    <t>7773-06-0</t>
  </si>
  <si>
    <t>67762-64-5</t>
  </si>
  <si>
    <t>161907-77-3</t>
  </si>
  <si>
    <t>123-41-1</t>
  </si>
  <si>
    <t>78-73-9</t>
  </si>
  <si>
    <t>30899-19-5</t>
  </si>
  <si>
    <t>546-68-9</t>
  </si>
  <si>
    <t>7778-80-5</t>
  </si>
  <si>
    <t>8011-76-5</t>
  </si>
  <si>
    <t>26678-02-4</t>
  </si>
  <si>
    <t>22036-77-7</t>
  </si>
  <si>
    <t>85480-89-3</t>
  </si>
  <si>
    <t>25550-51-0</t>
  </si>
  <si>
    <t>74665-86-4</t>
  </si>
  <si>
    <t>103969-79-5</t>
  </si>
  <si>
    <t>141557-57-5</t>
  </si>
  <si>
    <t>70714-66-8</t>
  </si>
  <si>
    <t>25633-33-4</t>
  </si>
  <si>
    <t>68333-79-9</t>
  </si>
  <si>
    <t>57017-75-1</t>
  </si>
  <si>
    <t>142-72-3</t>
  </si>
  <si>
    <t>38820-59-6</t>
  </si>
  <si>
    <t>17572-97-3</t>
  </si>
  <si>
    <t>2001-94-7</t>
  </si>
  <si>
    <t>68002-70-0</t>
  </si>
  <si>
    <t>63513-77-9</t>
  </si>
  <si>
    <t>128344-23-0</t>
  </si>
  <si>
    <t>7439-95-4</t>
  </si>
  <si>
    <t>1235390-87-0</t>
  </si>
  <si>
    <t>220794-90-1</t>
  </si>
  <si>
    <t>68855-45-8</t>
  </si>
  <si>
    <t>7664-39-3</t>
  </si>
  <si>
    <t>111109-77-4</t>
  </si>
  <si>
    <t>4223-03-4</t>
  </si>
  <si>
    <t>143683-24-3</t>
  </si>
  <si>
    <t>31694-55-0</t>
  </si>
  <si>
    <t>114565-65-0</t>
  </si>
  <si>
    <t>497-19-8</t>
  </si>
  <si>
    <t>139-33-3</t>
  </si>
  <si>
    <t>139-89-9</t>
  </si>
  <si>
    <t>15934-01-7</t>
  </si>
  <si>
    <t>68413-60-5</t>
  </si>
  <si>
    <t>1332-14-5</t>
  </si>
  <si>
    <t>142-88-1</t>
  </si>
  <si>
    <t>1207435-39-9</t>
  </si>
  <si>
    <t>12225-21-7</t>
  </si>
  <si>
    <t>1330-43-4</t>
  </si>
  <si>
    <t>342573-75-5</t>
  </si>
  <si>
    <t>109125-56-6</t>
  </si>
  <si>
    <t>1300-21-6</t>
  </si>
  <si>
    <t>149901-23-5</t>
  </si>
  <si>
    <t>585540-47-2</t>
  </si>
  <si>
    <t>70750-63-9</t>
  </si>
  <si>
    <t>171172-56-8</t>
  </si>
  <si>
    <t>20262-58-2</t>
  </si>
  <si>
    <t>89857-06-7</t>
  </si>
  <si>
    <t>1305-78-8</t>
  </si>
  <si>
    <t>220410-74-2</t>
  </si>
  <si>
    <t>98635-31-5</t>
  </si>
  <si>
    <t>68441-62-3</t>
  </si>
  <si>
    <t>139479-51-9</t>
  </si>
  <si>
    <t>19524-06-2</t>
  </si>
  <si>
    <t>7379-35-3</t>
  </si>
  <si>
    <t>53037-34-6</t>
  </si>
  <si>
    <t>935553-85-8</t>
  </si>
  <si>
    <t>83137-15-9</t>
  </si>
  <si>
    <t>39278-82-5</t>
  </si>
  <si>
    <t>68308-61-2</t>
  </si>
  <si>
    <t>8007-24-7</t>
  </si>
  <si>
    <t>145537-87-7</t>
  </si>
  <si>
    <t>13870-28-5</t>
  </si>
  <si>
    <t>866259-61-2</t>
  </si>
  <si>
    <t>67762-53-2</t>
  </si>
  <si>
    <t>111451-13-9</t>
  </si>
  <si>
    <t>931431-22-0</t>
  </si>
  <si>
    <t>584-08-7</t>
  </si>
  <si>
    <t>68610-90-2</t>
  </si>
  <si>
    <t>7681-49-4</t>
  </si>
  <si>
    <t>96152-40-8</t>
  </si>
  <si>
    <t>1190931-27-1</t>
  </si>
  <si>
    <t>96805-65-1</t>
  </si>
  <si>
    <t>136213-71-3</t>
  </si>
  <si>
    <t>26038-87-9</t>
  </si>
  <si>
    <t>67952-33-4</t>
  </si>
  <si>
    <t>94095-04-2</t>
  </si>
  <si>
    <t>161412-69-7</t>
  </si>
  <si>
    <t>7027-11-4</t>
  </si>
  <si>
    <t>111451-16-2</t>
  </si>
  <si>
    <t>36631-30-8</t>
  </si>
  <si>
    <t>92511-22-3</t>
  </si>
  <si>
    <t>130201-57-9</t>
  </si>
  <si>
    <t>68603-87-2</t>
  </si>
  <si>
    <t>85153-92-0</t>
  </si>
  <si>
    <t>3087-36-3</t>
  </si>
  <si>
    <t>117409-78-6</t>
  </si>
  <si>
    <t>20592-85-2</t>
  </si>
  <si>
    <t>7727-43-7</t>
  </si>
  <si>
    <t>945860-32-2</t>
  </si>
  <si>
    <t>163062-28-0</t>
  </si>
  <si>
    <t>161412-70-0</t>
  </si>
  <si>
    <t>35687-90-2</t>
  </si>
  <si>
    <t>636-70-4</t>
  </si>
  <si>
    <t>13814-97-6</t>
  </si>
  <si>
    <t>13472-45-2</t>
  </si>
  <si>
    <t>34090-76-1</t>
  </si>
  <si>
    <t>1344-00-9</t>
  </si>
  <si>
    <t>96152-43-1</t>
  </si>
  <si>
    <t>84170-74-1</t>
  </si>
  <si>
    <t>136248-03-8</t>
  </si>
  <si>
    <t>4501-00-2</t>
  </si>
  <si>
    <t>12627-14-4</t>
  </si>
  <si>
    <t>125224-62-6</t>
  </si>
  <si>
    <t>85204-10-0</t>
  </si>
  <si>
    <t>104040-79-1</t>
  </si>
  <si>
    <t>57601-56-6</t>
  </si>
  <si>
    <t>76123-46-1</t>
  </si>
  <si>
    <t>154362-43-3</t>
  </si>
  <si>
    <t>126-96-5</t>
  </si>
  <si>
    <t>68476-55-1</t>
  </si>
  <si>
    <t>11070-44-3</t>
  </si>
  <si>
    <t>66071-94-1</t>
  </si>
  <si>
    <t>613246-75-6</t>
  </si>
  <si>
    <t>7775-27-1</t>
  </si>
  <si>
    <t>129423-54-7</t>
  </si>
  <si>
    <t>178452-66-9</t>
  </si>
  <si>
    <t>256513-67-4</t>
  </si>
  <si>
    <t>4130-08-9</t>
  </si>
  <si>
    <t>26266-57-9</t>
  </si>
  <si>
    <t>115326-86-8</t>
  </si>
  <si>
    <t>154336-20-6</t>
  </si>
  <si>
    <t>25956-17-6</t>
  </si>
  <si>
    <t>65140-91-2</t>
  </si>
  <si>
    <t>2117-11-5</t>
  </si>
  <si>
    <t>2232-08-8</t>
  </si>
  <si>
    <t>102242-52-4</t>
  </si>
  <si>
    <t>68604-41-1</t>
  </si>
  <si>
    <t>32492-61-8</t>
  </si>
  <si>
    <t>155522-07-9</t>
  </si>
  <si>
    <t>106027-83-2</t>
  </si>
  <si>
    <t>1338-41-6</t>
  </si>
  <si>
    <t>92202-14-7</t>
  </si>
  <si>
    <t>149850-29-3</t>
  </si>
  <si>
    <t>59-97-2</t>
  </si>
  <si>
    <t>68153-38-8</t>
  </si>
  <si>
    <t>14402-89-2</t>
  </si>
  <si>
    <t>148878-21-1</t>
  </si>
  <si>
    <t>148878-22-2</t>
  </si>
  <si>
    <t>157577-99-6</t>
  </si>
  <si>
    <t>178938-03-9</t>
  </si>
  <si>
    <t>814-80-2</t>
  </si>
  <si>
    <t>25134-21-8</t>
  </si>
  <si>
    <t>146206-05-5</t>
  </si>
  <si>
    <t>9032-08-0</t>
  </si>
  <si>
    <t>5370-08-1</t>
  </si>
  <si>
    <t>71-63-6</t>
  </si>
  <si>
    <t>90170-42-6</t>
  </si>
  <si>
    <t>2144-08-3</t>
  </si>
  <si>
    <t>7775-09-9</t>
  </si>
  <si>
    <t>3302-10-1</t>
  </si>
  <si>
    <t>2580-78-1</t>
  </si>
  <si>
    <t>136-51-6</t>
  </si>
  <si>
    <t>22464-99-9</t>
  </si>
  <si>
    <t>10476-85-4</t>
  </si>
  <si>
    <t>3572-06-3</t>
  </si>
  <si>
    <t>57754-85-5</t>
  </si>
  <si>
    <t>14691-80-6</t>
  </si>
  <si>
    <t>7722-88-5</t>
  </si>
  <si>
    <t>6428-31-5</t>
  </si>
  <si>
    <t>67701-28-4</t>
  </si>
  <si>
    <t>68002-71-1</t>
  </si>
  <si>
    <t>173011-03-5</t>
  </si>
  <si>
    <t>1233733-31-7</t>
  </si>
  <si>
    <t>7440-67-7</t>
  </si>
  <si>
    <t>68153-01-5</t>
  </si>
  <si>
    <t>17927-72-9</t>
  </si>
  <si>
    <t>7758-16-9</t>
  </si>
  <si>
    <t>68921-51-7</t>
  </si>
  <si>
    <t>3825-26-1</t>
  </si>
  <si>
    <t>133986-51-3</t>
  </si>
  <si>
    <t>55635-13-7</t>
  </si>
  <si>
    <t>151257-01-1</t>
  </si>
  <si>
    <t>148878-18-6</t>
  </si>
  <si>
    <t>68611-64-3</t>
  </si>
  <si>
    <t>68424-35-1</t>
  </si>
  <si>
    <t>86386-75-6</t>
  </si>
  <si>
    <t>22228-82-6</t>
  </si>
  <si>
    <t>1312-76-1</t>
  </si>
  <si>
    <t>10124-37-5</t>
  </si>
  <si>
    <t>67-73-2</t>
  </si>
  <si>
    <t>21351-39-3</t>
  </si>
  <si>
    <t>13845-36-8</t>
  </si>
  <si>
    <t>7758-29-4</t>
  </si>
  <si>
    <t>39341-15-6</t>
  </si>
  <si>
    <t>68475-60-5</t>
  </si>
  <si>
    <t>59865-13-3</t>
  </si>
  <si>
    <t>7789-17-5</t>
  </si>
  <si>
    <t>91995-60-7</t>
  </si>
  <si>
    <t>77538-19-3</t>
  </si>
  <si>
    <t>85536-87-4</t>
  </si>
  <si>
    <t>1258274-08-6</t>
  </si>
  <si>
    <t>12645-31-7</t>
  </si>
  <si>
    <t>1309-60-0</t>
  </si>
  <si>
    <t>65997-17-3</t>
  </si>
  <si>
    <t>68921-52-8</t>
  </si>
  <si>
    <t>1115-70-4</t>
  </si>
  <si>
    <t>16652-76-9</t>
  </si>
  <si>
    <t>171599-85-2</t>
  </si>
  <si>
    <t>178949-82-1</t>
  </si>
  <si>
    <t>217464-38-5</t>
  </si>
  <si>
    <t>7440-70-2</t>
  </si>
  <si>
    <t>83897-84-1</t>
  </si>
  <si>
    <t>85117-09-5</t>
  </si>
  <si>
    <t>68606-18-8</t>
  </si>
  <si>
    <t>95500-19-9</t>
  </si>
  <si>
    <t>68081-77-6</t>
  </si>
  <si>
    <t>1443751-77-6</t>
  </si>
  <si>
    <t>138003-56-2</t>
  </si>
  <si>
    <t>971-74-4</t>
  </si>
  <si>
    <t>68139-89-9</t>
  </si>
  <si>
    <t>182926-43-8</t>
  </si>
  <si>
    <t>1432-14-0</t>
  </si>
  <si>
    <t>53404-23-2</t>
  </si>
  <si>
    <t>7789-18-6</t>
  </si>
  <si>
    <t>28001-58-3</t>
  </si>
  <si>
    <t>2551-62-4</t>
  </si>
  <si>
    <t>89157-03-9</t>
  </si>
  <si>
    <t>85186-92-1</t>
  </si>
  <si>
    <t>1263-89-4</t>
  </si>
  <si>
    <t>16949-65-8</t>
  </si>
  <si>
    <t>171171-76-9</t>
  </si>
  <si>
    <t>27138-01-8</t>
  </si>
  <si>
    <t>31831-53-5</t>
  </si>
  <si>
    <t>36609-29-7</t>
  </si>
  <si>
    <t>10294-54-9</t>
  </si>
  <si>
    <t>21351-79-1</t>
  </si>
  <si>
    <t>135-37-5</t>
  </si>
  <si>
    <t>12407-86-2</t>
  </si>
  <si>
    <t>180850-95-7</t>
  </si>
  <si>
    <t>193562-37-7</t>
  </si>
  <si>
    <t>28706-25-4</t>
  </si>
  <si>
    <t>371921-43-6</t>
  </si>
  <si>
    <t>375380-28-2</t>
  </si>
  <si>
    <t>738587-10-5</t>
  </si>
  <si>
    <t>853782-51-1</t>
  </si>
  <si>
    <t>944730-39-6</t>
  </si>
  <si>
    <t>94624-12-1</t>
  </si>
  <si>
    <t>124605-82-9</t>
  </si>
  <si>
    <t>13327-32-7</t>
  </si>
  <si>
    <t>7439-98-7</t>
  </si>
  <si>
    <t>1317-80-2</t>
  </si>
  <si>
    <t>98072-94-7</t>
  </si>
  <si>
    <t>90438-79-2</t>
  </si>
  <si>
    <t>96949-22-3</t>
  </si>
  <si>
    <t>177794-75-1</t>
  </si>
  <si>
    <t>68514-28-3</t>
  </si>
  <si>
    <t>7789-80-2</t>
  </si>
  <si>
    <t>125005-87-0</t>
  </si>
  <si>
    <t>136213-76-8</t>
  </si>
  <si>
    <t>76359-37-0</t>
  </si>
  <si>
    <t>7790-94-5</t>
  </si>
  <si>
    <t>2768-02-7</t>
  </si>
  <si>
    <t>16984-48-8</t>
  </si>
  <si>
    <t>68187-32-6</t>
  </si>
  <si>
    <t>68131-04-4</t>
  </si>
  <si>
    <t>68647-86-9</t>
  </si>
  <si>
    <t>8012-69-9</t>
  </si>
  <si>
    <t>12008-41-2</t>
  </si>
  <si>
    <t>1303-86-2</t>
  </si>
  <si>
    <t>145022-44-2</t>
  </si>
  <si>
    <t>208538-34-5</t>
  </si>
  <si>
    <t>7704-34-9</t>
  </si>
  <si>
    <t>199876-46-5</t>
  </si>
  <si>
    <t>23293-23-4</t>
  </si>
  <si>
    <t>25377-72-4</t>
  </si>
  <si>
    <t>2478-10-6</t>
  </si>
  <si>
    <t>2414-98-4</t>
  </si>
  <si>
    <t>8013-75-0</t>
  </si>
  <si>
    <t>75923-58-9</t>
  </si>
  <si>
    <t>78620-07-2</t>
  </si>
  <si>
    <t>85153-93-1</t>
  </si>
  <si>
    <t>28182-81-2</t>
  </si>
  <si>
    <t>931431-23-1</t>
  </si>
  <si>
    <t>12769-96-9</t>
  </si>
  <si>
    <t>57455-37-5</t>
  </si>
  <si>
    <t>477795-15-6</t>
  </si>
  <si>
    <t>68551-11-1</t>
  </si>
  <si>
    <t>75234-41-2</t>
  </si>
  <si>
    <t>92170-84-8</t>
  </si>
  <si>
    <t>12027-67-7</t>
  </si>
  <si>
    <t>32257-57-1</t>
  </si>
  <si>
    <t>51178-75-7</t>
  </si>
  <si>
    <t>1309975-18-5</t>
  </si>
  <si>
    <t>10025-87-3</t>
  </si>
  <si>
    <t>10043-11-5</t>
  </si>
  <si>
    <t>100684-20-6</t>
  </si>
  <si>
    <t>1007578-75-7</t>
  </si>
  <si>
    <t>1015447-12-7</t>
  </si>
  <si>
    <t>10163-15-2</t>
  </si>
  <si>
    <t>1016986-95-0</t>
  </si>
  <si>
    <t>1034015-52-5</t>
  </si>
  <si>
    <t>104517-95-5</t>
  </si>
  <si>
    <t>1061328-86-6</t>
  </si>
  <si>
    <t>106276-80-6</t>
  </si>
  <si>
    <t>1066-30-4</t>
  </si>
  <si>
    <t>106646-89-3</t>
  </si>
  <si>
    <t>1085852-72-7</t>
  </si>
  <si>
    <t>1101874-33-2</t>
  </si>
  <si>
    <t>11097-59-9</t>
  </si>
  <si>
    <t>11118-57-3</t>
  </si>
  <si>
    <t>111497-86-0</t>
  </si>
  <si>
    <t>111754-37-1</t>
  </si>
  <si>
    <t>114367-12-3</t>
  </si>
  <si>
    <t>114803-11-1</t>
  </si>
  <si>
    <t>1160164-88-4</t>
  </si>
  <si>
    <t>116912-64-2</t>
  </si>
  <si>
    <t>117172-56-2</t>
  </si>
  <si>
    <t>117829-74-0</t>
  </si>
  <si>
    <t>1202571-04-7</t>
  </si>
  <si>
    <t>12031-95-7</t>
  </si>
  <si>
    <t>12037-29-5</t>
  </si>
  <si>
    <t>12037-47-7</t>
  </si>
  <si>
    <t>120479-61-0</t>
  </si>
  <si>
    <t>12202-82-3</t>
  </si>
  <si>
    <t>1231728-34-9</t>
  </si>
  <si>
    <t>1246273-07-3</t>
  </si>
  <si>
    <t>12567-73-6</t>
  </si>
  <si>
    <t>125971-95-1</t>
  </si>
  <si>
    <t>1266545-64-5</t>
  </si>
  <si>
    <t>1266545-66-7</t>
  </si>
  <si>
    <t>1266545-86-1</t>
  </si>
  <si>
    <t>1266545-93-0</t>
  </si>
  <si>
    <t>1266545-95-2</t>
  </si>
  <si>
    <t>12777-87-6</t>
  </si>
  <si>
    <t>128446-33-3</t>
  </si>
  <si>
    <t>128446-34-4</t>
  </si>
  <si>
    <t>128645-43-2</t>
  </si>
  <si>
    <t>1307233-42-6</t>
  </si>
  <si>
    <t>13127-18-9</t>
  </si>
  <si>
    <t>1312943-30-8</t>
  </si>
  <si>
    <t>1313-97-9</t>
  </si>
  <si>
    <t>1314-56-3</t>
  </si>
  <si>
    <t>1314035-84-1</t>
  </si>
  <si>
    <t>1314035-92-1</t>
  </si>
  <si>
    <t>1316184-44-7</t>
  </si>
  <si>
    <t>1316184-79-8</t>
  </si>
  <si>
    <t>1327197-44-3</t>
  </si>
  <si>
    <t>1328882-36-5</t>
  </si>
  <si>
    <t>133057-91-7</t>
  </si>
  <si>
    <t>13419-15-3</t>
  </si>
  <si>
    <t>1345-07-9</t>
  </si>
  <si>
    <t>13472-33-8</t>
  </si>
  <si>
    <t>134863-74-4</t>
  </si>
  <si>
    <t>1350725-68-6</t>
  </si>
  <si>
    <t>13598-65-7</t>
  </si>
  <si>
    <t>1364681-45-7</t>
  </si>
  <si>
    <t>13709-38-1</t>
  </si>
  <si>
    <t>1379524-03-4</t>
  </si>
  <si>
    <t>13845-18-6</t>
  </si>
  <si>
    <t>138776-88-2</t>
  </si>
  <si>
    <t>139-42-4</t>
  </si>
  <si>
    <t>1393571-43-1</t>
  </si>
  <si>
    <t>1422423-64-0</t>
  </si>
  <si>
    <t>144086-03-3</t>
  </si>
  <si>
    <t>145908-62-9</t>
  </si>
  <si>
    <t>148462-56-0</t>
  </si>
  <si>
    <t>149144-85-4</t>
  </si>
  <si>
    <t>149144-86-5</t>
  </si>
  <si>
    <t>149850-31-7</t>
  </si>
  <si>
    <t>151213-40-0</t>
  </si>
  <si>
    <t>152397-21-2</t>
  </si>
  <si>
    <t>152845-00-6</t>
  </si>
  <si>
    <t>154212-58-5</t>
  </si>
  <si>
    <t>155090-83-8</t>
  </si>
  <si>
    <t>155522-15-9</t>
  </si>
  <si>
    <t>155773-67-4</t>
  </si>
  <si>
    <t>156157-97-0</t>
  </si>
  <si>
    <t>156738-27-1</t>
  </si>
  <si>
    <t>156769-97-0</t>
  </si>
  <si>
    <t>157707-93-2</t>
  </si>
  <si>
    <t>158318-67-3</t>
  </si>
  <si>
    <t>159139-35-2</t>
  </si>
  <si>
    <t>159683-56-4</t>
  </si>
  <si>
    <t>160901-14-4</t>
  </si>
  <si>
    <t>162568-25-4</t>
  </si>
  <si>
    <t>162920-60-7</t>
  </si>
  <si>
    <t>163879-69-4</t>
  </si>
  <si>
    <t>165550-64-1</t>
  </si>
  <si>
    <t>167552-54-7</t>
  </si>
  <si>
    <t>169115-74-6</t>
  </si>
  <si>
    <t>169314-88-9</t>
  </si>
  <si>
    <t>169939-84-8</t>
  </si>
  <si>
    <t>170344-66-8</t>
  </si>
  <si>
    <t>170904-73-1</t>
  </si>
  <si>
    <t>171054-89-0</t>
  </si>
  <si>
    <t>171340-56-0</t>
  </si>
  <si>
    <t>172015-79-1</t>
  </si>
  <si>
    <t>172277-97-3</t>
  </si>
  <si>
    <t>172737-80-3</t>
  </si>
  <si>
    <t>172890-93-6</t>
  </si>
  <si>
    <t>173011-06-8</t>
  </si>
  <si>
    <t>178198-11-3</t>
  </si>
  <si>
    <t>18087-70-2</t>
  </si>
  <si>
    <t>182061-89-8</t>
  </si>
  <si>
    <t>18282-10-5</t>
  </si>
  <si>
    <t>185461-17-0</t>
  </si>
  <si>
    <t>186148-38-9</t>
  </si>
  <si>
    <t>187674-70-0</t>
  </si>
  <si>
    <t>187820-08-2</t>
  </si>
  <si>
    <t>188831-96-1</t>
  </si>
  <si>
    <t>188923-21-9</t>
  </si>
  <si>
    <t>18916-17-1</t>
  </si>
  <si>
    <t>191358-81-3</t>
  </si>
  <si>
    <t>191617-13-7</t>
  </si>
  <si>
    <t>191877-09-5</t>
  </si>
  <si>
    <t>192575-94-3</t>
  </si>
  <si>
    <t>192869-02-6</t>
  </si>
  <si>
    <t>19455-79-9</t>
  </si>
  <si>
    <t>201932-29-8</t>
  </si>
  <si>
    <t>202190-80-5</t>
  </si>
  <si>
    <t>202667-43-4</t>
  </si>
  <si>
    <t>205764-96-1</t>
  </si>
  <si>
    <t>205764-98-3</t>
  </si>
  <si>
    <t>208535-04-0</t>
  </si>
  <si>
    <t>212652-59-0</t>
  </si>
  <si>
    <t>214362-06-8</t>
  </si>
  <si>
    <t>214559-61-2</t>
  </si>
  <si>
    <t>215299-75-5</t>
  </si>
  <si>
    <t>216659-06-2</t>
  </si>
  <si>
    <t>219770-99-7</t>
  </si>
  <si>
    <t>220465-88-3</t>
  </si>
  <si>
    <t>223398-24-1</t>
  </si>
  <si>
    <t>224628-70-0</t>
  </si>
  <si>
    <t>225375-65-5</t>
  </si>
  <si>
    <t>23551-87-3</t>
  </si>
  <si>
    <t>24292-60-2</t>
  </si>
  <si>
    <t>243662-67-1</t>
  </si>
  <si>
    <t>244761-29-3</t>
  </si>
  <si>
    <t>245045-05-0</t>
  </si>
  <si>
    <t>245443-08-7</t>
  </si>
  <si>
    <t>250640-08-5</t>
  </si>
  <si>
    <t>2582-30-1</t>
  </si>
  <si>
    <t>25869-00-5</t>
  </si>
  <si>
    <t>262285-90-5</t>
  </si>
  <si>
    <t>27366-72-9</t>
  </si>
  <si>
    <t>28654-73-1</t>
  </si>
  <si>
    <t>293750-33-1</t>
  </si>
  <si>
    <t>29736-24-1</t>
  </si>
  <si>
    <t>299158-63-7</t>
  </si>
  <si>
    <t>3021-02-1</t>
  </si>
  <si>
    <t>306769-73-3</t>
  </si>
  <si>
    <t>310903-37-8</t>
  </si>
  <si>
    <t>31361-99-6</t>
  </si>
  <si>
    <t>3164-34-9</t>
  </si>
  <si>
    <t>319926-36-8</t>
  </si>
  <si>
    <t>320748-53-6</t>
  </si>
  <si>
    <t>321912-24-7</t>
  </si>
  <si>
    <t>321912-47-4</t>
  </si>
  <si>
    <t>32472-85-8</t>
  </si>
  <si>
    <t>324763-46-4</t>
  </si>
  <si>
    <t>332079-07-9</t>
  </si>
  <si>
    <t>341026-59-3</t>
  </si>
  <si>
    <t>349632-76-4</t>
  </si>
  <si>
    <t>35109-51-4</t>
  </si>
  <si>
    <t>351870-33-2</t>
  </si>
  <si>
    <t>353-41-3</t>
  </si>
  <si>
    <t>354994-06-2</t>
  </si>
  <si>
    <t>357165-56-1</t>
  </si>
  <si>
    <t>35884-66-3</t>
  </si>
  <si>
    <t>364069-33-0</t>
  </si>
  <si>
    <t>3654-77-1</t>
  </si>
  <si>
    <t>371239-12-2</t>
  </si>
  <si>
    <t>371921-63-0</t>
  </si>
  <si>
    <t>37310-83-1</t>
  </si>
  <si>
    <t>39430-51-8</t>
  </si>
  <si>
    <t>401803-97-2</t>
  </si>
  <si>
    <t>4023-02-3</t>
  </si>
  <si>
    <t>403736-96-9</t>
  </si>
  <si>
    <t>409369-29-5</t>
  </si>
  <si>
    <t>423772-95-6</t>
  </si>
  <si>
    <t>443688-20-8</t>
  </si>
  <si>
    <t>446293-48-7</t>
  </si>
  <si>
    <t>446824-06-2</t>
  </si>
  <si>
    <t>457624-86-1</t>
  </si>
  <si>
    <t>459856-74-7</t>
  </si>
  <si>
    <t>479541-17-8</t>
  </si>
  <si>
    <t>488791-14-6</t>
  </si>
  <si>
    <t>491589-22-1</t>
  </si>
  <si>
    <t>49805-30-3</t>
  </si>
  <si>
    <t>512778-94-8</t>
  </si>
  <si>
    <t>5153-24-2</t>
  </si>
  <si>
    <t>52-89-1</t>
  </si>
  <si>
    <t>52636-67-6</t>
  </si>
  <si>
    <t>5280-80-8</t>
  </si>
  <si>
    <t>53-84-9</t>
  </si>
  <si>
    <t>532945-76-9</t>
  </si>
  <si>
    <t>54122-50-8</t>
  </si>
  <si>
    <t>54424-29-2</t>
  </si>
  <si>
    <t>546078-02-8</t>
  </si>
  <si>
    <t>554410-16-1</t>
  </si>
  <si>
    <t>569319-64-8</t>
  </si>
  <si>
    <t>5799-70-2</t>
  </si>
  <si>
    <t>583031-02-1</t>
  </si>
  <si>
    <t>60142-95-2</t>
  </si>
  <si>
    <t>61788-64-5</t>
  </si>
  <si>
    <t>61788-67-8</t>
  </si>
  <si>
    <t>61790-19-0</t>
  </si>
  <si>
    <t>6303-21-5</t>
  </si>
  <si>
    <t>64366-79-6</t>
  </si>
  <si>
    <t>646505-36-4</t>
  </si>
  <si>
    <t>64743-00-6</t>
  </si>
  <si>
    <t>64754-95-6</t>
  </si>
  <si>
    <t>650634-85-8</t>
  </si>
  <si>
    <t>65996-72-7</t>
  </si>
  <si>
    <t>65996-73-8</t>
  </si>
  <si>
    <t>66170-10-3</t>
  </si>
  <si>
    <t>66241-11-0</t>
  </si>
  <si>
    <t>66922-99-4</t>
  </si>
  <si>
    <t>672925-70-1</t>
  </si>
  <si>
    <t>67401-45-0</t>
  </si>
  <si>
    <t>67762-55-4</t>
  </si>
  <si>
    <t>6777-05-5</t>
  </si>
  <si>
    <t>68122-64-5</t>
  </si>
  <si>
    <t>68186-85-6</t>
  </si>
  <si>
    <t>68186-90-3</t>
  </si>
  <si>
    <t>68186-92-5</t>
  </si>
  <si>
    <t>68187-84-8</t>
  </si>
  <si>
    <t>68188-19-2</t>
  </si>
  <si>
    <t>68223-93-8</t>
  </si>
  <si>
    <t>68309-95-5</t>
  </si>
  <si>
    <t>68334-05-4</t>
  </si>
  <si>
    <t>68412-38-4</t>
  </si>
  <si>
    <t>68413-24-1</t>
  </si>
  <si>
    <t>68424-43-1</t>
  </si>
  <si>
    <t>68526-89-6</t>
  </si>
  <si>
    <t>68551-92-8</t>
  </si>
  <si>
    <t>68783-37-9</t>
  </si>
  <si>
    <t>68783-88-0</t>
  </si>
  <si>
    <t>68784-25-8</t>
  </si>
  <si>
    <t>68784-26-9</t>
  </si>
  <si>
    <t>68909-77-3</t>
  </si>
  <si>
    <t>68915-38-8</t>
  </si>
  <si>
    <t>68920-03-6</t>
  </si>
  <si>
    <t>68987-29-1</t>
  </si>
  <si>
    <t>68990-47-6</t>
  </si>
  <si>
    <t>701231-97-2</t>
  </si>
  <si>
    <t>7023-61-2</t>
  </si>
  <si>
    <t>70983-68-5</t>
  </si>
  <si>
    <t>71420-85-4</t>
  </si>
  <si>
    <t>737777-01-4</t>
  </si>
  <si>
    <t>74163-81-8</t>
  </si>
  <si>
    <t>753501-40-5</t>
  </si>
  <si>
    <t>76015-11-7</t>
  </si>
  <si>
    <t>763101-82-2</t>
  </si>
  <si>
    <t>765314-87-2</t>
  </si>
  <si>
    <t>7681-53-0</t>
  </si>
  <si>
    <t>7682-20-4</t>
  </si>
  <si>
    <t>7758-88-5</t>
  </si>
  <si>
    <t>7782-40-3</t>
  </si>
  <si>
    <t>795275-80-8</t>
  </si>
  <si>
    <t>797751-43-0</t>
  </si>
  <si>
    <t>797751-44-1</t>
  </si>
  <si>
    <t>79944-37-9</t>
  </si>
  <si>
    <t>79953-85-8</t>
  </si>
  <si>
    <t>8002-53-7</t>
  </si>
  <si>
    <t>800392-73-8</t>
  </si>
  <si>
    <t>8007-18-9</t>
  </si>
  <si>
    <t>8013-07-8</t>
  </si>
  <si>
    <t>80498-15-3</t>
  </si>
  <si>
    <t>82617-81-0</t>
  </si>
  <si>
    <t>82953-57-9</t>
  </si>
  <si>
    <t>835913-67-2</t>
  </si>
  <si>
    <t>835914-81-3</t>
  </si>
  <si>
    <t>84082-28-0</t>
  </si>
  <si>
    <t>84238-17-5</t>
  </si>
  <si>
    <t>84418-63-3</t>
  </si>
  <si>
    <t>84649-99-0</t>
  </si>
  <si>
    <t>84775-78-0</t>
  </si>
  <si>
    <t>848301-69-9</t>
  </si>
  <si>
    <t>848656-87-1</t>
  </si>
  <si>
    <t>852700-81-3</t>
  </si>
  <si>
    <t>854538-40-2</t>
  </si>
  <si>
    <t>85586-35-2</t>
  </si>
  <si>
    <t>859511-72-1</t>
  </si>
  <si>
    <t>861257-30-9</t>
  </si>
  <si>
    <t>873773-68-3</t>
  </si>
  <si>
    <t>878651-25-3</t>
  </si>
  <si>
    <t>882878-51-5</t>
  </si>
  <si>
    <t>883739-72-8</t>
  </si>
  <si>
    <t>883895-38-3</t>
  </si>
  <si>
    <t>883895-65-6</t>
  </si>
  <si>
    <t>889877-83-2</t>
  </si>
  <si>
    <t>892397-04-5</t>
  </si>
  <si>
    <t>893414-46-5</t>
  </si>
  <si>
    <t>90268-43-2</t>
  </si>
  <si>
    <t>90388-00-4</t>
  </si>
  <si>
    <t>90411-76-0</t>
  </si>
  <si>
    <t>90506-45-9</t>
  </si>
  <si>
    <t>90622-27-8</t>
  </si>
  <si>
    <t>90622-29-0</t>
  </si>
  <si>
    <t>90622-71-2</t>
  </si>
  <si>
    <t>906532-68-1</t>
  </si>
  <si>
    <t>910030-59-0</t>
  </si>
  <si>
    <t>91032-08-5</t>
  </si>
  <si>
    <t>91082-17-6</t>
  </si>
  <si>
    <t>911067-53-3</t>
  </si>
  <si>
    <t>912277-13-5</t>
  </si>
  <si>
    <t>912550-85-7</t>
  </si>
  <si>
    <t>913170-28-2</t>
  </si>
  <si>
    <t>91722-14-4</t>
  </si>
  <si>
    <t>917249-64-0</t>
  </si>
  <si>
    <t>91744-38-6</t>
  </si>
  <si>
    <t>91744-39-7</t>
  </si>
  <si>
    <t>91744-56-8</t>
  </si>
  <si>
    <t>91745-35-6</t>
  </si>
  <si>
    <t>92128-40-0</t>
  </si>
  <si>
    <t>938065-79-3</t>
  </si>
  <si>
    <t>93821-38-6</t>
  </si>
  <si>
    <t>93925-25-8</t>
  </si>
  <si>
    <t>93983-23-4</t>
  </si>
  <si>
    <t>94166-87-7</t>
  </si>
  <si>
    <t>94279-90-0</t>
  </si>
  <si>
    <t>95009-22-6</t>
  </si>
  <si>
    <t>95050-16-1</t>
  </si>
  <si>
    <t>950747-06-5</t>
  </si>
  <si>
    <t>95193-59-2</t>
  </si>
  <si>
    <t>953084-13-4</t>
  </si>
  <si>
    <t>95371-11-2</t>
  </si>
  <si>
    <t>958872-41-8</t>
  </si>
  <si>
    <t>95906-11-9</t>
  </si>
  <si>
    <t>97488-98-7</t>
  </si>
  <si>
    <t>97489-04-8</t>
  </si>
  <si>
    <t>97553-05-4</t>
  </si>
  <si>
    <t>202842-98-6</t>
  </si>
  <si>
    <t>255830-15-0</t>
  </si>
  <si>
    <t>27794-93-0</t>
  </si>
  <si>
    <t>34274-28-7</t>
  </si>
  <si>
    <t>76095-16-4</t>
  </si>
  <si>
    <t>95328-23-7</t>
  </si>
  <si>
    <t>1338-39-2</t>
  </si>
  <si>
    <t>864076-54-0</t>
  </si>
  <si>
    <t>149530-93-8</t>
  </si>
  <si>
    <t>68037-01-4</t>
  </si>
  <si>
    <t>944716-73-8</t>
  </si>
  <si>
    <t>7699-43-6</t>
  </si>
  <si>
    <t>113170-55-1</t>
  </si>
  <si>
    <t>57472-68-1</t>
  </si>
  <si>
    <t>134760-06-8</t>
  </si>
  <si>
    <t>15212-61-0</t>
  </si>
  <si>
    <t>37625-56-2</t>
  </si>
  <si>
    <t>77214-82-5</t>
  </si>
  <si>
    <t>76145-91-0</t>
  </si>
  <si>
    <t>9001-62-1</t>
  </si>
  <si>
    <t>1302-42-7</t>
  </si>
  <si>
    <t>1305-62-0</t>
  </si>
  <si>
    <t>83602-37-3</t>
  </si>
  <si>
    <t>36687-82-8</t>
  </si>
  <si>
    <t>155522-14-8</t>
  </si>
  <si>
    <t>111071-53-5</t>
  </si>
  <si>
    <t>1176286-43-3</t>
  </si>
  <si>
    <t>61789-45-5</t>
  </si>
  <si>
    <t>33610-13-8</t>
  </si>
  <si>
    <t>15790-07-5</t>
  </si>
  <si>
    <t>223473-83-4</t>
  </si>
  <si>
    <t>85536-07-8</t>
  </si>
  <si>
    <t>960404-59-5</t>
  </si>
  <si>
    <t>225786-91-4</t>
  </si>
  <si>
    <t>26896-48-0</t>
  </si>
  <si>
    <t>1064-48-8</t>
  </si>
  <si>
    <t>12222-60-5</t>
  </si>
  <si>
    <t>1325-37-7</t>
  </si>
  <si>
    <t>1326-82-5</t>
  </si>
  <si>
    <t>1330-38-7</t>
  </si>
  <si>
    <t>2610-11-9</t>
  </si>
  <si>
    <t>28407-37-6</t>
  </si>
  <si>
    <t>2861-02-1</t>
  </si>
  <si>
    <t>3051-11-4</t>
  </si>
  <si>
    <t>3441-14-3</t>
  </si>
  <si>
    <t>6359-98-4</t>
  </si>
  <si>
    <t>8003-69-8</t>
  </si>
  <si>
    <t>8005-72-9</t>
  </si>
  <si>
    <t>2457-01-4</t>
  </si>
  <si>
    <t>29305-12-2</t>
  </si>
  <si>
    <t>79992-76-0</t>
  </si>
  <si>
    <t>3656-31-3</t>
  </si>
  <si>
    <t>897393-64-5</t>
  </si>
  <si>
    <t>1309-37-1</t>
  </si>
  <si>
    <t>127244-43-3</t>
  </si>
  <si>
    <t>68391-11-7</t>
  </si>
  <si>
    <t>10025-78-2</t>
  </si>
  <si>
    <t>68131-74-8</t>
  </si>
  <si>
    <t>93333-79-0</t>
  </si>
  <si>
    <t>69012-34-6</t>
  </si>
  <si>
    <t>7440-39-3</t>
  </si>
  <si>
    <t>7320-34-5</t>
  </si>
  <si>
    <t>321679-52-1</t>
  </si>
  <si>
    <t>67784-78-5</t>
  </si>
  <si>
    <t>147703-64-8</t>
  </si>
  <si>
    <t>243857-97-8</t>
  </si>
  <si>
    <t>7790-58-1</t>
  </si>
  <si>
    <t>129009-88-7</t>
  </si>
  <si>
    <t>101316-49-8</t>
  </si>
  <si>
    <t>65996-92-1</t>
  </si>
  <si>
    <t>90640-81-6</t>
  </si>
  <si>
    <t>91995-17-4</t>
  </si>
  <si>
    <t>563-68-8</t>
  </si>
  <si>
    <t>12788-93-1</t>
  </si>
  <si>
    <t>84962-20-9</t>
  </si>
  <si>
    <t>1317-60-8</t>
  </si>
  <si>
    <t>90529-77-4</t>
  </si>
  <si>
    <t>1149346-12-2</t>
  </si>
  <si>
    <t>7789-21-1</t>
  </si>
  <si>
    <t>9003-13-8</t>
  </si>
  <si>
    <t>2563-07-7</t>
  </si>
  <si>
    <t>1330-86-5</t>
  </si>
  <si>
    <t>7758-05-6</t>
  </si>
  <si>
    <t>10043-35-3</t>
  </si>
  <si>
    <t>64365-17-9</t>
  </si>
  <si>
    <t>65997-12-8</t>
  </si>
  <si>
    <t>65997-13-9</t>
  </si>
  <si>
    <t>68186-14-1</t>
  </si>
  <si>
    <t>68475-37-6</t>
  </si>
  <si>
    <t>68512-65-2</t>
  </si>
  <si>
    <t>68648-53-3</t>
  </si>
  <si>
    <t>8050-15-5</t>
  </si>
  <si>
    <t>8050-25-7</t>
  </si>
  <si>
    <t>8050-26-8</t>
  </si>
  <si>
    <t>8050-31-5</t>
  </si>
  <si>
    <t>2646-78-8</t>
  </si>
  <si>
    <t>5428-02-4</t>
  </si>
  <si>
    <t>9005-64-5</t>
  </si>
  <si>
    <t>12447-61-9</t>
  </si>
  <si>
    <t>1312021-45-6</t>
  </si>
  <si>
    <t>1333-73-9</t>
  </si>
  <si>
    <t>106404-06-2</t>
  </si>
  <si>
    <t>1405-87-4</t>
  </si>
  <si>
    <t>198028-14-7</t>
  </si>
  <si>
    <t>13775-53-6</t>
  </si>
  <si>
    <t>12062-81-6</t>
  </si>
  <si>
    <t>1317-61-9</t>
  </si>
  <si>
    <t>51274-00-1</t>
  </si>
  <si>
    <t>68186-94-7</t>
  </si>
  <si>
    <t>68187-51-9</t>
  </si>
  <si>
    <t>466-07-9</t>
  </si>
  <si>
    <t>12251-32-0</t>
  </si>
  <si>
    <t>1344-01-0</t>
  </si>
  <si>
    <t>8017-16-1</t>
  </si>
  <si>
    <t>105726-67-8</t>
  </si>
  <si>
    <t>7250-67-1</t>
  </si>
  <si>
    <t>85586-18-1</t>
  </si>
  <si>
    <t>37288-54-3</t>
  </si>
  <si>
    <t>40918-51-2</t>
  </si>
  <si>
    <t>303749-96-4</t>
  </si>
  <si>
    <t>4390-04-9</t>
  </si>
  <si>
    <t>9046-10-0</t>
  </si>
  <si>
    <t>68608-66-2</t>
  </si>
  <si>
    <t>17438-89-0</t>
  </si>
  <si>
    <t>814-94-8</t>
  </si>
  <si>
    <t>10361-37-2</t>
  </si>
  <si>
    <t>127-96-8</t>
  </si>
  <si>
    <t>3709-43-1</t>
  </si>
  <si>
    <t>201872-72-2</t>
  </si>
  <si>
    <t>9012-54-8</t>
  </si>
  <si>
    <t>250688-43-8</t>
  </si>
  <si>
    <t>13106-76-8</t>
  </si>
  <si>
    <t>11128-29-3</t>
  </si>
  <si>
    <t>12007-89-5</t>
  </si>
  <si>
    <t>12007-92-0</t>
  </si>
  <si>
    <t>12040-58-3</t>
  </si>
  <si>
    <t>1332-77-0</t>
  </si>
  <si>
    <t>16940-66-2</t>
  </si>
  <si>
    <t>20786-60-1</t>
  </si>
  <si>
    <t>85392-66-1</t>
  </si>
  <si>
    <t>10117-38-1</t>
  </si>
  <si>
    <t>10192-30-0</t>
  </si>
  <si>
    <t>10196-04-0</t>
  </si>
  <si>
    <t>10257-55-3</t>
  </si>
  <si>
    <t>13774-25-9</t>
  </si>
  <si>
    <t>16731-55-8</t>
  </si>
  <si>
    <t>7631-90-5</t>
  </si>
  <si>
    <t>7681-57-4</t>
  </si>
  <si>
    <t>7757-83-7</t>
  </si>
  <si>
    <t>94933-05-8</t>
  </si>
  <si>
    <t>67828-72-2</t>
  </si>
  <si>
    <t>68937-17-7</t>
  </si>
  <si>
    <t>373-61-5</t>
  </si>
  <si>
    <t>8000-48-4</t>
  </si>
  <si>
    <t>90341-71-2</t>
  </si>
  <si>
    <t>129-67-9</t>
  </si>
  <si>
    <t>4672-38-2</t>
  </si>
  <si>
    <t>64147-40-6</t>
  </si>
  <si>
    <t>693217-63-9</t>
  </si>
  <si>
    <t>883726-92-9</t>
  </si>
  <si>
    <t>35249-89-9</t>
  </si>
  <si>
    <t>10466-65-6</t>
  </si>
  <si>
    <t>13768-11-1</t>
  </si>
  <si>
    <t>7440-15-5</t>
  </si>
  <si>
    <t>80214-83-1</t>
  </si>
  <si>
    <t>10124-41-1</t>
  </si>
  <si>
    <t>10294-66-3</t>
  </si>
  <si>
    <t>7772-98-7</t>
  </si>
  <si>
    <t>7783-18-8</t>
  </si>
  <si>
    <t>15968-01-1</t>
  </si>
  <si>
    <t>91081-22-0</t>
  </si>
  <si>
    <t>37640-57-6</t>
  </si>
  <si>
    <t>41583-09-9</t>
  </si>
  <si>
    <t>39570-96-2</t>
  </si>
  <si>
    <t>98-50-0</t>
  </si>
  <si>
    <t>76930-58-0</t>
  </si>
  <si>
    <t>184889-95-0</t>
  </si>
  <si>
    <t>68171-33-5</t>
  </si>
  <si>
    <t>14124-67-5</t>
  </si>
  <si>
    <t>26896-20-8</t>
  </si>
  <si>
    <t>1303-33-9</t>
  </si>
  <si>
    <t>16871-90-2</t>
  </si>
  <si>
    <t>159574-71-7</t>
  </si>
  <si>
    <t>6369-97-7</t>
  </si>
  <si>
    <t>5407-04-5</t>
  </si>
  <si>
    <t>18584-79-7</t>
  </si>
  <si>
    <t>13463-40-6</t>
  </si>
  <si>
    <t>216699-04-6</t>
  </si>
  <si>
    <t>63449-39-8</t>
  </si>
  <si>
    <t>15782-05-5</t>
  </si>
  <si>
    <t>73612-29-0</t>
  </si>
  <si>
    <t>157163-65-0</t>
  </si>
  <si>
    <t>68476-43-7</t>
  </si>
  <si>
    <t>7558-80-7</t>
  </si>
  <si>
    <t>1310-73-2</t>
  </si>
  <si>
    <t>3159-62-4</t>
  </si>
  <si>
    <t>64755-01-7</t>
  </si>
  <si>
    <t>27858-32-8</t>
  </si>
  <si>
    <t>15708-41-5</t>
  </si>
  <si>
    <t>869-59-0</t>
  </si>
  <si>
    <t>120265-14-7</t>
  </si>
  <si>
    <t>374571-81-0</t>
  </si>
  <si>
    <t>7550-35-8</t>
  </si>
  <si>
    <t>14806-72-5</t>
  </si>
  <si>
    <t>2870-32-8</t>
  </si>
  <si>
    <t>176316-86-2</t>
  </si>
  <si>
    <t>27138-31-4</t>
  </si>
  <si>
    <t>10595-49-0</t>
  </si>
  <si>
    <t>127093-24-7</t>
  </si>
  <si>
    <t>142051-76-1</t>
  </si>
  <si>
    <t>94581-15-4</t>
  </si>
  <si>
    <t>94581-17-6</t>
  </si>
  <si>
    <t>97489-11-7</t>
  </si>
  <si>
    <t>7783-20-2</t>
  </si>
  <si>
    <t>111687-36-6</t>
  </si>
  <si>
    <t>68953-70-8</t>
  </si>
  <si>
    <t>71902-01-7</t>
  </si>
  <si>
    <t>68439-57-6</t>
  </si>
  <si>
    <t>7775-19-1</t>
  </si>
  <si>
    <t>1354201-99-2</t>
  </si>
  <si>
    <t>77497-97-3</t>
  </si>
  <si>
    <t>37273-91-9</t>
  </si>
  <si>
    <t>112195-27-4</t>
  </si>
  <si>
    <t>1184648-08-5</t>
  </si>
  <si>
    <t>155522-09-1</t>
  </si>
  <si>
    <t>356057-20-0</t>
  </si>
  <si>
    <t>85117-47-1</t>
  </si>
  <si>
    <t>97675-24-6</t>
  </si>
  <si>
    <t>7758-02-3</t>
  </si>
  <si>
    <t>7691-02-3</t>
  </si>
  <si>
    <t>118969-29-2</t>
  </si>
  <si>
    <t>301827-70-3</t>
  </si>
  <si>
    <t>4861-19-2</t>
  </si>
  <si>
    <t>68307-94-8</t>
  </si>
  <si>
    <t>54553-90-1</t>
  </si>
  <si>
    <t>7440-42-8</t>
  </si>
  <si>
    <t>9005-67-8</t>
  </si>
  <si>
    <t>12141-67-2</t>
  </si>
  <si>
    <t>12125-01-8</t>
  </si>
  <si>
    <t>141250-43-3</t>
  </si>
  <si>
    <t>740817-98-5</t>
  </si>
  <si>
    <t>91770-03-5</t>
  </si>
  <si>
    <t>12042-91-0</t>
  </si>
  <si>
    <t>57158-29-9</t>
  </si>
  <si>
    <t>109-63-7</t>
  </si>
  <si>
    <t>353-42-4</t>
  </si>
  <si>
    <t>462-34-0</t>
  </si>
  <si>
    <t>142068-96-0</t>
  </si>
  <si>
    <t>7775-14-6</t>
  </si>
  <si>
    <t>849608-59-9</t>
  </si>
  <si>
    <t>144086-02-2</t>
  </si>
  <si>
    <t>51728-26-8</t>
  </si>
  <si>
    <t>57903-73-8</t>
  </si>
  <si>
    <t>34590-94-8</t>
  </si>
  <si>
    <t>1344-28-1</t>
  </si>
  <si>
    <t>958872-63-4</t>
  </si>
  <si>
    <t>16324-27-9</t>
  </si>
  <si>
    <t>17958-73-5</t>
  </si>
  <si>
    <t>42355-78-2</t>
  </si>
  <si>
    <t>68971-49-3</t>
  </si>
  <si>
    <t>70942-01-7</t>
  </si>
  <si>
    <t>90669-48-0</t>
  </si>
  <si>
    <t>85100-77-2</t>
  </si>
  <si>
    <t>329970-35-6</t>
  </si>
  <si>
    <t>3737-09-5</t>
  </si>
  <si>
    <t>5902-95-4</t>
  </si>
  <si>
    <t>100209-50-5</t>
  </si>
  <si>
    <t>12410-14-9</t>
  </si>
  <si>
    <t>78439-06-2</t>
  </si>
  <si>
    <t>50586-59-9</t>
  </si>
  <si>
    <t>63645-17-0</t>
  </si>
  <si>
    <t>9014-85-1</t>
  </si>
  <si>
    <t>68815-51-0</t>
  </si>
  <si>
    <t>7585-41-3</t>
  </si>
  <si>
    <t>226996-19-6</t>
  </si>
  <si>
    <t>1965-09-9</t>
  </si>
  <si>
    <t>60-13-9</t>
  </si>
  <si>
    <t>17439-94-0</t>
  </si>
  <si>
    <t>41637-38-1</t>
  </si>
  <si>
    <t>70983-72-1</t>
  </si>
  <si>
    <t>225936-01-6</t>
  </si>
  <si>
    <t>70918-74-0</t>
  </si>
  <si>
    <t>127946-77-4</t>
  </si>
  <si>
    <t>710292-85-6</t>
  </si>
  <si>
    <t>179986-09-5</t>
  </si>
  <si>
    <t>4404-43-7</t>
  </si>
  <si>
    <t>91648-65-6</t>
  </si>
  <si>
    <t>350600-52-1</t>
  </si>
  <si>
    <t>36511-66-7</t>
  </si>
  <si>
    <t>944318-32-5</t>
  </si>
  <si>
    <t>8027-85-8</t>
  </si>
  <si>
    <t>7440-09-7</t>
  </si>
  <si>
    <t>25551-13-7</t>
  </si>
  <si>
    <t>25584-83-2</t>
  </si>
  <si>
    <t>2569-01-9</t>
  </si>
  <si>
    <t>128-46-1</t>
  </si>
  <si>
    <t>1064076-86-3</t>
  </si>
  <si>
    <t>1177247-66-3</t>
  </si>
  <si>
    <t>18472-87-2</t>
  </si>
  <si>
    <t>17375-41-6</t>
  </si>
  <si>
    <t>869109-90-0</t>
  </si>
  <si>
    <t>168113-78-8</t>
  </si>
  <si>
    <t>161935-19-9</t>
  </si>
  <si>
    <t>91125-43-8</t>
  </si>
  <si>
    <t>84057-80-7</t>
  </si>
  <si>
    <t>95009-65-7</t>
  </si>
  <si>
    <t>81-25-4</t>
  </si>
  <si>
    <t>2269-22-9</t>
  </si>
  <si>
    <t>7727-54-0</t>
  </si>
  <si>
    <t>158706-40-2</t>
  </si>
  <si>
    <t>67701-06-8</t>
  </si>
  <si>
    <t>26760-64-5</t>
  </si>
  <si>
    <t>60617-06-3</t>
  </si>
  <si>
    <t>1379822-00-0</t>
  </si>
  <si>
    <t>8050-84-8</t>
  </si>
  <si>
    <t>36669-85-9</t>
  </si>
  <si>
    <t>84144-87-6</t>
  </si>
  <si>
    <t>11059-65-7</t>
  </si>
  <si>
    <t>157119-20-5</t>
  </si>
  <si>
    <t>140876-13-7</t>
  </si>
  <si>
    <t>151436-99-6</t>
  </si>
  <si>
    <t>1951-97-9</t>
  </si>
  <si>
    <t>53408-94-9</t>
  </si>
  <si>
    <t>8071-43-0</t>
  </si>
  <si>
    <t>57693-14-8</t>
  </si>
  <si>
    <t>149564-65-8</t>
  </si>
  <si>
    <t>1321-67-1</t>
  </si>
  <si>
    <t>28783-41-7</t>
  </si>
  <si>
    <t>7789-43-7</t>
  </si>
  <si>
    <t>112193-77-8</t>
  </si>
  <si>
    <t>12508-61-1</t>
  </si>
  <si>
    <t>331465-39-5</t>
  </si>
  <si>
    <t>52408-84-1</t>
  </si>
  <si>
    <t>35745-11-0</t>
  </si>
  <si>
    <t>68955-20-4</t>
  </si>
  <si>
    <t>56830-58-1</t>
  </si>
  <si>
    <t>7439-96-5</t>
  </si>
  <si>
    <t>993-16-8</t>
  </si>
  <si>
    <t>186554-27-8</t>
  </si>
  <si>
    <t>68912-13-0</t>
  </si>
  <si>
    <t>6753-47-5</t>
  </si>
  <si>
    <t>29797-40-8</t>
  </si>
  <si>
    <t>13701-59-2</t>
  </si>
  <si>
    <t>25383-07-7</t>
  </si>
  <si>
    <t>7784-18-1</t>
  </si>
  <si>
    <t>82341-95-5</t>
  </si>
  <si>
    <t>66215-71-2</t>
  </si>
  <si>
    <t>29820-13-1</t>
  </si>
  <si>
    <t>5421-46-5</t>
  </si>
  <si>
    <t>52605-52-4</t>
  </si>
  <si>
    <t>880647-39-2</t>
  </si>
  <si>
    <t>118658-98-3</t>
  </si>
  <si>
    <t>13943-58-3</t>
  </si>
  <si>
    <t>10124-49-9</t>
  </si>
  <si>
    <t>7664-38-2</t>
  </si>
  <si>
    <t>144538-83-0</t>
  </si>
  <si>
    <t>7722-84-1</t>
  </si>
  <si>
    <t>12542-30-2</t>
  </si>
  <si>
    <t>182176-52-9</t>
  </si>
  <si>
    <t>67204-03-9</t>
  </si>
  <si>
    <t>55818-57-0</t>
  </si>
  <si>
    <t>56646-05-0</t>
  </si>
  <si>
    <t>112567-89-2</t>
  </si>
  <si>
    <t>129757-67-1</t>
  </si>
  <si>
    <t>160901-27-9</t>
  </si>
  <si>
    <t>25340-17-4</t>
  </si>
  <si>
    <t>160901-28-0</t>
  </si>
  <si>
    <t>68891-29-2</t>
  </si>
  <si>
    <t>14124-68-6</t>
  </si>
  <si>
    <t>52628-03-2</t>
  </si>
  <si>
    <t>68609-68-7</t>
  </si>
  <si>
    <t>104987-12-4</t>
  </si>
  <si>
    <t>7790-59-2</t>
  </si>
  <si>
    <t>16893-85-9</t>
  </si>
  <si>
    <t>70892-34-1</t>
  </si>
  <si>
    <t>665-66-7</t>
  </si>
  <si>
    <t>577954-20-2</t>
  </si>
  <si>
    <t>85711-46-2</t>
  </si>
  <si>
    <t>68512-30-1</t>
  </si>
  <si>
    <t>477788-45-7</t>
  </si>
  <si>
    <t>1243654-79-6</t>
  </si>
  <si>
    <t>67298-32-2</t>
  </si>
  <si>
    <t>7727-21-1</t>
  </si>
  <si>
    <t>27213-90-7</t>
  </si>
  <si>
    <t>91078-64-7</t>
  </si>
  <si>
    <t>1330-20-7</t>
  </si>
  <si>
    <t>57425-61-3</t>
  </si>
  <si>
    <t>10049-04-4</t>
  </si>
  <si>
    <t>26739-54-8</t>
  </si>
  <si>
    <t>7719-12-2</t>
  </si>
  <si>
    <t>195008-76-5</t>
  </si>
  <si>
    <t>19372-44-2</t>
  </si>
  <si>
    <t>7778-44-1</t>
  </si>
  <si>
    <t>88230-35-7</t>
  </si>
  <si>
    <t>2327-02-8</t>
  </si>
  <si>
    <t>1395383-69-3</t>
  </si>
  <si>
    <t>144-21-8</t>
  </si>
  <si>
    <t>6575-09-3</t>
  </si>
  <si>
    <t>11113-80-7</t>
  </si>
  <si>
    <t>1327-41-9</t>
  </si>
  <si>
    <t>100402-60-6</t>
  </si>
  <si>
    <t>109331-54-6</t>
  </si>
  <si>
    <t>111937-03-2</t>
  </si>
  <si>
    <t>123714-19-2</t>
  </si>
  <si>
    <t>125301-84-0</t>
  </si>
  <si>
    <t>126019-82-7</t>
  </si>
  <si>
    <t>126637-70-5</t>
  </si>
  <si>
    <t>136920-07-5</t>
  </si>
  <si>
    <t>1426148-68-6</t>
  </si>
  <si>
    <t>158885-29-1</t>
  </si>
  <si>
    <t>159168-82-8</t>
  </si>
  <si>
    <t>17194-00-2</t>
  </si>
  <si>
    <t>18016-43-8</t>
  </si>
  <si>
    <t>187026-95-5</t>
  </si>
  <si>
    <t>189574-45-6</t>
  </si>
  <si>
    <t>25214-63-5</t>
  </si>
  <si>
    <t>25686-28-6</t>
  </si>
  <si>
    <t>25791-96-2</t>
  </si>
  <si>
    <t>26301-10-0</t>
  </si>
  <si>
    <t>26316-40-5</t>
  </si>
  <si>
    <t>30599-15-6</t>
  </si>
  <si>
    <t>32055-14-4</t>
  </si>
  <si>
    <t>35176-06-8</t>
  </si>
  <si>
    <t>50658-23-6</t>
  </si>
  <si>
    <t>513-77-9</t>
  </si>
  <si>
    <t>51376-79-5</t>
  </si>
  <si>
    <t>52625-13-5</t>
  </si>
  <si>
    <t>55172-98-0</t>
  </si>
  <si>
    <t>67701-33-1</t>
  </si>
  <si>
    <t>67784-87-6</t>
  </si>
  <si>
    <t>68526-91-0</t>
  </si>
  <si>
    <t>71566-54-6</t>
  </si>
  <si>
    <t>75880-28-3</t>
  </si>
  <si>
    <t>82027-60-9</t>
  </si>
  <si>
    <t>85536-06-7</t>
  </si>
  <si>
    <t>90170-43-7</t>
  </si>
  <si>
    <t>9049-71-2</t>
  </si>
  <si>
    <t>9051-49-4</t>
  </si>
  <si>
    <t>9051-51-8</t>
  </si>
  <si>
    <t>90677-64-8</t>
  </si>
  <si>
    <t>91002-07-2</t>
  </si>
  <si>
    <t>91052-28-7</t>
  </si>
  <si>
    <t>91052-54-9</t>
  </si>
  <si>
    <t>91744-09-1</t>
  </si>
  <si>
    <t>91844-53-0</t>
  </si>
  <si>
    <t>95465-85-3</t>
  </si>
  <si>
    <t>95912-86-0</t>
  </si>
  <si>
    <t>97358-80-0</t>
  </si>
  <si>
    <t>4039-32-1</t>
  </si>
  <si>
    <t>5698-98-6</t>
  </si>
  <si>
    <t>128-13-2</t>
  </si>
  <si>
    <t>39290-78-3</t>
  </si>
  <si>
    <t>28961-43-5</t>
  </si>
  <si>
    <t>10193-36-9</t>
  </si>
  <si>
    <t>11121-48-5</t>
  </si>
  <si>
    <t>8000-41-7</t>
  </si>
  <si>
    <t>11067-81-5</t>
  </si>
  <si>
    <t>12392-64-2</t>
  </si>
  <si>
    <t>630113-05-2</t>
  </si>
  <si>
    <t>16470-24-9</t>
  </si>
  <si>
    <t>27344-06-5</t>
  </si>
  <si>
    <t>41098-56-0</t>
  </si>
  <si>
    <t>4193-55-9</t>
  </si>
  <si>
    <t>67786-25-8</t>
  </si>
  <si>
    <t>13814-96-5</t>
  </si>
  <si>
    <t>32047-53-3</t>
  </si>
  <si>
    <t>155522-05-7</t>
  </si>
  <si>
    <t>33703-08-1</t>
  </si>
  <si>
    <t>154704-76-4</t>
  </si>
  <si>
    <t>140681-55-6</t>
  </si>
  <si>
    <t>99229-76-2</t>
  </si>
  <si>
    <t>346412-97-3</t>
  </si>
  <si>
    <t>53988-05-9</t>
  </si>
  <si>
    <t>65997-03-7</t>
  </si>
  <si>
    <t>1321-94-4</t>
  </si>
  <si>
    <t>98362-33-5</t>
  </si>
  <si>
    <t>15123-80-5</t>
  </si>
  <si>
    <t>139637-98-2</t>
  </si>
  <si>
    <t>188416-34-4</t>
  </si>
  <si>
    <t>7646-78-8</t>
  </si>
  <si>
    <t>56773-42-3</t>
  </si>
  <si>
    <t>153352-59-1</t>
  </si>
  <si>
    <t>71297-11-5</t>
  </si>
  <si>
    <t>56996-78-2</t>
  </si>
  <si>
    <t>138271-16-6</t>
  </si>
  <si>
    <t>93572-32-8</t>
  </si>
  <si>
    <t>99580-93-5</t>
  </si>
  <si>
    <t>162303-51-7</t>
  </si>
  <si>
    <t>5593-70-4</t>
  </si>
  <si>
    <t>83877-91-2</t>
  </si>
  <si>
    <t>7786-30-3</t>
  </si>
  <si>
    <t>11138-47-9</t>
  </si>
  <si>
    <t>8037-19-2</t>
  </si>
  <si>
    <t>54417-53-7</t>
  </si>
  <si>
    <t>140362-65-8</t>
  </si>
  <si>
    <t>65996-87-4</t>
  </si>
  <si>
    <t>84650-04-4</t>
  </si>
  <si>
    <t>90641-12-6</t>
  </si>
  <si>
    <t>91995-49-2</t>
  </si>
  <si>
    <t>126-97-6</t>
  </si>
  <si>
    <t>119154-86-8</t>
  </si>
  <si>
    <t>84066-92-2</t>
  </si>
  <si>
    <t>15629-92-2</t>
  </si>
  <si>
    <t>452080-67-0</t>
  </si>
  <si>
    <t>61790-13-4</t>
  </si>
  <si>
    <t>65997-06-0</t>
  </si>
  <si>
    <t>15365-14-7</t>
  </si>
  <si>
    <t>68526-83-0</t>
  </si>
  <si>
    <t>215612-56-9</t>
  </si>
  <si>
    <t>25723-16-4</t>
  </si>
  <si>
    <t>546-46-3</t>
  </si>
  <si>
    <t>54068-28-9</t>
  </si>
  <si>
    <t>7782-41-4</t>
  </si>
  <si>
    <t>39412-51-6</t>
  </si>
  <si>
    <t>1306-38-3</t>
  </si>
  <si>
    <t>40722-80-3</t>
  </si>
  <si>
    <t>500717-36-2</t>
  </si>
  <si>
    <t>218451-68-4</t>
  </si>
  <si>
    <t>68955-56-6</t>
  </si>
  <si>
    <t>64-72-2</t>
  </si>
  <si>
    <t>1762-95-4</t>
  </si>
  <si>
    <t>20830-75-5</t>
  </si>
  <si>
    <t>21369-64-2</t>
  </si>
  <si>
    <t>1918-11-2</t>
  </si>
  <si>
    <t>26952-13-6</t>
  </si>
  <si>
    <t>149564-66-9</t>
  </si>
  <si>
    <t>21049-70-7</t>
  </si>
  <si>
    <t>790240-84-5</t>
  </si>
  <si>
    <t>62037-80-3</t>
  </si>
  <si>
    <t>8063-07-8</t>
  </si>
  <si>
    <t>66594-32-9</t>
  </si>
  <si>
    <t>101316-66-9</t>
  </si>
  <si>
    <t>101316-67-0</t>
  </si>
  <si>
    <t>101316-76-1</t>
  </si>
  <si>
    <t>101795-01-1</t>
  </si>
  <si>
    <t>64741-41-9</t>
  </si>
  <si>
    <t>64741-42-0</t>
  </si>
  <si>
    <t>64741-46-4</t>
  </si>
  <si>
    <t>64741-47-5</t>
  </si>
  <si>
    <t>64741-48-6</t>
  </si>
  <si>
    <t>64741-54-4</t>
  </si>
  <si>
    <t>64741-55-5</t>
  </si>
  <si>
    <t>64741-63-5</t>
  </si>
  <si>
    <t>64741-64-6</t>
  </si>
  <si>
    <t>64741-66-8</t>
  </si>
  <si>
    <t>64741-68-0</t>
  </si>
  <si>
    <t>64741-69-1</t>
  </si>
  <si>
    <t>64741-70-4</t>
  </si>
  <si>
    <t>64741-72-6</t>
  </si>
  <si>
    <t>64741-74-8</t>
  </si>
  <si>
    <t>64741-78-2</t>
  </si>
  <si>
    <t>64741-83-9</t>
  </si>
  <si>
    <t>64741-84-0</t>
  </si>
  <si>
    <t>64741-87-3</t>
  </si>
  <si>
    <t>64742-48-9</t>
  </si>
  <si>
    <t>64742-49-0</t>
  </si>
  <si>
    <t>64742-66-1</t>
  </si>
  <si>
    <t>64742-73-0</t>
  </si>
  <si>
    <t>64742-82-1</t>
  </si>
  <si>
    <t>68410-05-9</t>
  </si>
  <si>
    <t>68410-71-9</t>
  </si>
  <si>
    <t>68410-97-9</t>
  </si>
  <si>
    <t>68475-79-6</t>
  </si>
  <si>
    <t>68476-46-0</t>
  </si>
  <si>
    <t>68476-50-6</t>
  </si>
  <si>
    <t>68513-02-0</t>
  </si>
  <si>
    <t>68513-03-1</t>
  </si>
  <si>
    <t>68514-79-4</t>
  </si>
  <si>
    <t>68527-27-5</t>
  </si>
  <si>
    <t>68603-08-7</t>
  </si>
  <si>
    <t>68606-11-1</t>
  </si>
  <si>
    <t>68783-11-9</t>
  </si>
  <si>
    <t>68783-12-0</t>
  </si>
  <si>
    <t>68783-66-4</t>
  </si>
  <si>
    <t>68919-37-9</t>
  </si>
  <si>
    <t>68921-08-4</t>
  </si>
  <si>
    <t>68955-35-1</t>
  </si>
  <si>
    <t>8006-61-9</t>
  </si>
  <si>
    <t>8032-32-4</t>
  </si>
  <si>
    <t>85116-58-1</t>
  </si>
  <si>
    <t>85116-59-2</t>
  </si>
  <si>
    <t>86290-81-5</t>
  </si>
  <si>
    <t>91995-18-5</t>
  </si>
  <si>
    <t>91995-38-9</t>
  </si>
  <si>
    <t>91995-68-5</t>
  </si>
  <si>
    <t>92045-37-9</t>
  </si>
  <si>
    <t>92045-50-6</t>
  </si>
  <si>
    <t>92045-52-8</t>
  </si>
  <si>
    <t>92045-53-9</t>
  </si>
  <si>
    <t>92045-58-4</t>
  </si>
  <si>
    <t>92045-59-5</t>
  </si>
  <si>
    <t>92045-60-8</t>
  </si>
  <si>
    <t>92045-63-1</t>
  </si>
  <si>
    <t>92045-64-2</t>
  </si>
  <si>
    <t>93165-19-6</t>
  </si>
  <si>
    <t>93571-75-6</t>
  </si>
  <si>
    <t>93572-29-3</t>
  </si>
  <si>
    <t>93572-35-1</t>
  </si>
  <si>
    <t>93572-36-2</t>
  </si>
  <si>
    <t>93763-33-8</t>
  </si>
  <si>
    <t>50982-13-3</t>
  </si>
  <si>
    <t>132885-85-9</t>
  </si>
  <si>
    <t>145022-45-3</t>
  </si>
  <si>
    <t>65997-04-8</t>
  </si>
  <si>
    <t>68201-60-5</t>
  </si>
  <si>
    <t>8050-28-0</t>
  </si>
  <si>
    <t>102561-46-6</t>
  </si>
  <si>
    <t>109037-78-7</t>
  </si>
  <si>
    <t>69012-28-8</t>
  </si>
  <si>
    <t>69012-49-3</t>
  </si>
  <si>
    <t>53763-38-5</t>
  </si>
  <si>
    <t>84418-71-3</t>
  </si>
  <si>
    <t>220444-73-5</t>
  </si>
  <si>
    <t>98859-60-0</t>
  </si>
  <si>
    <t>18637-00-8</t>
  </si>
  <si>
    <t>13746-66-2</t>
  </si>
  <si>
    <t>13106-24-6</t>
  </si>
  <si>
    <t>50-98-6</t>
  </si>
  <si>
    <t>68-22-4</t>
  </si>
  <si>
    <t>126506-93-2</t>
  </si>
  <si>
    <t>68515-43-5</t>
  </si>
  <si>
    <t>1300-72-7</t>
  </si>
  <si>
    <t>2458-08-4</t>
  </si>
  <si>
    <t>471-34-1</t>
  </si>
  <si>
    <t>9026-97-5</t>
  </si>
  <si>
    <t>106359-93-7</t>
  </si>
  <si>
    <t>52292-17-8</t>
  </si>
  <si>
    <t>27134-27-6</t>
  </si>
  <si>
    <t>109-72-8</t>
  </si>
  <si>
    <t>14798-03-9</t>
  </si>
  <si>
    <t>21324-40-3</t>
  </si>
  <si>
    <t>91722-01-9</t>
  </si>
  <si>
    <t>93762-77-7</t>
  </si>
  <si>
    <t>1309-64-4</t>
  </si>
  <si>
    <t>7681-11-0</t>
  </si>
  <si>
    <t>35832-11-2</t>
  </si>
  <si>
    <t>25513-64-8</t>
  </si>
  <si>
    <t>74610-55-2</t>
  </si>
  <si>
    <t>1103-38-4</t>
  </si>
  <si>
    <t>12238-31-2</t>
  </si>
  <si>
    <t>5160-02-1</t>
  </si>
  <si>
    <t>5280-66-0</t>
  </si>
  <si>
    <t>5281-04-9</t>
  </si>
  <si>
    <t>67801-01-8</t>
  </si>
  <si>
    <t>73263-40-8</t>
  </si>
  <si>
    <t>73612-34-7</t>
  </si>
  <si>
    <t>51811-79-1</t>
  </si>
  <si>
    <t>30525-89-4</t>
  </si>
  <si>
    <t>916075-10-0</t>
  </si>
  <si>
    <t>180060-94-0</t>
  </si>
  <si>
    <t>68187-76-8</t>
  </si>
  <si>
    <t>7631-86-9</t>
  </si>
  <si>
    <t>34381-68-5</t>
  </si>
  <si>
    <t>29385-43-1</t>
  </si>
  <si>
    <t>64665-57-2</t>
  </si>
  <si>
    <t>598-30-1</t>
  </si>
  <si>
    <t>1111-78-0</t>
  </si>
  <si>
    <t>96792-67-5</t>
  </si>
  <si>
    <t>12021-95-3</t>
  </si>
  <si>
    <t>1333-83-1</t>
  </si>
  <si>
    <t>1341-49-7</t>
  </si>
  <si>
    <t>16919-27-0</t>
  </si>
  <si>
    <t>16923-95-8</t>
  </si>
  <si>
    <t>16961-83-4</t>
  </si>
  <si>
    <t>17439-11-1</t>
  </si>
  <si>
    <t>7783-66-6</t>
  </si>
  <si>
    <t>7789-23-3</t>
  </si>
  <si>
    <t>7789-29-9</t>
  </si>
  <si>
    <t>7789-75-5</t>
  </si>
  <si>
    <t>1118-46-3</t>
  </si>
  <si>
    <t>333-18-6</t>
  </si>
  <si>
    <t>85186-89-6</t>
  </si>
  <si>
    <t>1070-10-6</t>
  </si>
  <si>
    <t>90677-63-7</t>
  </si>
  <si>
    <t>81405-85-8</t>
  </si>
  <si>
    <t>84082-30-4</t>
  </si>
  <si>
    <t>1329-99-3</t>
  </si>
  <si>
    <t>7782-42-5</t>
  </si>
  <si>
    <t>37296-92-7</t>
  </si>
  <si>
    <t>506-59-2</t>
  </si>
  <si>
    <t>116912-62-0</t>
  </si>
  <si>
    <t>125229-74-5</t>
  </si>
  <si>
    <t>167944-94-7</t>
  </si>
  <si>
    <t>70643-20-8</t>
  </si>
  <si>
    <t>119822-74-1</t>
  </si>
  <si>
    <t>91052-13-0</t>
  </si>
  <si>
    <t>933999-84-9</t>
  </si>
  <si>
    <t>67762-52-1</t>
  </si>
  <si>
    <t>114765-88-7</t>
  </si>
  <si>
    <t>67953-76-8</t>
  </si>
  <si>
    <t>58398-71-3</t>
  </si>
  <si>
    <t>16853-85-3</t>
  </si>
  <si>
    <t>7790-98-9</t>
  </si>
  <si>
    <t>66523-56-6</t>
  </si>
  <si>
    <t>14507-19-8</t>
  </si>
  <si>
    <t>371756-75-1</t>
  </si>
  <si>
    <t>103758-99-2</t>
  </si>
  <si>
    <t>68082-29-1</t>
  </si>
  <si>
    <t>171866-24-3</t>
  </si>
  <si>
    <t>66034-17-1</t>
  </si>
  <si>
    <t>85114-00-7</t>
  </si>
  <si>
    <t>1228577-90-9</t>
  </si>
  <si>
    <t>50-01-1</t>
  </si>
  <si>
    <t>10038-98-9</t>
  </si>
  <si>
    <t>66829-05-8</t>
  </si>
  <si>
    <t>2524-04-1</t>
  </si>
  <si>
    <t>21109-95-5</t>
  </si>
  <si>
    <t>61790-50-9</t>
  </si>
  <si>
    <t>61790-51-0</t>
  </si>
  <si>
    <t>65997-05-9</t>
  </si>
  <si>
    <t>68334-35-0</t>
  </si>
  <si>
    <t>68440-56-2</t>
  </si>
  <si>
    <t>8050-09-7</t>
  </si>
  <si>
    <t>9007-13-0</t>
  </si>
  <si>
    <t>91081-53-7</t>
  </si>
  <si>
    <t>92129-53-8</t>
  </si>
  <si>
    <t>68910-05-4</t>
  </si>
  <si>
    <t>83897-91-0</t>
  </si>
  <si>
    <t>21688-11-9</t>
  </si>
  <si>
    <t>640-67-5</t>
  </si>
  <si>
    <t>10043-67-1</t>
  </si>
  <si>
    <t>19147-16-1</t>
  </si>
  <si>
    <t>7486-38-6</t>
  </si>
  <si>
    <t>138577-01-2</t>
  </si>
  <si>
    <t>2008-46-0</t>
  </si>
  <si>
    <t>56392-17-7</t>
  </si>
  <si>
    <t>65797-42-4</t>
  </si>
  <si>
    <t>145153-52-2</t>
  </si>
  <si>
    <t>201792-73-6</t>
  </si>
  <si>
    <t>120029-06-3</t>
  </si>
  <si>
    <t>20570-96-1</t>
  </si>
  <si>
    <t>1066-33-7</t>
  </si>
  <si>
    <t>569318-35-0</t>
  </si>
  <si>
    <t>7245-02-5</t>
  </si>
  <si>
    <t>63705-03-3</t>
  </si>
  <si>
    <t>74091-64-8</t>
  </si>
  <si>
    <t>301-10-0</t>
  </si>
  <si>
    <t>7647-17-8</t>
  </si>
  <si>
    <t>75247-18-6</t>
  </si>
  <si>
    <t>56996-80-6</t>
  </si>
  <si>
    <t>51772-35-1</t>
  </si>
  <si>
    <t>68526-84-1</t>
  </si>
  <si>
    <t>581076-67-7</t>
  </si>
  <si>
    <t>1310-65-2</t>
  </si>
  <si>
    <t>68921-45-9</t>
  </si>
  <si>
    <t>1308-14-1</t>
  </si>
  <si>
    <t>101316-44-3</t>
  </si>
  <si>
    <t>8008-45-5</t>
  </si>
  <si>
    <t>84082-68-8</t>
  </si>
  <si>
    <t>7440-31-5</t>
  </si>
  <si>
    <t>117527-94-3</t>
  </si>
  <si>
    <t>101896-27-9</t>
  </si>
  <si>
    <t>90641-05-7</t>
  </si>
  <si>
    <t>121315-16-0</t>
  </si>
  <si>
    <t>594-27-4</t>
  </si>
  <si>
    <t>26155-31-7</t>
  </si>
  <si>
    <t>172399-10-9</t>
  </si>
  <si>
    <t>32052-51-0</t>
  </si>
  <si>
    <t>854270-57-8</t>
  </si>
  <si>
    <t>879214-58-1</t>
  </si>
  <si>
    <t>223398-02-5</t>
  </si>
  <si>
    <t>25545-89-5</t>
  </si>
  <si>
    <t>84776-33-0</t>
  </si>
  <si>
    <t>8002-09-3</t>
  </si>
  <si>
    <t>14220-17-8</t>
  </si>
  <si>
    <t>81591-81-3</t>
  </si>
  <si>
    <t>68411-46-1</t>
  </si>
  <si>
    <t>43133-95-5</t>
  </si>
  <si>
    <t>15630-89-4</t>
  </si>
  <si>
    <t>15096-52-3</t>
  </si>
  <si>
    <t>7632-00-0</t>
  </si>
  <si>
    <t>85702-79-0</t>
  </si>
  <si>
    <t>127277-53-6</t>
  </si>
  <si>
    <t>1000777-61-6</t>
  </si>
  <si>
    <t>53075-09-5</t>
  </si>
  <si>
    <t>123439-82-7</t>
  </si>
  <si>
    <t>159604-94-1</t>
  </si>
  <si>
    <t>2643-07-4</t>
  </si>
  <si>
    <t>7782-78-7</t>
  </si>
  <si>
    <t>153173-08-1</t>
  </si>
  <si>
    <t>126602-90-2</t>
  </si>
  <si>
    <t>68909-99-9</t>
  </si>
  <si>
    <t>8065-62-1</t>
  </si>
  <si>
    <t>7790-69-4</t>
  </si>
  <si>
    <t>3323-53-3</t>
  </si>
  <si>
    <t>84650-02-2</t>
  </si>
  <si>
    <t>127733-97-5</t>
  </si>
  <si>
    <t>52658-19-2</t>
  </si>
  <si>
    <t>37228-47-0</t>
  </si>
  <si>
    <t>747-45-5</t>
  </si>
  <si>
    <t>108225-03-2</t>
  </si>
  <si>
    <t>13732-62-2</t>
  </si>
  <si>
    <t>68955-98-6</t>
  </si>
  <si>
    <t>2212-53-5</t>
  </si>
  <si>
    <t>17766-26-6</t>
  </si>
  <si>
    <t>500910-12-3</t>
  </si>
  <si>
    <t>25316-40-9</t>
  </si>
  <si>
    <t>157707-94-3</t>
  </si>
  <si>
    <t>10377-52-3</t>
  </si>
  <si>
    <t>39290-50-1</t>
  </si>
  <si>
    <t>58353-68-7</t>
  </si>
  <si>
    <t>593-85-1</t>
  </si>
  <si>
    <t>12002-48-1</t>
  </si>
  <si>
    <t>52462-29-0</t>
  </si>
  <si>
    <t>75782-87-5</t>
  </si>
  <si>
    <t>70693-32-2</t>
  </si>
  <si>
    <t>544-18-3</t>
  </si>
  <si>
    <t>121617-08-1</t>
  </si>
  <si>
    <t>53763-10-3</t>
  </si>
  <si>
    <t>85116-96-7</t>
  </si>
  <si>
    <t>66422-95-5</t>
  </si>
  <si>
    <t>41524-32-7</t>
  </si>
  <si>
    <t>59948-00-4</t>
  </si>
  <si>
    <t>211450-54-3</t>
  </si>
  <si>
    <t>71177-91-8</t>
  </si>
  <si>
    <t>93925-42-9</t>
  </si>
  <si>
    <t>3896-11-5</t>
  </si>
  <si>
    <t>53780-36-2</t>
  </si>
  <si>
    <t>90640-66-7</t>
  </si>
  <si>
    <t>125643-61-0</t>
  </si>
  <si>
    <t>56996-38-4</t>
  </si>
  <si>
    <t>68131-30-6</t>
  </si>
  <si>
    <t>63451-47-8</t>
  </si>
  <si>
    <t>85116-88-7</t>
  </si>
  <si>
    <t>95912-87-1</t>
  </si>
  <si>
    <t>68424-38-4</t>
  </si>
  <si>
    <t>85507-79-5</t>
  </si>
  <si>
    <t>116912-36-8</t>
  </si>
  <si>
    <t>15663-27-1</t>
  </si>
  <si>
    <t>168960-19-8</t>
  </si>
  <si>
    <t>1163775-81-2</t>
  </si>
  <si>
    <t>90218-76-1</t>
  </si>
  <si>
    <t>94279-36-4</t>
  </si>
  <si>
    <t>152-11-4</t>
  </si>
  <si>
    <t>57214-10-5</t>
  </si>
  <si>
    <t>104786-87-0</t>
  </si>
  <si>
    <t>13463-67-7</t>
  </si>
  <si>
    <t>205057-15-4</t>
  </si>
  <si>
    <t>368890-19-1</t>
  </si>
  <si>
    <t>37866-45-8</t>
  </si>
  <si>
    <t>137590-32-0</t>
  </si>
  <si>
    <t>244235-47-0</t>
  </si>
  <si>
    <t>54553-91-2</t>
  </si>
  <si>
    <t>12715-61-6</t>
  </si>
  <si>
    <t>68131-75-9</t>
  </si>
  <si>
    <t>68308-27-0</t>
  </si>
  <si>
    <t>68409-99-4</t>
  </si>
  <si>
    <t>68476-26-6</t>
  </si>
  <si>
    <t>68476-29-9</t>
  </si>
  <si>
    <t>68476-40-4</t>
  </si>
  <si>
    <t>68476-49-3</t>
  </si>
  <si>
    <t>68476-85-7</t>
  </si>
  <si>
    <t>68476-86-8</t>
  </si>
  <si>
    <t>68477-33-8</t>
  </si>
  <si>
    <t>68477-69-0</t>
  </si>
  <si>
    <t>68477-71-4</t>
  </si>
  <si>
    <t>68477-77-0</t>
  </si>
  <si>
    <t>68477-83-8</t>
  </si>
  <si>
    <t>68477-87-2</t>
  </si>
  <si>
    <t>68477-90-7</t>
  </si>
  <si>
    <t>68512-91-4</t>
  </si>
  <si>
    <t>68513-66-6</t>
  </si>
  <si>
    <t>68602-83-5</t>
  </si>
  <si>
    <t>68606-26-8</t>
  </si>
  <si>
    <t>68783-07-3</t>
  </si>
  <si>
    <t>68783-65-3</t>
  </si>
  <si>
    <t>68814-67-5</t>
  </si>
  <si>
    <t>68919-10-8</t>
  </si>
  <si>
    <t>68989-88-8</t>
  </si>
  <si>
    <t>92045-80-2</t>
  </si>
  <si>
    <t>133-60-8</t>
  </si>
  <si>
    <t>68609-04-1</t>
  </si>
  <si>
    <t>160759-29-5</t>
  </si>
  <si>
    <t>52769-87-6</t>
  </si>
  <si>
    <t>16919-19-0</t>
  </si>
  <si>
    <t>25321-14-6</t>
  </si>
  <si>
    <t>68526-85-2</t>
  </si>
  <si>
    <t>93672-52-7</t>
  </si>
  <si>
    <t>5810-11-7</t>
  </si>
  <si>
    <t>10026-11-6</t>
  </si>
  <si>
    <t>57671-19-9</t>
  </si>
  <si>
    <t>7787-47-5</t>
  </si>
  <si>
    <t>70903-51-4</t>
  </si>
  <si>
    <t>65212-76-2</t>
  </si>
  <si>
    <t>65212-77-3</t>
  </si>
  <si>
    <t>1220100-43-5</t>
  </si>
  <si>
    <t>541-09-3</t>
  </si>
  <si>
    <t>83926-74-3</t>
  </si>
  <si>
    <t>241153-84-4</t>
  </si>
  <si>
    <t>554-13-2</t>
  </si>
  <si>
    <t>508202-43-5</t>
  </si>
  <si>
    <t>90274-24-1</t>
  </si>
  <si>
    <t>68424-50-0</t>
  </si>
  <si>
    <t>156558-98-4</t>
  </si>
  <si>
    <t>71786-67-9</t>
  </si>
  <si>
    <t>8012-95-1</t>
  </si>
  <si>
    <t>10141-00-1</t>
  </si>
  <si>
    <t>68784-12-3</t>
  </si>
  <si>
    <t>67800-94-6</t>
  </si>
  <si>
    <t>104832-01-1</t>
  </si>
  <si>
    <t>208988-63-0</t>
  </si>
  <si>
    <t>18917-91-4</t>
  </si>
  <si>
    <t>1314-13-2</t>
  </si>
  <si>
    <t>84650-03-3</t>
  </si>
  <si>
    <t>25092-32-4</t>
  </si>
  <si>
    <t>27253-26-5</t>
  </si>
  <si>
    <t>5809-08-5</t>
  </si>
  <si>
    <t>10102-44-0</t>
  </si>
  <si>
    <t>10377-48-7</t>
  </si>
  <si>
    <t>68952-95-4</t>
  </si>
  <si>
    <t>101012-81-1</t>
  </si>
  <si>
    <t>61791-42-2</t>
  </si>
  <si>
    <t>72906-38-8</t>
  </si>
  <si>
    <t>91788-83-9</t>
  </si>
  <si>
    <t>4277-06-9</t>
  </si>
  <si>
    <t>142050-95-1</t>
  </si>
  <si>
    <t>95312-94-0</t>
  </si>
  <si>
    <t>38632-47-2</t>
  </si>
  <si>
    <t>28300-74-5</t>
  </si>
  <si>
    <t>63231-67-4</t>
  </si>
  <si>
    <t>4698-11-7</t>
  </si>
  <si>
    <t>82027-59-6</t>
  </si>
  <si>
    <t>182925-33-3</t>
  </si>
  <si>
    <t>7447-41-8</t>
  </si>
  <si>
    <t>7773-01-5</t>
  </si>
  <si>
    <t>655-76-5</t>
  </si>
  <si>
    <t>12004-14-7</t>
  </si>
  <si>
    <t>11100-04-2</t>
  </si>
  <si>
    <t>4180-12-5</t>
  </si>
  <si>
    <t>63821-86-3</t>
  </si>
  <si>
    <t>363138-44-7</t>
  </si>
  <si>
    <t>53763-47-6</t>
  </si>
  <si>
    <t>68187-89-3</t>
  </si>
  <si>
    <t>1333-86-4</t>
  </si>
  <si>
    <t>3637-10-3</t>
  </si>
  <si>
    <t>7440-32-6</t>
  </si>
  <si>
    <t>221640-21-7</t>
  </si>
  <si>
    <t>847565-09-7</t>
  </si>
  <si>
    <t>329966-50-9</t>
  </si>
  <si>
    <t>68131-33-9</t>
  </si>
  <si>
    <t>103758-98-1</t>
  </si>
  <si>
    <t>157707-73-8</t>
  </si>
  <si>
    <t>68154-62-1</t>
  </si>
  <si>
    <t>68410-23-1</t>
  </si>
  <si>
    <t>221640-14-8</t>
  </si>
  <si>
    <t>70807-22-6</t>
  </si>
  <si>
    <t>61789-32-0</t>
  </si>
  <si>
    <t>7782-63-0</t>
  </si>
  <si>
    <t>208711-51-7</t>
  </si>
  <si>
    <t>104051-92-5</t>
  </si>
  <si>
    <t>132342-27-9</t>
  </si>
  <si>
    <t>139381-52-5</t>
  </si>
  <si>
    <t>143145-93-1</t>
  </si>
  <si>
    <t>177966-49-3</t>
  </si>
  <si>
    <t>211519-85-6</t>
  </si>
  <si>
    <t>569316-88-7</t>
  </si>
  <si>
    <t>68784-14-5</t>
  </si>
  <si>
    <t>86168-95-8</t>
  </si>
  <si>
    <t>1384855-91-7</t>
  </si>
  <si>
    <t>25321-22-6</t>
  </si>
  <si>
    <t>869-24-9</t>
  </si>
  <si>
    <t>26762-92-5</t>
  </si>
  <si>
    <t>13390-47-1</t>
  </si>
  <si>
    <t>32760-80-8</t>
  </si>
  <si>
    <t>114565-70-7</t>
  </si>
  <si>
    <t>14484-69-6</t>
  </si>
  <si>
    <t>60304-36-1</t>
  </si>
  <si>
    <t>11067-82-6</t>
  </si>
  <si>
    <t>90640-67-8</t>
  </si>
  <si>
    <t>98769-75-6</t>
  </si>
  <si>
    <t>8028-48-6</t>
  </si>
  <si>
    <t>223705-57-5</t>
  </si>
  <si>
    <t>71662-11-8</t>
  </si>
  <si>
    <t>7785-87-7</t>
  </si>
  <si>
    <t>10035-10-6</t>
  </si>
  <si>
    <t>53384-39-7</t>
  </si>
  <si>
    <t>613246-79-0</t>
  </si>
  <si>
    <t>330-95-0</t>
  </si>
  <si>
    <t>87741-01-3</t>
  </si>
  <si>
    <t>154486-26-7</t>
  </si>
  <si>
    <t>20837-86-9</t>
  </si>
  <si>
    <t>73754-27-5</t>
  </si>
  <si>
    <t>6291-89-0</t>
  </si>
  <si>
    <t>61788-33-8</t>
  </si>
  <si>
    <t>61007-89-4</t>
  </si>
  <si>
    <t>75139-62-7</t>
  </si>
  <si>
    <t>10350-81-9</t>
  </si>
  <si>
    <t>847871-03-8</t>
  </si>
  <si>
    <t>64663-20-3</t>
  </si>
  <si>
    <t>49553-76-6</t>
  </si>
  <si>
    <t>1319-77-3</t>
  </si>
  <si>
    <t>1310-58-3</t>
  </si>
  <si>
    <t>155661-07-7</t>
  </si>
  <si>
    <t>7758-09-0</t>
  </si>
  <si>
    <t>67746-08-1</t>
  </si>
  <si>
    <t>65501-81-7</t>
  </si>
  <si>
    <t>1338-24-5</t>
  </si>
  <si>
    <t>7789-00-6</t>
  </si>
  <si>
    <t>85480-55-3</t>
  </si>
  <si>
    <t>121888-67-3</t>
  </si>
  <si>
    <t>14854-63-8</t>
  </si>
  <si>
    <t>586372-44-3</t>
  </si>
  <si>
    <t>3452-07-1</t>
  </si>
  <si>
    <t>66829-03-6</t>
  </si>
  <si>
    <t>10361-44-1</t>
  </si>
  <si>
    <t>64043-24-9</t>
  </si>
  <si>
    <t>24085-08-3</t>
  </si>
  <si>
    <t>141483-20-7</t>
  </si>
  <si>
    <t>21829-52-7</t>
  </si>
  <si>
    <t>101896-26-8</t>
  </si>
  <si>
    <t>7580-67-8</t>
  </si>
  <si>
    <t>68814-95-9</t>
  </si>
  <si>
    <t>59231-34-4</t>
  </si>
  <si>
    <t>989-51-5</t>
  </si>
  <si>
    <t>7345-69-9</t>
  </si>
  <si>
    <t>115902-64-2</t>
  </si>
  <si>
    <t>13826-65-8</t>
  </si>
  <si>
    <t>515815-48-2</t>
  </si>
  <si>
    <t>68551-17-7</t>
  </si>
  <si>
    <t>7446-20-0</t>
  </si>
  <si>
    <t>174591-51-6</t>
  </si>
  <si>
    <t>13302-06-2</t>
  </si>
  <si>
    <t>27189-59-9</t>
  </si>
  <si>
    <t>73149-61-8</t>
  </si>
  <si>
    <t>91052-49-2</t>
  </si>
  <si>
    <t>91744-28-4</t>
  </si>
  <si>
    <t>6120-10-1</t>
  </si>
  <si>
    <t>24938-91-8</t>
  </si>
  <si>
    <t>10022-31-8</t>
  </si>
  <si>
    <t>54-64-8</t>
  </si>
  <si>
    <t>40465-66-5</t>
  </si>
  <si>
    <t>85711-55-3</t>
  </si>
  <si>
    <t>114054-68-1</t>
  </si>
  <si>
    <t>62046-37-1</t>
  </si>
  <si>
    <t>1120-44-1</t>
  </si>
  <si>
    <t>120606-08-8</t>
  </si>
  <si>
    <t>7439-93-2</t>
  </si>
  <si>
    <t>110615-47-9</t>
  </si>
  <si>
    <t>157707-87-4</t>
  </si>
  <si>
    <t>383178-66-3</t>
  </si>
  <si>
    <t>68515-73-1</t>
  </si>
  <si>
    <t>1314-60-9</t>
  </si>
  <si>
    <t>1345-04-6</t>
  </si>
  <si>
    <t>15432-85-6</t>
  </si>
  <si>
    <t>29736-75-2</t>
  </si>
  <si>
    <t>33908-66-6</t>
  </si>
  <si>
    <t>68002-54-0</t>
  </si>
  <si>
    <t>2536-05-2</t>
  </si>
  <si>
    <t>135108-88-2</t>
  </si>
  <si>
    <t>142860-23-9</t>
  </si>
  <si>
    <t>68784-75-8</t>
  </si>
  <si>
    <t>9003-56-9</t>
  </si>
  <si>
    <t>1245638-61-2</t>
  </si>
  <si>
    <t>68515-48-0</t>
  </si>
  <si>
    <t>36878-20-3</t>
  </si>
  <si>
    <t>268728-80-9</t>
  </si>
  <si>
    <t>31394-54-4</t>
  </si>
  <si>
    <t>10402-15-0</t>
  </si>
  <si>
    <t>68476-80-2</t>
  </si>
  <si>
    <t>60209-82-7</t>
  </si>
  <si>
    <t>72162-47-1</t>
  </si>
  <si>
    <t>155601-30-2</t>
  </si>
  <si>
    <t>61813-75-0</t>
  </si>
  <si>
    <t>8000-29-1</t>
  </si>
  <si>
    <t>37208-53-0</t>
  </si>
  <si>
    <t>101316-84-1</t>
  </si>
  <si>
    <t>68092-28-4</t>
  </si>
  <si>
    <t>11119-50-9</t>
  </si>
  <si>
    <t>67299-45-0</t>
  </si>
  <si>
    <t>147732-60-3</t>
  </si>
  <si>
    <t>343595-80-2</t>
  </si>
  <si>
    <t>1512859-54-9</t>
  </si>
  <si>
    <t>53803-13-7</t>
  </si>
  <si>
    <t>3259-03-8</t>
  </si>
  <si>
    <t>1072830-14-8</t>
  </si>
  <si>
    <t>113241-45-5</t>
  </si>
  <si>
    <t>15956-58-8</t>
  </si>
  <si>
    <t>10361-29-2</t>
  </si>
  <si>
    <t>84961-74-0</t>
  </si>
  <si>
    <t>85536-14-7</t>
  </si>
  <si>
    <t>61791-19-3</t>
  </si>
  <si>
    <t>65996-89-6</t>
  </si>
  <si>
    <t>131042-86-9</t>
  </si>
  <si>
    <t>68988-22-7</t>
  </si>
  <si>
    <t>85940-40-5</t>
  </si>
  <si>
    <t>134164-24-2</t>
  </si>
  <si>
    <t>111850-00-1</t>
  </si>
  <si>
    <t>17369-89-0</t>
  </si>
  <si>
    <t>39315-98-5</t>
  </si>
  <si>
    <t>39316-28-4</t>
  </si>
  <si>
    <t>39425-24-6</t>
  </si>
  <si>
    <t>2758-42-1</t>
  </si>
  <si>
    <t>68476-52-8</t>
  </si>
  <si>
    <t>68477-42-9</t>
  </si>
  <si>
    <t>68955-28-2</t>
  </si>
  <si>
    <t>68515-49-1</t>
  </si>
  <si>
    <t>78565-30-7</t>
  </si>
  <si>
    <t>1405-41-0</t>
  </si>
  <si>
    <t>8048-52-0</t>
  </si>
  <si>
    <t>112100-07-9</t>
  </si>
  <si>
    <t>144736-29-8</t>
  </si>
  <si>
    <t>7446-08-4</t>
  </si>
  <si>
    <t>1307863-78-0</t>
  </si>
  <si>
    <t>34140-91-5</t>
  </si>
  <si>
    <t>72830-09-2</t>
  </si>
  <si>
    <t>133-66-4</t>
  </si>
  <si>
    <t>93685-99-5</t>
  </si>
  <si>
    <t>66829-04-7</t>
  </si>
  <si>
    <t>92771-56-7</t>
  </si>
  <si>
    <t>92045-23-3</t>
  </si>
  <si>
    <t>543-90-8</t>
  </si>
  <si>
    <t>10431-47-7</t>
  </si>
  <si>
    <t>53763-67-0</t>
  </si>
  <si>
    <t>100556-82-9</t>
  </si>
  <si>
    <t>555-31-7</t>
  </si>
  <si>
    <t>88020-55-7</t>
  </si>
  <si>
    <t>67226-45-3</t>
  </si>
  <si>
    <t>75139-61-6</t>
  </si>
  <si>
    <t>56896-68-5</t>
  </si>
  <si>
    <t>11071-47-9</t>
  </si>
  <si>
    <t>1332-65-6</t>
  </si>
  <si>
    <t>1335-46-2</t>
  </si>
  <si>
    <t>84238-39-1</t>
  </si>
  <si>
    <t>502962-81-4</t>
  </si>
  <si>
    <t>8011-86-7</t>
  </si>
  <si>
    <t>7673-09-8</t>
  </si>
  <si>
    <t>142002-06-0</t>
  </si>
  <si>
    <t>1344-43-0</t>
  </si>
  <si>
    <t>598-62-9</t>
  </si>
  <si>
    <t>66455-17-2</t>
  </si>
  <si>
    <t>88122-99-0</t>
  </si>
  <si>
    <t>26780-96-1</t>
  </si>
  <si>
    <t>12047-27-7</t>
  </si>
  <si>
    <t>16903-35-8</t>
  </si>
  <si>
    <t>797751-46-3</t>
  </si>
  <si>
    <t>68603-15-6</t>
  </si>
  <si>
    <t>244634-31-9</t>
  </si>
  <si>
    <t>68937-75-7</t>
  </si>
  <si>
    <t>95465-89-7</t>
  </si>
  <si>
    <t>95465-90-0</t>
  </si>
  <si>
    <t>95465-91-1</t>
  </si>
  <si>
    <t>12070-08-5</t>
  </si>
  <si>
    <t>93280-40-1</t>
  </si>
  <si>
    <t>53763-42-1</t>
  </si>
  <si>
    <t>64354-92-3</t>
  </si>
  <si>
    <t>859-18-7</t>
  </si>
  <si>
    <t>3938-12-3</t>
  </si>
  <si>
    <t>26912-64-1</t>
  </si>
  <si>
    <t>56896-76-5</t>
  </si>
  <si>
    <t>75-20-7</t>
  </si>
  <si>
    <t>3566-10-7</t>
  </si>
  <si>
    <t>513-78-0</t>
  </si>
  <si>
    <t>191680-81-6</t>
  </si>
  <si>
    <t>1327-53-3</t>
  </si>
  <si>
    <t>68515-40-2</t>
  </si>
  <si>
    <t>85029-52-3</t>
  </si>
  <si>
    <t>30125-47-4</t>
  </si>
  <si>
    <t>92062-36-7</t>
  </si>
  <si>
    <t>92128-65-9</t>
  </si>
  <si>
    <t>74401-04-0</t>
  </si>
  <si>
    <t>128729-28-2</t>
  </si>
  <si>
    <t>90268-36-3</t>
  </si>
  <si>
    <t>101836-92-4</t>
  </si>
  <si>
    <t>71302-79-9</t>
  </si>
  <si>
    <t>177256-67-6</t>
  </si>
  <si>
    <t>866889-72-7</t>
  </si>
  <si>
    <t>343239-13-4</t>
  </si>
  <si>
    <t>30399-84-9</t>
  </si>
  <si>
    <t>106990-43-6</t>
  </si>
  <si>
    <t>74871-40-2</t>
  </si>
  <si>
    <t>13464-37-4</t>
  </si>
  <si>
    <t>68938-03-4</t>
  </si>
  <si>
    <t>66587-56-2</t>
  </si>
  <si>
    <t>35085-41-7</t>
  </si>
  <si>
    <t>85536-20-5</t>
  </si>
  <si>
    <t>90989-38-1</t>
  </si>
  <si>
    <t>25376-45-8</t>
  </si>
  <si>
    <t>13466-06-3</t>
  </si>
  <si>
    <t>27776-01-8</t>
  </si>
  <si>
    <t>68201-37-6</t>
  </si>
  <si>
    <t>67762-39-4</t>
  </si>
  <si>
    <t>3913-02-8</t>
  </si>
  <si>
    <t>1336-21-6</t>
  </si>
  <si>
    <t>65996-78-3</t>
  </si>
  <si>
    <t>10141-05-6</t>
  </si>
  <si>
    <t>7360-53-4</t>
  </si>
  <si>
    <t>7646-79-9</t>
  </si>
  <si>
    <t>403599-78-0</t>
  </si>
  <si>
    <t>89797-03-5</t>
  </si>
  <si>
    <t>1424149-03-0</t>
  </si>
  <si>
    <t>33855-47-9</t>
  </si>
  <si>
    <t>57036-29-0</t>
  </si>
  <si>
    <t>122-75-8</t>
  </si>
  <si>
    <t>264145-26-8</t>
  </si>
  <si>
    <t>1303-28-2</t>
  </si>
  <si>
    <t>341-69-5</t>
  </si>
  <si>
    <t>37262-61-6</t>
  </si>
  <si>
    <t>28299-41-4</t>
  </si>
  <si>
    <t>128686-03-3</t>
  </si>
  <si>
    <t>68609-97-2</t>
  </si>
  <si>
    <t>176429-27-9</t>
  </si>
  <si>
    <t>53404-60-7</t>
  </si>
  <si>
    <t>156126-48-6</t>
  </si>
  <si>
    <t>61420-92-6</t>
  </si>
  <si>
    <t>68920-66-1</t>
  </si>
  <si>
    <t>1079184-43-2</t>
  </si>
  <si>
    <t>84989-04-8</t>
  </si>
  <si>
    <t>84989-06-0</t>
  </si>
  <si>
    <t>84989-07-1</t>
  </si>
  <si>
    <t>28837-52-7</t>
  </si>
  <si>
    <t>10025-91-9</t>
  </si>
  <si>
    <t>68551-08-6</t>
  </si>
  <si>
    <t>7651-02-7</t>
  </si>
  <si>
    <t>25013-16-5</t>
  </si>
  <si>
    <t>10043-01-3</t>
  </si>
  <si>
    <t>878208-45-8</t>
  </si>
  <si>
    <t>141904-03-2</t>
  </si>
  <si>
    <t>25167-67-3</t>
  </si>
  <si>
    <t>8002-13-9</t>
  </si>
  <si>
    <t>9004-83-5</t>
  </si>
  <si>
    <t>141880-36-6</t>
  </si>
  <si>
    <t>839705-03-2</t>
  </si>
  <si>
    <t>63148-62-9</t>
  </si>
  <si>
    <t>9003-08-1</t>
  </si>
  <si>
    <t>38294-64-3</t>
  </si>
  <si>
    <t>2445-07-0</t>
  </si>
  <si>
    <t>26952-21-6</t>
  </si>
  <si>
    <t>92045-34-6</t>
  </si>
  <si>
    <t>6318-09-8</t>
  </si>
  <si>
    <t>37353-75-6</t>
  </si>
  <si>
    <t>62852-89-5</t>
  </si>
  <si>
    <t>68937-96-2</t>
  </si>
  <si>
    <t>58834-75-6</t>
  </si>
  <si>
    <t>68038-71-1</t>
  </si>
  <si>
    <t>7681-55-2</t>
  </si>
  <si>
    <t>171599-84-1</t>
  </si>
  <si>
    <t>3749-87-9</t>
  </si>
  <si>
    <t>25155-30-0</t>
  </si>
  <si>
    <t>943914-64-5</t>
  </si>
  <si>
    <t>7775-11-3</t>
  </si>
  <si>
    <t>66455-14-9</t>
  </si>
  <si>
    <t>6452-73-9</t>
  </si>
  <si>
    <t>26762-93-6</t>
  </si>
  <si>
    <t>28016-01-5</t>
  </si>
  <si>
    <t>28041-63-6</t>
  </si>
  <si>
    <t>51404-69-4</t>
  </si>
  <si>
    <t>55101-67-2</t>
  </si>
  <si>
    <t>1187742-72-8</t>
  </si>
  <si>
    <t>12001-85-3</t>
  </si>
  <si>
    <t>3049-71-6</t>
  </si>
  <si>
    <t>68411-44-9</t>
  </si>
  <si>
    <t>1304-76-3</t>
  </si>
  <si>
    <t>7440-69-9</t>
  </si>
  <si>
    <t>35238-34-7</t>
  </si>
  <si>
    <t>68526-57-8</t>
  </si>
  <si>
    <t>85535-87-1</t>
  </si>
  <si>
    <t>8066-21-5</t>
  </si>
  <si>
    <t>196597-80-5</t>
  </si>
  <si>
    <t>85536-73-8</t>
  </si>
  <si>
    <t>249630-78-2</t>
  </si>
  <si>
    <t>14059-33-7</t>
  </si>
  <si>
    <t>61791-26-2</t>
  </si>
  <si>
    <t>7720-78-7</t>
  </si>
  <si>
    <t>1315321-94-8</t>
  </si>
  <si>
    <t>108173-90-6</t>
  </si>
  <si>
    <t>13530-68-2</t>
  </si>
  <si>
    <t>7758-94-3</t>
  </si>
  <si>
    <t>56996-66-8</t>
  </si>
  <si>
    <t>144971-11-9</t>
  </si>
  <si>
    <t>326490-13-5</t>
  </si>
  <si>
    <t>865889-33-4</t>
  </si>
  <si>
    <t>173939-66-7</t>
  </si>
  <si>
    <t>149057-64-7</t>
  </si>
  <si>
    <t>28209-58-7</t>
  </si>
  <si>
    <t>122302-63-0</t>
  </si>
  <si>
    <t>95718-78-8</t>
  </si>
  <si>
    <t>7786-81-4</t>
  </si>
  <si>
    <t>39450-05-0</t>
  </si>
  <si>
    <t>7778-43-0</t>
  </si>
  <si>
    <t>54261-67-5</t>
  </si>
  <si>
    <t>13530-50-2</t>
  </si>
  <si>
    <t>7784-30-7</t>
  </si>
  <si>
    <t>188070-47-5</t>
  </si>
  <si>
    <t>18820-29-6</t>
  </si>
  <si>
    <t>97489-15-1</t>
  </si>
  <si>
    <t>174514-06-8</t>
  </si>
  <si>
    <t>549-18-8</t>
  </si>
  <si>
    <t>135937-20-1</t>
  </si>
  <si>
    <t>90604-40-3</t>
  </si>
  <si>
    <t>26264-06-2</t>
  </si>
  <si>
    <t>67701-26-2</t>
  </si>
  <si>
    <t>7664-41-7</t>
  </si>
  <si>
    <t>109348-55-2</t>
  </si>
  <si>
    <t>57583-35-4</t>
  </si>
  <si>
    <t>99685-96-8</t>
  </si>
  <si>
    <t>12027-96-2</t>
  </si>
  <si>
    <t>101012-97-9</t>
  </si>
  <si>
    <t>1024699-81-7</t>
  </si>
  <si>
    <t>1024700-50-2</t>
  </si>
  <si>
    <t>177256-69-8</t>
  </si>
  <si>
    <t>13494-80-9</t>
  </si>
  <si>
    <t>67701-27-3</t>
  </si>
  <si>
    <t>60372-77-2</t>
  </si>
  <si>
    <t>65232-89-5</t>
  </si>
  <si>
    <t>42405-01-6</t>
  </si>
  <si>
    <t>8066-11-3</t>
  </si>
  <si>
    <t>13721-39-6</t>
  </si>
  <si>
    <t>187547-46-2</t>
  </si>
  <si>
    <t>68955-53-3</t>
  </si>
  <si>
    <t>68424-37-3</t>
  </si>
  <si>
    <t>166242-53-1</t>
  </si>
  <si>
    <t>2578-28-1</t>
  </si>
  <si>
    <t>1886-81-3</t>
  </si>
  <si>
    <t>1227096-04-9</t>
  </si>
  <si>
    <t>105560-93-8</t>
  </si>
  <si>
    <t>29204-93-1</t>
  </si>
  <si>
    <t>16721-80-5</t>
  </si>
  <si>
    <t>51142-62-2</t>
  </si>
  <si>
    <t>68608-89-9</t>
  </si>
  <si>
    <t>59198-70-8</t>
  </si>
  <si>
    <t>7784-25-0</t>
  </si>
  <si>
    <t>8047-15-2</t>
  </si>
  <si>
    <t>68909-18-2</t>
  </si>
  <si>
    <t>13827-02-6</t>
  </si>
  <si>
    <t>992-20-1</t>
  </si>
  <si>
    <t>1424148-94-6</t>
  </si>
  <si>
    <t>1424148-97-9</t>
  </si>
  <si>
    <t>1424148-99-1</t>
  </si>
  <si>
    <t>28390-91-2</t>
  </si>
  <si>
    <t>9012-76-4</t>
  </si>
  <si>
    <t>2058-46-0</t>
  </si>
  <si>
    <t>30618-84-9</t>
  </si>
  <si>
    <t>93925-37-2</t>
  </si>
  <si>
    <t>37187-22-7</t>
  </si>
  <si>
    <t>39394-70-2</t>
  </si>
  <si>
    <t>68647-71-2</t>
  </si>
  <si>
    <t>8063-52-3</t>
  </si>
  <si>
    <t>7440-57-5</t>
  </si>
  <si>
    <t>65997-16-2</t>
  </si>
  <si>
    <t>97660-35-0</t>
  </si>
  <si>
    <t>7782-49-2</t>
  </si>
  <si>
    <t>13718-26-8</t>
  </si>
  <si>
    <t>9007-39-0</t>
  </si>
  <si>
    <t>66594-31-8</t>
  </si>
  <si>
    <t>64401-02-1</t>
  </si>
  <si>
    <t>164288-56-6</t>
  </si>
  <si>
    <t>159939-85-2</t>
  </si>
  <si>
    <t>753-73-1</t>
  </si>
  <si>
    <t>31566-31-1</t>
  </si>
  <si>
    <t>68187-63-3</t>
  </si>
  <si>
    <t>68953-96-8</t>
  </si>
  <si>
    <t>70024-67-8</t>
  </si>
  <si>
    <t>57374-49-9</t>
  </si>
  <si>
    <t>68479-98-1</t>
  </si>
  <si>
    <t>1330-61-6</t>
  </si>
  <si>
    <t>68526-92-1</t>
  </si>
  <si>
    <t>15120-17-9</t>
  </si>
  <si>
    <t>857035-95-1</t>
  </si>
  <si>
    <t>160901-19-9</t>
  </si>
  <si>
    <t>52609-19-5</t>
  </si>
  <si>
    <t>68213-23-0</t>
  </si>
  <si>
    <t>68439-46-3</t>
  </si>
  <si>
    <t>7738-94-5</t>
  </si>
  <si>
    <t>7705-08-0</t>
  </si>
  <si>
    <t>1313-82-2</t>
  </si>
  <si>
    <t>137786-05-1</t>
  </si>
  <si>
    <t>445409-27-8</t>
  </si>
  <si>
    <t>61788-44-1</t>
  </si>
  <si>
    <t>61693-43-4</t>
  </si>
  <si>
    <t>67254-71-1</t>
  </si>
  <si>
    <t>68989-03-7</t>
  </si>
  <si>
    <t>86393-32-0</t>
  </si>
  <si>
    <t>103953-90-8</t>
  </si>
  <si>
    <t>68955-19-1</t>
  </si>
  <si>
    <t>76701-94-5</t>
  </si>
  <si>
    <t>68477-35-0</t>
  </si>
  <si>
    <t>91995-41-4</t>
  </si>
  <si>
    <t>92128-68-2</t>
  </si>
  <si>
    <t>68037-92-3</t>
  </si>
  <si>
    <t>34398-01-1</t>
  </si>
  <si>
    <t>10421-48-4</t>
  </si>
  <si>
    <t>102-99-8</t>
  </si>
  <si>
    <t>12797-87-4</t>
  </si>
  <si>
    <t>131013-81-5</t>
  </si>
  <si>
    <t>202420-04-0</t>
  </si>
  <si>
    <t>5697-02-9</t>
  </si>
  <si>
    <t>11104-28-2</t>
  </si>
  <si>
    <t>84852-02-8</t>
  </si>
  <si>
    <t>102110-14-5</t>
  </si>
  <si>
    <t>68956-55-8</t>
  </si>
  <si>
    <t>68411-20-1</t>
  </si>
  <si>
    <t>97862-28-7</t>
  </si>
  <si>
    <t>2997-92-4</t>
  </si>
  <si>
    <t>106603-13-8</t>
  </si>
  <si>
    <t>157905-74-3</t>
  </si>
  <si>
    <t>2235-25-8</t>
  </si>
  <si>
    <t>105812-81-5</t>
  </si>
  <si>
    <t>109887-53-8</t>
  </si>
  <si>
    <t>31473-53-7</t>
  </si>
  <si>
    <t>85711-26-8</t>
  </si>
  <si>
    <t>308068-56-6</t>
  </si>
  <si>
    <t>68921-42-6</t>
  </si>
  <si>
    <t>106476-75-9</t>
  </si>
  <si>
    <t>59493-72-0</t>
  </si>
  <si>
    <t>68131-40-8</t>
  </si>
  <si>
    <t>55184-72-0</t>
  </si>
  <si>
    <t>1321-12-6</t>
  </si>
  <si>
    <t>56996-37-3</t>
  </si>
  <si>
    <t>64742-47-8</t>
  </si>
  <si>
    <t>626201-67-0</t>
  </si>
  <si>
    <t>113889-23-9</t>
  </si>
  <si>
    <t>101316-80-7</t>
  </si>
  <si>
    <t>64742-31-0</t>
  </si>
  <si>
    <t>64742-81-0</t>
  </si>
  <si>
    <t>64742-88-7</t>
  </si>
  <si>
    <t>64742-96-7</t>
  </si>
  <si>
    <t>8008-20-6</t>
  </si>
  <si>
    <t>91770-15-9</t>
  </si>
  <si>
    <t>93763-35-0</t>
  </si>
  <si>
    <t>210558-66-0</t>
  </si>
  <si>
    <t>64741-98-6</t>
  </si>
  <si>
    <t>96300-95-7</t>
  </si>
  <si>
    <t>1219458-11-3</t>
  </si>
  <si>
    <t>59729-32-7</t>
  </si>
  <si>
    <t>85117-10-8</t>
  </si>
  <si>
    <t>1215036-04-6</t>
  </si>
  <si>
    <t>12239-87-1</t>
  </si>
  <si>
    <t>1328-53-6</t>
  </si>
  <si>
    <t>14302-13-7</t>
  </si>
  <si>
    <t>147-14-8</t>
  </si>
  <si>
    <t>16040-69-0</t>
  </si>
  <si>
    <t>231610-41-6</t>
  </si>
  <si>
    <t>27614-71-7</t>
  </si>
  <si>
    <t>65997-01-5</t>
  </si>
  <si>
    <t>68440-09-5</t>
  </si>
  <si>
    <t>68512-13-0</t>
  </si>
  <si>
    <t>68604-44-4</t>
  </si>
  <si>
    <t>68610-86-6</t>
  </si>
  <si>
    <t>68910-13-4</t>
  </si>
  <si>
    <t>68987-63-3</t>
  </si>
  <si>
    <t>6992-11-6</t>
  </si>
  <si>
    <t>72207-62-6</t>
  </si>
  <si>
    <t>8002-26-4</t>
  </si>
  <si>
    <t>85711-45-1</t>
  </si>
  <si>
    <t>90268-23-8</t>
  </si>
  <si>
    <t>90268-24-9</t>
  </si>
  <si>
    <t>91050-82-7</t>
  </si>
  <si>
    <t>911674-82-3</t>
  </si>
  <si>
    <t>26471-62-5</t>
  </si>
  <si>
    <t>53763-77-2</t>
  </si>
  <si>
    <t>8005-78-5</t>
  </si>
  <si>
    <t>26937-01-9</t>
  </si>
  <si>
    <t>15571-58-1</t>
  </si>
  <si>
    <t>16754-68-0</t>
  </si>
  <si>
    <t>101631-14-5</t>
  </si>
  <si>
    <t>11138-49-1</t>
  </si>
  <si>
    <t>12251-53-5</t>
  </si>
  <si>
    <t>25321-09-9</t>
  </si>
  <si>
    <t>475569-04-1</t>
  </si>
  <si>
    <t>312753-53-0</t>
  </si>
  <si>
    <t>149861-22-3</t>
  </si>
  <si>
    <t>68411-30-3</t>
  </si>
  <si>
    <t>134127-48-3</t>
  </si>
  <si>
    <t>8030-30-6</t>
  </si>
  <si>
    <t>7778-50-9</t>
  </si>
  <si>
    <t>924626-15-3</t>
  </si>
  <si>
    <t>7772-99-8</t>
  </si>
  <si>
    <t>9000-29-7</t>
  </si>
  <si>
    <t>1231880-35-5</t>
  </si>
  <si>
    <t>73296-89-6</t>
  </si>
  <si>
    <t>85586-07-8</t>
  </si>
  <si>
    <t>182015-56-1</t>
  </si>
  <si>
    <t>12125-02-9</t>
  </si>
  <si>
    <t>20762-60-1</t>
  </si>
  <si>
    <t>1344-73-6</t>
  </si>
  <si>
    <t>79723-02-7</t>
  </si>
  <si>
    <t>857288-56-3</t>
  </si>
  <si>
    <t>161075-00-9</t>
  </si>
  <si>
    <t>27176-87-0</t>
  </si>
  <si>
    <t>136213-75-7</t>
  </si>
  <si>
    <t>9016-45-9</t>
  </si>
  <si>
    <t>65996-84-1</t>
  </si>
  <si>
    <t>7803-55-6</t>
  </si>
  <si>
    <t>37220-35-2</t>
  </si>
  <si>
    <t>136-53-8</t>
  </si>
  <si>
    <t>119532-26-2</t>
  </si>
  <si>
    <t>13510-49-1</t>
  </si>
  <si>
    <t>7446-14-2</t>
  </si>
  <si>
    <t>242456-95-7</t>
  </si>
  <si>
    <t>1219458-14-6</t>
  </si>
  <si>
    <t>1266664-66-7</t>
  </si>
  <si>
    <t>134-30-5</t>
  </si>
  <si>
    <t>14177-55-0</t>
  </si>
  <si>
    <t>10102-06-4</t>
  </si>
  <si>
    <t>121240-56-0</t>
  </si>
  <si>
    <t>12002-03-8</t>
  </si>
  <si>
    <t>149057-72-7</t>
  </si>
  <si>
    <t>7745-89-3</t>
  </si>
  <si>
    <t>7718-54-9</t>
  </si>
  <si>
    <t>121870-66-4</t>
  </si>
  <si>
    <t>66845-29-2</t>
  </si>
  <si>
    <t>1345668-40-7</t>
  </si>
  <si>
    <t>4053-08-1</t>
  </si>
  <si>
    <t>93076-03-0</t>
  </si>
  <si>
    <t>65431-33-6</t>
  </si>
  <si>
    <t>9036-19-5</t>
  </si>
  <si>
    <t>18496-25-8</t>
  </si>
  <si>
    <t>13597-46-1</t>
  </si>
  <si>
    <t>37191-38-1</t>
  </si>
  <si>
    <t>61789-36-4</t>
  </si>
  <si>
    <t>73561-39-4</t>
  </si>
  <si>
    <t>13548-38-4</t>
  </si>
  <si>
    <t>931431-24-2</t>
  </si>
  <si>
    <t>186321-96-0</t>
  </si>
  <si>
    <t>2982-54-9</t>
  </si>
  <si>
    <t>10025-73-7</t>
  </si>
  <si>
    <t>3081-01-4</t>
  </si>
  <si>
    <t>20748-72-5</t>
  </si>
  <si>
    <t>21829-50-5</t>
  </si>
  <si>
    <t>2272-11-9</t>
  </si>
  <si>
    <t>92731-41-4</t>
  </si>
  <si>
    <t>5329-14-6</t>
  </si>
  <si>
    <t>10124-43-3</t>
  </si>
  <si>
    <t>53404-62-9</t>
  </si>
  <si>
    <t>119345-04-9</t>
  </si>
  <si>
    <t>1303-00-0</t>
  </si>
  <si>
    <t>75-74-1</t>
  </si>
  <si>
    <t>3542-36-7</t>
  </si>
  <si>
    <t>37339-61-0</t>
  </si>
  <si>
    <t>1314-64-3</t>
  </si>
  <si>
    <t>29329-71-3</t>
  </si>
  <si>
    <t>3794-83-0</t>
  </si>
  <si>
    <t>105813-13-6</t>
  </si>
  <si>
    <t>85251-77-0</t>
  </si>
  <si>
    <t>136504-96-6</t>
  </si>
  <si>
    <t>68526-52-3</t>
  </si>
  <si>
    <t>848301-65-5</t>
  </si>
  <si>
    <t>1224966-15-7</t>
  </si>
  <si>
    <t>84989-41-3</t>
  </si>
  <si>
    <t>7778-74-7</t>
  </si>
  <si>
    <t>68608-88-8</t>
  </si>
  <si>
    <t>73069-87-1</t>
  </si>
  <si>
    <t>68390-97-6</t>
  </si>
  <si>
    <t>68391-04-8</t>
  </si>
  <si>
    <t>176429-22-4</t>
  </si>
  <si>
    <t>189012-93-9</t>
  </si>
  <si>
    <t>26566-95-0</t>
  </si>
  <si>
    <t>28629-66-5</t>
  </si>
  <si>
    <t>68442-22-8</t>
  </si>
  <si>
    <t>68457-79-4</t>
  </si>
  <si>
    <t>68784-31-6</t>
  </si>
  <si>
    <t>68909-93-3</t>
  </si>
  <si>
    <t>68988-45-4</t>
  </si>
  <si>
    <t>84605-29-8</t>
  </si>
  <si>
    <t>85940-28-9</t>
  </si>
  <si>
    <t>93819-94-4</t>
  </si>
  <si>
    <t>1345668-41-8</t>
  </si>
  <si>
    <t>65071-95-6</t>
  </si>
  <si>
    <t>25167-81-1</t>
  </si>
  <si>
    <t>301-04-2</t>
  </si>
  <si>
    <t>85566-26-3</t>
  </si>
  <si>
    <t>1079221-49-0</t>
  </si>
  <si>
    <t>180898-37-7</t>
  </si>
  <si>
    <t>86604-75-3</t>
  </si>
  <si>
    <t>58740-24-2</t>
  </si>
  <si>
    <t>154518-38-4</t>
  </si>
  <si>
    <t>147170-44-3</t>
  </si>
  <si>
    <t>7727-18-6</t>
  </si>
  <si>
    <t>68477-38-3</t>
  </si>
  <si>
    <t>68527-18-4</t>
  </si>
  <si>
    <t>68987-42-8</t>
  </si>
  <si>
    <t>86290-83-7</t>
  </si>
  <si>
    <t>98072-36-7</t>
  </si>
  <si>
    <t>98219-64-8</t>
  </si>
  <si>
    <t>66402-68-4</t>
  </si>
  <si>
    <t>25068-38-6</t>
  </si>
  <si>
    <t>9003-36-5</t>
  </si>
  <si>
    <t>2787-91-9</t>
  </si>
  <si>
    <t>5470-11-1</t>
  </si>
  <si>
    <t>68585-34-2</t>
  </si>
  <si>
    <t>68188-18-1</t>
  </si>
  <si>
    <t>85736-63-6</t>
  </si>
  <si>
    <t>866-55-7</t>
  </si>
  <si>
    <t>30785-74-1</t>
  </si>
  <si>
    <t>64742-94-5</t>
  </si>
  <si>
    <t>10099-74-8</t>
  </si>
  <si>
    <t>140-41-0</t>
  </si>
  <si>
    <t>11096-42-7</t>
  </si>
  <si>
    <t>27774-13-6</t>
  </si>
  <si>
    <t>337906-37-3</t>
  </si>
  <si>
    <t>68037-96-7</t>
  </si>
  <si>
    <t>55072-57-6</t>
  </si>
  <si>
    <t>62010-28-0</t>
  </si>
  <si>
    <t>13410-01-0</t>
  </si>
  <si>
    <t>12656-85-8</t>
  </si>
  <si>
    <t>1344-37-2</t>
  </si>
  <si>
    <t>308062-28-4</t>
  </si>
  <si>
    <t>68955-55-5</t>
  </si>
  <si>
    <t>194602-27-2</t>
  </si>
  <si>
    <t>151841-65-5</t>
  </si>
  <si>
    <t>26748-41-4</t>
  </si>
  <si>
    <t>66603-10-9</t>
  </si>
  <si>
    <t>129217-90-9</t>
  </si>
  <si>
    <t>1192-89-8</t>
  </si>
  <si>
    <t>21645-51-2</t>
  </si>
  <si>
    <t>97-93-8</t>
  </si>
  <si>
    <t>398141-87-2</t>
  </si>
  <si>
    <t>521284-22-0</t>
  </si>
  <si>
    <t>131459-39-7</t>
  </si>
  <si>
    <t>161907-83-1</t>
  </si>
  <si>
    <t>7446-70-0</t>
  </si>
  <si>
    <t>64742-90-1</t>
  </si>
  <si>
    <t>181028-79-5</t>
  </si>
  <si>
    <t>5945-33-5</t>
  </si>
  <si>
    <t>4199-10-4</t>
  </si>
  <si>
    <t>69227-24-3</t>
  </si>
  <si>
    <t>12058-66-1</t>
  </si>
  <si>
    <t>2212-59-1</t>
  </si>
  <si>
    <t>32534-95-5</t>
  </si>
  <si>
    <t>8002-05-9</t>
  </si>
  <si>
    <t>117663-11-3</t>
  </si>
  <si>
    <t>29964-84-9</t>
  </si>
  <si>
    <t>12672-27-4</t>
  </si>
  <si>
    <t>1318-23-6</t>
  </si>
  <si>
    <t>84144-98-9</t>
  </si>
  <si>
    <t>50934-16-2</t>
  </si>
  <si>
    <t>68155-07-7</t>
  </si>
  <si>
    <t>67762-26-9</t>
  </si>
  <si>
    <t>67762-38-3</t>
  </si>
  <si>
    <t>68990-52-3</t>
  </si>
  <si>
    <t>85049-31-6</t>
  </si>
  <si>
    <t>158223-16-6</t>
  </si>
  <si>
    <t>13071-11-9</t>
  </si>
  <si>
    <t>359406-89-6</t>
  </si>
  <si>
    <t>1224966-13-5</t>
  </si>
  <si>
    <t>1225197-81-8</t>
  </si>
  <si>
    <t>1226892-45-0</t>
  </si>
  <si>
    <t>1226892-49-4</t>
  </si>
  <si>
    <t>1226892-50-7</t>
  </si>
  <si>
    <t>68131-13-5</t>
  </si>
  <si>
    <t>72624-02-3</t>
  </si>
  <si>
    <t>72674-05-6</t>
  </si>
  <si>
    <t>68475-80-9</t>
  </si>
  <si>
    <t>12772-06-4</t>
  </si>
  <si>
    <t>7790-86-5</t>
  </si>
  <si>
    <t>25378-22-7</t>
  </si>
  <si>
    <t>71-48-7</t>
  </si>
  <si>
    <t>557-05-1</t>
  </si>
  <si>
    <t>68477-39-4</t>
  </si>
  <si>
    <t>68516-20-1</t>
  </si>
  <si>
    <t>67701-01-3</t>
  </si>
  <si>
    <t>67701-05-7</t>
  </si>
  <si>
    <t>71076-48-7</t>
  </si>
  <si>
    <t>85631-26-1</t>
  </si>
  <si>
    <t>90990-08-2</t>
  </si>
  <si>
    <t>90990-10-6</t>
  </si>
  <si>
    <t>5188-07-8</t>
  </si>
  <si>
    <t>7439-89-6</t>
  </si>
  <si>
    <t>41272-40-6</t>
  </si>
  <si>
    <t>1000817-22-0</t>
  </si>
  <si>
    <t>211387-29-0</t>
  </si>
  <si>
    <t>15502-74-6</t>
  </si>
  <si>
    <t>28041-64-7</t>
  </si>
  <si>
    <t>69012-45-9</t>
  </si>
  <si>
    <t>72869-86-4</t>
  </si>
  <si>
    <t>10102-18-8</t>
  </si>
  <si>
    <t>68187-30-4</t>
  </si>
  <si>
    <t>92045-41-5</t>
  </si>
  <si>
    <t>502157-73-5</t>
  </si>
  <si>
    <t>1333-82-0</t>
  </si>
  <si>
    <t>6990-43-8</t>
  </si>
  <si>
    <t>65996-83-0</t>
  </si>
  <si>
    <t>65996-85-2</t>
  </si>
  <si>
    <t>92062-22-1</t>
  </si>
  <si>
    <t>1709-70-2</t>
  </si>
  <si>
    <t>8070-92-6</t>
  </si>
  <si>
    <t>68956-56-9</t>
  </si>
  <si>
    <t>68513-69-9</t>
  </si>
  <si>
    <t>12751-15-4</t>
  </si>
  <si>
    <t>83713-16-0</t>
  </si>
  <si>
    <t>26628-22-8</t>
  </si>
  <si>
    <t>96300-96-8</t>
  </si>
  <si>
    <t>50977-10-1</t>
  </si>
  <si>
    <t>90640-82-7</t>
  </si>
  <si>
    <t>109940-17-2</t>
  </si>
  <si>
    <t>29590-42-9</t>
  </si>
  <si>
    <t>1147459-12-8</t>
  </si>
  <si>
    <t>84929-31-7</t>
  </si>
  <si>
    <t>67124-09-8</t>
  </si>
  <si>
    <t>68514-38-5</t>
  </si>
  <si>
    <t>91994-95-5</t>
  </si>
  <si>
    <t>93821-12-6</t>
  </si>
  <si>
    <t>97592-99-9</t>
  </si>
  <si>
    <t>97593-00-5</t>
  </si>
  <si>
    <t>358331-95-0</t>
  </si>
  <si>
    <t>141048-13-7</t>
  </si>
  <si>
    <t>163063-26-1</t>
  </si>
  <si>
    <t>31775-20-9</t>
  </si>
  <si>
    <t>32351-70-5</t>
  </si>
  <si>
    <t>991-84-4</t>
  </si>
  <si>
    <t>591773-92-1</t>
  </si>
  <si>
    <t>149749-62-2</t>
  </si>
  <si>
    <t>68391-05-9</t>
  </si>
  <si>
    <t>68515-81-1</t>
  </si>
  <si>
    <t>1219826-66-0</t>
  </si>
  <si>
    <t>61358-25-6</t>
  </si>
  <si>
    <t>51285-81-5</t>
  </si>
  <si>
    <t>1228186-15-9</t>
  </si>
  <si>
    <t>92129-33-4</t>
  </si>
  <si>
    <t>42405-40-3</t>
  </si>
  <si>
    <t>141890-30-4</t>
  </si>
  <si>
    <t>13464-38-5</t>
  </si>
  <si>
    <t>6358-30-1</t>
  </si>
  <si>
    <t>1837-57-6</t>
  </si>
  <si>
    <t>31206-90-3</t>
  </si>
  <si>
    <t>54650-57-6</t>
  </si>
  <si>
    <t>84082-70-2</t>
  </si>
  <si>
    <t>10377-66-9</t>
  </si>
  <si>
    <t>118753-94-9</t>
  </si>
  <si>
    <t>68526-55-6</t>
  </si>
  <si>
    <t>121482-73-3</t>
  </si>
  <si>
    <t>1314-61-0</t>
  </si>
  <si>
    <t>144413-22-9</t>
  </si>
  <si>
    <t>153965-54-9</t>
  </si>
  <si>
    <t>155600-38-7</t>
  </si>
  <si>
    <t>16924-00-8</t>
  </si>
  <si>
    <t>17570-76-2</t>
  </si>
  <si>
    <t>68971-82-4</t>
  </si>
  <si>
    <t>73364-10-0</t>
  </si>
  <si>
    <t>93238-03-0</t>
  </si>
  <si>
    <t>68439-70-3</t>
  </si>
  <si>
    <t>4292-10-8</t>
  </si>
  <si>
    <t>7722-64-7</t>
  </si>
  <si>
    <t>130-61-0</t>
  </si>
  <si>
    <t>110081-40-8</t>
  </si>
  <si>
    <t>818-08-6</t>
  </si>
  <si>
    <t>147993-66-6</t>
  </si>
  <si>
    <t>10108-73-3</t>
  </si>
  <si>
    <t>341031-54-7</t>
  </si>
  <si>
    <t>13465-08-2</t>
  </si>
  <si>
    <t>3349-36-8</t>
  </si>
  <si>
    <t>68131-39-5</t>
  </si>
  <si>
    <t>163256-24-4</t>
  </si>
  <si>
    <t>190065-88-4</t>
  </si>
  <si>
    <t>1314-62-1</t>
  </si>
  <si>
    <t>25167-82-2</t>
  </si>
  <si>
    <t>7553-56-2</t>
  </si>
  <si>
    <t>318-98-9</t>
  </si>
  <si>
    <t>143683-23-2</t>
  </si>
  <si>
    <t>24484-01-3</t>
  </si>
  <si>
    <t>90063-97-1</t>
  </si>
  <si>
    <t>1338-02-9</t>
  </si>
  <si>
    <t>7440-36-0</t>
  </si>
  <si>
    <t>100163-29-9</t>
  </si>
  <si>
    <t>66072-08-0</t>
  </si>
  <si>
    <t>144020-22-4</t>
  </si>
  <si>
    <t>17339-60-5</t>
  </si>
  <si>
    <t>72361-35-4</t>
  </si>
  <si>
    <t>68477-50-9</t>
  </si>
  <si>
    <t>56996-89-5</t>
  </si>
  <si>
    <t>70592-80-2</t>
  </si>
  <si>
    <t>51810-80-1</t>
  </si>
  <si>
    <t>86089-17-0</t>
  </si>
  <si>
    <t>119937-21-2</t>
  </si>
  <si>
    <t>147993-65-5</t>
  </si>
  <si>
    <t>25167-70-8</t>
  </si>
  <si>
    <t>1067-33-0</t>
  </si>
  <si>
    <t>52316-55-9</t>
  </si>
  <si>
    <t>12036-21-4</t>
  </si>
  <si>
    <t>12069-91-9</t>
  </si>
  <si>
    <t>12070-10-9</t>
  </si>
  <si>
    <t>12207-63-5</t>
  </si>
  <si>
    <t>1314-34-7</t>
  </si>
  <si>
    <t>13701-70-7</t>
  </si>
  <si>
    <t>13769-43-2</t>
  </si>
  <si>
    <t>39455-80-6</t>
  </si>
  <si>
    <t>98903-75-4</t>
  </si>
  <si>
    <t>40292-82-8</t>
  </si>
  <si>
    <t>10039-54-0</t>
  </si>
  <si>
    <t>7803-49-8</t>
  </si>
  <si>
    <t>68071-07-8</t>
  </si>
  <si>
    <t>157858-57-6</t>
  </si>
  <si>
    <t>13138-45-9</t>
  </si>
  <si>
    <t>105839-18-7</t>
  </si>
  <si>
    <t>102110-55-4</t>
  </si>
  <si>
    <t>64741-99-7</t>
  </si>
  <si>
    <t>64742-83-2</t>
  </si>
  <si>
    <t>64742-91-2</t>
  </si>
  <si>
    <t>68410-96-8</t>
  </si>
  <si>
    <t>68475-70-7</t>
  </si>
  <si>
    <t>68527-23-1</t>
  </si>
  <si>
    <t>68527-26-4</t>
  </si>
  <si>
    <t>68606-10-0</t>
  </si>
  <si>
    <t>68921-67-5</t>
  </si>
  <si>
    <t>68955-29-3</t>
  </si>
  <si>
    <t>90641-13-7</t>
  </si>
  <si>
    <t>90989-41-6</t>
  </si>
  <si>
    <t>90989-43-8</t>
  </si>
  <si>
    <t>91723-50-1</t>
  </si>
  <si>
    <t>91995-50-5</t>
  </si>
  <si>
    <t>92045-57-3</t>
  </si>
  <si>
    <t>92045-61-9</t>
  </si>
  <si>
    <t>94114-03-1</t>
  </si>
  <si>
    <t>98219-47-7</t>
  </si>
  <si>
    <t>68131-73-7</t>
  </si>
  <si>
    <t>81412-43-3</t>
  </si>
  <si>
    <t>64742-04-7</t>
  </si>
  <si>
    <t>64742-05-8</t>
  </si>
  <si>
    <t>68783-04-0</t>
  </si>
  <si>
    <t>37301-44-3</t>
  </si>
  <si>
    <t>127519-17-9</t>
  </si>
  <si>
    <t>615-50-9</t>
  </si>
  <si>
    <t>1335203-30-9</t>
  </si>
  <si>
    <t>68187-80-4</t>
  </si>
  <si>
    <t>68603-38-3</t>
  </si>
  <si>
    <t>90622-74-5</t>
  </si>
  <si>
    <t>90622-77-8</t>
  </si>
  <si>
    <t>7733-02-0</t>
  </si>
  <si>
    <t>153519-44-9</t>
  </si>
  <si>
    <t>7381-01-3</t>
  </si>
  <si>
    <t>1404-04-2</t>
  </si>
  <si>
    <t>1192718-95-8</t>
  </si>
  <si>
    <t>3847-29-8</t>
  </si>
  <si>
    <t>302345-18-2</t>
  </si>
  <si>
    <t>464177-84-2</t>
  </si>
  <si>
    <t>61789-71-7</t>
  </si>
  <si>
    <t>161074-79-9</t>
  </si>
  <si>
    <t>68081-91-4</t>
  </si>
  <si>
    <t>68891-38-3</t>
  </si>
  <si>
    <t>124584-00-5</t>
  </si>
  <si>
    <t>71786-60-2</t>
  </si>
  <si>
    <t>61711-25-9</t>
  </si>
  <si>
    <t>856053-75-3</t>
  </si>
  <si>
    <t>7440-47-3</t>
  </si>
  <si>
    <t>102561-69-3</t>
  </si>
  <si>
    <t>7778-39-4</t>
  </si>
  <si>
    <t>168474-38-2</t>
  </si>
  <si>
    <t>332350-93-3</t>
  </si>
  <si>
    <t>23149-52-2</t>
  </si>
  <si>
    <t>1219010-04-4</t>
  </si>
  <si>
    <t>1506-02-1</t>
  </si>
  <si>
    <t>145821-60-9</t>
  </si>
  <si>
    <t>11141-16-5</t>
  </si>
  <si>
    <t>113930-69-1</t>
  </si>
  <si>
    <t>68936-98-1</t>
  </si>
  <si>
    <t>116726-92-2</t>
  </si>
  <si>
    <t>13189-00-9</t>
  </si>
  <si>
    <t>27311-52-0</t>
  </si>
  <si>
    <t>7281-04-1</t>
  </si>
  <si>
    <t>26898-17-9</t>
  </si>
  <si>
    <t>178535-25-6</t>
  </si>
  <si>
    <t>83905-01-5</t>
  </si>
  <si>
    <t>1313206-64-2</t>
  </si>
  <si>
    <t>68227-46-3</t>
  </si>
  <si>
    <t>163702-01-0</t>
  </si>
  <si>
    <t>28275-80-1</t>
  </si>
  <si>
    <t>64771-71-7</t>
  </si>
  <si>
    <t>7440-21-3</t>
  </si>
  <si>
    <t>283167-56-6</t>
  </si>
  <si>
    <t>14215-52-2</t>
  </si>
  <si>
    <t>68477-53-2</t>
  </si>
  <si>
    <t>1226892-43-8</t>
  </si>
  <si>
    <t>1226892-44-9</t>
  </si>
  <si>
    <t>130328-19-7</t>
  </si>
  <si>
    <t>37222-66-5</t>
  </si>
  <si>
    <t>1072229-48-1</t>
  </si>
  <si>
    <t>835912-68-0</t>
  </si>
  <si>
    <t>894-86-0</t>
  </si>
  <si>
    <t>618-26-8</t>
  </si>
  <si>
    <t>68155-27-1</t>
  </si>
  <si>
    <t>131298-44-7</t>
  </si>
  <si>
    <t>88918-84-7</t>
  </si>
  <si>
    <t>106264-79-3</t>
  </si>
  <si>
    <t>1228186-17-1</t>
  </si>
  <si>
    <t>61789-80-8</t>
  </si>
  <si>
    <t>3226-36-6</t>
  </si>
  <si>
    <t>55818-86-5</t>
  </si>
  <si>
    <t>117342-25-3</t>
  </si>
  <si>
    <t>35723-83-2</t>
  </si>
  <si>
    <t>26952-14-7</t>
  </si>
  <si>
    <t>101316-62-5</t>
  </si>
  <si>
    <t>102110-15-6</t>
  </si>
  <si>
    <t>65996-79-4</t>
  </si>
  <si>
    <t>68477-40-7</t>
  </si>
  <si>
    <t>68477-54-3</t>
  </si>
  <si>
    <t>68478-10-4</t>
  </si>
  <si>
    <t>68526-56-7</t>
  </si>
  <si>
    <t>94733-07-0</t>
  </si>
  <si>
    <t>404362-22-7</t>
  </si>
  <si>
    <t>27193-28-8</t>
  </si>
  <si>
    <t>193687-63-7</t>
  </si>
  <si>
    <t>34416-92-7</t>
  </si>
  <si>
    <t>10099-58-8</t>
  </si>
  <si>
    <t>84649-98-9</t>
  </si>
  <si>
    <t>25640-70-4</t>
  </si>
  <si>
    <t>144669-04-5</t>
  </si>
  <si>
    <t>1218787-30-4</t>
  </si>
  <si>
    <t>133779-11-0</t>
  </si>
  <si>
    <t>69898-01-7</t>
  </si>
  <si>
    <t>1233873-37-4</t>
  </si>
  <si>
    <t>174333-80-3</t>
  </si>
  <si>
    <t>438193-30-7</t>
  </si>
  <si>
    <t>61791-10-4</t>
  </si>
  <si>
    <t>63449-41-2</t>
  </si>
  <si>
    <t>1306-25-8</t>
  </si>
  <si>
    <t>58339-34-7</t>
  </si>
  <si>
    <t>8048-07-5</t>
  </si>
  <si>
    <t>31895-22-4</t>
  </si>
  <si>
    <t>67711-91-5</t>
  </si>
  <si>
    <t>69011-60-5</t>
  </si>
  <si>
    <t>27070-58-2</t>
  </si>
  <si>
    <t>7429-90-5</t>
  </si>
  <si>
    <t>163485-98-1</t>
  </si>
  <si>
    <t>68037-95-6</t>
  </si>
  <si>
    <t>67167-02-6</t>
  </si>
  <si>
    <t>96300-97-9</t>
  </si>
  <si>
    <t>170621-28-0</t>
  </si>
  <si>
    <t>13473-90-0</t>
  </si>
  <si>
    <t>12185-10-3</t>
  </si>
  <si>
    <t>69011-36-5</t>
  </si>
  <si>
    <t>8022-00-2</t>
  </si>
  <si>
    <t>1290049-56-7</t>
  </si>
  <si>
    <t>68951-67-7</t>
  </si>
  <si>
    <t>68007-08-9</t>
  </si>
  <si>
    <t>125904-11-2</t>
  </si>
  <si>
    <t>113694-52-3</t>
  </si>
  <si>
    <t>78169-20-7</t>
  </si>
  <si>
    <t>25640-78-2</t>
  </si>
  <si>
    <t>90342-32-8</t>
  </si>
  <si>
    <t>12767-90-7</t>
  </si>
  <si>
    <t>151-50-8</t>
  </si>
  <si>
    <t>84281-74-3</t>
  </si>
  <si>
    <t>28041-60-3</t>
  </si>
  <si>
    <t>28804-88-8</t>
  </si>
  <si>
    <t>56533-00-7</t>
  </si>
  <si>
    <t>93924-10-8</t>
  </si>
  <si>
    <t>911103-27-0</t>
  </si>
  <si>
    <t>1211950-04-7</t>
  </si>
  <si>
    <t>14235-86-0</t>
  </si>
  <si>
    <t>7681-52-9</t>
  </si>
  <si>
    <t>7758-95-4</t>
  </si>
  <si>
    <t>51395-10-9</t>
  </si>
  <si>
    <t>67167-01-5</t>
  </si>
  <si>
    <t>7440-28-0</t>
  </si>
  <si>
    <t>61791-64-8</t>
  </si>
  <si>
    <t>13963-58-1</t>
  </si>
  <si>
    <t>61788-32-7</t>
  </si>
  <si>
    <t>64741-45-3</t>
  </si>
  <si>
    <t>64741-57-7</t>
  </si>
  <si>
    <t>64741-61-3</t>
  </si>
  <si>
    <t>64741-62-4</t>
  </si>
  <si>
    <t>64741-67-9</t>
  </si>
  <si>
    <t>64741-75-9</t>
  </si>
  <si>
    <t>64741-80-6</t>
  </si>
  <si>
    <t>64741-81-7</t>
  </si>
  <si>
    <t>64742-59-2</t>
  </si>
  <si>
    <t>64742-78-5</t>
  </si>
  <si>
    <t>64742-86-5</t>
  </si>
  <si>
    <t>68333-22-2</t>
  </si>
  <si>
    <t>68476-32-4</t>
  </si>
  <si>
    <t>68476-33-5</t>
  </si>
  <si>
    <t>68478-17-1</t>
  </si>
  <si>
    <t>68512-62-9</t>
  </si>
  <si>
    <t>68553-00-4</t>
  </si>
  <si>
    <t>68607-30-7</t>
  </si>
  <si>
    <t>68783-08-4</t>
  </si>
  <si>
    <t>68955-27-1</t>
  </si>
  <si>
    <t>70592-76-6</t>
  </si>
  <si>
    <t>70592-77-7</t>
  </si>
  <si>
    <t>70592-78-8</t>
  </si>
  <si>
    <t>90669-76-4</t>
  </si>
  <si>
    <t>92045-14-2</t>
  </si>
  <si>
    <t>92061-97-7</t>
  </si>
  <si>
    <t>93821-66-0</t>
  </si>
  <si>
    <t>123-88-6</t>
  </si>
  <si>
    <t>71808-53-2</t>
  </si>
  <si>
    <t>73561-28-1</t>
  </si>
  <si>
    <t>13462-86-7</t>
  </si>
  <si>
    <t>68607-24-9</t>
  </si>
  <si>
    <t>81646-13-1</t>
  </si>
  <si>
    <t>2781-10-4</t>
  </si>
  <si>
    <t>77-58-7</t>
  </si>
  <si>
    <t>12237-62-6</t>
  </si>
  <si>
    <t>109125-51-1</t>
  </si>
  <si>
    <t>126851-28-3</t>
  </si>
  <si>
    <t>52769-67-2</t>
  </si>
  <si>
    <t>51661-19-9</t>
  </si>
  <si>
    <t>68514-95-4</t>
  </si>
  <si>
    <t>7758-19-2</t>
  </si>
  <si>
    <t>135043-64-0</t>
  </si>
  <si>
    <t>68607-28-3</t>
  </si>
  <si>
    <t>7440-61-1</t>
  </si>
  <si>
    <t>93924-11-9</t>
  </si>
  <si>
    <t>3648-18-8</t>
  </si>
  <si>
    <t>426218-78-2</t>
  </si>
  <si>
    <t>99328-50-4</t>
  </si>
  <si>
    <t>7646-85-7</t>
  </si>
  <si>
    <t>80939-62-4</t>
  </si>
  <si>
    <t>2176-98-9</t>
  </si>
  <si>
    <t>15546-11-9</t>
  </si>
  <si>
    <t>78-04-6</t>
  </si>
  <si>
    <t>8065-75-6</t>
  </si>
  <si>
    <t>697234-74-5</t>
  </si>
  <si>
    <t>169790-37-8</t>
  </si>
  <si>
    <t>26140-60-3</t>
  </si>
  <si>
    <t>62125-22-8</t>
  </si>
  <si>
    <t>114247-06-2</t>
  </si>
  <si>
    <t>130296-87-6</t>
  </si>
  <si>
    <t>8066-08-8</t>
  </si>
  <si>
    <t>97925-95-6</t>
  </si>
  <si>
    <t>103621-96-1</t>
  </si>
  <si>
    <t>118685-24-8</t>
  </si>
  <si>
    <t>118685-29-3</t>
  </si>
  <si>
    <t>141686-48-8</t>
  </si>
  <si>
    <t>141686-49-9</t>
  </si>
  <si>
    <t>156559-00-1</t>
  </si>
  <si>
    <t>56902-08-0</t>
  </si>
  <si>
    <t>60-41-3</t>
  </si>
  <si>
    <t>7440-38-2</t>
  </si>
  <si>
    <t>1067-14-7</t>
  </si>
  <si>
    <t>84896-44-6</t>
  </si>
  <si>
    <t>95751-97-6</t>
  </si>
  <si>
    <t>29253-36-9</t>
  </si>
  <si>
    <t>156679-41-3</t>
  </si>
  <si>
    <t>53988-10-6</t>
  </si>
  <si>
    <t>75045-07-7</t>
  </si>
  <si>
    <t>25013-15-4</t>
  </si>
  <si>
    <t>30374-01-7</t>
  </si>
  <si>
    <t>85586-21-6</t>
  </si>
  <si>
    <t>2497-06-5</t>
  </si>
  <si>
    <t>66423-09-4</t>
  </si>
  <si>
    <t>1344-81-6</t>
  </si>
  <si>
    <t>32509-66-3</t>
  </si>
  <si>
    <t>70879-65-1</t>
  </si>
  <si>
    <t>142-71-2</t>
  </si>
  <si>
    <t>501410-94-2</t>
  </si>
  <si>
    <t>90640-45-2</t>
  </si>
  <si>
    <t>705257-84-7</t>
  </si>
  <si>
    <t>1332-40-7</t>
  </si>
  <si>
    <t>26635-92-7</t>
  </si>
  <si>
    <t>102110-60-1</t>
  </si>
  <si>
    <t>20039-37-6</t>
  </si>
  <si>
    <t>85005-25-0</t>
  </si>
  <si>
    <t>85116-81-0</t>
  </si>
  <si>
    <t>85186-86-3</t>
  </si>
  <si>
    <t>85186-95-4</t>
  </si>
  <si>
    <t>91031-27-5</t>
  </si>
  <si>
    <t>7704-67-8</t>
  </si>
  <si>
    <t>143-33-9</t>
  </si>
  <si>
    <t>53516-76-0</t>
  </si>
  <si>
    <t>67774-74-7</t>
  </si>
  <si>
    <t>12003-63-3</t>
  </si>
  <si>
    <t>68900-98-1</t>
  </si>
  <si>
    <t>117573-92-9</t>
  </si>
  <si>
    <t>1268344-02-0</t>
  </si>
  <si>
    <t>64741-49-7</t>
  </si>
  <si>
    <t>64741-58-8</t>
  </si>
  <si>
    <t>64741-77-1</t>
  </si>
  <si>
    <t>64742-87-6</t>
  </si>
  <si>
    <t>68334-30-5</t>
  </si>
  <si>
    <t>68476-30-2</t>
  </si>
  <si>
    <t>68476-31-3</t>
  </si>
  <si>
    <t>68476-34-6</t>
  </si>
  <si>
    <t>92045-24-4</t>
  </si>
  <si>
    <t>593-56-6</t>
  </si>
  <si>
    <t>78246-49-8</t>
  </si>
  <si>
    <t>2533-82-6</t>
  </si>
  <si>
    <t>7585-14-0</t>
  </si>
  <si>
    <t>66330-88-9</t>
  </si>
  <si>
    <t>69-09-0</t>
  </si>
  <si>
    <t>84962-05-0</t>
  </si>
  <si>
    <t>75022-22-9</t>
  </si>
  <si>
    <t>15281-91-1</t>
  </si>
  <si>
    <t>56996-91-9</t>
  </si>
  <si>
    <t>56104-14-4</t>
  </si>
  <si>
    <t>12068-53-0</t>
  </si>
  <si>
    <t>91853-67-7</t>
  </si>
  <si>
    <t>214353-17-0</t>
  </si>
  <si>
    <t>7440-66-6</t>
  </si>
  <si>
    <t>12108-13-3</t>
  </si>
  <si>
    <t>95144-24-4</t>
  </si>
  <si>
    <t>201490-14-4</t>
  </si>
  <si>
    <t>766516-40-9</t>
  </si>
  <si>
    <t>7790-28-5</t>
  </si>
  <si>
    <t>7488-55-3</t>
  </si>
  <si>
    <t>75627-31-5</t>
  </si>
  <si>
    <t>7440-24-6</t>
  </si>
  <si>
    <t>8065-48-3</t>
  </si>
  <si>
    <t>7681-82-5</t>
  </si>
  <si>
    <t>69029-47-6</t>
  </si>
  <si>
    <t>61791-63-7</t>
  </si>
  <si>
    <t>163831-67-2</t>
  </si>
  <si>
    <t>10380-28-6</t>
  </si>
  <si>
    <t>61791-39-7</t>
  </si>
  <si>
    <t>119345-03-8</t>
  </si>
  <si>
    <t>32144-25-5</t>
  </si>
  <si>
    <t>63393-96-4</t>
  </si>
  <si>
    <t>1314-84-7</t>
  </si>
  <si>
    <t>67762-37-2</t>
  </si>
  <si>
    <t>68783-78-8</t>
  </si>
  <si>
    <t>20427-59-2</t>
  </si>
  <si>
    <t>10588-01-9</t>
  </si>
  <si>
    <t>39429-71-5</t>
  </si>
  <si>
    <t>61789-28-4</t>
  </si>
  <si>
    <t>176022-82-5</t>
  </si>
  <si>
    <t>1064698-37-8</t>
  </si>
  <si>
    <t>7783-35-9</t>
  </si>
  <si>
    <t>7726-95-6</t>
  </si>
  <si>
    <t>64741-43-1</t>
  </si>
  <si>
    <t>64741-44-2</t>
  </si>
  <si>
    <t>68814-87-9</t>
  </si>
  <si>
    <t>68915-96-8</t>
  </si>
  <si>
    <t>68915-97-9</t>
  </si>
  <si>
    <t>68424-85-1</t>
  </si>
  <si>
    <t>56996-90-8</t>
  </si>
  <si>
    <t>51364-51-3</t>
  </si>
  <si>
    <t>191362-08-0</t>
  </si>
  <si>
    <t>64741-86-2</t>
  </si>
  <si>
    <t>64742-46-7</t>
  </si>
  <si>
    <t>64742-79-6</t>
  </si>
  <si>
    <t>64742-80-9</t>
  </si>
  <si>
    <t>90622-53-0</t>
  </si>
  <si>
    <t>93924-33-5</t>
  </si>
  <si>
    <t>12680-48-7</t>
  </si>
  <si>
    <t>85535-84-8</t>
  </si>
  <si>
    <t>14244-62-3</t>
  </si>
  <si>
    <t>1309955-79-0</t>
  </si>
  <si>
    <t>617711-03-2</t>
  </si>
  <si>
    <t>142315-00-2</t>
  </si>
  <si>
    <t>58798-47-3</t>
  </si>
  <si>
    <t>302-01-2</t>
  </si>
  <si>
    <t>50540-61-9</t>
  </si>
  <si>
    <t>8000-96-2</t>
  </si>
  <si>
    <t>85408-62-4</t>
  </si>
  <si>
    <t>106141-84-8</t>
  </si>
  <si>
    <t>8018-01-7</t>
  </si>
  <si>
    <t>121158-58-5</t>
  </si>
  <si>
    <t>46492-07-3</t>
  </si>
  <si>
    <t>12004-35-2</t>
  </si>
  <si>
    <t>134429-57-5</t>
  </si>
  <si>
    <t>136920-10-0</t>
  </si>
  <si>
    <t>56727-25-4</t>
  </si>
  <si>
    <t>1337918-51-0</t>
  </si>
  <si>
    <t>152848-22-1</t>
  </si>
  <si>
    <t>89171-23-3</t>
  </si>
  <si>
    <t>557-34-6</t>
  </si>
  <si>
    <t>14639-97-5</t>
  </si>
  <si>
    <t>52628-25-8</t>
  </si>
  <si>
    <t>1218787-32-6</t>
  </si>
  <si>
    <t>7699-45-8</t>
  </si>
  <si>
    <t>84649-84-3</t>
  </si>
  <si>
    <t>212203-57-1</t>
  </si>
  <si>
    <t>61617-00-3</t>
  </si>
  <si>
    <t>12056-51-8</t>
  </si>
  <si>
    <t>61789-18-2</t>
  </si>
  <si>
    <t>956115-80-3</t>
  </si>
  <si>
    <t>25103-09-7</t>
  </si>
  <si>
    <t>12062-24-7</t>
  </si>
  <si>
    <t>136920-08-6</t>
  </si>
  <si>
    <t>82356-51-2</t>
  </si>
  <si>
    <t>38888-98-1</t>
  </si>
  <si>
    <t>1330-78-5</t>
  </si>
  <si>
    <t>32289-58-0</t>
  </si>
  <si>
    <t>115136-53-3</t>
  </si>
  <si>
    <t>239446-62-9</t>
  </si>
  <si>
    <t>15627-09-5</t>
  </si>
  <si>
    <t>10028-18-9</t>
  </si>
  <si>
    <t>18718-11-1</t>
  </si>
  <si>
    <t>81420-25-9</t>
  </si>
  <si>
    <t>28553-12-0</t>
  </si>
  <si>
    <t>101357-16-8</t>
  </si>
  <si>
    <t>57583-34-3</t>
  </si>
  <si>
    <t>87826-41-3</t>
  </si>
  <si>
    <t>27554-26-3</t>
  </si>
  <si>
    <t>29008-35-3</t>
  </si>
  <si>
    <t>129473-78-5</t>
  </si>
  <si>
    <t>14402-75-6</t>
  </si>
  <si>
    <t>68989-02-6</t>
  </si>
  <si>
    <t>68890-66-4</t>
  </si>
  <si>
    <t>13863-41-7</t>
  </si>
  <si>
    <t>214710-34-6</t>
  </si>
  <si>
    <t>65555-32-0</t>
  </si>
  <si>
    <t>866-82-0</t>
  </si>
  <si>
    <t>13040-19-2</t>
  </si>
  <si>
    <t>13598-37-3</t>
  </si>
  <si>
    <t>13986-21-5</t>
  </si>
  <si>
    <t>16039-53-5</t>
  </si>
  <si>
    <t>20427-58-1</t>
  </si>
  <si>
    <t>2452-01-9</t>
  </si>
  <si>
    <t>27253-29-8</t>
  </si>
  <si>
    <t>35674-68-1</t>
  </si>
  <si>
    <t>51839-25-9</t>
  </si>
  <si>
    <t>67701-12-6</t>
  </si>
  <si>
    <t>68440-34-6</t>
  </si>
  <si>
    <t>68551-44-0</t>
  </si>
  <si>
    <t>7779-90-0</t>
  </si>
  <si>
    <t>84418-50-8</t>
  </si>
  <si>
    <t>85203-81-2</t>
  </si>
  <si>
    <t>90480-58-3</t>
  </si>
  <si>
    <t>91051-00-2</t>
  </si>
  <si>
    <t>91051-01-3</t>
  </si>
  <si>
    <t>92044-84-3</t>
  </si>
  <si>
    <t>10026-13-8</t>
  </si>
  <si>
    <t>126931-72-4</t>
  </si>
  <si>
    <t>25338-51-6</t>
  </si>
  <si>
    <t>147-24-0</t>
  </si>
  <si>
    <t>165593-30-6</t>
  </si>
  <si>
    <t>11103-86-9</t>
  </si>
  <si>
    <t>68308-74-7</t>
  </si>
  <si>
    <t>84539-60-6</t>
  </si>
  <si>
    <t>12054-48-7</t>
  </si>
  <si>
    <t>12035-72-2</t>
  </si>
  <si>
    <t>12607-70-4</t>
  </si>
  <si>
    <t>1313-99-1</t>
  </si>
  <si>
    <t>13770-89-3</t>
  </si>
  <si>
    <t>16812-54-7</t>
  </si>
  <si>
    <t>7783-00-8</t>
  </si>
  <si>
    <t>49663-84-5</t>
  </si>
  <si>
    <t>1520-78-1</t>
  </si>
  <si>
    <t>27107-89-7</t>
  </si>
  <si>
    <t>740817-83-8</t>
  </si>
  <si>
    <t>75782-86-4</t>
  </si>
  <si>
    <t>10124-36-4</t>
  </si>
  <si>
    <t>3344-12-5</t>
  </si>
  <si>
    <t>4834-49-5</t>
  </si>
  <si>
    <t>6491-02-7</t>
  </si>
  <si>
    <t>7440-41-7</t>
  </si>
  <si>
    <t>26266-58-0</t>
  </si>
  <si>
    <t>68132-19-4</t>
  </si>
  <si>
    <t>8007-43-0</t>
  </si>
  <si>
    <t>1317-38-0</t>
  </si>
  <si>
    <t>69012-50-6</t>
  </si>
  <si>
    <t>68002-97-1</t>
  </si>
  <si>
    <t>8011-60-7</t>
  </si>
  <si>
    <t>79617-97-3</t>
  </si>
  <si>
    <t>27342-88-7</t>
  </si>
  <si>
    <t>106233-09-4</t>
  </si>
  <si>
    <t>70750-57-1</t>
  </si>
  <si>
    <t>96638-72-1</t>
  </si>
  <si>
    <t>18727-04-3</t>
  </si>
  <si>
    <t>68515-51-5</t>
  </si>
  <si>
    <t>8027-00-7</t>
  </si>
  <si>
    <t>69235-50-3</t>
  </si>
  <si>
    <t>98119-34-7</t>
  </si>
  <si>
    <t>8001-54-5</t>
  </si>
  <si>
    <t>26544-20-7</t>
  </si>
  <si>
    <t>7439-92-1</t>
  </si>
  <si>
    <t>866-81-9</t>
  </si>
  <si>
    <t>68956-82-1</t>
  </si>
  <si>
    <t>68457-13-6</t>
  </si>
  <si>
    <t>102110-49-6</t>
  </si>
  <si>
    <t>102110-50-9</t>
  </si>
  <si>
    <t>26523-78-4</t>
  </si>
  <si>
    <t>67711-88-0</t>
  </si>
  <si>
    <t>67711-90-4</t>
  </si>
  <si>
    <t>67711-94-8</t>
  </si>
  <si>
    <t>67711-95-9</t>
  </si>
  <si>
    <t>68308-34-9</t>
  </si>
  <si>
    <t>68412-54-4</t>
  </si>
  <si>
    <t>69012-54-0</t>
  </si>
  <si>
    <t>69029-45-4</t>
  </si>
  <si>
    <t>69029-46-5</t>
  </si>
  <si>
    <t>69029-51-2</t>
  </si>
  <si>
    <t>69029-52-3</t>
  </si>
  <si>
    <t>69029-58-9</t>
  </si>
  <si>
    <t>69029-60-3</t>
  </si>
  <si>
    <t>69029-67-0</t>
  </si>
  <si>
    <t>69029-84-1</t>
  </si>
  <si>
    <t>69029-97-6</t>
  </si>
  <si>
    <t>69227-11-8</t>
  </si>
  <si>
    <t>84195-51-7</t>
  </si>
  <si>
    <t>84195-61-9</t>
  </si>
  <si>
    <t>84696-55-9</t>
  </si>
  <si>
    <t>91053-49-5</t>
  </si>
  <si>
    <t>94551-99-2</t>
  </si>
  <si>
    <t>97808-88-3</t>
  </si>
  <si>
    <t>98072-44-7</t>
  </si>
  <si>
    <t>98072-52-7</t>
  </si>
  <si>
    <t>98072-60-7</t>
  </si>
  <si>
    <t>98072-61-8</t>
  </si>
  <si>
    <t>98072-70-9</t>
  </si>
  <si>
    <t>98246-91-4</t>
  </si>
  <si>
    <t>78628-80-5</t>
  </si>
  <si>
    <t>68439-75-8</t>
  </si>
  <si>
    <t>158570-99-1</t>
  </si>
  <si>
    <t>1066-45-1</t>
  </si>
  <si>
    <t>373-02-4</t>
  </si>
  <si>
    <t>57-12-5</t>
  </si>
  <si>
    <t>863782-35-8</t>
  </si>
  <si>
    <t>6147-11-1</t>
  </si>
  <si>
    <t>8067-98-9</t>
  </si>
  <si>
    <t>12190-79-3</t>
  </si>
  <si>
    <t>1307-86-4</t>
  </si>
  <si>
    <t>1307-96-6</t>
  </si>
  <si>
    <t>1308-06-1</t>
  </si>
  <si>
    <t>1317-42-6</t>
  </si>
  <si>
    <t>14024-48-7</t>
  </si>
  <si>
    <t>1560-69-6</t>
  </si>
  <si>
    <t>21041-93-0</t>
  </si>
  <si>
    <t>27253-31-2</t>
  </si>
  <si>
    <t>61789-51-3</t>
  </si>
  <si>
    <t>814-89-1</t>
  </si>
  <si>
    <t>91782-60-4</t>
  </si>
  <si>
    <t>91782-61-5</t>
  </si>
  <si>
    <t>280130-32-7</t>
  </si>
  <si>
    <t>8007-45-2</t>
  </si>
  <si>
    <t>1135-99-5</t>
  </si>
  <si>
    <t>26062-79-3</t>
  </si>
  <si>
    <t>12016-80-7</t>
  </si>
  <si>
    <t>68140-01-2</t>
  </si>
  <si>
    <t>136-52-7</t>
  </si>
  <si>
    <t>13586-84-0</t>
  </si>
  <si>
    <t>16941-12-1</t>
  </si>
  <si>
    <t>1185-81-5</t>
  </si>
  <si>
    <t>56996-88-4</t>
  </si>
  <si>
    <t>736150-63-3</t>
  </si>
  <si>
    <t>7440-22-4</t>
  </si>
  <si>
    <t>513-79-1</t>
  </si>
  <si>
    <t>186466-85-3</t>
  </si>
  <si>
    <t>84625-32-1</t>
  </si>
  <si>
    <t>10325-94-7</t>
  </si>
  <si>
    <t>7440-02-0</t>
  </si>
  <si>
    <t>106436-39-9</t>
  </si>
  <si>
    <t>128973-77-3</t>
  </si>
  <si>
    <t>8029-29-6</t>
  </si>
  <si>
    <t>12036-76-9</t>
  </si>
  <si>
    <t>12065-90-6</t>
  </si>
  <si>
    <t>12141-20-7</t>
  </si>
  <si>
    <t>12202-17-4</t>
  </si>
  <si>
    <t>12578-12-0</t>
  </si>
  <si>
    <t>1314-41-6</t>
  </si>
  <si>
    <t>1317-36-8</t>
  </si>
  <si>
    <t>62229-08-7</t>
  </si>
  <si>
    <t>69011-06-9</t>
  </si>
  <si>
    <t>91031-62-8</t>
  </si>
  <si>
    <t>86403-32-9</t>
  </si>
  <si>
    <t>7788-98-9</t>
  </si>
  <si>
    <t>93685-81-5</t>
  </si>
  <si>
    <t>125778-19-0</t>
  </si>
  <si>
    <t>182700-89-6</t>
  </si>
  <si>
    <t>202482-44-8</t>
  </si>
  <si>
    <t>51580-86-0</t>
  </si>
  <si>
    <t>8067-49-0</t>
  </si>
  <si>
    <t>7778-54-3</t>
  </si>
  <si>
    <t>6734-80-1</t>
  </si>
  <si>
    <t>196965-91-0</t>
  </si>
  <si>
    <t>68608-82-2</t>
  </si>
  <si>
    <t>138698-36-9</t>
  </si>
  <si>
    <t>91031-91-3</t>
  </si>
  <si>
    <t>7758-89-6</t>
  </si>
  <si>
    <t>87691-88-1</t>
  </si>
  <si>
    <t>57226-68-3</t>
  </si>
  <si>
    <t>68919-76-6</t>
  </si>
  <si>
    <t>670241-72-2</t>
  </si>
  <si>
    <t>58718-66-4</t>
  </si>
  <si>
    <t>7783-90-6</t>
  </si>
  <si>
    <t>690995-44-9</t>
  </si>
  <si>
    <t>7440-43-9</t>
  </si>
  <si>
    <t>101316-59-0</t>
  </si>
  <si>
    <t>64741-59-9</t>
  </si>
  <si>
    <t>64741-60-2</t>
  </si>
  <si>
    <t>64741-82-8</t>
  </si>
  <si>
    <t>68333-25-5</t>
  </si>
  <si>
    <t>68921-07-3</t>
  </si>
  <si>
    <t>85116-53-6</t>
  </si>
  <si>
    <t>92045-29-9</t>
  </si>
  <si>
    <t>84332-87-6</t>
  </si>
  <si>
    <t>1379524-06-7</t>
  </si>
  <si>
    <t>4274-38-8</t>
  </si>
  <si>
    <t>13464-97-6</t>
  </si>
  <si>
    <t>68155-37-3</t>
  </si>
  <si>
    <t>90640-43-0</t>
  </si>
  <si>
    <t>1262985-23-8</t>
  </si>
  <si>
    <t>1262985-24-9</t>
  </si>
  <si>
    <t>133413-70-4</t>
  </si>
  <si>
    <t>133806-84-5</t>
  </si>
  <si>
    <t>300371-32-8</t>
  </si>
  <si>
    <t>307-08-4</t>
  </si>
  <si>
    <t>68425-15-0</t>
  </si>
  <si>
    <t>68425-16-1</t>
  </si>
  <si>
    <t>88358-74-1</t>
  </si>
  <si>
    <t>12642-13-6</t>
  </si>
  <si>
    <t>125304-21-4</t>
  </si>
  <si>
    <t>68155-42-0</t>
  </si>
  <si>
    <t>8021-39-4</t>
  </si>
  <si>
    <t>12060-00-3</t>
  </si>
  <si>
    <t>1319-46-6</t>
  </si>
  <si>
    <t>10108-64-2</t>
  </si>
  <si>
    <t>1334421-89-4</t>
  </si>
  <si>
    <t>1334421-90-7</t>
  </si>
  <si>
    <t>150763-46-5</t>
  </si>
  <si>
    <t>33360-84-8</t>
  </si>
  <si>
    <t>32534-81-9</t>
  </si>
  <si>
    <t>25360-10-5</t>
  </si>
  <si>
    <t>92128-22-8</t>
  </si>
  <si>
    <t>12626-81-2</t>
  </si>
  <si>
    <t>3590-84-9</t>
  </si>
  <si>
    <t>54847-85-7</t>
  </si>
  <si>
    <t>561056-62-0</t>
  </si>
  <si>
    <t>10099-59-9</t>
  </si>
  <si>
    <t>125051-32-3</t>
  </si>
  <si>
    <t>9014-01-1</t>
  </si>
  <si>
    <t>200644-82-2</t>
  </si>
  <si>
    <t>4454-16-4</t>
  </si>
  <si>
    <t>203742-97-6</t>
  </si>
  <si>
    <t>107-27-7</t>
  </si>
  <si>
    <t>7440-48-4</t>
  </si>
  <si>
    <t>502-39-6</t>
  </si>
  <si>
    <t>11120-22-2</t>
  </si>
  <si>
    <t>546-67-8</t>
  </si>
  <si>
    <t>8012-00-8</t>
  </si>
  <si>
    <t>158898-95-4</t>
  </si>
  <si>
    <t>2767-54-6</t>
  </si>
  <si>
    <t>10599-90-3</t>
  </si>
  <si>
    <t>90640-84-9</t>
  </si>
  <si>
    <t>192268-65-8</t>
  </si>
  <si>
    <t>69012-29-9</t>
  </si>
  <si>
    <t>37353-63-2</t>
  </si>
  <si>
    <t>136213-73-5</t>
  </si>
  <si>
    <t>4299-07-4</t>
  </si>
  <si>
    <t>104558-95-4</t>
  </si>
  <si>
    <t>82795-38-8</t>
  </si>
  <si>
    <t>25154-52-3</t>
  </si>
  <si>
    <t>146925-83-9</t>
  </si>
  <si>
    <t>7456-68-0</t>
  </si>
  <si>
    <t>78-00-2</t>
  </si>
  <si>
    <t>56-95-1</t>
  </si>
  <si>
    <t>69011-50-3</t>
  </si>
  <si>
    <t>69012-24-4</t>
  </si>
  <si>
    <t>69012-79-9</t>
  </si>
  <si>
    <t>69029-83-0</t>
  </si>
  <si>
    <t>39336-75-9</t>
  </si>
  <si>
    <t>65997-18-4</t>
  </si>
  <si>
    <t>1313-13-9</t>
  </si>
  <si>
    <t>7758-98-7</t>
  </si>
  <si>
    <t>7779-88-6</t>
  </si>
  <si>
    <t>30622-37-8</t>
  </si>
  <si>
    <t>68391-08-2</t>
  </si>
  <si>
    <t>85631-54-5</t>
  </si>
  <si>
    <t>148788-55-0</t>
  </si>
  <si>
    <t>12286-65-6</t>
  </si>
  <si>
    <t>12286-66-7</t>
  </si>
  <si>
    <t>71832-85-4</t>
  </si>
  <si>
    <t>97593-01-6</t>
  </si>
  <si>
    <t>56996-94-2</t>
  </si>
  <si>
    <t>168316-95-8</t>
  </si>
  <si>
    <t>39289-94-6</t>
  </si>
  <si>
    <t>97592-79-5</t>
  </si>
  <si>
    <t>308062-60-4</t>
  </si>
  <si>
    <t>26966-75-6</t>
  </si>
  <si>
    <t>135861-56-2</t>
  </si>
  <si>
    <t>206565-89-1</t>
  </si>
  <si>
    <t>343978-24-5</t>
  </si>
  <si>
    <t>543-80-6</t>
  </si>
  <si>
    <t>56996-99-7</t>
  </si>
  <si>
    <t>31512-74-0</t>
  </si>
  <si>
    <t>197179-61-6</t>
  </si>
  <si>
    <t>18472-51-0</t>
  </si>
  <si>
    <t>68937-40-6</t>
  </si>
  <si>
    <t>163661-77-6</t>
  </si>
  <si>
    <t>894406-76-9</t>
  </si>
  <si>
    <t>118612-00-3</t>
  </si>
  <si>
    <t>52783-21-8</t>
  </si>
  <si>
    <t>3862-11-1</t>
  </si>
  <si>
    <t>130755-46-3</t>
  </si>
  <si>
    <t>90640-80-5</t>
  </si>
  <si>
    <t>90640-86-1</t>
  </si>
  <si>
    <t>60318-27-6</t>
  </si>
  <si>
    <t>61791-66-0</t>
  </si>
  <si>
    <t>960154-34-1</t>
  </si>
  <si>
    <t>17852-52-7</t>
  </si>
  <si>
    <t>121575-60-8</t>
  </si>
  <si>
    <t>65996-93-2</t>
  </si>
  <si>
    <t>68187-58-6</t>
  </si>
  <si>
    <t>287930-78-3</t>
  </si>
  <si>
    <t>321860-75-7</t>
  </si>
  <si>
    <t>2437-29-8</t>
  </si>
  <si>
    <t>866625-93-6</t>
  </si>
  <si>
    <t>124791-77-1</t>
  </si>
  <si>
    <t>134620-00-1</t>
  </si>
  <si>
    <t>344562-80-7</t>
  </si>
  <si>
    <t>98726-73-9</t>
  </si>
  <si>
    <t>1344-67-8</t>
  </si>
  <si>
    <t>243982-96-9</t>
  </si>
  <si>
    <t>204933-93-7</t>
  </si>
  <si>
    <t>934985-83-8</t>
  </si>
  <si>
    <t>99541-23-8</t>
  </si>
  <si>
    <t>890525-36-7</t>
  </si>
  <si>
    <t>6840-80-8</t>
  </si>
  <si>
    <t>68611-70-1</t>
  </si>
  <si>
    <t>34902-57-3</t>
  </si>
  <si>
    <t>3251-23-8</t>
  </si>
  <si>
    <t>75-59-2</t>
  </si>
  <si>
    <t>1228186-18-2</t>
  </si>
  <si>
    <t>69029-48-7</t>
  </si>
  <si>
    <t>7440-50-8</t>
  </si>
  <si>
    <t>68937-41-7</t>
  </si>
  <si>
    <t>119345-01-6</t>
  </si>
  <si>
    <t>73146-73-3</t>
  </si>
  <si>
    <t>1314-80-3</t>
  </si>
  <si>
    <t>91745-52-7</t>
  </si>
  <si>
    <t>727678-39-9</t>
  </si>
  <si>
    <t>921213-47-0</t>
  </si>
  <si>
    <t>515851-08-8</t>
  </si>
  <si>
    <t>12124-97-9</t>
  </si>
  <si>
    <t>72574-95-9</t>
  </si>
  <si>
    <t>20859-73-8</t>
  </si>
  <si>
    <t>117704-25-3</t>
  </si>
  <si>
    <t>7758-99-8</t>
  </si>
  <si>
    <t>13331-52-7</t>
  </si>
  <si>
    <t>36362-09-1</t>
  </si>
  <si>
    <t>1402434-48-3</t>
  </si>
  <si>
    <t>922519-17-3</t>
  </si>
  <si>
    <t>8051-02-3</t>
  </si>
  <si>
    <t>63231-50-5</t>
  </si>
  <si>
    <t>592-85-8</t>
  </si>
  <si>
    <t>7487-94-7</t>
  </si>
  <si>
    <t>1344-57-6</t>
  </si>
  <si>
    <t>68911-05-7</t>
  </si>
  <si>
    <t>85681-75-0</t>
  </si>
  <si>
    <t>97280-95-0</t>
  </si>
  <si>
    <t>178233-72-2</t>
  </si>
  <si>
    <t>11097-69-1</t>
  </si>
  <si>
    <t>1162-06-7</t>
  </si>
  <si>
    <t>7803-51-2</t>
  </si>
  <si>
    <t>1306-19-0</t>
  </si>
  <si>
    <t>126104-53-8</t>
  </si>
  <si>
    <t>164383-22-6</t>
  </si>
  <si>
    <t>1071838-81-7</t>
  </si>
  <si>
    <t>62-38-4</t>
  </si>
  <si>
    <t>10025-65-7</t>
  </si>
  <si>
    <t>154592-20-8</t>
  </si>
  <si>
    <t>278183-31-6</t>
  </si>
  <si>
    <t>7440-62-2</t>
  </si>
  <si>
    <t>90480-71-0</t>
  </si>
  <si>
    <t>7439-97-6</t>
  </si>
  <si>
    <t>22515-48-6</t>
  </si>
  <si>
    <t>22515-49-7</t>
  </si>
  <si>
    <t>22515-50-0</t>
  </si>
  <si>
    <t>22515-51-1</t>
  </si>
  <si>
    <t>60791-07-3</t>
  </si>
  <si>
    <t>54253-62-2</t>
  </si>
  <si>
    <t>101357-15-7</t>
  </si>
  <si>
    <t>12023-53-9</t>
  </si>
  <si>
    <t>61788-78-1</t>
  </si>
  <si>
    <t>68002-61-9</t>
  </si>
  <si>
    <t>1213789-63-9</t>
  </si>
  <si>
    <t>1273322-45-4</t>
  </si>
  <si>
    <t>130169-56-1</t>
  </si>
  <si>
    <t>1428547-35-6</t>
  </si>
  <si>
    <t>90640-32-7</t>
  </si>
  <si>
    <t>7723-14-0</t>
  </si>
  <si>
    <t>143747-73-3</t>
  </si>
  <si>
    <t>1314-98-3</t>
  </si>
  <si>
    <t>94667-33-1</t>
  </si>
  <si>
    <t>547-67-1</t>
  </si>
  <si>
    <t>57987-02-7</t>
  </si>
  <si>
    <t>93164-85-3</t>
  </si>
  <si>
    <t>110186-49-7</t>
  </si>
  <si>
    <t>12158-75-7</t>
  </si>
  <si>
    <t>116810-46-9</t>
  </si>
  <si>
    <t>1306-23-6</t>
  </si>
  <si>
    <t>40039-93-8</t>
  </si>
  <si>
    <t>109425-51-6</t>
  </si>
  <si>
    <t>191680-83-8</t>
  </si>
  <si>
    <t>66829-07-0</t>
  </si>
  <si>
    <t>1600-27-7</t>
  </si>
  <si>
    <t>138982-67-9</t>
  </si>
  <si>
    <t>8030-78-2</t>
  </si>
  <si>
    <t>1229648-98-9</t>
  </si>
  <si>
    <t>18721-51-2</t>
  </si>
  <si>
    <t>22605-92-1</t>
  </si>
  <si>
    <t>6018-92-4</t>
  </si>
  <si>
    <t>8068-17-5</t>
  </si>
  <si>
    <t>265647-11-8</t>
  </si>
  <si>
    <t>166412-78-8</t>
  </si>
  <si>
    <t>12616-35-2</t>
  </si>
  <si>
    <t>12158-74-6</t>
  </si>
  <si>
    <t>1317-40-4</t>
  </si>
  <si>
    <t>22205-45-4</t>
  </si>
  <si>
    <t>7681-65-4</t>
  </si>
  <si>
    <t>8011-63-0</t>
  </si>
  <si>
    <t>76618-34-3</t>
  </si>
  <si>
    <t>69012-43-7</t>
  </si>
  <si>
    <t>94551-62-9</t>
  </si>
  <si>
    <t>94552-05-3</t>
  </si>
  <si>
    <t>68583-51-7</t>
  </si>
  <si>
    <t>84988-75-0</t>
  </si>
  <si>
    <t>91031-45-7</t>
  </si>
  <si>
    <t>3251-29-4</t>
  </si>
  <si>
    <t>25094-58-0</t>
  </si>
  <si>
    <t>26896-31-1</t>
  </si>
  <si>
    <t>73146-75-5</t>
  </si>
  <si>
    <t>73149-62-9</t>
  </si>
  <si>
    <t>73149-63-0</t>
  </si>
  <si>
    <t>73149-64-1</t>
  </si>
  <si>
    <t>1461-25-2</t>
  </si>
  <si>
    <t>21041-95-2</t>
  </si>
  <si>
    <t>76188-64-2</t>
  </si>
  <si>
    <t>194419-30-2</t>
  </si>
  <si>
    <t>7447-39-4</t>
  </si>
  <si>
    <t>10028-15-6</t>
  </si>
  <si>
    <t>10101-50-5</t>
  </si>
  <si>
    <t>181943-58-8</t>
  </si>
  <si>
    <t>40881-21-8</t>
  </si>
  <si>
    <t>7790-80-9</t>
  </si>
  <si>
    <t>97280-83-6</t>
  </si>
  <si>
    <t>164907-75-9</t>
  </si>
  <si>
    <t>799275-41-5</t>
  </si>
  <si>
    <t>807618-23-1</t>
  </si>
  <si>
    <t>12185-56-7</t>
  </si>
  <si>
    <t>12001-99-9</t>
  </si>
  <si>
    <t>12336-95-7</t>
  </si>
  <si>
    <t>1308-38-9</t>
  </si>
  <si>
    <t>24613-89-6</t>
  </si>
  <si>
    <t>7789-06-2</t>
  </si>
  <si>
    <t>85535-85-9</t>
  </si>
  <si>
    <t>220689-12-3</t>
  </si>
  <si>
    <t>53404-32-3</t>
  </si>
  <si>
    <t>379-52-2</t>
  </si>
  <si>
    <t>683-18-1</t>
  </si>
  <si>
    <t>187166-15-0</t>
  </si>
  <si>
    <t>65113-55-5</t>
  </si>
  <si>
    <t>61718-82-9</t>
  </si>
  <si>
    <t>68603-75-8</t>
  </si>
  <si>
    <t>1317-39-1</t>
  </si>
  <si>
    <t>12069-69-1</t>
  </si>
  <si>
    <t>154858-16-9</t>
  </si>
  <si>
    <t>1262-21-1</t>
  </si>
  <si>
    <t>591-89-9</t>
  </si>
  <si>
    <t>18718-07-5</t>
  </si>
  <si>
    <t>51349-94-1</t>
  </si>
  <si>
    <t>1111-67-7</t>
  </si>
  <si>
    <t>60938-09-2</t>
  </si>
  <si>
    <t>1218787-29-1</t>
  </si>
  <si>
    <t>2554-06-5</t>
  </si>
  <si>
    <t>1067-29-4</t>
  </si>
  <si>
    <t>4419-22-1</t>
  </si>
  <si>
    <t>84961-70-6</t>
  </si>
  <si>
    <t>56-36-0</t>
  </si>
  <si>
    <t>8001-58-9</t>
  </si>
  <si>
    <t>12789-03-6</t>
  </si>
  <si>
    <t>25214-70-4</t>
  </si>
  <si>
    <t>139301-16-9</t>
  </si>
  <si>
    <t>7782-50-5</t>
  </si>
  <si>
    <t>115-09-3</t>
  </si>
  <si>
    <t>69011-69-4</t>
  </si>
  <si>
    <t>69012-21-1</t>
  </si>
  <si>
    <t>69012-72-2</t>
  </si>
  <si>
    <t>91053-44-0</t>
  </si>
  <si>
    <t>375815-87-5</t>
  </si>
  <si>
    <t>10125-13-0</t>
  </si>
  <si>
    <t>85566-16-1</t>
  </si>
  <si>
    <t>121888-68-4</t>
  </si>
  <si>
    <t>10045-94-0</t>
  </si>
  <si>
    <t>42278-27-3</t>
  </si>
  <si>
    <t>68606-29-1</t>
  </si>
  <si>
    <t>9003-29-6</t>
  </si>
  <si>
    <t>91052-99-2</t>
  </si>
  <si>
    <t>91053-00-8</t>
  </si>
  <si>
    <t>91053-01-9</t>
  </si>
  <si>
    <t>93685-78-0</t>
  </si>
  <si>
    <t>13463-41-7</t>
  </si>
  <si>
    <t>121986-01-4</t>
  </si>
  <si>
    <t>2279-76-7</t>
  </si>
  <si>
    <t>26354-18-7</t>
  </si>
  <si>
    <t>159520-20-4</t>
  </si>
  <si>
    <t>68953-84-4</t>
  </si>
  <si>
    <t>10584-98-2</t>
  </si>
  <si>
    <t>544-92-3</t>
  </si>
  <si>
    <t>27104-30-9</t>
  </si>
  <si>
    <t>73398-61-5</t>
  </si>
  <si>
    <t>8001-78-3</t>
  </si>
  <si>
    <t>91052-47-0</t>
  </si>
  <si>
    <t>91744-20-6</t>
  </si>
  <si>
    <t>97722-02-6</t>
  </si>
  <si>
    <t>110895-43-7</t>
  </si>
  <si>
    <t>58-36-6</t>
  </si>
  <si>
    <t>7761-88-8</t>
  </si>
  <si>
    <t>25550-98-5</t>
  </si>
  <si>
    <t>1314-95-0</t>
  </si>
  <si>
    <t>1315-01-1</t>
  </si>
  <si>
    <t>302578-97-8</t>
  </si>
  <si>
    <t>7783-06-4</t>
  </si>
  <si>
    <t>5711-19-3</t>
  </si>
  <si>
    <t>99533-80-9</t>
  </si>
  <si>
    <t>14726-36-4</t>
  </si>
  <si>
    <t>63157-72-2</t>
  </si>
  <si>
    <t>104815-18-1</t>
  </si>
  <si>
    <t>112025-60-2</t>
  </si>
  <si>
    <t>2155-70-6</t>
  </si>
  <si>
    <t>8065-36-9</t>
  </si>
  <si>
    <t>13356-08-6</t>
  </si>
  <si>
    <t>90552-02-6</t>
  </si>
  <si>
    <t>64924-67-0</t>
  </si>
  <si>
    <t>113674-95-6</t>
  </si>
  <si>
    <t>439275-23-7</t>
  </si>
  <si>
    <t>3400-09-7</t>
  </si>
  <si>
    <t>553664-68-9</t>
  </si>
  <si>
    <t>20667-12-3</t>
  </si>
  <si>
    <t>2489-05-6</t>
  </si>
  <si>
    <t>534-16-7</t>
  </si>
  <si>
    <t>7783-96-2</t>
  </si>
  <si>
    <t>7785-23-1</t>
  </si>
  <si>
    <t>79559-97-0</t>
  </si>
  <si>
    <t>41083-11-8</t>
  </si>
  <si>
    <t>76-87-9</t>
  </si>
  <si>
    <t>108726-95-0</t>
  </si>
  <si>
    <t>302578-96-7</t>
  </si>
  <si>
    <t>12237-63-7</t>
  </si>
  <si>
    <t>8001-50-1</t>
  </si>
  <si>
    <t>51913-71-4</t>
  </si>
  <si>
    <t>2054-04-8</t>
  </si>
  <si>
    <t>192587-99-8</t>
  </si>
  <si>
    <t>595-90-4</t>
  </si>
  <si>
    <t>148398-08-7</t>
  </si>
  <si>
    <t>160987-57-5</t>
  </si>
  <si>
    <t>597-64-8</t>
  </si>
  <si>
    <t>28801-69-6</t>
  </si>
  <si>
    <t>131443-20-4</t>
  </si>
  <si>
    <t>10294-26-5</t>
  </si>
  <si>
    <t>13840-33-0</t>
  </si>
  <si>
    <t>118832-72-7</t>
  </si>
  <si>
    <t>255881-94-8</t>
  </si>
  <si>
    <t>133909-99-6</t>
  </si>
  <si>
    <t>20816-12-0</t>
  </si>
  <si>
    <t>22673-19-4</t>
  </si>
  <si>
    <t>26648-01-1</t>
  </si>
  <si>
    <t>102-54-5</t>
  </si>
  <si>
    <t>76560-69-5</t>
  </si>
  <si>
    <t>154924-50-2</t>
  </si>
  <si>
    <t>165038-51-7</t>
  </si>
  <si>
    <t>129025-53-2</t>
  </si>
  <si>
    <t>20543-04-8</t>
  </si>
  <si>
    <t>668-34-8</t>
  </si>
  <si>
    <t>1333-22-8</t>
  </si>
  <si>
    <t>222557-72-4</t>
  </si>
  <si>
    <t>66419-38-3</t>
  </si>
  <si>
    <t>1002-53-5</t>
  </si>
  <si>
    <t>31274-51-8</t>
  </si>
  <si>
    <t>63674-30-6</t>
  </si>
  <si>
    <t>68855-18-5</t>
  </si>
  <si>
    <t>71751-41-2</t>
  </si>
  <si>
    <t>900-95-8</t>
  </si>
  <si>
    <t>13121-70-5</t>
  </si>
  <si>
    <t>90622-47-2</t>
  </si>
  <si>
    <t>639-58-7</t>
  </si>
  <si>
    <t>66829-06-9</t>
  </si>
  <si>
    <t>11121-38-3</t>
  </si>
  <si>
    <t>155569-91-8</t>
  </si>
  <si>
    <t>56-35-9</t>
  </si>
  <si>
    <t>1461-22-9</t>
  </si>
  <si>
    <t>137398-54-0</t>
  </si>
  <si>
    <t>15535-79-2</t>
  </si>
  <si>
    <t>68109-88-6</t>
  </si>
  <si>
    <t>870-08-6</t>
  </si>
  <si>
    <t>11118-72-2</t>
  </si>
  <si>
    <t>16517-11-6</t>
  </si>
  <si>
    <t>376-06-7</t>
  </si>
  <si>
    <t>688-73-3</t>
  </si>
  <si>
    <t>51142-61-1</t>
  </si>
  <si>
    <t>139189-30-3</t>
  </si>
  <si>
    <t>178941-67-8</t>
  </si>
  <si>
    <t>1983-10-4</t>
  </si>
  <si>
    <t>70131-69-0</t>
  </si>
  <si>
    <t>99300-78-4</t>
  </si>
  <si>
    <t>12738-46-4</t>
  </si>
  <si>
    <t>111376-59-1</t>
  </si>
  <si>
    <t>3151-41-5</t>
  </si>
  <si>
    <t>52038-48-9</t>
  </si>
  <si>
    <t>8002-65-1</t>
  </si>
  <si>
    <t>90498-90-1</t>
  </si>
  <si>
    <t>141714-54-7</t>
  </si>
  <si>
    <t>55349-54-7</t>
  </si>
  <si>
    <t>118232-72-7</t>
  </si>
  <si>
    <t>120307-06-4</t>
  </si>
  <si>
    <t>335282-25-2</t>
  </si>
  <si>
    <t>1397-94-0</t>
  </si>
  <si>
    <t>14275-57-1</t>
  </si>
  <si>
    <t>66231-17-2</t>
  </si>
  <si>
    <t>100092-74-8</t>
  </si>
  <si>
    <t>36643-28-4</t>
  </si>
  <si>
    <t>5847-53-0</t>
  </si>
  <si>
    <t>31677-93-7</t>
  </si>
  <si>
    <t>171599-83-0</t>
  </si>
  <si>
    <t>6517-25-5</t>
  </si>
  <si>
    <t>HC20_gpL</t>
  </si>
  <si>
    <t>Douziech, M., Oginah, S. A., Golsteijn, L., Hauschild, M. Z., Jolliet, O., Owsianiak, M., Posthuma, L., &amp; Fantke, P. (2024). Characterizing Freshwater Ecotoxicity of More Than 9000 Chemicals by Combining Different Levels of Available Measured Test Data with In Silico Predictions. Environmental Toxicology and Chemistry, 43(8), 1914–1927. https://doi.org/10.1002/etc.5929</t>
  </si>
  <si>
    <t>Douziech et al. (2024)</t>
  </si>
  <si>
    <t>fraction of continent area allocated to sea</t>
  </si>
  <si>
    <t>Country_all</t>
  </si>
  <si>
    <t>Polymer_all</t>
  </si>
  <si>
    <t>Density_all</t>
  </si>
  <si>
    <t>Shape_all</t>
  </si>
  <si>
    <t>Size_all</t>
  </si>
  <si>
    <t>Diameter_all</t>
  </si>
  <si>
    <t>v_Surf2Col_cont_median_all</t>
  </si>
  <si>
    <t>v_Col2Sed_cont_median_all</t>
  </si>
  <si>
    <t>v_Surf2Col_glo_median_all</t>
  </si>
  <si>
    <t>v_Col2Sed_glo_median_all</t>
  </si>
  <si>
    <t>KaraSea</t>
  </si>
  <si>
    <t>Polymer</t>
  </si>
  <si>
    <t>Density</t>
  </si>
  <si>
    <t>Code</t>
  </si>
  <si>
    <t>m/d</t>
  </si>
  <si>
    <t>d-1</t>
  </si>
  <si>
    <t>Density_code</t>
  </si>
  <si>
    <t>EC-Japan</t>
  </si>
  <si>
    <t> Central Asia</t>
  </si>
  <si>
    <t>Africa&amp;Middle east</t>
  </si>
  <si>
    <t>Congo</t>
  </si>
  <si>
    <t>USEtox continent</t>
  </si>
  <si>
    <t>receiving sea</t>
  </si>
  <si>
    <t>SeaOkhotsk</t>
  </si>
  <si>
    <t xml:space="preserve">Default polymer </t>
  </si>
  <si>
    <t xml:space="preserve">Fossil-based polymers </t>
  </si>
  <si>
    <t>Total amount of plastic released/year (Mt)*</t>
  </si>
  <si>
    <t>Proportion (%)</t>
  </si>
  <si>
    <t>Proportion without TRWP (%)</t>
  </si>
  <si>
    <t xml:space="preserve">Study used </t>
  </si>
  <si>
    <t>Schwarz et al. 2023</t>
  </si>
  <si>
    <t>Ryberg et al. 2019</t>
  </si>
  <si>
    <t>Hoseini and Bond 2022</t>
  </si>
  <si>
    <t>ND**</t>
  </si>
  <si>
    <t>ND</t>
  </si>
  <si>
    <t>Total without TRWP</t>
  </si>
  <si>
    <t xml:space="preserve">*If a polymer is present in the 3 studies considered, the maximum value out of the 3 studies is chosen. </t>
  </si>
  <si>
    <t>**ND = No Data</t>
  </si>
  <si>
    <t>values selected for the study</t>
  </si>
  <si>
    <t>Default polymer - low density</t>
  </si>
  <si>
    <t>Default polymer - high density</t>
  </si>
  <si>
    <t>R input:</t>
  </si>
  <si>
    <t>weighting_all_density</t>
  </si>
  <si>
    <t>weighting_low_density</t>
  </si>
  <si>
    <t>weighting_high_density</t>
  </si>
  <si>
    <t>4.3. Polymer emissions data for default CFs</t>
  </si>
  <si>
    <t xml:space="preserve">Emissions by polymer type </t>
  </si>
  <si>
    <t>Worldwide annual emissions into the environment.</t>
  </si>
  <si>
    <r>
      <t>[m</t>
    </r>
    <r>
      <rPr>
        <vertAlign val="superscript"/>
        <sz val="11"/>
        <rFont val="Aptos"/>
      </rPr>
      <t>2</t>
    </r>
    <r>
      <rPr>
        <sz val="11"/>
        <rFont val="Aptos"/>
      </rPr>
      <t>]</t>
    </r>
  </si>
  <si>
    <r>
      <t xml:space="preserve">Saadi, N., Hajjar, C., Ospital, L., Quik, J., Corella-Puertas, E., Hids, A., Lebrun, M., Louvet, J., Tang, Y., Thonemann, N., Boulay, A.-M. (under review). </t>
    </r>
    <r>
      <rPr>
        <i/>
        <sz val="11"/>
        <rFont val="Aptos"/>
      </rPr>
      <t>MarILCA Characterization Factors for Microplastics, Tire Particles and Cellulosic Fibers in Life Cycle Assessment : Regionalized impacts in marine, freshwater and terrestrial ecosystems.</t>
    </r>
  </si>
  <si>
    <t>Global</t>
  </si>
  <si>
    <t>NorthSea</t>
  </si>
  <si>
    <t>Microplastic load Model 1 [tons y-1] (Schmidt et al., 2017)</t>
  </si>
  <si>
    <t>Regional transfer from water surface to water column, and water column to sediments, at continental and global scale was determine through TrackMPD. Transfer from continental to global water is also derived from TrackMPD. More information can be found in Hajjar et al. (2025) on how the model is parametrized. If a velocity is not available, SBoo will compute it.</t>
  </si>
  <si>
    <t>BayBengal</t>
  </si>
  <si>
    <t>Default sedimentation rates are taken from Corella-Puertas et al. (2023). They are only used when SBoo returns a settling velocity of 0 m/s (for particles with density lower than that of water). For the marine environment, these default settling velocities are not used, as TrackMPD is used to derive settling velocities. TrackMPD value are shown for comparison only.</t>
  </si>
  <si>
    <t>Galafton et al. (2026)</t>
  </si>
  <si>
    <t>95% CI provided (z0.975=1.96). We used the noH-UFt2 XEF provided by the authors.</t>
  </si>
  <si>
    <t>Galafton, C., Zantis, L. J., Thonemann, N., &amp; Vijver, M. G. (2026). Terrestrial ecotoxicity of plastics: Effect factors for life cycle impact assessment. ChemRxiv, (0309). https://doi.org/10.26434/chemrxiv.15000718/v1</t>
  </si>
  <si>
    <t>USEtox_reg</t>
  </si>
  <si>
    <t>GEP_Plastics_USEtox_TER</t>
  </si>
  <si>
    <t>GEP_Plastics_USEtox_FW</t>
  </si>
  <si>
    <t>GEP_Plastics_USEtox_MAR</t>
  </si>
  <si>
    <t>gep_fw_C</t>
  </si>
  <si>
    <t>gep_ter_C</t>
  </si>
  <si>
    <t>gep_mar_C</t>
  </si>
  <si>
    <t>This study</t>
  </si>
  <si>
    <t>Global extinction probability of freshwater species</t>
  </si>
  <si>
    <t>Global extinction probability of marine species</t>
  </si>
  <si>
    <t>Global extinction probability of terrestrial species</t>
  </si>
  <si>
    <t>GEP_FW</t>
  </si>
  <si>
    <t>GEP_MAR</t>
  </si>
  <si>
    <t>GEP_TER</t>
  </si>
  <si>
    <t>gep_fw_G</t>
  </si>
  <si>
    <t>gep_mar_G</t>
  </si>
  <si>
    <t>gep_ter_G</t>
  </si>
  <si>
    <t>open ocean</t>
  </si>
  <si>
    <t>raw data</t>
  </si>
  <si>
    <t>SUM</t>
  </si>
  <si>
    <t>normalized data (sum of GEPs=1)</t>
  </si>
  <si>
    <t>= 1 - continental GEP (GEP of the rest of the world)</t>
  </si>
  <si>
    <t>= GEP of the open ocean</t>
  </si>
  <si>
    <t>Global extinction probability (GEP)</t>
  </si>
  <si>
    <t xml:space="preserve">raw data </t>
  </si>
  <si>
    <t>Plastics_USEtox_MAR</t>
  </si>
  <si>
    <t>Plastics_USEtox_TER</t>
  </si>
  <si>
    <t>Plastics_USEtox_FW</t>
  </si>
  <si>
    <t>MAR_RayFinnedFish</t>
  </si>
  <si>
    <t>TER_VascularPlants</t>
  </si>
  <si>
    <t>FW_Plants</t>
  </si>
  <si>
    <t>MAR_CartilaginousFish</t>
  </si>
  <si>
    <t>TER_Amphibians</t>
  </si>
  <si>
    <t>FW_Branchiopods</t>
  </si>
  <si>
    <t>MAR_Cnidarians</t>
  </si>
  <si>
    <t>TER_Birds</t>
  </si>
  <si>
    <t>FW_Malacostracans</t>
  </si>
  <si>
    <t>MAR_Lobsters</t>
  </si>
  <si>
    <t>TER_Mammals</t>
  </si>
  <si>
    <t>FW_Molluscs</t>
  </si>
  <si>
    <t>MAR_Mammals</t>
  </si>
  <si>
    <t>TER_Reptiles</t>
  </si>
  <si>
    <t>FW_Fish</t>
  </si>
  <si>
    <t>MAR_Reptiles</t>
  </si>
  <si>
    <t>FW_Clitellates</t>
  </si>
  <si>
    <t>MAR_SeaCucumbers</t>
  </si>
  <si>
    <t>FW_Amphibians</t>
  </si>
  <si>
    <t>MAR_SeaGrasses</t>
  </si>
  <si>
    <t>FW_Arthropods</t>
  </si>
  <si>
    <t>FW_Birds</t>
  </si>
  <si>
    <t>FW_DragonfliesDamselflies</t>
  </si>
  <si>
    <t>FW_Fungi</t>
  </si>
  <si>
    <t>FW_Mammals</t>
  </si>
  <si>
    <t>FW_Reptiles</t>
  </si>
  <si>
    <t>species groups included</t>
  </si>
  <si>
    <t>GEP values calculated for each USEtox region and each ecosystem. The raw data sum of GEPs (per ecosystem) is not equal to 1 due to some grid cells being in two regions at the same time and therefore neglected in GEP region levels sums. The species group included correspond to the ones in Verones et al. (2022)</t>
  </si>
  <si>
    <t>Verones et al. (2022)</t>
  </si>
  <si>
    <t>Verones, F., Kuipers, K., Núñez, M., Rosa, F., Scherer, L., Marques, A., Michelsen, O., Barbarossa, V., Jaffe, B., Pfister, S., &amp; Dorber, M. (2022). Global extinction probabilities of terrestrial, freshwater, and marine species groups for use in Life Cycle Assessment. Ecological Indicators, 142, 109204. https://doi.org/10.1016/j.ecolind.2022.109204</t>
  </si>
  <si>
    <t>For regenerated cellulose, degradation data in soil is only available for Lyocell (Lott et al., 2025). This SSDR value for lyocell was applied to all regenerated cellulose, before more data becomes available.</t>
  </si>
  <si>
    <t>Lott, C., Berning, A., Eckerle, V., Rupp, A.-S., Rau, J., Suaria, G., Borghini, M., Miserocchi, S., Mendoza, F. P. de, Giglio, F., Lasut, M., Eich, A., &amp; Weber, M. (2025). Native and regenerated cellulose show similar environmental biodegradation behavior across global terrestrial and aquatic ecosystems (p. 2025.12.24.696393). bioRxiv. https://doi.org/10.64898/2025.12.24.696393</t>
  </si>
  <si>
    <t>Lott et al. (2025)</t>
  </si>
  <si>
    <t>Greece</t>
  </si>
  <si>
    <t>Nile</t>
  </si>
  <si>
    <t>NorthAmerica</t>
  </si>
  <si>
    <t>SouthAmerica</t>
  </si>
  <si>
    <t>GG_Ext</t>
  </si>
  <si>
    <t>k_Surf2glo_median_all</t>
  </si>
  <si>
    <t>k_Col2glo_median_all</t>
  </si>
  <si>
    <t>EC-Japan;BayBengal</t>
  </si>
  <si>
    <t>Greece;NorthSea</t>
  </si>
  <si>
    <t>NorthSea;Greece</t>
  </si>
  <si>
    <t>Sheet adapted from Louvet et al. (2026). Based on the IUCN Red List (2024) and FAO (2020). For freshwater and terrestrial environments, the species richness of Louvet et al. (2026) were directly used.</t>
  </si>
  <si>
    <t>USEtox HC20s for water, used to compare to the HC20 of microplastics. This data was only used to generate comparison graphs (Figure S.8). Data taken from Douziech et al. (2024).</t>
  </si>
  <si>
    <t xml:space="preserve">- Data used to derive the percentage of species in marine environments, for each continent and the global scale (IUCN).
- GEP values per continent, per ecosystem used for GLAM compatible units.
- Data on emissions to the environment, per polymer type. The ratio of emissions is used for polymer emission-weighted default CFs. </t>
  </si>
  <si>
    <t>Full bibliography of this supplementary Information.</t>
  </si>
  <si>
    <t>plasticFADE empirical constants (deg: x, y, z, tau, theta and eta) are taken from Tang et al. (under review). SBoo takes the empirical constants as an input, when available, and combines them with compartment and region specific UV intensity, as well as compartment specific microbial concentration. To derive the uncertainty associated with the degradation model, the mean and standard deviation of plasticFADE are used. The standard deviation defined in plasticFADE corresponds to the std. dev. of normal distribution in log-space, while the fitted value is the mean value from which we take the log.</t>
  </si>
  <si>
    <t>Tang et al. (under review)</t>
  </si>
  <si>
    <t>- Specific surface degradation rates (SSDRs) obtained in literature or derived in previous studies, per compartment and per polymer. A range of values is given to reprsent the full range of degradation rate data available, used in the uncertainty analysis.
- PlasticFADE degradation model data given in Tang et al. (under reivew). SimpleBox uses these inputs by default, if available for a specific polymer.</t>
  </si>
  <si>
    <t>Scaling factor per region &amp; compartment - Following Beer-Lambert law</t>
  </si>
  <si>
    <t>Model used</t>
  </si>
  <si>
    <t>SSDR</t>
  </si>
  <si>
    <r>
      <t>Value [W*m</t>
    </r>
    <r>
      <rPr>
        <b/>
        <vertAlign val="superscript"/>
        <sz val="11"/>
        <rFont val="Aptos"/>
      </rPr>
      <t>-2</t>
    </r>
    <r>
      <rPr>
        <b/>
        <sz val="11"/>
        <rFont val="Aptos"/>
      </rPr>
      <t>]</t>
    </r>
  </si>
  <si>
    <r>
      <t>K_d [m</t>
    </r>
    <r>
      <rPr>
        <b/>
        <vertAlign val="superscript"/>
        <sz val="11"/>
        <rFont val="Aptos"/>
      </rPr>
      <t>-1</t>
    </r>
    <r>
      <rPr>
        <b/>
        <sz val="11"/>
        <rFont val="Aptos"/>
      </rPr>
      <t>]</t>
    </r>
  </si>
  <si>
    <t xml:space="preserve">average for the global ocean </t>
  </si>
  <si>
    <t>Total area needs to include the size of nested scales for SBoo. We add the area of continental scale</t>
  </si>
  <si>
    <t>Hajjar (2025)</t>
  </si>
  <si>
    <t>OkhotskSea</t>
  </si>
  <si>
    <t>Mediterranean;GG_Ext;Congo_Ext</t>
  </si>
  <si>
    <t>Mediterranean;Congo_Ext</t>
  </si>
  <si>
    <t>CASnumber</t>
  </si>
  <si>
    <t>9003-53-6</t>
  </si>
  <si>
    <t>25087-34-7</t>
  </si>
  <si>
    <t>9002-88-4</t>
  </si>
  <si>
    <t>25038-54-4</t>
  </si>
  <si>
    <t>25038-59-9</t>
  </si>
  <si>
    <t>117068-64-1</t>
  </si>
  <si>
    <t>26100-51-6</t>
  </si>
  <si>
    <t>9003-07-0</t>
  </si>
  <si>
    <t>9002-86-2</t>
  </si>
  <si>
    <t>9009-54-5</t>
  </si>
  <si>
    <t>25014-41-9</t>
  </si>
  <si>
    <t>24980-41-4</t>
  </si>
  <si>
    <t>9004-34-6</t>
  </si>
  <si>
    <t>68442-85-3</t>
  </si>
  <si>
    <t>Alliance for European Flax-Linen &amp; Hemp</t>
  </si>
  <si>
    <t>Additional SSDRs are computed, based on the approach of Maga et al. (2022), for materials not included in previous MarILCA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</si>
</sst>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
    <numFmt numFmtId="166" formatCode="0.0%"/>
    <numFmt numFmtId="167" formatCode="0.00000"/>
    <numFmt numFmtId="168" formatCode="0.0000E+00"/>
    <numFmt numFmtId="169" formatCode="General_)"/>
  </numFmts>
  <fonts count="30" x14ac:knownFonts="1">
    <font>
      <sz val="11"/>
      <color theme="1" tint="0.24994659260841701"/>
      <name val="Calibri Light"/>
      <family val="2"/>
      <scheme val="maj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tint="0.24994659260841701"/>
      <name val="Calibri Light"/>
      <family val="2"/>
      <scheme val="major"/>
    </font>
    <font>
      <b/>
      <sz val="11"/>
      <name val="Aptos"/>
    </font>
    <font>
      <sz val="11"/>
      <name val="Aptos"/>
    </font>
    <font>
      <sz val="12"/>
      <name val="Aptos"/>
    </font>
    <font>
      <b/>
      <sz val="12"/>
      <name val="Aptos"/>
    </font>
    <font>
      <sz val="10"/>
      <name val="Arial"/>
      <family val="2"/>
    </font>
    <font>
      <b/>
      <sz val="14"/>
      <name val="Aptos"/>
    </font>
    <font>
      <vertAlign val="superscript"/>
      <sz val="11"/>
      <name val="Aptos"/>
    </font>
    <font>
      <b/>
      <sz val="11"/>
      <name val="Calibri Light"/>
      <family val="2"/>
      <scheme val="major"/>
    </font>
    <font>
      <sz val="11"/>
      <name val="Calibri Light"/>
      <family val="2"/>
      <scheme val="major"/>
    </font>
    <font>
      <sz val="15"/>
      <name val="Aptos"/>
    </font>
    <font>
      <b/>
      <sz val="15"/>
      <name val="Aptos"/>
    </font>
    <font>
      <b/>
      <sz val="16"/>
      <name val="Aptos"/>
    </font>
    <font>
      <i/>
      <sz val="11"/>
      <name val="Aptos"/>
    </font>
    <font>
      <sz val="11"/>
      <name val="Calibri"/>
      <family val="2"/>
      <scheme val="minor"/>
    </font>
    <font>
      <b/>
      <sz val="11"/>
      <name val="Calibri"/>
      <family val="2"/>
      <scheme val="minor"/>
    </font>
    <font>
      <b/>
      <sz val="20"/>
      <name val="Calibri"/>
      <family val="2"/>
      <scheme val="minor"/>
    </font>
    <font>
      <b/>
      <sz val="16"/>
      <name val="Calibri"/>
      <family val="2"/>
      <scheme val="minor"/>
    </font>
    <font>
      <b/>
      <sz val="12"/>
      <name val="Calibri"/>
      <family val="2"/>
      <scheme val="minor"/>
    </font>
    <font>
      <b/>
      <sz val="11"/>
      <name val="Calibri"/>
      <family val="2"/>
    </font>
    <font>
      <sz val="11"/>
      <color rgb="FF000000"/>
      <name val="Calibri"/>
      <family val="2"/>
    </font>
    <font>
      <sz val="11"/>
      <color theme="1" tint="0.24994659260841701"/>
      <name val="Aptos"/>
    </font>
    <font>
      <sz val="11"/>
      <color rgb="FF000000"/>
      <name val="Aptos"/>
    </font>
    <font>
      <b/>
      <vertAlign val="superscript"/>
      <sz val="11"/>
      <name val="Aptos"/>
    </font>
    <font>
      <sz val="10"/>
      <color rgb="FF000000"/>
      <name val="Helvetica"/>
      <family val="2"/>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59999389629810485"/>
        <bgColor indexed="65"/>
      </patternFill>
    </fill>
    <fill>
      <patternFill patternType="solid">
        <fgColor theme="2" tint="-9.9978637043366805E-2"/>
        <bgColor indexed="64"/>
      </patternFill>
    </fill>
    <fill>
      <patternFill patternType="solid">
        <fgColor theme="0" tint="-0.14999847407452621"/>
        <bgColor indexed="64"/>
      </patternFill>
    </fill>
  </fills>
  <borders count="31">
    <border>
      <left/>
      <right/>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auto="1"/>
      </top>
      <bottom/>
      <diagonal/>
    </border>
    <border>
      <left/>
      <right style="thin">
        <color indexed="64"/>
      </right>
      <top style="thin">
        <color auto="1"/>
      </top>
      <bottom/>
      <diagonal/>
    </border>
    <border>
      <left/>
      <right style="thin">
        <color auto="1"/>
      </right>
      <top/>
      <bottom/>
      <diagonal/>
    </border>
    <border>
      <left/>
      <right/>
      <top style="thin">
        <color auto="1"/>
      </top>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11">
    <xf numFmtId="0" fontId="0" fillId="0" borderId="0" applyNumberFormat="0" applyFill="0" applyBorder="0" applyProtection="0">
      <alignment horizontal="center" vertical="center"/>
    </xf>
    <xf numFmtId="9" fontId="5" fillId="0" borderId="0" applyFont="0" applyFill="0" applyBorder="0" applyAlignment="0" applyProtection="0"/>
    <xf numFmtId="0" fontId="4" fillId="0" borderId="0"/>
    <xf numFmtId="9" fontId="4" fillId="0" borderId="0" applyFont="0" applyFill="0" applyBorder="0" applyAlignment="0" applyProtection="0"/>
    <xf numFmtId="43" fontId="5" fillId="0" borderId="0" applyFont="0" applyFill="0" applyBorder="0" applyAlignment="0" applyProtection="0"/>
    <xf numFmtId="0" fontId="3" fillId="0" borderId="0"/>
    <xf numFmtId="9" fontId="4" fillId="0" borderId="0" applyFont="0" applyFill="0" applyBorder="0" applyAlignment="0" applyProtection="0"/>
    <xf numFmtId="0" fontId="2" fillId="4" borderId="0" applyNumberFormat="0" applyBorder="0" applyAlignment="0" applyProtection="0"/>
    <xf numFmtId="0" fontId="1" fillId="0" borderId="0"/>
    <xf numFmtId="9" fontId="1" fillId="0" borderId="0" applyFont="0" applyFill="0" applyBorder="0" applyAlignment="0" applyProtection="0"/>
    <xf numFmtId="169" fontId="10" fillId="0" borderId="0"/>
  </cellStyleXfs>
  <cellXfs count="308">
    <xf numFmtId="0" fontId="0" fillId="0" borderId="0" xfId="0">
      <alignment horizontal="center" vertical="center"/>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3" xfId="0" applyFont="1" applyBorder="1">
      <alignment horizontal="center" vertical="center"/>
    </xf>
    <xf numFmtId="0" fontId="6" fillId="0" borderId="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lignment horizontal="center" vertical="center"/>
    </xf>
    <xf numFmtId="0" fontId="6" fillId="0" borderId="3" xfId="0" applyFont="1" applyBorder="1" applyAlignment="1">
      <alignment horizontal="center" vertical="center" wrapText="1"/>
    </xf>
    <xf numFmtId="0" fontId="6" fillId="0" borderId="2" xfId="0" applyFont="1" applyFill="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left"/>
    </xf>
    <xf numFmtId="0" fontId="7" fillId="0" borderId="0" xfId="0" applyFont="1">
      <alignment horizontal="center" vertical="center"/>
    </xf>
    <xf numFmtId="0" fontId="7" fillId="0" borderId="0" xfId="0" applyFont="1" applyFill="1">
      <alignment horizontal="center" vertical="center"/>
    </xf>
    <xf numFmtId="0" fontId="6" fillId="0" borderId="0" xfId="0" applyFont="1" applyAlignment="1">
      <alignment horizontal="left" vertical="center"/>
    </xf>
    <xf numFmtId="0" fontId="7" fillId="0" borderId="0" xfId="0" applyFont="1" applyBorder="1" applyAlignment="1">
      <alignment horizontal="center" vertical="center" wrapText="1"/>
    </xf>
    <xf numFmtId="0" fontId="7" fillId="0" borderId="0" xfId="0" applyFont="1" applyBorder="1">
      <alignment horizontal="center" vertical="center"/>
    </xf>
    <xf numFmtId="0" fontId="7" fillId="0" borderId="0" xfId="0" applyFont="1" applyAlignment="1">
      <alignment vertical="center"/>
    </xf>
    <xf numFmtId="0" fontId="7" fillId="0" borderId="10" xfId="0" applyFont="1" applyBorder="1" applyAlignment="1">
      <alignment horizontal="center" vertical="center" wrapText="1"/>
    </xf>
    <xf numFmtId="167" fontId="7" fillId="0" borderId="8" xfId="0" applyNumberFormat="1"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7" fillId="0" borderId="5" xfId="0" applyFont="1" applyBorder="1" applyAlignment="1">
      <alignment horizontal="center" vertical="center" wrapText="1" readingOrder="1"/>
    </xf>
    <xf numFmtId="11" fontId="7" fillId="0" borderId="0" xfId="0" applyNumberFormat="1" applyFont="1" applyBorder="1" applyAlignment="1">
      <alignment horizontal="center" wrapText="1"/>
    </xf>
    <xf numFmtId="11" fontId="7" fillId="0" borderId="0" xfId="0" applyNumberFormat="1" applyFont="1" applyBorder="1" applyAlignment="1">
      <alignment horizontal="center" vertical="center" wrapText="1"/>
    </xf>
    <xf numFmtId="11" fontId="7" fillId="0" borderId="6" xfId="0" applyNumberFormat="1" applyFont="1" applyBorder="1" applyAlignment="1">
      <alignment horizontal="center" vertical="center" wrapText="1"/>
    </xf>
    <xf numFmtId="0" fontId="7" fillId="0" borderId="8" xfId="0" applyFont="1" applyBorder="1" applyAlignment="1">
      <alignment horizontal="center" vertical="center" wrapText="1"/>
    </xf>
    <xf numFmtId="11" fontId="8" fillId="0" borderId="5" xfId="5" applyNumberFormat="1" applyFont="1" applyBorder="1" applyAlignment="1">
      <alignment horizontal="center" wrapText="1"/>
    </xf>
    <xf numFmtId="167" fontId="7" fillId="0" borderId="10" xfId="0" applyNumberFormat="1" applyFont="1" applyBorder="1" applyAlignment="1">
      <alignment horizontal="center" vertical="center" wrapText="1" readingOrder="1"/>
    </xf>
    <xf numFmtId="0" fontId="7" fillId="0" borderId="6" xfId="0" applyFont="1" applyBorder="1">
      <alignment horizontal="center" vertical="center"/>
    </xf>
    <xf numFmtId="11" fontId="8" fillId="0" borderId="6" xfId="5" applyNumberFormat="1" applyFont="1" applyBorder="1" applyAlignment="1">
      <alignment horizontal="center" wrapText="1"/>
    </xf>
    <xf numFmtId="164" fontId="7" fillId="0" borderId="0" xfId="0" applyNumberFormat="1" applyFont="1" applyFill="1" applyBorder="1" applyAlignment="1">
      <alignment horizontal="center" vertical="center" wrapText="1" readingOrder="1"/>
    </xf>
    <xf numFmtId="1" fontId="7" fillId="0" borderId="6" xfId="0" applyNumberFormat="1" applyFont="1" applyFill="1" applyBorder="1" applyAlignment="1">
      <alignment horizontal="center" vertical="center" wrapText="1" readingOrder="1"/>
    </xf>
    <xf numFmtId="0" fontId="7" fillId="0" borderId="0" xfId="0" applyFont="1" applyFill="1" applyBorder="1">
      <alignment horizontal="center" vertical="center"/>
    </xf>
    <xf numFmtId="0" fontId="7" fillId="0" borderId="6" xfId="0" applyFont="1" applyFill="1" applyBorder="1">
      <alignment horizontal="center" vertical="center"/>
    </xf>
    <xf numFmtId="4" fontId="7" fillId="0" borderId="0" xfId="0" applyNumberFormat="1" applyFont="1" applyFill="1" applyBorder="1" applyAlignment="1">
      <alignment horizontal="center"/>
    </xf>
    <xf numFmtId="4" fontId="7" fillId="0" borderId="6" xfId="0" applyNumberFormat="1" applyFont="1" applyFill="1" applyBorder="1" applyAlignment="1">
      <alignment horizontal="center"/>
    </xf>
    <xf numFmtId="0" fontId="7" fillId="0" borderId="0" xfId="0" applyFont="1" applyFill="1" applyBorder="1" applyAlignment="1">
      <alignment horizontal="center" vertical="center" wrapText="1" readingOrder="1"/>
    </xf>
    <xf numFmtId="0" fontId="7" fillId="0" borderId="6" xfId="0" applyFont="1" applyFill="1" applyBorder="1" applyAlignment="1">
      <alignment horizontal="center" vertical="center" wrapText="1" readingOrder="1"/>
    </xf>
    <xf numFmtId="0" fontId="7" fillId="0" borderId="10" xfId="0" applyFont="1" applyBorder="1" applyAlignment="1">
      <alignment horizontal="center" wrapText="1"/>
    </xf>
    <xf numFmtId="0" fontId="7" fillId="0" borderId="6" xfId="0" applyFont="1" applyFill="1" applyBorder="1" applyAlignment="1">
      <alignment horizontal="center" vertical="center" wrapText="1"/>
    </xf>
    <xf numFmtId="0" fontId="7" fillId="0" borderId="0" xfId="0" applyFont="1" applyFill="1" applyBorder="1" applyAlignment="1">
      <alignment horizontal="center" vertical="center" wrapText="1"/>
    </xf>
    <xf numFmtId="11" fontId="7" fillId="0" borderId="0" xfId="0" applyNumberFormat="1" applyFont="1" applyFill="1" applyBorder="1" applyAlignment="1">
      <alignment horizontal="center" wrapText="1"/>
    </xf>
    <xf numFmtId="11" fontId="7" fillId="0" borderId="6" xfId="0" applyNumberFormat="1" applyFont="1" applyFill="1" applyBorder="1" applyAlignment="1">
      <alignment horizontal="center" wrapText="1"/>
    </xf>
    <xf numFmtId="0" fontId="7" fillId="0" borderId="10" xfId="0" applyFont="1" applyFill="1" applyBorder="1" applyAlignment="1">
      <alignment horizontal="center" vertical="center" wrapText="1" readingOrder="1"/>
    </xf>
    <xf numFmtId="165" fontId="7" fillId="0" borderId="0" xfId="0" applyNumberFormat="1" applyFont="1" applyBorder="1" applyAlignment="1">
      <alignment horizontal="center" vertical="center" wrapText="1" readingOrder="1"/>
    </xf>
    <xf numFmtId="165" fontId="7" fillId="0" borderId="6" xfId="0" applyNumberFormat="1" applyFont="1" applyBorder="1" applyAlignment="1">
      <alignment horizontal="center" vertical="center" wrapText="1" readingOrder="1"/>
    </xf>
    <xf numFmtId="165" fontId="7" fillId="0" borderId="0" xfId="4" applyNumberFormat="1" applyFont="1" applyFill="1" applyBorder="1" applyAlignment="1">
      <alignment horizontal="center" vertical="center" wrapText="1"/>
    </xf>
    <xf numFmtId="165" fontId="7" fillId="0" borderId="6" xfId="4" applyNumberFormat="1" applyFont="1" applyBorder="1" applyAlignment="1">
      <alignment horizontal="center" wrapText="1"/>
    </xf>
    <xf numFmtId="0" fontId="7" fillId="0" borderId="9" xfId="0" applyFont="1" applyBorder="1" applyAlignment="1">
      <alignment horizontal="center" vertical="center" wrapText="1"/>
    </xf>
    <xf numFmtId="0" fontId="7" fillId="0" borderId="14" xfId="0" applyFont="1" applyFill="1" applyBorder="1" applyAlignment="1">
      <alignment horizontal="center" vertical="center" wrapText="1" readingOrder="1"/>
    </xf>
    <xf numFmtId="167" fontId="7" fillId="0" borderId="14" xfId="0" applyNumberFormat="1" applyFont="1" applyBorder="1" applyAlignment="1">
      <alignment horizontal="center" vertical="center" wrapText="1" readingOrder="1"/>
    </xf>
    <xf numFmtId="165" fontId="7" fillId="0" borderId="12" xfId="4" applyNumberFormat="1" applyFont="1" applyFill="1" applyBorder="1" applyAlignment="1">
      <alignment horizontal="center" vertical="center" wrapText="1"/>
    </xf>
    <xf numFmtId="165" fontId="7" fillId="0" borderId="13" xfId="4" applyNumberFormat="1" applyFont="1" applyBorder="1" applyAlignment="1">
      <alignment horizontal="center" wrapText="1"/>
    </xf>
    <xf numFmtId="11" fontId="7" fillId="0" borderId="12" xfId="0" applyNumberFormat="1" applyFont="1" applyBorder="1" applyAlignment="1">
      <alignment horizontal="center" wrapText="1"/>
    </xf>
    <xf numFmtId="11" fontId="7" fillId="0" borderId="12" xfId="0" applyNumberFormat="1" applyFont="1" applyBorder="1" applyAlignment="1">
      <alignment horizontal="center" vertical="center" wrapText="1"/>
    </xf>
    <xf numFmtId="11" fontId="7" fillId="0" borderId="13" xfId="0" applyNumberFormat="1" applyFont="1" applyBorder="1" applyAlignment="1">
      <alignment horizontal="center" vertical="center" wrapText="1"/>
    </xf>
    <xf numFmtId="0" fontId="7" fillId="0" borderId="14" xfId="0" applyFont="1" applyBorder="1" applyAlignment="1">
      <alignment horizontal="center" vertical="center" wrapText="1"/>
    </xf>
    <xf numFmtId="11" fontId="8" fillId="0" borderId="13" xfId="5" applyNumberFormat="1" applyFont="1" applyBorder="1" applyAlignment="1">
      <alignment horizontal="center" wrapText="1"/>
    </xf>
    <xf numFmtId="0" fontId="7" fillId="0" borderId="0" xfId="0" applyFont="1" applyAlignment="1"/>
    <xf numFmtId="0" fontId="6" fillId="0" borderId="0" xfId="0" applyFont="1" applyAlignment="1"/>
    <xf numFmtId="0" fontId="7" fillId="0" borderId="0" xfId="0" applyFont="1" applyFill="1" applyBorder="1" applyAlignment="1"/>
    <xf numFmtId="0" fontId="6" fillId="0" borderId="0" xfId="0" applyFont="1" applyFill="1" applyBorder="1" applyAlignment="1"/>
    <xf numFmtId="2" fontId="7" fillId="0" borderId="0" xfId="4" applyNumberFormat="1" applyFont="1" applyAlignment="1">
      <alignment horizontal="center"/>
    </xf>
    <xf numFmtId="166" fontId="7" fillId="0" borderId="0" xfId="1" applyNumberFormat="1" applyFont="1" applyFill="1" applyAlignment="1">
      <alignment horizontal="center"/>
    </xf>
    <xf numFmtId="2" fontId="7" fillId="0" borderId="0" xfId="4" applyNumberFormat="1" applyFont="1" applyFill="1" applyAlignment="1">
      <alignment horizontal="center"/>
    </xf>
    <xf numFmtId="2" fontId="7" fillId="0" borderId="0" xfId="0" applyNumberFormat="1" applyFont="1" applyFill="1" applyBorder="1" applyAlignment="1">
      <alignment horizontal="center"/>
    </xf>
    <xf numFmtId="0" fontId="7" fillId="0" borderId="0" xfId="0" applyFont="1" applyBorder="1" applyAlignment="1">
      <alignment horizontal="center" vertical="center" wrapText="1" readingOrder="1"/>
    </xf>
    <xf numFmtId="0" fontId="7" fillId="0" borderId="6" xfId="0" applyFont="1" applyBorder="1" applyAlignment="1">
      <alignment horizontal="center" vertical="center" wrapText="1" readingOrder="1"/>
    </xf>
    <xf numFmtId="11" fontId="7" fillId="0" borderId="10" xfId="0" applyNumberFormat="1" applyFont="1" applyBorder="1" applyAlignment="1">
      <alignment horizontal="center" wrapText="1"/>
    </xf>
    <xf numFmtId="164" fontId="7" fillId="0" borderId="0" xfId="0" applyNumberFormat="1" applyFont="1" applyBorder="1" applyAlignment="1">
      <alignment horizontal="center" vertical="center" wrapText="1" readingOrder="1"/>
    </xf>
    <xf numFmtId="1" fontId="7" fillId="0" borderId="6" xfId="0" applyNumberFormat="1" applyFont="1" applyBorder="1" applyAlignment="1">
      <alignment horizontal="center" vertical="center" wrapText="1" readingOrder="1"/>
    </xf>
    <xf numFmtId="0" fontId="7" fillId="0" borderId="9" xfId="0" applyFont="1" applyBorder="1" applyAlignment="1">
      <alignment horizontal="center" wrapText="1"/>
    </xf>
    <xf numFmtId="0" fontId="7" fillId="0" borderId="6" xfId="0" applyFont="1" applyBorder="1" applyAlignment="1">
      <alignment horizontal="center" vertical="center" wrapText="1"/>
    </xf>
    <xf numFmtId="11" fontId="7" fillId="0" borderId="6" xfId="0" applyNumberFormat="1" applyFont="1" applyBorder="1" applyAlignment="1">
      <alignment horizontal="center" wrapText="1"/>
    </xf>
    <xf numFmtId="0" fontId="7" fillId="0" borderId="9" xfId="0" applyFont="1" applyFill="1" applyBorder="1" applyAlignment="1">
      <alignment horizontal="center" vertical="center" wrapText="1" readingOrder="1"/>
    </xf>
    <xf numFmtId="0" fontId="7" fillId="0" borderId="11" xfId="0" applyFont="1" applyFill="1" applyBorder="1" applyAlignment="1">
      <alignment horizontal="center" vertical="center" wrapText="1" readingOrder="1"/>
    </xf>
    <xf numFmtId="11" fontId="7" fillId="0" borderId="14" xfId="0" applyNumberFormat="1" applyFont="1" applyBorder="1" applyAlignment="1">
      <alignment horizontal="center" wrapText="1"/>
    </xf>
    <xf numFmtId="0" fontId="7" fillId="0" borderId="9" xfId="0" applyFont="1" applyBorder="1">
      <alignment horizontal="center" vertical="center"/>
    </xf>
    <xf numFmtId="11" fontId="7" fillId="0" borderId="10" xfId="0" applyNumberFormat="1" applyFont="1" applyBorder="1" applyAlignment="1">
      <alignment horizontal="center"/>
    </xf>
    <xf numFmtId="11" fontId="7" fillId="0" borderId="0" xfId="0" applyNumberFormat="1" applyFont="1" applyBorder="1">
      <alignment horizontal="center" vertical="center"/>
    </xf>
    <xf numFmtId="11" fontId="7" fillId="0" borderId="6" xfId="0" applyNumberFormat="1" applyFont="1" applyBorder="1">
      <alignment horizontal="center" vertical="center"/>
    </xf>
    <xf numFmtId="0" fontId="7" fillId="0" borderId="10" xfId="0" applyFont="1" applyBorder="1">
      <alignment horizontal="center" vertical="center"/>
    </xf>
    <xf numFmtId="11" fontId="8" fillId="0" borderId="6" xfId="5" applyNumberFormat="1" applyFont="1" applyBorder="1" applyAlignment="1">
      <alignment horizontal="center"/>
    </xf>
    <xf numFmtId="0" fontId="7" fillId="0" borderId="9" xfId="0" applyFont="1" applyBorder="1" applyAlignment="1">
      <alignment horizontal="center"/>
    </xf>
    <xf numFmtId="4" fontId="7" fillId="0" borderId="0" xfId="0" applyNumberFormat="1" applyFont="1" applyBorder="1">
      <alignment horizontal="center" vertical="center"/>
    </xf>
    <xf numFmtId="4" fontId="7" fillId="0" borderId="6" xfId="0" applyNumberFormat="1" applyFont="1" applyBorder="1">
      <alignment horizontal="center" vertical="center"/>
    </xf>
    <xf numFmtId="11" fontId="7" fillId="0" borderId="0" xfId="0" applyNumberFormat="1" applyFont="1" applyBorder="1" applyAlignment="1">
      <alignment horizontal="center"/>
    </xf>
    <xf numFmtId="11" fontId="7" fillId="0" borderId="6" xfId="0" applyNumberFormat="1" applyFont="1" applyBorder="1" applyAlignment="1">
      <alignment horizontal="center"/>
    </xf>
    <xf numFmtId="165" fontId="7" fillId="0" borderId="0" xfId="4" applyNumberFormat="1" applyFont="1" applyFill="1" applyBorder="1" applyAlignment="1">
      <alignment horizontal="center" vertical="center"/>
    </xf>
    <xf numFmtId="165" fontId="7" fillId="0" borderId="6" xfId="4" applyNumberFormat="1" applyFont="1" applyBorder="1" applyAlignment="1">
      <alignment horizontal="center"/>
    </xf>
    <xf numFmtId="165" fontId="7" fillId="0" borderId="0" xfId="0" applyNumberFormat="1" applyFont="1" applyBorder="1" applyAlignment="1">
      <alignment horizontal="center"/>
    </xf>
    <xf numFmtId="165" fontId="7" fillId="0" borderId="6" xfId="0" applyNumberFormat="1" applyFont="1" applyBorder="1" applyAlignment="1">
      <alignment horizontal="center"/>
    </xf>
    <xf numFmtId="165" fontId="7" fillId="0" borderId="12" xfId="0" applyNumberFormat="1" applyFont="1" applyBorder="1">
      <alignment horizontal="center" vertical="center"/>
    </xf>
    <xf numFmtId="165" fontId="7" fillId="0" borderId="13" xfId="0" applyNumberFormat="1" applyFont="1" applyBorder="1">
      <alignment horizontal="center" vertical="center"/>
    </xf>
    <xf numFmtId="11" fontId="7" fillId="0" borderId="14" xfId="0" applyNumberFormat="1" applyFont="1" applyBorder="1" applyAlignment="1">
      <alignment horizontal="center"/>
    </xf>
    <xf numFmtId="11" fontId="7" fillId="0" borderId="12" xfId="0" applyNumberFormat="1" applyFont="1" applyBorder="1">
      <alignment horizontal="center" vertical="center"/>
    </xf>
    <xf numFmtId="11" fontId="7" fillId="0" borderId="13" xfId="0" applyNumberFormat="1" applyFont="1" applyBorder="1">
      <alignment horizontal="center" vertical="center"/>
    </xf>
    <xf numFmtId="0" fontId="7" fillId="0" borderId="14" xfId="0" applyFont="1" applyBorder="1">
      <alignment horizontal="center" vertical="center"/>
    </xf>
    <xf numFmtId="11" fontId="8" fillId="0" borderId="13" xfId="5" applyNumberFormat="1" applyFont="1" applyBorder="1" applyAlignment="1">
      <alignment horizontal="center"/>
    </xf>
    <xf numFmtId="0" fontId="7" fillId="0" borderId="0" xfId="0" applyFont="1" applyBorder="1" applyAlignment="1">
      <alignment horizontal="center"/>
    </xf>
    <xf numFmtId="0" fontId="7" fillId="0" borderId="4" xfId="0" applyFont="1" applyBorder="1">
      <alignment horizontal="center" vertical="center"/>
    </xf>
    <xf numFmtId="2" fontId="7" fillId="0" borderId="0" xfId="0" applyNumberFormat="1" applyFont="1">
      <alignment horizontal="center" vertical="center"/>
    </xf>
    <xf numFmtId="168" fontId="7" fillId="0" borderId="0" xfId="0" applyNumberFormat="1" applyFont="1" applyFill="1" applyBorder="1" applyAlignment="1">
      <alignment horizontal="center" vertical="center" wrapText="1"/>
    </xf>
    <xf numFmtId="168" fontId="7" fillId="0" borderId="16" xfId="0" applyNumberFormat="1"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0" borderId="16" xfId="0" applyFont="1" applyFill="1" applyBorder="1" applyAlignment="1">
      <alignment horizontal="left" vertical="center" wrapText="1"/>
    </xf>
    <xf numFmtId="2" fontId="10" fillId="0" borderId="23" xfId="0" applyNumberFormat="1" applyFont="1" applyBorder="1" applyAlignment="1">
      <alignment horizontal="center" vertical="top"/>
    </xf>
    <xf numFmtId="0" fontId="11" fillId="0" borderId="0" xfId="2" applyFont="1"/>
    <xf numFmtId="0" fontId="7" fillId="0" borderId="0" xfId="0" applyFont="1" applyAlignment="1">
      <alignment vertical="center" wrapText="1"/>
    </xf>
    <xf numFmtId="0" fontId="11" fillId="0" borderId="0" xfId="2" applyFont="1" applyAlignment="1">
      <alignment wrapText="1"/>
    </xf>
    <xf numFmtId="0" fontId="6" fillId="0" borderId="0" xfId="0" applyFont="1" applyFill="1" applyBorder="1" applyAlignment="1">
      <alignment horizontal="center" vertical="center" wrapText="1"/>
    </xf>
    <xf numFmtId="0" fontId="6" fillId="0" borderId="0" xfId="0" applyFont="1" applyFill="1" applyBorder="1" applyAlignment="1">
      <alignment vertical="center" wrapText="1"/>
    </xf>
    <xf numFmtId="0" fontId="7" fillId="0" borderId="26" xfId="0" applyFont="1" applyFill="1" applyBorder="1" applyAlignment="1">
      <alignment horizontal="center" vertical="center" wrapText="1"/>
    </xf>
    <xf numFmtId="0" fontId="7" fillId="0" borderId="18" xfId="0" applyFont="1" applyFill="1" applyBorder="1" applyAlignment="1">
      <alignment vertical="center" wrapText="1"/>
    </xf>
    <xf numFmtId="0" fontId="6" fillId="0" borderId="18" xfId="0" applyFont="1" applyFill="1" applyBorder="1" applyAlignment="1">
      <alignment horizontal="left" vertical="center" wrapText="1"/>
    </xf>
    <xf numFmtId="0" fontId="7" fillId="0" borderId="19" xfId="0" applyFont="1" applyFill="1" applyBorder="1" applyAlignment="1">
      <alignment horizontal="center" vertical="center" wrapText="1"/>
    </xf>
    <xf numFmtId="0" fontId="7" fillId="0" borderId="15" xfId="0" applyFont="1" applyFill="1" applyBorder="1" applyAlignment="1">
      <alignment horizontal="center" vertical="center" wrapText="1"/>
    </xf>
    <xf numFmtId="168" fontId="7" fillId="0" borderId="0" xfId="4" applyNumberFormat="1" applyFont="1" applyFill="1" applyBorder="1" applyAlignment="1">
      <alignment horizontal="center" vertical="center" wrapText="1"/>
    </xf>
    <xf numFmtId="168" fontId="7" fillId="0" borderId="0" xfId="1" applyNumberFormat="1" applyFont="1" applyFill="1" applyBorder="1" applyAlignment="1">
      <alignment horizontal="center" vertical="center" wrapText="1"/>
    </xf>
    <xf numFmtId="168" fontId="7" fillId="0" borderId="0" xfId="0" applyNumberFormat="1" applyFont="1" applyFill="1" applyBorder="1" applyAlignment="1" applyProtection="1">
      <alignment horizontal="center" wrapText="1"/>
      <protection locked="0"/>
    </xf>
    <xf numFmtId="0" fontId="7" fillId="0" borderId="0" xfId="0" applyFont="1" applyFill="1" applyBorder="1" applyAlignment="1">
      <alignment horizontal="left" wrapText="1"/>
    </xf>
    <xf numFmtId="168" fontId="7" fillId="0" borderId="0" xfId="0" applyNumberFormat="1" applyFont="1" applyFill="1" applyBorder="1" applyAlignment="1">
      <alignment horizontal="center" wrapText="1"/>
    </xf>
    <xf numFmtId="0" fontId="7" fillId="0" borderId="16" xfId="0" applyFont="1" applyFill="1" applyBorder="1" applyAlignment="1">
      <alignment horizontal="left"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23" xfId="0" applyFont="1" applyFill="1" applyBorder="1" applyAlignment="1">
      <alignment horizontal="left" vertical="center" wrapText="1"/>
    </xf>
    <xf numFmtId="168" fontId="7" fillId="0" borderId="23" xfId="0" applyNumberFormat="1" applyFont="1" applyFill="1" applyBorder="1" applyAlignment="1">
      <alignment horizontal="center" vertical="center" wrapText="1"/>
    </xf>
    <xf numFmtId="0" fontId="7" fillId="0" borderId="23" xfId="0" applyFont="1" applyFill="1" applyBorder="1" applyAlignment="1">
      <alignment horizontal="center" vertical="center" wrapText="1"/>
    </xf>
    <xf numFmtId="0" fontId="7" fillId="0" borderId="24" xfId="0" applyFont="1" applyFill="1" applyBorder="1" applyAlignment="1">
      <alignment horizontal="center" vertical="center" wrapText="1"/>
    </xf>
    <xf numFmtId="0" fontId="7" fillId="0"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2" applyFont="1"/>
    <xf numFmtId="0" fontId="7" fillId="0" borderId="0" xfId="8" applyFont="1" applyAlignment="1">
      <alignment horizontal="left" vertical="center"/>
    </xf>
    <xf numFmtId="0" fontId="11" fillId="0" borderId="0" xfId="0" applyFont="1" applyAlignment="1">
      <alignment horizontal="left" vertical="center"/>
    </xf>
    <xf numFmtId="0" fontId="6" fillId="0" borderId="0" xfId="0" applyFont="1">
      <alignment horizontal="center" vertical="center"/>
    </xf>
    <xf numFmtId="0" fontId="13" fillId="0" borderId="0" xfId="0" applyFont="1" applyAlignment="1"/>
    <xf numFmtId="0" fontId="13" fillId="0" borderId="0" xfId="0" applyFont="1">
      <alignment horizontal="center" vertical="center"/>
    </xf>
    <xf numFmtId="0" fontId="14" fillId="0" borderId="0" xfId="0" applyFont="1">
      <alignment horizontal="center" vertical="center"/>
    </xf>
    <xf numFmtId="0" fontId="14" fillId="0" borderId="0" xfId="0" applyFont="1" applyAlignment="1"/>
    <xf numFmtId="11" fontId="14" fillId="0" borderId="0" xfId="0" applyNumberFormat="1" applyFont="1" applyAlignment="1"/>
    <xf numFmtId="0" fontId="6" fillId="0" borderId="0" xfId="2" applyFont="1" applyAlignment="1">
      <alignment vertical="center"/>
    </xf>
    <xf numFmtId="0" fontId="6" fillId="0" borderId="0" xfId="2" applyFont="1" applyAlignment="1">
      <alignment horizontal="center" vertical="center" wrapText="1"/>
    </xf>
    <xf numFmtId="0" fontId="6" fillId="0" borderId="0" xfId="0" applyFont="1" applyAlignment="1">
      <alignment horizontal="center" vertical="center" wrapText="1"/>
    </xf>
    <xf numFmtId="0" fontId="7" fillId="0" borderId="0" xfId="2" applyFont="1" applyAlignment="1">
      <alignment wrapText="1"/>
    </xf>
    <xf numFmtId="1" fontId="7" fillId="0" borderId="0" xfId="2" applyNumberFormat="1" applyFont="1" applyAlignment="1">
      <alignment horizontal="center" vertical="center" wrapText="1"/>
    </xf>
    <xf numFmtId="1" fontId="7" fillId="0" borderId="0" xfId="2" applyNumberFormat="1" applyFont="1" applyAlignment="1">
      <alignment horizontal="center" vertical="center"/>
    </xf>
    <xf numFmtId="1" fontId="7" fillId="0" borderId="0" xfId="6" applyNumberFormat="1" applyFont="1" applyAlignment="1">
      <alignment horizontal="center" vertical="center"/>
    </xf>
    <xf numFmtId="9" fontId="7" fillId="0" borderId="0" xfId="6" applyFont="1" applyAlignment="1">
      <alignment horizontal="center" vertical="center"/>
    </xf>
    <xf numFmtId="0" fontId="8" fillId="0" borderId="0" xfId="5" applyFont="1"/>
    <xf numFmtId="0" fontId="8" fillId="4" borderId="3" xfId="7" applyFont="1" applyBorder="1"/>
    <xf numFmtId="0" fontId="8" fillId="4" borderId="3" xfId="7" applyFont="1" applyBorder="1" applyAlignment="1">
      <alignment horizontal="left"/>
    </xf>
    <xf numFmtId="0" fontId="8" fillId="4" borderId="3" xfId="7" applyFont="1" applyBorder="1" applyAlignment="1"/>
    <xf numFmtId="0" fontId="8" fillId="4" borderId="10" xfId="7" applyFont="1" applyBorder="1" applyAlignment="1"/>
    <xf numFmtId="9" fontId="7" fillId="0" borderId="0" xfId="0" applyNumberFormat="1" applyFont="1" applyAlignment="1">
      <alignment horizontal="left" vertical="center"/>
    </xf>
    <xf numFmtId="0" fontId="8" fillId="4" borderId="2" xfId="7" applyFont="1" applyBorder="1" applyAlignment="1">
      <alignment horizontal="center"/>
    </xf>
    <xf numFmtId="0" fontId="8" fillId="4" borderId="2" xfId="7" applyFont="1" applyBorder="1"/>
    <xf numFmtId="0" fontId="8" fillId="4" borderId="1" xfId="7" applyFont="1" applyBorder="1" applyAlignment="1"/>
    <xf numFmtId="0" fontId="8" fillId="0" borderId="0" xfId="7" applyFont="1" applyFill="1" applyBorder="1"/>
    <xf numFmtId="0" fontId="8" fillId="0" borderId="0" xfId="7" applyFont="1" applyFill="1" applyBorder="1" applyAlignment="1">
      <alignment horizontal="left"/>
    </xf>
    <xf numFmtId="0" fontId="8" fillId="0" borderId="0" xfId="7" applyFont="1" applyFill="1" applyBorder="1" applyAlignment="1"/>
    <xf numFmtId="0" fontId="7" fillId="0" borderId="7" xfId="0" applyFont="1" applyBorder="1">
      <alignment horizontal="center" vertical="center"/>
    </xf>
    <xf numFmtId="0" fontId="8" fillId="0" borderId="7" xfId="5" applyFont="1" applyBorder="1"/>
    <xf numFmtId="0" fontId="7" fillId="0" borderId="5" xfId="0" applyFont="1" applyBorder="1">
      <alignment horizontal="center" vertical="center"/>
    </xf>
    <xf numFmtId="0" fontId="7" fillId="0" borderId="11" xfId="0" applyFont="1" applyBorder="1">
      <alignment horizontal="center" vertical="center"/>
    </xf>
    <xf numFmtId="0" fontId="7" fillId="0" borderId="12" xfId="0" applyFont="1" applyBorder="1">
      <alignment horizontal="center" vertical="center"/>
    </xf>
    <xf numFmtId="0" fontId="8" fillId="0" borderId="12" xfId="5" applyFont="1" applyBorder="1"/>
    <xf numFmtId="0" fontId="7" fillId="0" borderId="13" xfId="0" applyFont="1" applyBorder="1">
      <alignment horizontal="center" vertical="center"/>
    </xf>
    <xf numFmtId="0" fontId="8" fillId="0" borderId="5" xfId="5" applyFont="1" applyBorder="1" applyAlignment="1">
      <alignment horizontal="center"/>
    </xf>
    <xf numFmtId="0" fontId="8" fillId="0" borderId="6" xfId="5" applyFont="1" applyBorder="1" applyAlignment="1">
      <alignment horizontal="center"/>
    </xf>
    <xf numFmtId="0" fontId="8" fillId="0" borderId="13" xfId="5" applyFont="1" applyBorder="1" applyAlignment="1">
      <alignment horizontal="center"/>
    </xf>
    <xf numFmtId="0" fontId="7" fillId="0" borderId="8" xfId="0" applyFont="1" applyBorder="1">
      <alignment horizontal="center" vertical="center"/>
    </xf>
    <xf numFmtId="0" fontId="15" fillId="0" borderId="0" xfId="0" applyFont="1">
      <alignment horizontal="center" vertical="center"/>
    </xf>
    <xf numFmtId="0" fontId="15" fillId="0" borderId="0" xfId="0" applyFont="1" applyFill="1">
      <alignment horizontal="center" vertical="center"/>
    </xf>
    <xf numFmtId="11" fontId="7" fillId="0" borderId="0" xfId="0" applyNumberFormat="1" applyFont="1">
      <alignment horizontal="center" vertical="center"/>
    </xf>
    <xf numFmtId="0" fontId="11" fillId="0" borderId="0" xfId="0" applyFont="1" applyBorder="1" applyAlignment="1">
      <alignment horizontal="left" vertical="center"/>
    </xf>
    <xf numFmtId="2" fontId="7" fillId="0" borderId="0" xfId="0" applyNumberFormat="1" applyFont="1" applyBorder="1">
      <alignment horizontal="center" vertical="center"/>
    </xf>
    <xf numFmtId="0" fontId="16" fillId="0" borderId="0" xfId="0" applyFont="1">
      <alignment horizontal="center" vertical="center"/>
    </xf>
    <xf numFmtId="11" fontId="15" fillId="0" borderId="0" xfId="0" applyNumberFormat="1" applyFont="1">
      <alignment horizontal="center" vertical="center"/>
    </xf>
    <xf numFmtId="0" fontId="17" fillId="0" borderId="0" xfId="0" applyFont="1" applyAlignment="1">
      <alignment horizontal="left" vertical="center"/>
    </xf>
    <xf numFmtId="0" fontId="9" fillId="0" borderId="0" xfId="0" applyFont="1" applyFill="1" applyAlignment="1">
      <alignment horizontal="left" vertical="center"/>
    </xf>
    <xf numFmtId="0" fontId="7" fillId="0" borderId="0" xfId="0" applyFont="1" applyFill="1" applyAlignment="1">
      <alignment vertical="top" wrapText="1"/>
    </xf>
    <xf numFmtId="0" fontId="7" fillId="0" borderId="0" xfId="0" applyFont="1" applyFill="1" applyAlignment="1">
      <alignment vertical="center" wrapText="1"/>
    </xf>
    <xf numFmtId="0" fontId="7" fillId="0" borderId="0" xfId="0" applyFont="1" applyFill="1" applyAlignment="1">
      <alignment wrapText="1"/>
    </xf>
    <xf numFmtId="0" fontId="7" fillId="0" borderId="0" xfId="0" applyFont="1" applyAlignment="1">
      <alignment horizontal="left" vertical="center" wrapText="1"/>
    </xf>
    <xf numFmtId="0" fontId="19" fillId="0" borderId="0" xfId="2" applyFont="1"/>
    <xf numFmtId="0" fontId="20" fillId="0" borderId="0" xfId="2" applyFont="1"/>
    <xf numFmtId="164" fontId="19" fillId="0" borderId="0" xfId="2" applyNumberFormat="1" applyFont="1" applyAlignment="1">
      <alignment horizontal="right"/>
    </xf>
    <xf numFmtId="0" fontId="21" fillId="0" borderId="0" xfId="2" applyFont="1"/>
    <xf numFmtId="0" fontId="22" fillId="0" borderId="0" xfId="2" applyFont="1"/>
    <xf numFmtId="0" fontId="23" fillId="0" borderId="0" xfId="2" applyFont="1"/>
    <xf numFmtId="0" fontId="20" fillId="0" borderId="28" xfId="2" applyFont="1" applyBorder="1" applyAlignment="1">
      <alignment horizontal="center" vertical="center"/>
    </xf>
    <xf numFmtId="0" fontId="20" fillId="0" borderId="28" xfId="2" applyFont="1" applyBorder="1" applyAlignment="1">
      <alignment horizontal="center" vertical="center" wrapText="1"/>
    </xf>
    <xf numFmtId="0" fontId="20" fillId="0" borderId="29" xfId="2" applyFont="1" applyBorder="1" applyAlignment="1">
      <alignment horizontal="center" vertical="center" wrapText="1"/>
    </xf>
    <xf numFmtId="0" fontId="19" fillId="0" borderId="9" xfId="2" applyFont="1" applyBorder="1"/>
    <xf numFmtId="2" fontId="19" fillId="0" borderId="9" xfId="2" applyNumberFormat="1" applyFont="1" applyBorder="1"/>
    <xf numFmtId="9" fontId="14" fillId="0" borderId="9" xfId="6" applyFont="1" applyBorder="1"/>
    <xf numFmtId="9" fontId="14" fillId="3" borderId="9" xfId="6" applyFont="1" applyFill="1" applyBorder="1"/>
    <xf numFmtId="0" fontId="19" fillId="0" borderId="6" xfId="2" applyFont="1" applyBorder="1"/>
    <xf numFmtId="0" fontId="19" fillId="5" borderId="6" xfId="2" applyFont="1" applyFill="1" applyBorder="1"/>
    <xf numFmtId="9" fontId="14" fillId="5" borderId="9" xfId="6" applyFont="1" applyFill="1" applyBorder="1" applyAlignment="1">
      <alignment horizontal="center"/>
    </xf>
    <xf numFmtId="0" fontId="20" fillId="0" borderId="4" xfId="2" applyFont="1" applyBorder="1"/>
    <xf numFmtId="2" fontId="20" fillId="0" borderId="4" xfId="2" applyNumberFormat="1" applyFont="1" applyBorder="1"/>
    <xf numFmtId="9" fontId="20" fillId="0" borderId="4" xfId="6" applyFont="1" applyBorder="1"/>
    <xf numFmtId="9" fontId="14" fillId="5" borderId="4" xfId="6" applyFont="1" applyFill="1" applyBorder="1"/>
    <xf numFmtId="0" fontId="19" fillId="5" borderId="5" xfId="2" applyFont="1" applyFill="1" applyBorder="1"/>
    <xf numFmtId="0" fontId="20" fillId="0" borderId="11" xfId="2" applyFont="1" applyBorder="1"/>
    <xf numFmtId="2" fontId="20" fillId="0" borderId="11" xfId="2" applyNumberFormat="1" applyFont="1" applyBorder="1"/>
    <xf numFmtId="164" fontId="19" fillId="5" borderId="11" xfId="2" applyNumberFormat="1" applyFont="1" applyFill="1" applyBorder="1"/>
    <xf numFmtId="9" fontId="20" fillId="0" borderId="11" xfId="6" applyFont="1" applyBorder="1"/>
    <xf numFmtId="0" fontId="19" fillId="5" borderId="13" xfId="2" applyFont="1" applyFill="1" applyBorder="1"/>
    <xf numFmtId="0" fontId="19" fillId="3" borderId="0" xfId="2" applyFont="1" applyFill="1"/>
    <xf numFmtId="0" fontId="20" fillId="0" borderId="30" xfId="2" applyFont="1" applyBorder="1" applyAlignment="1">
      <alignment horizontal="center" vertical="center" wrapText="1"/>
    </xf>
    <xf numFmtId="9" fontId="20" fillId="0" borderId="28" xfId="6" applyFont="1" applyBorder="1" applyAlignment="1">
      <alignment horizontal="center" vertical="center" wrapText="1"/>
    </xf>
    <xf numFmtId="2" fontId="19" fillId="0" borderId="0" xfId="2" applyNumberFormat="1" applyFont="1"/>
    <xf numFmtId="0" fontId="19" fillId="0" borderId="11" xfId="2" applyFont="1" applyBorder="1"/>
    <xf numFmtId="2" fontId="19" fillId="0" borderId="12" xfId="2" applyNumberFormat="1" applyFont="1" applyBorder="1"/>
    <xf numFmtId="0" fontId="20" fillId="0" borderId="3" xfId="2" applyFont="1" applyBorder="1"/>
    <xf numFmtId="2" fontId="20" fillId="0" borderId="25" xfId="2" applyNumberFormat="1" applyFont="1" applyBorder="1"/>
    <xf numFmtId="9" fontId="20" fillId="0" borderId="3" xfId="6" applyFont="1" applyBorder="1"/>
    <xf numFmtId="0" fontId="19" fillId="6" borderId="2" xfId="2" applyFont="1" applyFill="1" applyBorder="1"/>
    <xf numFmtId="9" fontId="14" fillId="0" borderId="0" xfId="6" applyFont="1"/>
    <xf numFmtId="9" fontId="14" fillId="6" borderId="9" xfId="6" applyFont="1" applyFill="1" applyBorder="1"/>
    <xf numFmtId="0" fontId="19" fillId="6" borderId="9" xfId="2" applyFont="1" applyFill="1" applyBorder="1"/>
    <xf numFmtId="0" fontId="19" fillId="0" borderId="12" xfId="2" applyFont="1" applyBorder="1"/>
    <xf numFmtId="0" fontId="19" fillId="6" borderId="11" xfId="2" applyFont="1" applyFill="1" applyBorder="1"/>
    <xf numFmtId="0" fontId="20" fillId="0" borderId="25" xfId="2" applyFont="1" applyBorder="1"/>
    <xf numFmtId="0" fontId="20" fillId="6" borderId="2" xfId="2" applyFont="1" applyFill="1" applyBorder="1"/>
    <xf numFmtId="0" fontId="20" fillId="0" borderId="0" xfId="0" applyFont="1" applyAlignment="1">
      <alignment horizontal="center"/>
    </xf>
    <xf numFmtId="11" fontId="20" fillId="0" borderId="0" xfId="0" applyNumberFormat="1" applyFont="1" applyAlignment="1">
      <alignment horizontal="center"/>
    </xf>
    <xf numFmtId="169" fontId="10" fillId="0" borderId="27" xfId="10" applyBorder="1" applyAlignment="1">
      <alignment horizontal="left" vertical="top"/>
    </xf>
    <xf numFmtId="0" fontId="10" fillId="0" borderId="0" xfId="0" applyFont="1" applyAlignment="1"/>
    <xf numFmtId="0" fontId="0" fillId="0" borderId="0" xfId="0" applyAlignment="1"/>
    <xf numFmtId="0" fontId="8" fillId="0" borderId="7" xfId="5" applyFont="1" applyBorder="1" applyAlignment="1">
      <alignment horizontal="center"/>
    </xf>
    <xf numFmtId="0" fontId="8" fillId="0" borderId="0" xfId="5" applyFont="1" applyAlignment="1">
      <alignment horizontal="center"/>
    </xf>
    <xf numFmtId="0" fontId="8" fillId="0" borderId="12" xfId="5" applyFont="1" applyBorder="1" applyAlignment="1">
      <alignment horizontal="center"/>
    </xf>
    <xf numFmtId="0" fontId="24" fillId="0" borderId="3" xfId="0" applyFont="1" applyBorder="1" applyAlignment="1">
      <alignment horizontal="center" vertical="top"/>
    </xf>
    <xf numFmtId="0" fontId="25" fillId="0" borderId="0" xfId="0" applyFont="1" applyAlignment="1"/>
    <xf numFmtId="0" fontId="7" fillId="0" borderId="15" xfId="0" quotePrefix="1" applyFont="1" applyFill="1" applyBorder="1" applyAlignment="1">
      <alignment horizontal="center" vertical="center" wrapText="1"/>
    </xf>
    <xf numFmtId="0" fontId="20" fillId="0" borderId="3" xfId="0" applyFont="1" applyBorder="1" applyAlignment="1">
      <alignment horizontal="center" vertical="top"/>
    </xf>
    <xf numFmtId="0" fontId="20" fillId="0" borderId="0" xfId="0" applyFont="1" applyFill="1" applyBorder="1" applyAlignment="1">
      <alignment horizontal="center" vertical="top"/>
    </xf>
    <xf numFmtId="0" fontId="19" fillId="0" borderId="0" xfId="0" applyFont="1">
      <alignment horizontal="center" vertical="center"/>
    </xf>
    <xf numFmtId="0" fontId="19" fillId="0" borderId="0" xfId="0" applyFont="1" applyAlignment="1"/>
    <xf numFmtId="0" fontId="20" fillId="0" borderId="0" xfId="0" applyFont="1" applyAlignment="1">
      <alignment horizontal="left" vertical="center"/>
    </xf>
    <xf numFmtId="10" fontId="7" fillId="0" borderId="0" xfId="2" applyNumberFormat="1" applyFont="1"/>
    <xf numFmtId="10" fontId="7" fillId="0" borderId="0" xfId="1" applyNumberFormat="1" applyFont="1"/>
    <xf numFmtId="10" fontId="7" fillId="0" borderId="0" xfId="1" applyNumberFormat="1" applyFont="1" applyFill="1"/>
    <xf numFmtId="168" fontId="6" fillId="0" borderId="16" xfId="0" applyNumberFormat="1" applyFont="1" applyFill="1" applyBorder="1" applyAlignment="1">
      <alignment vertical="center" wrapText="1"/>
    </xf>
    <xf numFmtId="11" fontId="7" fillId="0" borderId="0" xfId="0" applyNumberFormat="1" applyFont="1" applyFill="1">
      <alignment horizontal="center" vertical="center"/>
    </xf>
    <xf numFmtId="0" fontId="26" fillId="0" borderId="0" xfId="0" applyFont="1" applyFill="1" applyAlignment="1"/>
    <xf numFmtId="0" fontId="27" fillId="0" borderId="0" xfId="0" applyFont="1" applyFill="1" applyAlignment="1"/>
    <xf numFmtId="0" fontId="6" fillId="0" borderId="4" xfId="0" applyFont="1" applyBorder="1">
      <alignment horizontal="center" vertical="center"/>
    </xf>
    <xf numFmtId="0" fontId="6" fillId="0" borderId="0" xfId="0" applyFont="1" applyBorder="1" applyAlignment="1">
      <alignment horizontal="left" vertical="center"/>
    </xf>
    <xf numFmtId="0" fontId="7" fillId="0" borderId="9" xfId="5" applyFont="1" applyBorder="1"/>
    <xf numFmtId="11" fontId="7" fillId="0" borderId="10" xfId="0" applyNumberFormat="1" applyFont="1" applyBorder="1" applyAlignment="1">
      <alignment horizontal="left" vertical="center"/>
    </xf>
    <xf numFmtId="11" fontId="7" fillId="0" borderId="0" xfId="0" applyNumberFormat="1" applyFont="1" applyBorder="1" applyAlignment="1">
      <alignment horizontal="left" vertical="center"/>
    </xf>
    <xf numFmtId="11" fontId="7" fillId="0" borderId="6" xfId="5" applyNumberFormat="1" applyFont="1" applyBorder="1" applyAlignment="1">
      <alignment horizontal="center"/>
    </xf>
    <xf numFmtId="11" fontId="7" fillId="0" borderId="6" xfId="0" applyNumberFormat="1" applyFont="1" applyBorder="1" applyAlignment="1">
      <alignment horizontal="left" vertical="center"/>
    </xf>
    <xf numFmtId="11" fontId="7" fillId="0" borderId="8" xfId="0" applyNumberFormat="1" applyFont="1" applyBorder="1" applyAlignment="1">
      <alignment horizontal="left" vertical="center"/>
    </xf>
    <xf numFmtId="11" fontId="7" fillId="0" borderId="5" xfId="0" applyNumberFormat="1" applyFont="1" applyBorder="1" applyAlignment="1">
      <alignment horizontal="left" vertical="center"/>
    </xf>
    <xf numFmtId="11" fontId="7" fillId="0" borderId="7" xfId="0" applyNumberFormat="1" applyFont="1" applyBorder="1" applyAlignment="1">
      <alignment horizontal="left" vertical="center"/>
    </xf>
    <xf numFmtId="0" fontId="7" fillId="0" borderId="11" xfId="5" applyFont="1" applyBorder="1"/>
    <xf numFmtId="11" fontId="7" fillId="0" borderId="14" xfId="0" applyNumberFormat="1" applyFont="1" applyBorder="1" applyAlignment="1">
      <alignment horizontal="left" vertical="center"/>
    </xf>
    <xf numFmtId="11" fontId="7" fillId="0" borderId="12" xfId="0" applyNumberFormat="1" applyFont="1" applyBorder="1" applyAlignment="1">
      <alignment horizontal="left" vertical="center"/>
    </xf>
    <xf numFmtId="11" fontId="7" fillId="0" borderId="13" xfId="5" applyNumberFormat="1" applyFont="1" applyBorder="1" applyAlignment="1">
      <alignment horizontal="center"/>
    </xf>
    <xf numFmtId="11" fontId="7" fillId="0" borderId="13" xfId="0" applyNumberFormat="1" applyFont="1" applyBorder="1" applyAlignment="1">
      <alignment horizontal="left" vertical="center"/>
    </xf>
    <xf numFmtId="11" fontId="7" fillId="0" borderId="0" xfId="5" applyNumberFormat="1" applyFont="1" applyAlignment="1">
      <alignment horizontal="center"/>
    </xf>
    <xf numFmtId="0" fontId="6" fillId="0" borderId="0" xfId="8" applyFont="1" applyAlignment="1">
      <alignment horizontal="left" vertical="center"/>
    </xf>
    <xf numFmtId="2" fontId="7" fillId="0" borderId="0" xfId="8" applyNumberFormat="1" applyFont="1" applyAlignment="1">
      <alignment horizontal="center" vertical="center"/>
    </xf>
    <xf numFmtId="165" fontId="7" fillId="0" borderId="0" xfId="8" applyNumberFormat="1" applyFont="1" applyAlignment="1">
      <alignment horizontal="left" vertical="center"/>
    </xf>
    <xf numFmtId="9" fontId="7" fillId="0" borderId="0" xfId="9" applyFont="1" applyAlignment="1">
      <alignment horizontal="left" vertical="center"/>
    </xf>
    <xf numFmtId="0" fontId="7" fillId="0" borderId="0" xfId="8" applyFont="1" applyAlignment="1">
      <alignment vertical="center"/>
    </xf>
    <xf numFmtId="10" fontId="7" fillId="0" borderId="0" xfId="9" applyNumberFormat="1" applyFont="1" applyAlignment="1">
      <alignment horizontal="left" vertical="center"/>
    </xf>
    <xf numFmtId="11" fontId="13" fillId="0" borderId="0" xfId="0" applyNumberFormat="1" applyFont="1" applyAlignment="1"/>
    <xf numFmtId="0" fontId="7" fillId="0" borderId="0" xfId="0" applyFont="1" applyFill="1" applyAlignment="1">
      <alignment horizontal="center" vertical="center" wrapText="1" readingOrder="1"/>
    </xf>
    <xf numFmtId="11" fontId="8" fillId="0" borderId="0" xfId="5" applyNumberFormat="1" applyFont="1"/>
    <xf numFmtId="11" fontId="8" fillId="0" borderId="0" xfId="0" applyNumberFormat="1" applyFont="1" applyFill="1">
      <alignment horizontal="center" vertical="center"/>
    </xf>
    <xf numFmtId="0" fontId="7" fillId="0" borderId="0" xfId="5" applyFont="1"/>
    <xf numFmtId="0" fontId="7" fillId="0" borderId="0" xfId="0" applyFont="1" applyFill="1" applyAlignment="1">
      <alignment horizontal="center" vertical="center" wrapText="1"/>
    </xf>
    <xf numFmtId="0" fontId="7" fillId="0" borderId="0" xfId="0" applyFont="1" applyFill="1" applyAlignment="1">
      <alignment horizontal="center" vertical="top" wrapText="1"/>
    </xf>
    <xf numFmtId="0" fontId="6" fillId="0" borderId="0" xfId="0" applyFont="1" applyFill="1" applyAlignment="1">
      <alignment vertical="center" wrapText="1"/>
    </xf>
    <xf numFmtId="0" fontId="9" fillId="0" borderId="0" xfId="0" applyFont="1" applyFill="1">
      <alignment horizontal="center" vertical="center"/>
    </xf>
    <xf numFmtId="0" fontId="7" fillId="0" borderId="0" xfId="0" quotePrefix="1" applyFont="1" applyFill="1" applyAlignment="1">
      <alignment horizontal="center" vertical="center" wrapText="1"/>
    </xf>
    <xf numFmtId="0" fontId="7" fillId="0" borderId="0" xfId="0" applyFont="1" applyAlignment="1">
      <alignment horizontal="center" wrapText="1"/>
    </xf>
    <xf numFmtId="0" fontId="6" fillId="0" borderId="0" xfId="0" applyFont="1" applyAlignment="1">
      <alignment horizontal="left" vertical="center" wrapText="1"/>
    </xf>
    <xf numFmtId="0" fontId="7" fillId="0" borderId="0" xfId="0" applyFont="1" applyAlignment="1">
      <alignment horizontal="center" vertical="center" wrapText="1"/>
    </xf>
    <xf numFmtId="0" fontId="7" fillId="0" borderId="0" xfId="0" quotePrefix="1" applyFont="1" applyAlignment="1">
      <alignment horizontal="center" vertical="center" wrapText="1"/>
    </xf>
    <xf numFmtId="0" fontId="7" fillId="0" borderId="0"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5" xfId="0" applyFont="1" applyBorder="1">
      <alignment horizontal="center" vertical="center"/>
    </xf>
    <xf numFmtId="0" fontId="7" fillId="0" borderId="2" xfId="0" applyFont="1" applyBorder="1">
      <alignment horizontal="center" vertical="center"/>
    </xf>
    <xf numFmtId="0" fontId="7" fillId="0" borderId="1" xfId="0" applyFont="1" applyBorder="1">
      <alignment horizontal="center" vertical="center"/>
    </xf>
    <xf numFmtId="0" fontId="7" fillId="0" borderId="0" xfId="8" applyFont="1" applyAlignment="1">
      <alignment horizontal="left" vertical="center"/>
    </xf>
    <xf numFmtId="0" fontId="6" fillId="0" borderId="0" xfId="8" applyFont="1" applyAlignment="1">
      <alignment horizontal="left" vertical="center"/>
    </xf>
    <xf numFmtId="0" fontId="6" fillId="0" borderId="0" xfId="0" applyFont="1" applyAlignment="1">
      <alignment horizontal="center" vertical="center" wrapText="1"/>
    </xf>
    <xf numFmtId="0" fontId="7" fillId="0" borderId="0" xfId="0" applyFont="1" applyFill="1">
      <alignment horizontal="center" vertical="center"/>
    </xf>
    <xf numFmtId="0" fontId="7" fillId="0" borderId="0" xfId="0" applyFont="1">
      <alignment horizontal="center" vertical="center"/>
    </xf>
    <xf numFmtId="0" fontId="6" fillId="3" borderId="2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7" fillId="0" borderId="0" xfId="2" applyFont="1" applyAlignment="1">
      <alignment horizontal="center"/>
    </xf>
    <xf numFmtId="0" fontId="19" fillId="0" borderId="12" xfId="0" applyFont="1" applyBorder="1">
      <alignment horizontal="center" vertical="center"/>
    </xf>
    <xf numFmtId="0" fontId="19" fillId="0" borderId="0" xfId="0" applyFont="1" applyAlignment="1">
      <alignment horizontal="center" vertical="center" wrapText="1"/>
    </xf>
    <xf numFmtId="0" fontId="29" fillId="0" borderId="0" xfId="0" applyFont="1">
      <alignment horizontal="center" vertical="center"/>
    </xf>
  </cellXfs>
  <cellStyles count="11">
    <cellStyle name="40% - Accent4" xfId="7" builtinId="43"/>
    <cellStyle name="Comma" xfId="4" builtinId="3"/>
    <cellStyle name="Normal" xfId="0" builtinId="0"/>
    <cellStyle name="Normal 12" xfId="10" xr:uid="{8AAA5850-5592-AE4D-A9BE-442E673F7325}"/>
    <cellStyle name="Normal 2" xfId="2" xr:uid="{05FC3FEE-61A4-4013-A16B-BF7958E3E6DD}"/>
    <cellStyle name="Normal 3" xfId="5" xr:uid="{153469F4-8181-DF4A-B748-DC3540C76DA9}"/>
    <cellStyle name="Normal 4" xfId="8" xr:uid="{F6AB471B-1AD9-7848-9C83-EA5A58088532}"/>
    <cellStyle name="Percent" xfId="1" builtinId="5"/>
    <cellStyle name="Percent 2" xfId="6" xr:uid="{8D501840-86D6-6442-9DBF-B7E3E0018917}"/>
    <cellStyle name="Percent 3" xfId="9" xr:uid="{C71026E6-1CF7-CF48-B2EB-5D36ED3AC872}"/>
    <cellStyle name="Pourcentage 2" xfId="3" xr:uid="{7641C0A2-8F7E-470E-B9EE-D9C49A25D912}"/>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171450</xdr:colOff>
      <xdr:row>1</xdr:row>
      <xdr:rowOff>25400</xdr:rowOff>
    </xdr:from>
    <xdr:to>
      <xdr:col>8</xdr:col>
      <xdr:colOff>19050</xdr:colOff>
      <xdr:row>4</xdr:row>
      <xdr:rowOff>12700</xdr:rowOff>
    </xdr:to>
    <xdr:pic>
      <xdr:nvPicPr>
        <xdr:cNvPr id="2" name="Picture 2" descr="esupp new graphic">
          <a:extLst>
            <a:ext uri="{FF2B5EF4-FFF2-40B4-BE49-F238E27FC236}">
              <a16:creationId xmlns:a16="http://schemas.microsoft.com/office/drawing/2014/main" id="{DA85BABC-ADF2-4E4E-968A-78CED3EF0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15900"/>
          <a:ext cx="67691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SimpleBox/SimpleBox-xl4plastic_v4.0.2/rivm-syso-SimpleBox-932ab2c/20221111%20SimpleBox4plastic.xlsx" TargetMode="External"/><Relationship Id="rId1" Type="http://schemas.openxmlformats.org/officeDocument/2006/relationships/externalLinkPath" Target="file:///C:/Users/louve/Documents/Maitrise_CIRAIG/Travail%20ma&#238;trise/SimpleBox/SimpleBox-xl4plastic_v4.0.2/rivm-syso-SimpleBox-932ab2c/20221111%20SimpleBox4plasti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Projet_ma&#238;trise_JLouvet.xlsx" TargetMode="External"/><Relationship Id="rId1" Type="http://schemas.openxmlformats.org/officeDocument/2006/relationships/externalLinkPath" Target="file:///C:/Users/louve/Documents/Maitrise_CIRAIG/Travail%20ma&#238;trise/Projet_ma&#238;trise_JLouve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ouve/Documents/Maitrise_CIRAIG/Mod&#232;les_ACV/USEtox_2.13/USEtox2.13.xlsm" TargetMode="External"/><Relationship Id="rId1" Type="http://schemas.openxmlformats.org/officeDocument/2006/relationships/externalLinkPath" Target="file:///C:/Users/louve/Documents/Maitrise_CIRAIG/Mod&#232;les_ACV/USEtox_2.13/USEtox2.13.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MASTER/CIRAIG/Research/My%20articles/Article%204%20-%20Finalized%20MarILCA%20method/Emission_by_polymer_type_v3.xlsx" TargetMode="External"/><Relationship Id="rId2" Type="http://schemas.openxmlformats.org/officeDocument/2006/relationships/externalLinkPath" Target="/Users/nadsad/Documents/MASTER/CIRAIG/Research/My%20articles/Article%204%20-%20Finalized%20MarILCA%20method/Emission_by_polymer_type_v3.xlsx" TargetMode="External"/><Relationship Id="rId1" Type="http://schemas.openxmlformats.org/officeDocument/2006/relationships/externalLinkPath" Target="/Users/nadsad/Documents/MASTER/CIRAIG/Research/My%20articles/Article%204%20-%20Finalized%20MarILCA%20method/Emission_by_polymer_typ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ll species output"/>
      <sheetName val="nano micro output"/>
      <sheetName val="input"/>
      <sheetName val="regional"/>
      <sheetName val="continental"/>
      <sheetName val="global"/>
      <sheetName val="engine"/>
      <sheetName val="dynamicR"/>
      <sheetName val="substances"/>
      <sheetName val="scenarios"/>
      <sheetName val="cases"/>
      <sheetName val="formulas_only_conventional"/>
      <sheetName val="extra_ENP_mass_output"/>
    </sheetNames>
    <sheetDataSet>
      <sheetData sheetId="0"/>
      <sheetData sheetId="1"/>
      <sheetData sheetId="2"/>
      <sheetData sheetId="3">
        <row r="10">
          <cell r="L10" t="str">
            <v>defaults only</v>
          </cell>
        </row>
        <row r="259">
          <cell r="L259">
            <v>228570000000</v>
          </cell>
        </row>
        <row r="260">
          <cell r="L260">
            <v>1000000000</v>
          </cell>
        </row>
        <row r="269">
          <cell r="L269">
            <v>100</v>
          </cell>
        </row>
        <row r="270">
          <cell r="L270">
            <v>3</v>
          </cell>
        </row>
        <row r="287">
          <cell r="L287">
            <v>3485840000000</v>
          </cell>
        </row>
        <row r="288">
          <cell r="L288">
            <v>3713410000000</v>
          </cell>
        </row>
        <row r="291">
          <cell r="L291">
            <v>2.5000000000000001E-3</v>
          </cell>
        </row>
        <row r="292">
          <cell r="L292">
            <v>2.75E-2</v>
          </cell>
        </row>
        <row r="293">
          <cell r="L293">
            <v>0.27</v>
          </cell>
        </row>
        <row r="294">
          <cell r="L294">
            <v>0.6</v>
          </cell>
        </row>
        <row r="295">
          <cell r="L295">
            <v>0.1</v>
          </cell>
        </row>
        <row r="299">
          <cell r="L299">
            <v>100</v>
          </cell>
        </row>
        <row r="300">
          <cell r="L300">
            <v>3</v>
          </cell>
        </row>
      </sheetData>
      <sheetData sheetId="4">
        <row r="16">
          <cell r="L16">
            <v>229570000000</v>
          </cell>
        </row>
      </sheetData>
      <sheetData sheetId="5">
        <row r="16">
          <cell r="L16">
            <v>7199250000000</v>
          </cell>
        </row>
      </sheetData>
      <sheetData sheetId="6"/>
      <sheetData sheetId="7"/>
      <sheetData sheetId="8"/>
      <sheetData sheetId="9"/>
      <sheetData sheetId="10"/>
      <sheetData sheetId="11">
        <row r="4">
          <cell r="G4" t="str">
            <v>Variable Name</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chéancier"/>
      <sheetName val="Echéancier 2"/>
      <sheetName val="To do"/>
      <sheetName val="Dégradation"/>
      <sheetName val="SSDR_littérature"/>
      <sheetName val="SSDR_moyennes"/>
      <sheetName val="Echelles du modèle"/>
    </sheetNames>
    <sheetDataSet>
      <sheetData sheetId="0">
        <row r="2">
          <cell r="H2">
            <v>43</v>
          </cell>
        </row>
      </sheetData>
      <sheetData sheetId="1"/>
      <sheetData sheetId="2"/>
      <sheetData sheetId="3"/>
      <sheetData sheetId="4">
        <row r="2">
          <cell r="C2">
            <v>11.70312499999997</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greement"/>
      <sheetName val="Instructions"/>
      <sheetName val="Run"/>
      <sheetName val="Results"/>
      <sheetName val="Substance data"/>
      <sheetName val="Landscape &amp; indoor data"/>
      <sheetName val="Fate"/>
      <sheetName val="Human exposure"/>
      <sheetName val="Indoor exposure"/>
      <sheetName val="Ecotox effect"/>
      <sheetName val="Human tox effect"/>
      <sheetName val="Conversion table"/>
      <sheetName val="Lists"/>
      <sheetName val="Code inputs"/>
      <sheetName val="avlogEC50"/>
      <sheetName val="Human tox ED50"/>
    </sheetNames>
    <sheetDataSet>
      <sheetData sheetId="0" refreshError="1"/>
      <sheetData sheetId="1" refreshError="1"/>
      <sheetData sheetId="2" refreshError="1"/>
      <sheetData sheetId="3" refreshError="1">
        <row r="10">
          <cell r="F10">
            <v>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udies_review"/>
      <sheetName val="combined_emissions"/>
    </sheetNames>
    <sheetDataSet>
      <sheetData sheetId="0">
        <row r="16">
          <cell r="C16">
            <v>0.5</v>
          </cell>
        </row>
        <row r="20">
          <cell r="C20">
            <v>1.8</v>
          </cell>
        </row>
        <row r="30">
          <cell r="C30">
            <v>1800000</v>
          </cell>
        </row>
        <row r="31">
          <cell r="C31">
            <v>2780000</v>
          </cell>
        </row>
        <row r="32">
          <cell r="C32">
            <v>2170000</v>
          </cell>
        </row>
        <row r="34">
          <cell r="C34">
            <v>117000</v>
          </cell>
        </row>
        <row r="35">
          <cell r="C35">
            <v>315000</v>
          </cell>
        </row>
        <row r="37">
          <cell r="C37">
            <v>2190000</v>
          </cell>
        </row>
        <row r="51">
          <cell r="C51">
            <v>0.68200000000000005</v>
          </cell>
        </row>
      </sheetData>
      <sheetData sheetId="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538A-26E6-47D2-AEF1-CF583F1A9D9B}">
  <dimension ref="B3:M43"/>
  <sheetViews>
    <sheetView workbookViewId="0">
      <selection activeCell="C42" sqref="C42"/>
    </sheetView>
  </sheetViews>
  <sheetFormatPr baseColWidth="10" defaultRowHeight="15" x14ac:dyDescent="0.2"/>
  <cols>
    <col min="1" max="1" width="10.83203125" style="14"/>
    <col min="2" max="2" width="22.1640625" style="14" customWidth="1"/>
    <col min="3" max="3" width="35" style="14" customWidth="1"/>
    <col min="4" max="4" width="10.83203125" style="14"/>
    <col min="5" max="5" width="11" style="14" customWidth="1"/>
    <col min="6" max="16384" width="10.83203125" style="14"/>
  </cols>
  <sheetData>
    <row r="3" spans="2:13" ht="22" x14ac:dyDescent="0.2">
      <c r="B3" s="180" t="s">
        <v>18</v>
      </c>
    </row>
    <row r="5" spans="2:13" ht="15" customHeight="1" x14ac:dyDescent="0.2">
      <c r="B5" s="279" t="s">
        <v>10273</v>
      </c>
      <c r="C5" s="279"/>
      <c r="D5" s="279"/>
      <c r="E5" s="279"/>
      <c r="F5" s="279"/>
      <c r="G5" s="279"/>
      <c r="H5" s="279"/>
      <c r="I5" s="279"/>
      <c r="J5" s="279"/>
      <c r="K5" s="279"/>
      <c r="L5" s="279"/>
      <c r="M5" s="279"/>
    </row>
    <row r="6" spans="2:13" x14ac:dyDescent="0.2">
      <c r="B6" s="279"/>
      <c r="C6" s="279"/>
      <c r="D6" s="279"/>
      <c r="E6" s="279"/>
      <c r="F6" s="279"/>
      <c r="G6" s="279"/>
      <c r="H6" s="279"/>
      <c r="I6" s="279"/>
      <c r="J6" s="279"/>
      <c r="K6" s="279"/>
      <c r="L6" s="279"/>
      <c r="M6" s="279"/>
    </row>
    <row r="7" spans="2:13" x14ac:dyDescent="0.2">
      <c r="B7" s="279"/>
      <c r="C7" s="279"/>
      <c r="D7" s="279"/>
      <c r="E7" s="279"/>
      <c r="F7" s="279"/>
      <c r="G7" s="279"/>
      <c r="H7" s="279"/>
      <c r="I7" s="279"/>
      <c r="J7" s="279"/>
      <c r="K7" s="279"/>
      <c r="L7" s="279"/>
      <c r="M7" s="279"/>
    </row>
    <row r="8" spans="2:13" x14ac:dyDescent="0.2">
      <c r="B8" s="15"/>
      <c r="C8" s="15"/>
      <c r="D8" s="15"/>
      <c r="E8" s="15"/>
      <c r="F8" s="15"/>
      <c r="G8" s="15"/>
      <c r="H8" s="15"/>
      <c r="I8" s="15"/>
      <c r="J8" s="15"/>
      <c r="K8" s="15"/>
      <c r="L8" s="15"/>
      <c r="M8" s="15"/>
    </row>
    <row r="9" spans="2:13" ht="16" x14ac:dyDescent="0.2">
      <c r="B9" s="181" t="s">
        <v>19</v>
      </c>
      <c r="C9" s="15"/>
      <c r="D9" s="15"/>
      <c r="E9" s="15"/>
      <c r="F9" s="15"/>
      <c r="G9" s="15"/>
      <c r="H9" s="15"/>
      <c r="I9" s="15"/>
      <c r="J9" s="15"/>
      <c r="K9" s="15"/>
      <c r="L9" s="15"/>
      <c r="M9" s="15"/>
    </row>
    <row r="10" spans="2:13" ht="14.5" customHeight="1" x14ac:dyDescent="0.2">
      <c r="B10" s="280" t="s">
        <v>302</v>
      </c>
      <c r="C10" s="280"/>
      <c r="D10" s="280"/>
      <c r="E10" s="280"/>
      <c r="F10" s="280"/>
      <c r="G10" s="280"/>
      <c r="H10" s="280"/>
      <c r="I10" s="280"/>
      <c r="J10" s="280"/>
      <c r="K10" s="280"/>
      <c r="L10" s="280"/>
      <c r="M10" s="280"/>
    </row>
    <row r="11" spans="2:13" x14ac:dyDescent="0.2">
      <c r="B11" s="280"/>
      <c r="C11" s="280"/>
      <c r="D11" s="280"/>
      <c r="E11" s="280"/>
      <c r="F11" s="280"/>
      <c r="G11" s="280"/>
      <c r="H11" s="280"/>
      <c r="I11" s="280"/>
      <c r="J11" s="280"/>
      <c r="K11" s="280"/>
      <c r="L11" s="280"/>
      <c r="M11" s="280"/>
    </row>
    <row r="12" spans="2:13" ht="16" x14ac:dyDescent="0.2">
      <c r="B12" s="15"/>
      <c r="C12" s="15"/>
      <c r="D12" s="15"/>
      <c r="E12" s="15"/>
      <c r="F12" s="15"/>
      <c r="G12" s="15"/>
      <c r="H12" s="181"/>
      <c r="I12" s="15"/>
      <c r="J12" s="15"/>
      <c r="K12" s="15"/>
      <c r="L12" s="15"/>
      <c r="M12" s="15"/>
    </row>
    <row r="13" spans="2:13" x14ac:dyDescent="0.2">
      <c r="C13" s="15"/>
      <c r="D13" s="15"/>
      <c r="E13" s="15"/>
      <c r="F13" s="15"/>
      <c r="G13" s="15"/>
      <c r="H13" s="182"/>
      <c r="I13" s="182"/>
      <c r="J13" s="182"/>
      <c r="K13" s="182"/>
      <c r="L13" s="182"/>
      <c r="M13" s="182"/>
    </row>
    <row r="14" spans="2:13" ht="16" x14ac:dyDescent="0.2">
      <c r="B14" s="282" t="s">
        <v>313</v>
      </c>
      <c r="C14" s="282"/>
      <c r="D14" s="282" t="s">
        <v>314</v>
      </c>
      <c r="E14" s="282"/>
      <c r="F14" s="282"/>
      <c r="G14" s="282"/>
      <c r="H14" s="282"/>
      <c r="I14" s="282"/>
      <c r="J14" s="282"/>
      <c r="K14" s="282"/>
      <c r="L14" s="282"/>
      <c r="M14" s="282"/>
    </row>
    <row r="15" spans="2:13" s="132" customFormat="1" ht="16" customHeight="1" x14ac:dyDescent="0.2">
      <c r="B15" s="281" t="s">
        <v>306</v>
      </c>
      <c r="C15" s="281"/>
      <c r="D15" s="283" t="s">
        <v>10360</v>
      </c>
      <c r="E15" s="279"/>
      <c r="F15" s="279"/>
      <c r="G15" s="279"/>
      <c r="H15" s="279"/>
      <c r="I15" s="279"/>
      <c r="J15" s="279"/>
      <c r="K15" s="279"/>
      <c r="L15" s="279"/>
      <c r="M15" s="279"/>
    </row>
    <row r="16" spans="2:13" s="132" customFormat="1" ht="16" x14ac:dyDescent="0.2">
      <c r="B16" s="183"/>
      <c r="C16" s="183" t="s">
        <v>315</v>
      </c>
      <c r="D16" s="279"/>
      <c r="E16" s="279"/>
      <c r="F16" s="279"/>
      <c r="G16" s="279"/>
      <c r="H16" s="279"/>
      <c r="I16" s="279"/>
      <c r="J16" s="279"/>
      <c r="K16" s="279"/>
      <c r="L16" s="279"/>
      <c r="M16" s="279"/>
    </row>
    <row r="17" spans="2:13" s="132" customFormat="1" ht="16" x14ac:dyDescent="0.2">
      <c r="B17" s="183"/>
      <c r="C17" s="183" t="s">
        <v>303</v>
      </c>
      <c r="D17" s="279"/>
      <c r="E17" s="279"/>
      <c r="F17" s="279"/>
      <c r="G17" s="279"/>
      <c r="H17" s="279"/>
      <c r="I17" s="279"/>
      <c r="J17" s="279"/>
      <c r="K17" s="279"/>
      <c r="L17" s="279"/>
      <c r="M17" s="279"/>
    </row>
    <row r="18" spans="2:13" s="132" customFormat="1" ht="16" x14ac:dyDescent="0.2">
      <c r="B18" s="183"/>
      <c r="C18" s="183" t="s">
        <v>304</v>
      </c>
      <c r="D18" s="279"/>
      <c r="E18" s="279"/>
      <c r="F18" s="279"/>
      <c r="G18" s="279"/>
      <c r="H18" s="279"/>
      <c r="I18" s="279"/>
      <c r="J18" s="279"/>
      <c r="K18" s="279"/>
      <c r="L18" s="279"/>
      <c r="M18" s="279"/>
    </row>
    <row r="19" spans="2:13" s="132" customFormat="1" ht="16" x14ac:dyDescent="0.2">
      <c r="B19" s="183"/>
      <c r="C19" s="183" t="s">
        <v>305</v>
      </c>
      <c r="D19" s="279"/>
      <c r="E19" s="279"/>
      <c r="F19" s="279"/>
      <c r="G19" s="279"/>
      <c r="H19" s="279"/>
      <c r="I19" s="279"/>
      <c r="J19" s="279"/>
      <c r="K19" s="279"/>
      <c r="L19" s="279"/>
      <c r="M19" s="279"/>
    </row>
    <row r="20" spans="2:13" s="132" customFormat="1" x14ac:dyDescent="0.2">
      <c r="B20" s="281" t="s">
        <v>6366</v>
      </c>
      <c r="C20" s="281"/>
      <c r="D20" s="279" t="s">
        <v>6373</v>
      </c>
      <c r="E20" s="279"/>
      <c r="F20" s="279"/>
      <c r="G20" s="279"/>
      <c r="H20" s="279"/>
      <c r="I20" s="279"/>
      <c r="J20" s="279"/>
      <c r="K20" s="279"/>
      <c r="L20" s="279"/>
      <c r="M20" s="279"/>
    </row>
    <row r="21" spans="2:13" s="132" customFormat="1" ht="32" x14ac:dyDescent="0.2">
      <c r="B21" s="183"/>
      <c r="C21" s="183" t="s">
        <v>6367</v>
      </c>
      <c r="D21" s="279"/>
      <c r="E21" s="279"/>
      <c r="F21" s="279"/>
      <c r="G21" s="279"/>
      <c r="H21" s="279"/>
      <c r="I21" s="279"/>
      <c r="J21" s="279"/>
      <c r="K21" s="279"/>
      <c r="L21" s="279"/>
      <c r="M21" s="279"/>
    </row>
    <row r="22" spans="2:13" s="132" customFormat="1" ht="16" x14ac:dyDescent="0.2">
      <c r="B22" s="183"/>
      <c r="C22" s="183" t="s">
        <v>6365</v>
      </c>
      <c r="D22" s="279"/>
      <c r="E22" s="279"/>
      <c r="F22" s="279"/>
      <c r="G22" s="279"/>
      <c r="H22" s="279"/>
      <c r="I22" s="279"/>
      <c r="J22" s="279"/>
      <c r="K22" s="279"/>
      <c r="L22" s="279"/>
      <c r="M22" s="279"/>
    </row>
    <row r="23" spans="2:13" s="132" customFormat="1" x14ac:dyDescent="0.2">
      <c r="B23" s="281" t="s">
        <v>308</v>
      </c>
      <c r="C23" s="281"/>
      <c r="D23" s="279" t="s">
        <v>6364</v>
      </c>
      <c r="E23" s="279"/>
      <c r="F23" s="279"/>
      <c r="G23" s="279"/>
      <c r="H23" s="279"/>
      <c r="I23" s="279"/>
      <c r="J23" s="279"/>
      <c r="K23" s="279"/>
      <c r="L23" s="279"/>
      <c r="M23" s="279"/>
    </row>
    <row r="24" spans="2:13" s="132" customFormat="1" ht="16" x14ac:dyDescent="0.2">
      <c r="B24" s="183"/>
      <c r="C24" s="183" t="s">
        <v>309</v>
      </c>
      <c r="D24" s="279"/>
      <c r="E24" s="279"/>
      <c r="F24" s="279"/>
      <c r="G24" s="279"/>
      <c r="H24" s="279"/>
      <c r="I24" s="279"/>
      <c r="J24" s="279"/>
      <c r="K24" s="279"/>
      <c r="L24" s="279"/>
      <c r="M24" s="279"/>
    </row>
    <row r="25" spans="2:13" s="132" customFormat="1" ht="16" x14ac:dyDescent="0.2">
      <c r="B25" s="183"/>
      <c r="C25" s="183" t="s">
        <v>310</v>
      </c>
      <c r="D25" s="279"/>
      <c r="E25" s="279"/>
      <c r="F25" s="279"/>
      <c r="G25" s="279"/>
      <c r="H25" s="279"/>
      <c r="I25" s="279"/>
      <c r="J25" s="279"/>
      <c r="K25" s="279"/>
      <c r="L25" s="279"/>
      <c r="M25" s="279"/>
    </row>
    <row r="26" spans="2:13" s="132" customFormat="1" ht="16" x14ac:dyDescent="0.2">
      <c r="B26" s="183"/>
      <c r="C26" s="183" t="s">
        <v>312</v>
      </c>
      <c r="D26" s="279"/>
      <c r="E26" s="279"/>
      <c r="F26" s="279"/>
      <c r="G26" s="279"/>
      <c r="H26" s="279"/>
      <c r="I26" s="279"/>
      <c r="J26" s="279"/>
      <c r="K26" s="279"/>
      <c r="L26" s="279"/>
      <c r="M26" s="279"/>
    </row>
    <row r="27" spans="2:13" s="132" customFormat="1" ht="32" x14ac:dyDescent="0.2">
      <c r="B27" s="110"/>
      <c r="C27" s="184" t="s">
        <v>311</v>
      </c>
      <c r="D27" s="279"/>
      <c r="E27" s="279"/>
      <c r="F27" s="279"/>
      <c r="G27" s="279"/>
      <c r="H27" s="279"/>
      <c r="I27" s="279"/>
      <c r="J27" s="279"/>
      <c r="K27" s="279"/>
      <c r="L27" s="279"/>
      <c r="M27" s="279"/>
    </row>
    <row r="28" spans="2:13" s="132" customFormat="1" ht="32" x14ac:dyDescent="0.2">
      <c r="B28" s="110"/>
      <c r="C28" s="184" t="s">
        <v>6363</v>
      </c>
      <c r="D28" s="279"/>
      <c r="E28" s="279"/>
      <c r="F28" s="279"/>
      <c r="G28" s="279"/>
      <c r="H28" s="279"/>
      <c r="I28" s="279"/>
      <c r="J28" s="279"/>
      <c r="K28" s="279"/>
      <c r="L28" s="279"/>
      <c r="M28" s="279"/>
    </row>
    <row r="29" spans="2:13" s="132" customFormat="1" ht="16" customHeight="1" x14ac:dyDescent="0.2">
      <c r="B29" s="285" t="s">
        <v>340</v>
      </c>
      <c r="C29" s="285"/>
      <c r="D29" s="287" t="s">
        <v>10356</v>
      </c>
      <c r="E29" s="286"/>
      <c r="F29" s="286"/>
      <c r="G29" s="286"/>
      <c r="H29" s="286"/>
      <c r="I29" s="286"/>
      <c r="J29" s="286"/>
      <c r="K29" s="286"/>
      <c r="L29" s="286"/>
      <c r="M29" s="286"/>
    </row>
    <row r="30" spans="2:13" s="132" customFormat="1" ht="16" customHeight="1" x14ac:dyDescent="0.2">
      <c r="B30" s="185"/>
      <c r="C30" s="185" t="s">
        <v>339</v>
      </c>
      <c r="D30" s="286"/>
      <c r="E30" s="286"/>
      <c r="F30" s="286"/>
      <c r="G30" s="286"/>
      <c r="H30" s="286"/>
      <c r="I30" s="286"/>
      <c r="J30" s="286"/>
      <c r="K30" s="286"/>
      <c r="L30" s="286"/>
      <c r="M30" s="286"/>
    </row>
    <row r="31" spans="2:13" s="132" customFormat="1" ht="16" customHeight="1" x14ac:dyDescent="0.2">
      <c r="B31" s="185"/>
      <c r="C31" s="185" t="s">
        <v>338</v>
      </c>
      <c r="D31" s="286"/>
      <c r="E31" s="286"/>
      <c r="F31" s="286"/>
      <c r="G31" s="286"/>
      <c r="H31" s="286"/>
      <c r="I31" s="286"/>
      <c r="J31" s="286"/>
      <c r="K31" s="286"/>
      <c r="L31" s="286"/>
      <c r="M31" s="286"/>
    </row>
    <row r="32" spans="2:13" s="132" customFormat="1" ht="16" customHeight="1" x14ac:dyDescent="0.2">
      <c r="B32" s="185"/>
      <c r="C32" s="185" t="s">
        <v>10269</v>
      </c>
      <c r="D32" s="286"/>
      <c r="E32" s="286"/>
      <c r="F32" s="286"/>
      <c r="G32" s="286"/>
      <c r="H32" s="286"/>
      <c r="I32" s="286"/>
      <c r="J32" s="286"/>
      <c r="K32" s="286"/>
      <c r="L32" s="286"/>
      <c r="M32" s="286"/>
    </row>
    <row r="33" spans="2:13" s="132" customFormat="1" ht="16" customHeight="1" x14ac:dyDescent="0.2">
      <c r="B33" s="285" t="s">
        <v>335</v>
      </c>
      <c r="C33" s="285"/>
      <c r="D33" s="286" t="s">
        <v>10355</v>
      </c>
      <c r="E33" s="286"/>
      <c r="F33" s="286"/>
      <c r="G33" s="286"/>
      <c r="H33" s="286"/>
      <c r="I33" s="286"/>
      <c r="J33" s="286"/>
      <c r="K33" s="286"/>
      <c r="L33" s="286"/>
      <c r="M33" s="286"/>
    </row>
    <row r="34" spans="2:13" s="132" customFormat="1" ht="16" customHeight="1" x14ac:dyDescent="0.2">
      <c r="C34" s="185" t="s">
        <v>336</v>
      </c>
      <c r="D34" s="286"/>
      <c r="E34" s="286"/>
      <c r="F34" s="286"/>
      <c r="G34" s="286"/>
      <c r="H34" s="286"/>
      <c r="I34" s="286"/>
      <c r="J34" s="286"/>
      <c r="K34" s="286"/>
      <c r="L34" s="286"/>
      <c r="M34" s="286"/>
    </row>
    <row r="35" spans="2:13" s="132" customFormat="1" ht="16" customHeight="1" x14ac:dyDescent="0.2">
      <c r="C35" s="185" t="s">
        <v>337</v>
      </c>
      <c r="D35" s="286"/>
      <c r="E35" s="286"/>
      <c r="F35" s="286"/>
      <c r="G35" s="286"/>
      <c r="H35" s="286"/>
      <c r="I35" s="286"/>
      <c r="J35" s="286"/>
      <c r="K35" s="286"/>
      <c r="L35" s="286"/>
      <c r="M35" s="286"/>
    </row>
    <row r="36" spans="2:13" x14ac:dyDescent="0.2">
      <c r="B36" s="281" t="s">
        <v>307</v>
      </c>
      <c r="C36" s="281"/>
      <c r="D36" s="284" t="s">
        <v>10357</v>
      </c>
      <c r="E36" s="284"/>
      <c r="F36" s="284"/>
      <c r="G36" s="284"/>
      <c r="H36" s="284"/>
      <c r="I36" s="284"/>
      <c r="J36" s="284"/>
      <c r="K36" s="284"/>
      <c r="L36" s="284"/>
      <c r="M36" s="284"/>
    </row>
    <row r="37" spans="2:13" x14ac:dyDescent="0.2">
      <c r="B37" s="60"/>
      <c r="C37" s="60"/>
      <c r="D37" s="60"/>
      <c r="E37" s="60"/>
      <c r="F37" s="60"/>
      <c r="G37" s="60"/>
      <c r="H37" s="60"/>
    </row>
    <row r="38" spans="2:13" x14ac:dyDescent="0.2">
      <c r="B38" s="60"/>
      <c r="C38" s="60"/>
      <c r="D38" s="60"/>
      <c r="E38" s="60"/>
      <c r="F38" s="60"/>
      <c r="G38" s="60"/>
      <c r="H38" s="60"/>
    </row>
    <row r="39" spans="2:13" x14ac:dyDescent="0.2">
      <c r="B39" s="60"/>
      <c r="C39" s="60"/>
      <c r="D39" s="60"/>
      <c r="E39" s="60"/>
      <c r="F39" s="60"/>
      <c r="G39" s="60"/>
      <c r="H39" s="60"/>
    </row>
    <row r="40" spans="2:13" x14ac:dyDescent="0.2">
      <c r="B40" s="60"/>
      <c r="C40" s="60"/>
      <c r="D40" s="60"/>
      <c r="E40" s="60"/>
      <c r="F40" s="60"/>
      <c r="G40" s="60"/>
      <c r="H40" s="60"/>
    </row>
    <row r="41" spans="2:13" x14ac:dyDescent="0.2">
      <c r="B41" s="60"/>
      <c r="C41" s="60"/>
      <c r="D41" s="60"/>
      <c r="E41" s="60"/>
      <c r="F41" s="60"/>
      <c r="G41" s="60"/>
      <c r="H41" s="60"/>
    </row>
    <row r="42" spans="2:13" x14ac:dyDescent="0.2">
      <c r="B42" s="60"/>
      <c r="C42" s="60"/>
      <c r="D42" s="60"/>
      <c r="E42" s="60"/>
      <c r="F42" s="60"/>
      <c r="G42" s="60"/>
      <c r="H42" s="60"/>
    </row>
    <row r="43" spans="2:13" x14ac:dyDescent="0.2">
      <c r="B43" s="60"/>
      <c r="C43" s="60"/>
      <c r="D43" s="60"/>
      <c r="E43" s="60"/>
      <c r="F43" s="60"/>
      <c r="G43" s="60"/>
      <c r="H43" s="60"/>
    </row>
  </sheetData>
  <mergeCells count="16">
    <mergeCell ref="B36:C36"/>
    <mergeCell ref="B14:C14"/>
    <mergeCell ref="D15:M19"/>
    <mergeCell ref="D14:M14"/>
    <mergeCell ref="D36:M36"/>
    <mergeCell ref="B29:C29"/>
    <mergeCell ref="B33:C33"/>
    <mergeCell ref="D33:M35"/>
    <mergeCell ref="D29:M32"/>
    <mergeCell ref="D23:M28"/>
    <mergeCell ref="D20:M22"/>
    <mergeCell ref="B5:M7"/>
    <mergeCell ref="B10:M11"/>
    <mergeCell ref="B15:C15"/>
    <mergeCell ref="B20:C20"/>
    <mergeCell ref="B23:C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DD58-AAA9-4C14-89FB-9EABC6C395E3}">
  <sheetPr>
    <tabColor theme="7" tint="0.79998168889431442"/>
  </sheetPr>
  <dimension ref="A2:N30"/>
  <sheetViews>
    <sheetView topLeftCell="A4" workbookViewId="0">
      <selection activeCell="K6" sqref="K6:K29"/>
    </sheetView>
  </sheetViews>
  <sheetFormatPr baseColWidth="10" defaultRowHeight="15" x14ac:dyDescent="0.2"/>
  <cols>
    <col min="1" max="1" width="10.83203125" style="18"/>
    <col min="2" max="2" width="13.6640625" style="18" bestFit="1" customWidth="1"/>
    <col min="3" max="3" width="26.83203125" style="18" customWidth="1"/>
    <col min="4" max="4" width="21.33203125" style="18" customWidth="1"/>
    <col min="5" max="5" width="18.6640625" style="18" customWidth="1"/>
    <col min="6" max="6" width="16.1640625" style="18" customWidth="1"/>
    <col min="7" max="16384" width="10.83203125" style="18"/>
  </cols>
  <sheetData>
    <row r="2" spans="1:14" ht="19" x14ac:dyDescent="0.2">
      <c r="B2" s="176" t="s">
        <v>11</v>
      </c>
    </row>
    <row r="3" spans="1:14" ht="19" x14ac:dyDescent="0.2">
      <c r="B3" s="176"/>
    </row>
    <row r="4" spans="1:14" ht="80" customHeight="1" x14ac:dyDescent="0.2">
      <c r="B4" s="288" t="s">
        <v>236</v>
      </c>
      <c r="C4" s="288"/>
      <c r="D4" s="288"/>
      <c r="E4" s="288"/>
      <c r="F4" s="288"/>
      <c r="G4" s="288"/>
      <c r="H4" s="288"/>
      <c r="I4" s="288"/>
      <c r="J4" s="288"/>
    </row>
    <row r="5" spans="1:14" ht="32" x14ac:dyDescent="0.2">
      <c r="I5" s="17" t="s">
        <v>231</v>
      </c>
      <c r="J5" s="18" t="s">
        <v>234</v>
      </c>
      <c r="K5" s="14">
        <v>2.5760000000000001</v>
      </c>
    </row>
    <row r="6" spans="1:14" ht="36.5" customHeight="1" x14ac:dyDescent="0.2">
      <c r="B6" s="4" t="s">
        <v>12</v>
      </c>
      <c r="C6" s="5" t="s">
        <v>228</v>
      </c>
      <c r="D6" s="6" t="s">
        <v>229</v>
      </c>
      <c r="E6" s="7" t="s">
        <v>230</v>
      </c>
      <c r="F6" s="5" t="s">
        <v>227</v>
      </c>
      <c r="G6" s="6" t="s">
        <v>225</v>
      </c>
      <c r="H6" s="7" t="s">
        <v>226</v>
      </c>
      <c r="I6" s="8" t="s">
        <v>232</v>
      </c>
      <c r="J6" s="9" t="s">
        <v>233</v>
      </c>
      <c r="K6" s="4" t="s">
        <v>10362</v>
      </c>
    </row>
    <row r="7" spans="1:14" ht="15" customHeight="1" x14ac:dyDescent="0.2">
      <c r="A7" s="17"/>
      <c r="B7" s="79" t="s">
        <v>5</v>
      </c>
      <c r="C7" s="29">
        <f>GEOMEAN(D7,E7)</f>
        <v>3.1622776601683791E-2</v>
      </c>
      <c r="D7" s="68">
        <v>1E-3</v>
      </c>
      <c r="E7" s="69">
        <v>1</v>
      </c>
      <c r="F7" s="80">
        <f>GEOMEAN(G7:H7)</f>
        <v>1.0027516679884511E-15</v>
      </c>
      <c r="G7" s="81">
        <f t="shared" ref="G7:G16" si="0">(D7*0.000001)/(365*24*3600)</f>
        <v>3.1709791983764588E-17</v>
      </c>
      <c r="H7" s="82">
        <f t="shared" ref="H7:H16" si="1">(E7*0.000001)/(365*24*3600)</f>
        <v>3.1709791983764584E-14</v>
      </c>
      <c r="I7" s="83">
        <f>LN(F7)</f>
        <v>-34.536028505829982</v>
      </c>
      <c r="J7" s="84">
        <f>(LN(H7)-LN(G7))/(2*$K$5)</f>
        <v>1.3407910091192035</v>
      </c>
      <c r="K7" s="102" t="s">
        <v>10363</v>
      </c>
    </row>
    <row r="8" spans="1:14" ht="16" x14ac:dyDescent="0.2">
      <c r="A8" s="17"/>
      <c r="B8" s="79" t="s">
        <v>0</v>
      </c>
      <c r="C8" s="29">
        <f t="shared" ref="C8:C11" si="2">GEOMEAN(D8,E8)</f>
        <v>0.10954451150103323</v>
      </c>
      <c r="D8" s="71">
        <v>1E-3</v>
      </c>
      <c r="E8" s="72">
        <v>12</v>
      </c>
      <c r="F8" s="80">
        <f t="shared" ref="F8:F29" si="3">GEOMEAN(G8:H8)</f>
        <v>3.473633672660871E-15</v>
      </c>
      <c r="G8" s="81">
        <f t="shared" si="0"/>
        <v>3.1709791983764588E-17</v>
      </c>
      <c r="H8" s="82">
        <f t="shared" si="1"/>
        <v>3.8051750380517506E-13</v>
      </c>
      <c r="I8" s="83">
        <f t="shared" ref="I8:I9" si="4">LN(F8)</f>
        <v>-33.293575180935981</v>
      </c>
      <c r="J8" s="84">
        <f t="shared" ref="J8:J29" si="5">(LN(H8)-LN(G8))/(2*$K$5)</f>
        <v>1.8231098464227753</v>
      </c>
      <c r="K8" s="79" t="s">
        <v>197</v>
      </c>
    </row>
    <row r="9" spans="1:14" ht="16" x14ac:dyDescent="0.2">
      <c r="A9" s="17"/>
      <c r="B9" s="79" t="s">
        <v>1</v>
      </c>
      <c r="C9" s="29">
        <f t="shared" si="2"/>
        <v>0.19498717906570168</v>
      </c>
      <c r="D9" s="68">
        <v>1E-3</v>
      </c>
      <c r="E9" s="69">
        <v>38.020000000000003</v>
      </c>
      <c r="F9" s="80">
        <f t="shared" si="3"/>
        <v>6.1830028876744562E-15</v>
      </c>
      <c r="G9" s="81">
        <f t="shared" si="0"/>
        <v>3.1709791983764588E-17</v>
      </c>
      <c r="H9" s="82">
        <f t="shared" si="1"/>
        <v>1.2056062912227296E-12</v>
      </c>
      <c r="I9" s="83">
        <f t="shared" si="4"/>
        <v>-32.716972337299836</v>
      </c>
      <c r="J9" s="84">
        <f t="shared" si="5"/>
        <v>2.0469463540455011</v>
      </c>
      <c r="K9" s="79" t="s">
        <v>197</v>
      </c>
    </row>
    <row r="10" spans="1:14" ht="16" x14ac:dyDescent="0.2">
      <c r="A10" s="17"/>
      <c r="B10" s="79" t="s">
        <v>13</v>
      </c>
      <c r="C10" s="29">
        <f t="shared" si="2"/>
        <v>3.2</v>
      </c>
      <c r="D10" s="71">
        <v>3.2000000000000001E-2</v>
      </c>
      <c r="E10" s="72">
        <v>320</v>
      </c>
      <c r="F10" s="80">
        <f t="shared" si="3"/>
        <v>1.0147133434804666E-13</v>
      </c>
      <c r="G10" s="81">
        <f t="shared" si="0"/>
        <v>1.0147133434804668E-15</v>
      </c>
      <c r="H10" s="82">
        <f t="shared" si="1"/>
        <v>1.0147133434804666E-11</v>
      </c>
      <c r="I10" s="83">
        <f t="shared" ref="I10:I29" si="6">LN(F10)</f>
        <v>-29.919000056533232</v>
      </c>
      <c r="J10" s="84">
        <f t="shared" si="5"/>
        <v>1.7877213454922709</v>
      </c>
      <c r="K10" s="79" t="s">
        <v>10363</v>
      </c>
    </row>
    <row r="11" spans="1:14" ht="16" x14ac:dyDescent="0.2">
      <c r="A11" s="17"/>
      <c r="B11" s="79" t="s">
        <v>2</v>
      </c>
      <c r="C11" s="29">
        <f t="shared" si="2"/>
        <v>0.32403703492039299</v>
      </c>
      <c r="D11" s="68">
        <v>1E-3</v>
      </c>
      <c r="E11" s="69">
        <v>105</v>
      </c>
      <c r="F11" s="80">
        <f t="shared" si="3"/>
        <v>1.0275146972361524E-14</v>
      </c>
      <c r="G11" s="81">
        <f t="shared" si="0"/>
        <v>3.1709791983764588E-17</v>
      </c>
      <c r="H11" s="82">
        <f t="shared" si="1"/>
        <v>3.3295281582952814E-12</v>
      </c>
      <c r="I11" s="83">
        <f t="shared" si="6"/>
        <v>-32.209048330751216</v>
      </c>
      <c r="J11" s="84">
        <f t="shared" si="5"/>
        <v>2.2441218224261767</v>
      </c>
      <c r="K11" s="79" t="s">
        <v>197</v>
      </c>
    </row>
    <row r="12" spans="1:14" ht="20" x14ac:dyDescent="0.2">
      <c r="A12" s="17"/>
      <c r="B12" s="79" t="s">
        <v>3</v>
      </c>
      <c r="C12" s="29">
        <f>GEOMEAN(D12,E12)</f>
        <v>1.2328828005937953</v>
      </c>
      <c r="D12" s="68">
        <v>0.2</v>
      </c>
      <c r="E12" s="69">
        <v>7.6</v>
      </c>
      <c r="F12" s="80">
        <f t="shared" si="3"/>
        <v>3.9094457147190363E-14</v>
      </c>
      <c r="G12" s="81">
        <f t="shared" si="0"/>
        <v>6.3419583967529173E-15</v>
      </c>
      <c r="H12" s="82">
        <f t="shared" si="1"/>
        <v>2.4099441907661082E-13</v>
      </c>
      <c r="I12" s="83">
        <f t="shared" si="6"/>
        <v>-30.872795698909819</v>
      </c>
      <c r="J12" s="84">
        <f t="shared" si="5"/>
        <v>0.70605321423260525</v>
      </c>
      <c r="K12" s="79" t="s">
        <v>197</v>
      </c>
      <c r="L12" s="178"/>
      <c r="M12" s="178"/>
      <c r="N12" s="178"/>
    </row>
    <row r="13" spans="1:14" ht="20" x14ac:dyDescent="0.2">
      <c r="A13" s="17"/>
      <c r="B13" s="79" t="s">
        <v>8</v>
      </c>
      <c r="C13" s="29">
        <f>GEOMEAN(D13,E13)</f>
        <v>3.1622776601683791E-2</v>
      </c>
      <c r="D13" s="68">
        <v>1E-3</v>
      </c>
      <c r="E13" s="69">
        <v>1</v>
      </c>
      <c r="F13" s="80">
        <f t="shared" si="3"/>
        <v>1.0027516679884511E-15</v>
      </c>
      <c r="G13" s="81">
        <f t="shared" si="0"/>
        <v>3.1709791983764588E-17</v>
      </c>
      <c r="H13" s="82">
        <f t="shared" si="1"/>
        <v>3.1709791983764584E-14</v>
      </c>
      <c r="I13" s="83">
        <f t="shared" si="6"/>
        <v>-34.536028505829982</v>
      </c>
      <c r="J13" s="84">
        <f t="shared" si="5"/>
        <v>1.3407910091192035</v>
      </c>
      <c r="K13" s="79" t="s">
        <v>197</v>
      </c>
      <c r="L13" s="179"/>
      <c r="M13" s="179"/>
      <c r="N13" s="173"/>
    </row>
    <row r="14" spans="1:14" ht="20" x14ac:dyDescent="0.2">
      <c r="A14" s="17"/>
      <c r="B14" s="79" t="s">
        <v>4</v>
      </c>
      <c r="C14" s="29">
        <f>GEOMEAN(D14,E14)</f>
        <v>0.01</v>
      </c>
      <c r="D14" s="68">
        <v>1E-3</v>
      </c>
      <c r="E14" s="69">
        <v>0.1</v>
      </c>
      <c r="F14" s="80">
        <f t="shared" si="3"/>
        <v>3.1709791983764586E-16</v>
      </c>
      <c r="G14" s="81">
        <f t="shared" si="0"/>
        <v>3.1709791983764588E-17</v>
      </c>
      <c r="H14" s="82">
        <f t="shared" si="1"/>
        <v>3.1709791983764586E-15</v>
      </c>
      <c r="I14" s="83">
        <f t="shared" si="6"/>
        <v>-35.687321052327007</v>
      </c>
      <c r="J14" s="84">
        <f t="shared" si="5"/>
        <v>0.89386067274613612</v>
      </c>
      <c r="K14" s="79" t="s">
        <v>10363</v>
      </c>
      <c r="L14" s="179"/>
      <c r="M14" s="179"/>
      <c r="N14" s="173"/>
    </row>
    <row r="15" spans="1:14" ht="20" x14ac:dyDescent="0.2">
      <c r="A15" s="17"/>
      <c r="B15" s="79" t="s">
        <v>165</v>
      </c>
      <c r="C15" s="29">
        <f t="shared" ref="C15:C29" si="7">GEOMEAN(D15,E15)</f>
        <v>0.25248762345905196</v>
      </c>
      <c r="D15" s="68">
        <v>1E-3</v>
      </c>
      <c r="E15" s="69">
        <v>63.75</v>
      </c>
      <c r="F15" s="80">
        <f t="shared" si="3"/>
        <v>8.0063300183616164E-15</v>
      </c>
      <c r="G15" s="81">
        <f t="shared" si="0"/>
        <v>3.1709791983764588E-17</v>
      </c>
      <c r="H15" s="82">
        <f t="shared" si="1"/>
        <v>2.021499238964992E-12</v>
      </c>
      <c r="I15" s="83">
        <f t="shared" si="6"/>
        <v>-32.458543913810715</v>
      </c>
      <c r="J15" s="84">
        <f t="shared" si="5"/>
        <v>2.1472679470148819</v>
      </c>
      <c r="K15" s="79" t="s">
        <v>10363</v>
      </c>
      <c r="L15" s="179"/>
      <c r="M15" s="179"/>
      <c r="N15" s="173"/>
    </row>
    <row r="16" spans="1:14" ht="16" x14ac:dyDescent="0.2">
      <c r="A16" s="17"/>
      <c r="B16" s="85" t="s">
        <v>10</v>
      </c>
      <c r="C16" s="29">
        <f t="shared" si="7"/>
        <v>0.01</v>
      </c>
      <c r="D16" s="68">
        <v>1E-3</v>
      </c>
      <c r="E16" s="30">
        <v>0.1</v>
      </c>
      <c r="F16" s="80">
        <f t="shared" si="3"/>
        <v>3.1709791983764586E-16</v>
      </c>
      <c r="G16" s="81">
        <f t="shared" si="0"/>
        <v>3.1709791983764588E-17</v>
      </c>
      <c r="H16" s="82">
        <f t="shared" si="1"/>
        <v>3.1709791983764586E-15</v>
      </c>
      <c r="I16" s="83">
        <f t="shared" si="6"/>
        <v>-35.687321052327007</v>
      </c>
      <c r="J16" s="84">
        <f t="shared" si="5"/>
        <v>0.89386067274613612</v>
      </c>
      <c r="K16" s="79" t="s">
        <v>10363</v>
      </c>
    </row>
    <row r="17" spans="1:11" ht="16" x14ac:dyDescent="0.2">
      <c r="A17" s="17"/>
      <c r="B17" s="79" t="s">
        <v>6</v>
      </c>
      <c r="C17" s="83" t="s">
        <v>14</v>
      </c>
      <c r="D17" s="18" t="s">
        <v>14</v>
      </c>
      <c r="E17" s="30" t="s">
        <v>14</v>
      </c>
      <c r="F17" s="80">
        <f t="shared" si="3"/>
        <v>3.3287915597856226E-15</v>
      </c>
      <c r="G17" s="81">
        <v>3.16881E-17</v>
      </c>
      <c r="H17" s="82">
        <v>3.4968499999999999E-13</v>
      </c>
      <c r="I17" s="83">
        <f t="shared" si="6"/>
        <v>-33.336167051739913</v>
      </c>
      <c r="J17" s="84">
        <f t="shared" si="5"/>
        <v>1.8068413843437594</v>
      </c>
      <c r="K17" s="79" t="s">
        <v>10363</v>
      </c>
    </row>
    <row r="18" spans="1:11" ht="16" x14ac:dyDescent="0.2">
      <c r="A18" s="17"/>
      <c r="B18" s="79" t="s">
        <v>7</v>
      </c>
      <c r="C18" s="29">
        <f t="shared" si="7"/>
        <v>112.6232658024087</v>
      </c>
      <c r="D18" s="86">
        <v>7.55</v>
      </c>
      <c r="E18" s="87">
        <v>1680</v>
      </c>
      <c r="F18" s="80">
        <f t="shared" si="3"/>
        <v>3.5712603311266074E-12</v>
      </c>
      <c r="G18" s="81">
        <f t="shared" ref="G18:G29" si="8">(D18*0.000001)/(365*24*3600)</f>
        <v>2.394089294774226E-13</v>
      </c>
      <c r="H18" s="82">
        <f t="shared" ref="H18:H29" si="9">(E18*0.000001)/(365*24*3600)</f>
        <v>5.3272450532724503E-11</v>
      </c>
      <c r="I18" s="83">
        <f t="shared" si="6"/>
        <v>-26.358102548509795</v>
      </c>
      <c r="J18" s="84">
        <f t="shared" si="5"/>
        <v>1.0491074357795753</v>
      </c>
      <c r="K18" s="79" t="s">
        <v>10363</v>
      </c>
    </row>
    <row r="19" spans="1:11" ht="16" x14ac:dyDescent="0.2">
      <c r="A19" s="17"/>
      <c r="B19" s="79" t="s">
        <v>20</v>
      </c>
      <c r="C19" s="29">
        <f t="shared" si="7"/>
        <v>8.6602540378443865E-2</v>
      </c>
      <c r="D19" s="68">
        <v>1E-3</v>
      </c>
      <c r="E19" s="69">
        <v>7.5</v>
      </c>
      <c r="F19" s="80">
        <f t="shared" si="3"/>
        <v>2.7461485406660283E-15</v>
      </c>
      <c r="G19" s="81">
        <f t="shared" si="8"/>
        <v>3.1709791983764588E-17</v>
      </c>
      <c r="H19" s="82">
        <f t="shared" si="9"/>
        <v>2.3782343987823439E-13</v>
      </c>
      <c r="I19" s="83">
        <f t="shared" si="6"/>
        <v>-33.528576995558851</v>
      </c>
      <c r="J19" s="84">
        <f t="shared" si="5"/>
        <v>1.7318824339138983</v>
      </c>
      <c r="K19" s="79" t="s">
        <v>10363</v>
      </c>
    </row>
    <row r="20" spans="1:11" ht="16" x14ac:dyDescent="0.2">
      <c r="A20" s="17"/>
      <c r="B20" s="79" t="s">
        <v>166</v>
      </c>
      <c r="C20" s="29">
        <f t="shared" si="7"/>
        <v>14.839903216935076</v>
      </c>
      <c r="D20" s="88">
        <v>1.31416</v>
      </c>
      <c r="E20" s="89">
        <v>167.57679999999999</v>
      </c>
      <c r="F20" s="80">
        <f t="shared" si="3"/>
        <v>4.705702440682101E-13</v>
      </c>
      <c r="G20" s="81">
        <f t="shared" si="8"/>
        <v>4.1671740233384066E-14</v>
      </c>
      <c r="H20" s="82">
        <f t="shared" si="9"/>
        <v>5.3138254693049209E-12</v>
      </c>
      <c r="I20" s="83">
        <f t="shared" si="6"/>
        <v>-28.38483115039082</v>
      </c>
      <c r="J20" s="84">
        <f t="shared" si="5"/>
        <v>0.94104116370236246</v>
      </c>
      <c r="K20" s="79" t="s">
        <v>10363</v>
      </c>
    </row>
    <row r="21" spans="1:11" ht="16" x14ac:dyDescent="0.2">
      <c r="A21" s="17"/>
      <c r="B21" s="79" t="s">
        <v>167</v>
      </c>
      <c r="C21" s="29">
        <f t="shared" si="7"/>
        <v>1.5655184444777392</v>
      </c>
      <c r="D21" s="88">
        <v>0.6080000000000001</v>
      </c>
      <c r="E21" s="89">
        <v>4.0309999999999997</v>
      </c>
      <c r="F21" s="80">
        <f t="shared" si="3"/>
        <v>4.9642264221135818E-14</v>
      </c>
      <c r="G21" s="81">
        <f t="shared" si="8"/>
        <v>1.9279553526128871E-14</v>
      </c>
      <c r="H21" s="82">
        <f t="shared" si="9"/>
        <v>1.2782217148655502E-13</v>
      </c>
      <c r="I21" s="83">
        <f t="shared" si="6"/>
        <v>-30.633933822779383</v>
      </c>
      <c r="J21" s="84">
        <f t="shared" si="5"/>
        <v>0.36715739152775634</v>
      </c>
      <c r="K21" s="79" t="s">
        <v>10363</v>
      </c>
    </row>
    <row r="22" spans="1:11" ht="16" x14ac:dyDescent="0.2">
      <c r="A22" s="17"/>
      <c r="B22" s="79" t="s">
        <v>15</v>
      </c>
      <c r="C22" s="83">
        <v>101.29</v>
      </c>
      <c r="D22" s="18">
        <f>C22/10</f>
        <v>10.129000000000001</v>
      </c>
      <c r="E22" s="30">
        <f>C22*10</f>
        <v>1012.9000000000001</v>
      </c>
      <c r="F22" s="80">
        <f t="shared" si="3"/>
        <v>3.2118848300355151E-12</v>
      </c>
      <c r="G22" s="81">
        <f t="shared" si="8"/>
        <v>3.2118848300355151E-13</v>
      </c>
      <c r="H22" s="82">
        <f t="shared" si="9"/>
        <v>3.211884830035515E-11</v>
      </c>
      <c r="I22" s="83">
        <f t="shared" si="6"/>
        <v>-26.464163176640206</v>
      </c>
      <c r="J22" s="84">
        <f t="shared" si="5"/>
        <v>0.89386067274613545</v>
      </c>
      <c r="K22" s="79" t="s">
        <v>10363</v>
      </c>
    </row>
    <row r="23" spans="1:11" ht="16" x14ac:dyDescent="0.2">
      <c r="A23" s="17"/>
      <c r="B23" s="79" t="s">
        <v>9</v>
      </c>
      <c r="C23" s="29">
        <f t="shared" si="7"/>
        <v>11.752935803449281</v>
      </c>
      <c r="D23" s="18">
        <v>10.27</v>
      </c>
      <c r="E23" s="30">
        <v>13.45</v>
      </c>
      <c r="F23" s="80">
        <f t="shared" si="3"/>
        <v>3.7268314952591578E-13</v>
      </c>
      <c r="G23" s="81">
        <f t="shared" si="8"/>
        <v>3.256595636732623E-13</v>
      </c>
      <c r="H23" s="82">
        <f t="shared" si="9"/>
        <v>4.2649670218163365E-13</v>
      </c>
      <c r="I23" s="83">
        <f t="shared" si="6"/>
        <v>-28.618047801344755</v>
      </c>
      <c r="J23" s="84">
        <f t="shared" si="5"/>
        <v>5.2358711589165545E-2</v>
      </c>
      <c r="K23" s="79" t="s">
        <v>10363</v>
      </c>
    </row>
    <row r="24" spans="1:11" ht="16" x14ac:dyDescent="0.2">
      <c r="A24" s="17"/>
      <c r="B24" s="76" t="s">
        <v>145</v>
      </c>
      <c r="C24" s="29">
        <f t="shared" si="7"/>
        <v>26.796854245636649</v>
      </c>
      <c r="D24" s="46">
        <v>5.9971846965914954</v>
      </c>
      <c r="E24" s="47">
        <v>119.73474785093934</v>
      </c>
      <c r="F24" s="80">
        <f t="shared" si="3"/>
        <v>8.4972267394839704E-13</v>
      </c>
      <c r="G24" s="81">
        <f t="shared" si="8"/>
        <v>1.9016947921713265E-13</v>
      </c>
      <c r="H24" s="82">
        <f t="shared" si="9"/>
        <v>3.7967639475817903E-12</v>
      </c>
      <c r="I24" s="83">
        <f t="shared" si="6"/>
        <v>-27.793866364605698</v>
      </c>
      <c r="J24" s="84">
        <f t="shared" si="5"/>
        <v>0.58113135087607293</v>
      </c>
      <c r="K24" s="79" t="s">
        <v>10363</v>
      </c>
    </row>
    <row r="25" spans="1:11" ht="16" x14ac:dyDescent="0.2">
      <c r="A25" s="17"/>
      <c r="B25" s="76" t="s">
        <v>146</v>
      </c>
      <c r="C25" s="29">
        <f t="shared" si="7"/>
        <v>32.689902110590666</v>
      </c>
      <c r="D25" s="90">
        <v>21.74</v>
      </c>
      <c r="E25" s="91">
        <v>49.155000000000001</v>
      </c>
      <c r="F25" s="80">
        <f t="shared" si="3"/>
        <v>1.0365899958964569E-12</v>
      </c>
      <c r="G25" s="81">
        <f t="shared" si="8"/>
        <v>6.8937087772704204E-13</v>
      </c>
      <c r="H25" s="82">
        <f t="shared" si="9"/>
        <v>1.5586948249619483E-12</v>
      </c>
      <c r="I25" s="83">
        <f t="shared" si="6"/>
        <v>-27.595084640082938</v>
      </c>
      <c r="J25" s="84">
        <f t="shared" si="5"/>
        <v>0.1583510654359134</v>
      </c>
      <c r="K25" s="79" t="s">
        <v>10363</v>
      </c>
    </row>
    <row r="26" spans="1:11" ht="16" x14ac:dyDescent="0.2">
      <c r="B26" s="76" t="s">
        <v>147</v>
      </c>
      <c r="C26" s="29">
        <f t="shared" si="7"/>
        <v>31.36326717421268</v>
      </c>
      <c r="D26" s="46">
        <v>21.922320656141004</v>
      </c>
      <c r="E26" s="47">
        <v>44.87</v>
      </c>
      <c r="F26" s="80">
        <f t="shared" si="3"/>
        <v>9.945226780255163E-13</v>
      </c>
      <c r="G26" s="81">
        <f t="shared" si="8"/>
        <v>6.9515222780761679E-13</v>
      </c>
      <c r="H26" s="82">
        <f t="shared" si="9"/>
        <v>1.4228183663115168E-12</v>
      </c>
      <c r="I26" s="83">
        <f t="shared" si="6"/>
        <v>-27.636513493432194</v>
      </c>
      <c r="J26" s="84">
        <f t="shared" si="5"/>
        <v>0.13902641579238051</v>
      </c>
      <c r="K26" s="79" t="s">
        <v>10363</v>
      </c>
    </row>
    <row r="27" spans="1:11" ht="16" x14ac:dyDescent="0.2">
      <c r="B27" s="76" t="s">
        <v>148</v>
      </c>
      <c r="C27" s="29">
        <f t="shared" si="7"/>
        <v>31.36326717421268</v>
      </c>
      <c r="D27" s="46">
        <v>21.922320656141004</v>
      </c>
      <c r="E27" s="47">
        <v>44.87</v>
      </c>
      <c r="F27" s="80">
        <f t="shared" si="3"/>
        <v>9.945226780255163E-13</v>
      </c>
      <c r="G27" s="81">
        <f t="shared" si="8"/>
        <v>6.9515222780761679E-13</v>
      </c>
      <c r="H27" s="82">
        <f t="shared" si="9"/>
        <v>1.4228183663115168E-12</v>
      </c>
      <c r="I27" s="83">
        <f t="shared" si="6"/>
        <v>-27.636513493432194</v>
      </c>
      <c r="J27" s="84">
        <f t="shared" si="5"/>
        <v>0.13902641579238051</v>
      </c>
      <c r="K27" s="79" t="s">
        <v>10363</v>
      </c>
    </row>
    <row r="28" spans="1:11" ht="16" x14ac:dyDescent="0.2">
      <c r="B28" s="76" t="s">
        <v>149</v>
      </c>
      <c r="C28" s="29">
        <f t="shared" si="7"/>
        <v>60.679110825049264</v>
      </c>
      <c r="D28" s="92">
        <v>37.799366578210353</v>
      </c>
      <c r="E28" s="93">
        <v>97.407835734503891</v>
      </c>
      <c r="F28" s="80">
        <f t="shared" si="3"/>
        <v>1.9241219820221099E-12</v>
      </c>
      <c r="G28" s="81">
        <f t="shared" si="8"/>
        <v>1.1986100513131138E-12</v>
      </c>
      <c r="H28" s="82">
        <f t="shared" si="9"/>
        <v>3.0887822087298289E-12</v>
      </c>
      <c r="I28" s="83">
        <f t="shared" si="6"/>
        <v>-26.976551365475352</v>
      </c>
      <c r="J28" s="84">
        <f t="shared" si="5"/>
        <v>0.18373724983254067</v>
      </c>
      <c r="K28" s="79" t="s">
        <v>10363</v>
      </c>
    </row>
    <row r="29" spans="1:11" ht="16" x14ac:dyDescent="0.2">
      <c r="B29" s="77" t="s">
        <v>150</v>
      </c>
      <c r="C29" s="52">
        <f t="shared" si="7"/>
        <v>54.945003049165862</v>
      </c>
      <c r="D29" s="94">
        <v>49.8341591296277</v>
      </c>
      <c r="E29" s="95">
        <v>60.58</v>
      </c>
      <c r="F29" s="96">
        <f t="shared" si="3"/>
        <v>1.7422946172363603E-12</v>
      </c>
      <c r="G29" s="97">
        <f t="shared" si="8"/>
        <v>1.5802308196863173E-12</v>
      </c>
      <c r="H29" s="98">
        <f t="shared" si="9"/>
        <v>1.9209791983764582E-12</v>
      </c>
      <c r="I29" s="99">
        <f t="shared" si="6"/>
        <v>-27.075818125945151</v>
      </c>
      <c r="J29" s="100">
        <f t="shared" si="5"/>
        <v>3.7900646430640512E-2</v>
      </c>
      <c r="K29" s="165" t="s">
        <v>10363</v>
      </c>
    </row>
    <row r="30" spans="1:11" x14ac:dyDescent="0.2">
      <c r="J30" s="34"/>
    </row>
  </sheetData>
  <mergeCells count="1">
    <mergeCell ref="B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CA39-770C-4F35-A894-6729CCF7C01D}">
  <sheetPr>
    <tabColor theme="7" tint="0.79998168889431442"/>
  </sheetPr>
  <dimension ref="A2:K31"/>
  <sheetViews>
    <sheetView topLeftCell="A5" workbookViewId="0">
      <selection activeCell="K6" sqref="K6:K29"/>
    </sheetView>
  </sheetViews>
  <sheetFormatPr baseColWidth="10" defaultRowHeight="15" x14ac:dyDescent="0.2"/>
  <cols>
    <col min="1" max="1" width="10.83203125" style="14"/>
    <col min="2" max="2" width="20" style="14" customWidth="1"/>
    <col min="3" max="3" width="26.83203125" style="14" customWidth="1"/>
    <col min="4" max="4" width="21.33203125" style="14" customWidth="1"/>
    <col min="5" max="6" width="18.6640625" style="14" customWidth="1"/>
    <col min="7" max="7" width="16.1640625" style="14" customWidth="1"/>
    <col min="8" max="8" width="11" style="14" bestFit="1" customWidth="1"/>
    <col min="9" max="9" width="12.33203125" style="14" bestFit="1" customWidth="1"/>
    <col min="10" max="11" width="11" style="14" bestFit="1" customWidth="1"/>
    <col min="12" max="16384" width="10.83203125" style="14"/>
  </cols>
  <sheetData>
    <row r="2" spans="1:11" ht="19" x14ac:dyDescent="0.2">
      <c r="B2" s="135" t="s">
        <v>16</v>
      </c>
    </row>
    <row r="3" spans="1:11" ht="19" x14ac:dyDescent="0.2">
      <c r="B3" s="135"/>
    </row>
    <row r="4" spans="1:11" ht="89" customHeight="1" x14ac:dyDescent="0.2">
      <c r="B4" s="288" t="s">
        <v>236</v>
      </c>
      <c r="C4" s="288"/>
      <c r="D4" s="288"/>
      <c r="E4" s="288"/>
      <c r="F4" s="288"/>
      <c r="G4" s="288"/>
      <c r="H4" s="288"/>
      <c r="I4" s="288"/>
      <c r="J4" s="288"/>
    </row>
    <row r="5" spans="1:11" ht="32" x14ac:dyDescent="0.2">
      <c r="B5" s="18"/>
      <c r="C5" s="18"/>
      <c r="D5" s="18"/>
      <c r="E5" s="18"/>
      <c r="F5" s="18"/>
      <c r="G5" s="18"/>
      <c r="H5" s="18"/>
      <c r="I5" s="17" t="s">
        <v>231</v>
      </c>
      <c r="J5" s="18" t="s">
        <v>234</v>
      </c>
      <c r="K5" s="14">
        <v>2.5760000000000001</v>
      </c>
    </row>
    <row r="6" spans="1:11" ht="36.5" customHeight="1" x14ac:dyDescent="0.2">
      <c r="B6" s="10" t="s">
        <v>12</v>
      </c>
      <c r="C6" s="5" t="s">
        <v>228</v>
      </c>
      <c r="D6" s="6" t="s">
        <v>229</v>
      </c>
      <c r="E6" s="7" t="s">
        <v>230</v>
      </c>
      <c r="F6" s="5" t="s">
        <v>227</v>
      </c>
      <c r="G6" s="6" t="s">
        <v>225</v>
      </c>
      <c r="H6" s="7" t="s">
        <v>226</v>
      </c>
      <c r="I6" s="8" t="s">
        <v>232</v>
      </c>
      <c r="J6" s="11" t="s">
        <v>233</v>
      </c>
      <c r="K6" s="4" t="s">
        <v>10362</v>
      </c>
    </row>
    <row r="7" spans="1:11" ht="16" x14ac:dyDescent="0.2">
      <c r="A7" s="110"/>
      <c r="B7" s="50" t="s">
        <v>5</v>
      </c>
      <c r="C7" s="29">
        <f>GEOMEAN(D7,E7)</f>
        <v>3.1622776601683791E-2</v>
      </c>
      <c r="D7" s="68">
        <v>1E-3</v>
      </c>
      <c r="E7" s="69">
        <v>1</v>
      </c>
      <c r="F7" s="70">
        <f>GEOMEAN(G7:H7)</f>
        <v>1.0027516679884511E-15</v>
      </c>
      <c r="G7" s="25">
        <f t="shared" ref="G7:G16" si="0">(D7*0.000001)/(365*24*3600)</f>
        <v>3.1709791983764588E-17</v>
      </c>
      <c r="H7" s="26">
        <f t="shared" ref="H7:H16" si="1">(E7*0.000001)/(365*24*3600)</f>
        <v>3.1709791983764584E-14</v>
      </c>
      <c r="I7" s="20">
        <f>LN(F7)</f>
        <v>-34.536028505829982</v>
      </c>
      <c r="J7" s="31">
        <f>(LN(H7)-LN(G7))/(2*$K$5)</f>
        <v>1.3407910091192035</v>
      </c>
      <c r="K7" s="102" t="s">
        <v>10363</v>
      </c>
    </row>
    <row r="8" spans="1:11" ht="16" x14ac:dyDescent="0.2">
      <c r="A8" s="110"/>
      <c r="B8" s="50" t="s">
        <v>0</v>
      </c>
      <c r="C8" s="29">
        <f t="shared" ref="C8:C11" si="2">GEOMEAN(D8,E8)</f>
        <v>0.10954451150103323</v>
      </c>
      <c r="D8" s="71">
        <v>1E-3</v>
      </c>
      <c r="E8" s="72">
        <v>12</v>
      </c>
      <c r="F8" s="70">
        <f t="shared" ref="F8:F29" si="3">GEOMEAN(G8:H8)</f>
        <v>3.473633672660871E-15</v>
      </c>
      <c r="G8" s="25">
        <f t="shared" si="0"/>
        <v>3.1709791983764588E-17</v>
      </c>
      <c r="H8" s="26">
        <f t="shared" si="1"/>
        <v>3.8051750380517506E-13</v>
      </c>
      <c r="I8" s="20">
        <f t="shared" ref="I8:I29" si="4">LN(F8)</f>
        <v>-33.293575180935981</v>
      </c>
      <c r="J8" s="31">
        <f t="shared" ref="J8:J29" si="5">(LN(H8)-LN(G8))/(2*$K$5)</f>
        <v>1.8231098464227753</v>
      </c>
      <c r="K8" s="79" t="s">
        <v>197</v>
      </c>
    </row>
    <row r="9" spans="1:11" ht="16" x14ac:dyDescent="0.2">
      <c r="A9" s="110"/>
      <c r="B9" s="50" t="s">
        <v>1</v>
      </c>
      <c r="C9" s="29">
        <f t="shared" si="2"/>
        <v>0.70413066969135785</v>
      </c>
      <c r="D9" s="177">
        <v>0.67</v>
      </c>
      <c r="E9" s="177">
        <v>0.74</v>
      </c>
      <c r="F9" s="70">
        <f t="shared" si="3"/>
        <v>2.2327837065301807E-14</v>
      </c>
      <c r="G9" s="25">
        <f t="shared" si="0"/>
        <v>2.1245560629122276E-14</v>
      </c>
      <c r="H9" s="26">
        <f t="shared" si="1"/>
        <v>2.3465246067985794E-14</v>
      </c>
      <c r="I9" s="20">
        <f t="shared" si="4"/>
        <v>-31.432942196029437</v>
      </c>
      <c r="J9" s="31">
        <f t="shared" si="5"/>
        <v>1.9288135445109562E-2</v>
      </c>
      <c r="K9" s="79" t="s">
        <v>197</v>
      </c>
    </row>
    <row r="10" spans="1:11" ht="16" x14ac:dyDescent="0.2">
      <c r="A10" s="110"/>
      <c r="B10" s="50" t="s">
        <v>13</v>
      </c>
      <c r="C10" s="29">
        <f t="shared" si="2"/>
        <v>3.2</v>
      </c>
      <c r="D10" s="71">
        <v>3.2000000000000001E-2</v>
      </c>
      <c r="E10" s="72">
        <v>320</v>
      </c>
      <c r="F10" s="70">
        <f t="shared" si="3"/>
        <v>1.0147133434804666E-13</v>
      </c>
      <c r="G10" s="25">
        <f t="shared" si="0"/>
        <v>1.0147133434804668E-15</v>
      </c>
      <c r="H10" s="26">
        <f t="shared" si="1"/>
        <v>1.0147133434804666E-11</v>
      </c>
      <c r="I10" s="20">
        <f t="shared" si="4"/>
        <v>-29.919000056533232</v>
      </c>
      <c r="J10" s="31">
        <f t="shared" si="5"/>
        <v>1.7877213454922709</v>
      </c>
      <c r="K10" s="79" t="s">
        <v>10363</v>
      </c>
    </row>
    <row r="11" spans="1:11" ht="16" x14ac:dyDescent="0.2">
      <c r="A11" s="110"/>
      <c r="B11" s="50" t="s">
        <v>2</v>
      </c>
      <c r="C11" s="29">
        <f t="shared" si="2"/>
        <v>0.32403703492039299</v>
      </c>
      <c r="D11" s="68">
        <v>1E-3</v>
      </c>
      <c r="E11" s="69">
        <v>105</v>
      </c>
      <c r="F11" s="70">
        <f t="shared" si="3"/>
        <v>1.0275146972361524E-14</v>
      </c>
      <c r="G11" s="25">
        <f t="shared" si="0"/>
        <v>3.1709791983764588E-17</v>
      </c>
      <c r="H11" s="26">
        <f t="shared" si="1"/>
        <v>3.3295281582952814E-12</v>
      </c>
      <c r="I11" s="20">
        <f t="shared" si="4"/>
        <v>-32.209048330751216</v>
      </c>
      <c r="J11" s="31">
        <f t="shared" si="5"/>
        <v>2.2441218224261767</v>
      </c>
      <c r="K11" s="79" t="s">
        <v>197</v>
      </c>
    </row>
    <row r="12" spans="1:11" ht="16" x14ac:dyDescent="0.2">
      <c r="A12" s="110"/>
      <c r="B12" s="50" t="s">
        <v>3</v>
      </c>
      <c r="C12" s="29">
        <f>GEOMEAN(D12,E12)</f>
        <v>1.2328828005937953</v>
      </c>
      <c r="D12" s="68">
        <v>0.2</v>
      </c>
      <c r="E12" s="69">
        <v>7.6</v>
      </c>
      <c r="F12" s="70">
        <f t="shared" si="3"/>
        <v>3.9094457147190363E-14</v>
      </c>
      <c r="G12" s="25">
        <f t="shared" si="0"/>
        <v>6.3419583967529173E-15</v>
      </c>
      <c r="H12" s="26">
        <f t="shared" si="1"/>
        <v>2.4099441907661082E-13</v>
      </c>
      <c r="I12" s="20">
        <f t="shared" si="4"/>
        <v>-30.872795698909819</v>
      </c>
      <c r="J12" s="31">
        <f t="shared" si="5"/>
        <v>0.70605321423260525</v>
      </c>
      <c r="K12" s="79" t="s">
        <v>197</v>
      </c>
    </row>
    <row r="13" spans="1:11" ht="16" x14ac:dyDescent="0.2">
      <c r="A13" s="110"/>
      <c r="B13" s="50" t="s">
        <v>8</v>
      </c>
      <c r="C13" s="29">
        <f>GEOMEAN(D13,E13)</f>
        <v>3.1622776601683791E-2</v>
      </c>
      <c r="D13" s="68">
        <v>1E-3</v>
      </c>
      <c r="E13" s="69">
        <v>1</v>
      </c>
      <c r="F13" s="70">
        <f t="shared" si="3"/>
        <v>1.0027516679884511E-15</v>
      </c>
      <c r="G13" s="25">
        <f t="shared" si="0"/>
        <v>3.1709791983764588E-17</v>
      </c>
      <c r="H13" s="26">
        <f t="shared" si="1"/>
        <v>3.1709791983764584E-14</v>
      </c>
      <c r="I13" s="20">
        <f t="shared" si="4"/>
        <v>-34.536028505829982</v>
      </c>
      <c r="J13" s="31">
        <f t="shared" si="5"/>
        <v>1.3407910091192035</v>
      </c>
      <c r="K13" s="79" t="s">
        <v>197</v>
      </c>
    </row>
    <row r="14" spans="1:11" ht="16" x14ac:dyDescent="0.2">
      <c r="A14" s="110"/>
      <c r="B14" s="50" t="s">
        <v>4</v>
      </c>
      <c r="C14" s="29">
        <f>GEOMEAN(D14,E14)</f>
        <v>0.01</v>
      </c>
      <c r="D14" s="68">
        <v>1E-3</v>
      </c>
      <c r="E14" s="69">
        <v>0.1</v>
      </c>
      <c r="F14" s="70">
        <f t="shared" si="3"/>
        <v>3.1709791983764586E-16</v>
      </c>
      <c r="G14" s="25">
        <f t="shared" si="0"/>
        <v>3.1709791983764588E-17</v>
      </c>
      <c r="H14" s="26">
        <f t="shared" si="1"/>
        <v>3.1709791983764586E-15</v>
      </c>
      <c r="I14" s="20">
        <f t="shared" si="4"/>
        <v>-35.687321052327007</v>
      </c>
      <c r="J14" s="31">
        <f t="shared" si="5"/>
        <v>0.89386067274613612</v>
      </c>
      <c r="K14" s="79" t="s">
        <v>10363</v>
      </c>
    </row>
    <row r="15" spans="1:11" ht="16" x14ac:dyDescent="0.2">
      <c r="A15" s="110"/>
      <c r="B15" s="50" t="s">
        <v>165</v>
      </c>
      <c r="C15" s="29">
        <f t="shared" ref="C15:C29" si="6">GEOMEAN(D15,E15)</f>
        <v>0.25248762345905196</v>
      </c>
      <c r="D15" s="68">
        <v>1E-3</v>
      </c>
      <c r="E15" s="69">
        <v>63.75</v>
      </c>
      <c r="F15" s="70">
        <f t="shared" si="3"/>
        <v>8.0063300183616164E-15</v>
      </c>
      <c r="G15" s="25">
        <f t="shared" si="0"/>
        <v>3.1709791983764588E-17</v>
      </c>
      <c r="H15" s="26">
        <f t="shared" si="1"/>
        <v>2.021499238964992E-12</v>
      </c>
      <c r="I15" s="20">
        <f t="shared" si="4"/>
        <v>-32.458543913810715</v>
      </c>
      <c r="J15" s="31">
        <f t="shared" si="5"/>
        <v>2.1472679470148819</v>
      </c>
      <c r="K15" s="79" t="s">
        <v>10363</v>
      </c>
    </row>
    <row r="16" spans="1:11" ht="16" x14ac:dyDescent="0.2">
      <c r="A16" s="110"/>
      <c r="B16" s="73" t="s">
        <v>10</v>
      </c>
      <c r="C16" s="29">
        <f t="shared" si="6"/>
        <v>0.01</v>
      </c>
      <c r="D16" s="68">
        <v>1E-3</v>
      </c>
      <c r="E16" s="74">
        <v>0.1</v>
      </c>
      <c r="F16" s="70">
        <f t="shared" si="3"/>
        <v>3.1709791983764586E-16</v>
      </c>
      <c r="G16" s="25">
        <f t="shared" si="0"/>
        <v>3.1709791983764588E-17</v>
      </c>
      <c r="H16" s="26">
        <f t="shared" si="1"/>
        <v>3.1709791983764586E-15</v>
      </c>
      <c r="I16" s="20">
        <f t="shared" si="4"/>
        <v>-35.687321052327007</v>
      </c>
      <c r="J16" s="31">
        <f t="shared" si="5"/>
        <v>0.89386067274613612</v>
      </c>
      <c r="K16" s="79" t="s">
        <v>10363</v>
      </c>
    </row>
    <row r="17" spans="1:11" ht="16" x14ac:dyDescent="0.2">
      <c r="A17" s="110"/>
      <c r="B17" s="50" t="s">
        <v>6</v>
      </c>
      <c r="C17" s="20" t="s">
        <v>14</v>
      </c>
      <c r="D17" s="17" t="s">
        <v>14</v>
      </c>
      <c r="E17" s="74" t="s">
        <v>14</v>
      </c>
      <c r="F17" s="70">
        <f t="shared" si="3"/>
        <v>3.3287915597856226E-15</v>
      </c>
      <c r="G17" s="25">
        <v>3.16881E-17</v>
      </c>
      <c r="H17" s="26">
        <v>3.4968499999999999E-13</v>
      </c>
      <c r="I17" s="20">
        <f t="shared" si="4"/>
        <v>-33.336167051739913</v>
      </c>
      <c r="J17" s="31">
        <f t="shared" si="5"/>
        <v>1.8068413843437594</v>
      </c>
      <c r="K17" s="79" t="s">
        <v>10363</v>
      </c>
    </row>
    <row r="18" spans="1:11" ht="16" x14ac:dyDescent="0.2">
      <c r="A18" s="110"/>
      <c r="B18" s="50" t="s">
        <v>7</v>
      </c>
      <c r="C18" s="29">
        <f t="shared" si="6"/>
        <v>6.1773214259903941</v>
      </c>
      <c r="D18" s="18">
        <v>0.23</v>
      </c>
      <c r="E18" s="18">
        <v>165.91</v>
      </c>
      <c r="F18" s="70">
        <f t="shared" si="3"/>
        <v>1.9588157743500745E-13</v>
      </c>
      <c r="G18" s="25">
        <f t="shared" ref="G18:G29" si="7">(D18*0.000001)/(365*24*3600)</f>
        <v>7.2932521562658555E-15</v>
      </c>
      <c r="H18" s="26">
        <f t="shared" ref="H18:H29" si="8">(E18*0.000001)/(365*24*3600)</f>
        <v>5.2609715880263822E-12</v>
      </c>
      <c r="I18" s="20">
        <f t="shared" si="4"/>
        <v>-29.261266115040751</v>
      </c>
      <c r="J18" s="31">
        <f t="shared" si="5"/>
        <v>1.2773915843777568</v>
      </c>
      <c r="K18" s="79" t="s">
        <v>10363</v>
      </c>
    </row>
    <row r="19" spans="1:11" ht="16" x14ac:dyDescent="0.2">
      <c r="A19" s="110"/>
      <c r="B19" s="50" t="s">
        <v>20</v>
      </c>
      <c r="C19" s="29">
        <f t="shared" si="6"/>
        <v>8.6602540378443865E-2</v>
      </c>
      <c r="D19" s="68">
        <v>1E-3</v>
      </c>
      <c r="E19" s="69">
        <v>7.5</v>
      </c>
      <c r="F19" s="70">
        <f t="shared" si="3"/>
        <v>2.7461485406660283E-15</v>
      </c>
      <c r="G19" s="25">
        <f t="shared" si="7"/>
        <v>3.1709791983764588E-17</v>
      </c>
      <c r="H19" s="26">
        <f t="shared" si="8"/>
        <v>2.3782343987823439E-13</v>
      </c>
      <c r="I19" s="20">
        <f t="shared" si="4"/>
        <v>-33.528576995558851</v>
      </c>
      <c r="J19" s="31">
        <f t="shared" si="5"/>
        <v>1.7318824339138983</v>
      </c>
      <c r="K19" s="79" t="s">
        <v>10363</v>
      </c>
    </row>
    <row r="20" spans="1:11" ht="16" x14ac:dyDescent="0.2">
      <c r="A20" s="110"/>
      <c r="B20" s="50" t="s">
        <v>166</v>
      </c>
      <c r="C20" s="29">
        <f t="shared" si="6"/>
        <v>14.839903216935076</v>
      </c>
      <c r="D20" s="24">
        <v>1.31416</v>
      </c>
      <c r="E20" s="75">
        <v>167.57679999999999</v>
      </c>
      <c r="F20" s="70">
        <f t="shared" si="3"/>
        <v>4.705702440682101E-13</v>
      </c>
      <c r="G20" s="25">
        <f t="shared" si="7"/>
        <v>4.1671740233384066E-14</v>
      </c>
      <c r="H20" s="26">
        <f t="shared" si="8"/>
        <v>5.3138254693049209E-12</v>
      </c>
      <c r="I20" s="20">
        <f t="shared" si="4"/>
        <v>-28.38483115039082</v>
      </c>
      <c r="J20" s="31">
        <f t="shared" si="5"/>
        <v>0.94104116370236246</v>
      </c>
      <c r="K20" s="79" t="s">
        <v>10363</v>
      </c>
    </row>
    <row r="21" spans="1:11" ht="16" x14ac:dyDescent="0.2">
      <c r="A21" s="110"/>
      <c r="B21" s="50" t="s">
        <v>167</v>
      </c>
      <c r="C21" s="29">
        <f t="shared" si="6"/>
        <v>1.5655184444777392</v>
      </c>
      <c r="D21" s="24">
        <v>0.6080000000000001</v>
      </c>
      <c r="E21" s="75">
        <v>4.0309999999999997</v>
      </c>
      <c r="F21" s="70">
        <f t="shared" si="3"/>
        <v>4.9642264221135818E-14</v>
      </c>
      <c r="G21" s="25">
        <f t="shared" si="7"/>
        <v>1.9279553526128871E-14</v>
      </c>
      <c r="H21" s="26">
        <f t="shared" si="8"/>
        <v>1.2782217148655502E-13</v>
      </c>
      <c r="I21" s="20">
        <f t="shared" si="4"/>
        <v>-30.633933822779383</v>
      </c>
      <c r="J21" s="31">
        <f t="shared" si="5"/>
        <v>0.36715739152775634</v>
      </c>
      <c r="K21" s="79" t="s">
        <v>10363</v>
      </c>
    </row>
    <row r="22" spans="1:11" ht="16" x14ac:dyDescent="0.2">
      <c r="A22" s="110"/>
      <c r="B22" s="50" t="s">
        <v>15</v>
      </c>
      <c r="C22" s="20">
        <v>101.29</v>
      </c>
      <c r="D22" s="17">
        <f>C22/10</f>
        <v>10.129000000000001</v>
      </c>
      <c r="E22" s="74">
        <f>C22*10</f>
        <v>1012.9000000000001</v>
      </c>
      <c r="F22" s="70">
        <f t="shared" si="3"/>
        <v>3.2118848300355151E-12</v>
      </c>
      <c r="G22" s="25">
        <f t="shared" si="7"/>
        <v>3.2118848300355151E-13</v>
      </c>
      <c r="H22" s="26">
        <f t="shared" si="8"/>
        <v>3.211884830035515E-11</v>
      </c>
      <c r="I22" s="20">
        <f t="shared" si="4"/>
        <v>-26.464163176640206</v>
      </c>
      <c r="J22" s="31">
        <f t="shared" si="5"/>
        <v>0.89386067274613545</v>
      </c>
      <c r="K22" s="79" t="s">
        <v>10363</v>
      </c>
    </row>
    <row r="23" spans="1:11" ht="16" x14ac:dyDescent="0.2">
      <c r="A23" s="110"/>
      <c r="B23" s="50" t="s">
        <v>9</v>
      </c>
      <c r="C23" s="29">
        <f t="shared" si="6"/>
        <v>11.752935803449281</v>
      </c>
      <c r="D23" s="17">
        <v>10.27</v>
      </c>
      <c r="E23" s="74">
        <v>13.45</v>
      </c>
      <c r="F23" s="70">
        <f t="shared" si="3"/>
        <v>3.7268314952591578E-13</v>
      </c>
      <c r="G23" s="25">
        <f t="shared" si="7"/>
        <v>3.256595636732623E-13</v>
      </c>
      <c r="H23" s="26">
        <f t="shared" si="8"/>
        <v>4.2649670218163365E-13</v>
      </c>
      <c r="I23" s="20">
        <f t="shared" si="4"/>
        <v>-28.618047801344755</v>
      </c>
      <c r="J23" s="31">
        <f t="shared" si="5"/>
        <v>5.2358711589165545E-2</v>
      </c>
      <c r="K23" s="79" t="s">
        <v>10363</v>
      </c>
    </row>
    <row r="24" spans="1:11" ht="16" x14ac:dyDescent="0.2">
      <c r="A24" s="110"/>
      <c r="B24" s="76" t="s">
        <v>145</v>
      </c>
      <c r="C24" s="29">
        <f t="shared" si="6"/>
        <v>26.796854245636649</v>
      </c>
      <c r="D24" s="46">
        <v>5.9971846965914954</v>
      </c>
      <c r="E24" s="47">
        <v>119.73474785093934</v>
      </c>
      <c r="F24" s="70">
        <f t="shared" si="3"/>
        <v>8.4972267394839704E-13</v>
      </c>
      <c r="G24" s="25">
        <f t="shared" si="7"/>
        <v>1.9016947921713265E-13</v>
      </c>
      <c r="H24" s="26">
        <f t="shared" si="8"/>
        <v>3.7967639475817903E-12</v>
      </c>
      <c r="I24" s="20">
        <f t="shared" si="4"/>
        <v>-27.793866364605698</v>
      </c>
      <c r="J24" s="31">
        <f t="shared" si="5"/>
        <v>0.58113135087607293</v>
      </c>
      <c r="K24" s="79" t="s">
        <v>10363</v>
      </c>
    </row>
    <row r="25" spans="1:11" ht="16" x14ac:dyDescent="0.2">
      <c r="A25" s="110"/>
      <c r="B25" s="76" t="s">
        <v>146</v>
      </c>
      <c r="C25" s="29">
        <f t="shared" si="6"/>
        <v>32.689902110590666</v>
      </c>
      <c r="D25" s="90">
        <v>21.74</v>
      </c>
      <c r="E25" s="91">
        <v>49.155000000000001</v>
      </c>
      <c r="F25" s="70">
        <f t="shared" si="3"/>
        <v>1.0365899958964569E-12</v>
      </c>
      <c r="G25" s="25">
        <f t="shared" si="7"/>
        <v>6.8937087772704204E-13</v>
      </c>
      <c r="H25" s="26">
        <f t="shared" si="8"/>
        <v>1.5586948249619483E-12</v>
      </c>
      <c r="I25" s="20">
        <f t="shared" si="4"/>
        <v>-27.595084640082938</v>
      </c>
      <c r="J25" s="31">
        <f t="shared" si="5"/>
        <v>0.1583510654359134</v>
      </c>
      <c r="K25" s="79" t="s">
        <v>10363</v>
      </c>
    </row>
    <row r="26" spans="1:11" ht="16" x14ac:dyDescent="0.2">
      <c r="A26" s="110"/>
      <c r="B26" s="76" t="s">
        <v>147</v>
      </c>
      <c r="C26" s="29">
        <f t="shared" si="6"/>
        <v>31.36326717421268</v>
      </c>
      <c r="D26" s="46">
        <v>21.922320656141004</v>
      </c>
      <c r="E26" s="47">
        <v>44.87</v>
      </c>
      <c r="F26" s="70">
        <f t="shared" si="3"/>
        <v>9.945226780255163E-13</v>
      </c>
      <c r="G26" s="25">
        <f t="shared" si="7"/>
        <v>6.9515222780761679E-13</v>
      </c>
      <c r="H26" s="26">
        <f t="shared" si="8"/>
        <v>1.4228183663115168E-12</v>
      </c>
      <c r="I26" s="20">
        <f t="shared" si="4"/>
        <v>-27.636513493432194</v>
      </c>
      <c r="J26" s="31">
        <f t="shared" si="5"/>
        <v>0.13902641579238051</v>
      </c>
      <c r="K26" s="79" t="s">
        <v>10363</v>
      </c>
    </row>
    <row r="27" spans="1:11" ht="16" x14ac:dyDescent="0.2">
      <c r="A27" s="110"/>
      <c r="B27" s="76" t="s">
        <v>148</v>
      </c>
      <c r="C27" s="29">
        <f t="shared" si="6"/>
        <v>31.36326717421268</v>
      </c>
      <c r="D27" s="46">
        <v>21.922320656141004</v>
      </c>
      <c r="E27" s="47">
        <v>44.87</v>
      </c>
      <c r="F27" s="70">
        <f t="shared" si="3"/>
        <v>9.945226780255163E-13</v>
      </c>
      <c r="G27" s="25">
        <f t="shared" si="7"/>
        <v>6.9515222780761679E-13</v>
      </c>
      <c r="H27" s="26">
        <f t="shared" si="8"/>
        <v>1.4228183663115168E-12</v>
      </c>
      <c r="I27" s="20">
        <f t="shared" si="4"/>
        <v>-27.636513493432194</v>
      </c>
      <c r="J27" s="31">
        <f t="shared" si="5"/>
        <v>0.13902641579238051</v>
      </c>
      <c r="K27" s="79" t="s">
        <v>10363</v>
      </c>
    </row>
    <row r="28" spans="1:11" ht="16" x14ac:dyDescent="0.2">
      <c r="A28" s="110"/>
      <c r="B28" s="76" t="s">
        <v>149</v>
      </c>
      <c r="C28" s="29">
        <f t="shared" si="6"/>
        <v>60.679110825049264</v>
      </c>
      <c r="D28" s="92">
        <v>37.799366578210353</v>
      </c>
      <c r="E28" s="93">
        <v>97.407835734503891</v>
      </c>
      <c r="F28" s="70">
        <f t="shared" si="3"/>
        <v>1.9241219820221099E-12</v>
      </c>
      <c r="G28" s="25">
        <f t="shared" si="7"/>
        <v>1.1986100513131138E-12</v>
      </c>
      <c r="H28" s="26">
        <f t="shared" si="8"/>
        <v>3.0887822087298289E-12</v>
      </c>
      <c r="I28" s="20">
        <f t="shared" si="4"/>
        <v>-26.976551365475352</v>
      </c>
      <c r="J28" s="31">
        <f t="shared" si="5"/>
        <v>0.18373724983254067</v>
      </c>
      <c r="K28" s="79" t="s">
        <v>10363</v>
      </c>
    </row>
    <row r="29" spans="1:11" ht="16" x14ac:dyDescent="0.2">
      <c r="A29" s="110"/>
      <c r="B29" s="77" t="s">
        <v>150</v>
      </c>
      <c r="C29" s="52">
        <f t="shared" si="6"/>
        <v>54.945003049165862</v>
      </c>
      <c r="D29" s="94">
        <v>49.8341591296277</v>
      </c>
      <c r="E29" s="95">
        <v>60.58</v>
      </c>
      <c r="F29" s="78">
        <f t="shared" si="3"/>
        <v>1.7422946172363603E-12</v>
      </c>
      <c r="G29" s="56">
        <f t="shared" si="7"/>
        <v>1.5802308196863173E-12</v>
      </c>
      <c r="H29" s="57">
        <f t="shared" si="8"/>
        <v>1.9209791983764582E-12</v>
      </c>
      <c r="I29" s="58">
        <f t="shared" si="4"/>
        <v>-27.075818125945151</v>
      </c>
      <c r="J29" s="59">
        <f t="shared" si="5"/>
        <v>3.7900646430640512E-2</v>
      </c>
      <c r="K29" s="165" t="s">
        <v>10363</v>
      </c>
    </row>
    <row r="30" spans="1:11" x14ac:dyDescent="0.2">
      <c r="A30" s="110"/>
    </row>
    <row r="31" spans="1:11" x14ac:dyDescent="0.2">
      <c r="A31" s="110"/>
    </row>
  </sheetData>
  <mergeCells count="1">
    <mergeCell ref="B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460A-93CC-41D5-9138-0A28D6FAD039}">
  <sheetPr>
    <tabColor theme="7" tint="0.79998168889431442"/>
  </sheetPr>
  <dimension ref="A2:L40"/>
  <sheetViews>
    <sheetView tabSelected="1" topLeftCell="A13" workbookViewId="0">
      <selection activeCell="B33" sqref="B33"/>
    </sheetView>
  </sheetViews>
  <sheetFormatPr baseColWidth="10" defaultRowHeight="15" x14ac:dyDescent="0.2"/>
  <cols>
    <col min="1" max="1" width="10.83203125" style="14"/>
    <col min="2" max="2" width="20" style="14" customWidth="1"/>
    <col min="3" max="3" width="26.83203125" style="14" customWidth="1"/>
    <col min="4" max="4" width="27.33203125" style="14" customWidth="1"/>
    <col min="5" max="5" width="21.33203125" style="14" customWidth="1"/>
    <col min="6" max="7" width="18.6640625" style="14" customWidth="1"/>
    <col min="8" max="8" width="16.1640625" style="14" customWidth="1"/>
    <col min="9" max="9" width="12.5" style="14" bestFit="1" customWidth="1"/>
    <col min="10" max="10" width="10.83203125" style="14"/>
    <col min="11" max="11" width="20" style="14" customWidth="1"/>
    <col min="12" max="12" width="50.33203125" style="14" customWidth="1"/>
    <col min="13" max="20" width="10.83203125" style="14"/>
    <col min="21" max="21" width="23.6640625" style="14" customWidth="1"/>
    <col min="22" max="16384" width="10.83203125" style="14"/>
  </cols>
  <sheetData>
    <row r="2" spans="1:12" x14ac:dyDescent="0.2">
      <c r="B2" s="16" t="s">
        <v>17</v>
      </c>
    </row>
    <row r="3" spans="1:12" x14ac:dyDescent="0.2">
      <c r="B3" s="16"/>
    </row>
    <row r="4" spans="1:12" ht="64.5" customHeight="1" x14ac:dyDescent="0.2">
      <c r="B4" s="288" t="s">
        <v>236</v>
      </c>
      <c r="C4" s="288"/>
      <c r="D4" s="288"/>
      <c r="E4" s="288"/>
      <c r="F4" s="288"/>
      <c r="G4" s="288"/>
      <c r="H4" s="288"/>
      <c r="I4" s="288"/>
      <c r="J4" s="288"/>
    </row>
    <row r="5" spans="1:12" ht="32" x14ac:dyDescent="0.2">
      <c r="B5" s="18"/>
      <c r="C5" s="18"/>
      <c r="D5" s="18"/>
      <c r="E5" s="18"/>
      <c r="F5" s="18"/>
      <c r="G5" s="18"/>
      <c r="H5" s="18"/>
      <c r="I5" s="17" t="s">
        <v>231</v>
      </c>
      <c r="J5" s="18" t="s">
        <v>234</v>
      </c>
      <c r="K5" s="14">
        <v>2.5760000000000001</v>
      </c>
    </row>
    <row r="6" spans="1:12" ht="36.5" customHeight="1" x14ac:dyDescent="0.2">
      <c r="A6" s="19"/>
      <c r="B6" s="10" t="s">
        <v>12</v>
      </c>
      <c r="C6" s="1" t="s">
        <v>228</v>
      </c>
      <c r="D6" s="2" t="s">
        <v>229</v>
      </c>
      <c r="E6" s="3" t="s">
        <v>230</v>
      </c>
      <c r="F6" s="5" t="s">
        <v>227</v>
      </c>
      <c r="G6" s="6" t="s">
        <v>225</v>
      </c>
      <c r="H6" s="7" t="s">
        <v>226</v>
      </c>
      <c r="I6" s="8" t="s">
        <v>232</v>
      </c>
      <c r="J6" s="11" t="s">
        <v>233</v>
      </c>
      <c r="K6" s="4" t="s">
        <v>10362</v>
      </c>
      <c r="L6" s="4" t="s">
        <v>144</v>
      </c>
    </row>
    <row r="7" spans="1:12" ht="16" x14ac:dyDescent="0.2">
      <c r="A7" s="19"/>
      <c r="B7" s="20" t="s">
        <v>5</v>
      </c>
      <c r="C7" s="21">
        <f>GEOMEAN(D7,E7)</f>
        <v>3.1622776601683791E-2</v>
      </c>
      <c r="D7" s="22">
        <v>1E-3</v>
      </c>
      <c r="E7" s="23">
        <v>1</v>
      </c>
      <c r="F7" s="24">
        <f>GEOMEAN(G7:H7)</f>
        <v>1.0027516679884511E-15</v>
      </c>
      <c r="G7" s="25">
        <f t="shared" ref="G7:G16" si="0">(D7*0.000001)/(365*24*3600)</f>
        <v>3.1709791983764588E-17</v>
      </c>
      <c r="H7" s="26">
        <f t="shared" ref="H7:H16" si="1">(E7*0.000001)/(365*24*3600)</f>
        <v>3.1709791983764584E-14</v>
      </c>
      <c r="I7" s="27">
        <f>LN(F7)</f>
        <v>-34.536028505829982</v>
      </c>
      <c r="J7" s="28">
        <f>(LN(H7)-LN(G7))/(2*$K$5)</f>
        <v>1.3407910091192035</v>
      </c>
      <c r="K7" s="102" t="s">
        <v>10363</v>
      </c>
      <c r="L7" s="252"/>
    </row>
    <row r="8" spans="1:12" ht="16" x14ac:dyDescent="0.2">
      <c r="A8" s="19"/>
      <c r="B8" s="20" t="s">
        <v>0</v>
      </c>
      <c r="C8" s="29">
        <f t="shared" ref="C8:C11" si="2">GEOMEAN(D8,E8)</f>
        <v>1.1401754250991381</v>
      </c>
      <c r="D8" s="18">
        <v>1</v>
      </c>
      <c r="E8" s="30">
        <v>1.3</v>
      </c>
      <c r="F8" s="24">
        <f t="shared" ref="F8:F29" si="3">GEOMEAN(G8:H8)</f>
        <v>3.6154725554894023E-14</v>
      </c>
      <c r="G8" s="25">
        <f t="shared" si="0"/>
        <v>3.1709791983764584E-14</v>
      </c>
      <c r="H8" s="26">
        <f t="shared" si="1"/>
        <v>4.1222729578893964E-14</v>
      </c>
      <c r="I8" s="20">
        <f t="shared" ref="I8:I29" si="4">LN(F8)</f>
        <v>-30.950968734105167</v>
      </c>
      <c r="J8" s="31">
        <f t="shared" ref="J8:J29" si="5">(LN(H8)-LN(G8))/(2*$K$5)</f>
        <v>5.0924740773969926E-2</v>
      </c>
      <c r="K8" s="79" t="s">
        <v>197</v>
      </c>
      <c r="L8" s="79"/>
    </row>
    <row r="9" spans="1:12" ht="16" x14ac:dyDescent="0.2">
      <c r="A9" s="19"/>
      <c r="B9" s="20" t="s">
        <v>1</v>
      </c>
      <c r="C9" s="29">
        <f t="shared" si="2"/>
        <v>15.556349186104045</v>
      </c>
      <c r="D9" s="18">
        <v>11</v>
      </c>
      <c r="E9" s="30">
        <v>22</v>
      </c>
      <c r="F9" s="24">
        <f t="shared" si="3"/>
        <v>4.9328859671816477E-13</v>
      </c>
      <c r="G9" s="25">
        <f t="shared" si="0"/>
        <v>3.4880771182141044E-13</v>
      </c>
      <c r="H9" s="26">
        <f t="shared" si="1"/>
        <v>6.9761542364282087E-13</v>
      </c>
      <c r="I9" s="20">
        <f t="shared" si="4"/>
        <v>-28.337682003260568</v>
      </c>
      <c r="J9" s="31">
        <f t="shared" si="5"/>
        <v>0.13453943722048595</v>
      </c>
      <c r="K9" s="79" t="s">
        <v>197</v>
      </c>
      <c r="L9" s="79"/>
    </row>
    <row r="10" spans="1:12" ht="16" x14ac:dyDescent="0.2">
      <c r="A10" s="19"/>
      <c r="B10" s="20" t="s">
        <v>13</v>
      </c>
      <c r="C10" s="29">
        <f t="shared" si="2"/>
        <v>3.2</v>
      </c>
      <c r="D10" s="32">
        <v>3.2000000000000001E-2</v>
      </c>
      <c r="E10" s="33">
        <v>320</v>
      </c>
      <c r="F10" s="24">
        <f t="shared" si="3"/>
        <v>1.0147133434804666E-13</v>
      </c>
      <c r="G10" s="25">
        <f t="shared" si="0"/>
        <v>1.0147133434804668E-15</v>
      </c>
      <c r="H10" s="26">
        <f t="shared" si="1"/>
        <v>1.0147133434804666E-11</v>
      </c>
      <c r="I10" s="20">
        <f t="shared" si="4"/>
        <v>-29.919000056533232</v>
      </c>
      <c r="J10" s="31">
        <f t="shared" si="5"/>
        <v>1.7877213454922709</v>
      </c>
      <c r="K10" s="79" t="s">
        <v>10363</v>
      </c>
      <c r="L10" s="79"/>
    </row>
    <row r="11" spans="1:12" ht="16" x14ac:dyDescent="0.2">
      <c r="A11" s="19"/>
      <c r="B11" s="20" t="s">
        <v>2</v>
      </c>
      <c r="C11" s="29">
        <f t="shared" si="2"/>
        <v>0.59219929077971711</v>
      </c>
      <c r="D11" s="34">
        <v>0.21</v>
      </c>
      <c r="E11" s="35">
        <v>1.67</v>
      </c>
      <c r="F11" s="24">
        <f t="shared" si="3"/>
        <v>1.8778516323557749E-14</v>
      </c>
      <c r="G11" s="25">
        <f t="shared" si="0"/>
        <v>6.6590563165905625E-15</v>
      </c>
      <c r="H11" s="26">
        <f t="shared" si="1"/>
        <v>5.2955352612886857E-14</v>
      </c>
      <c r="I11" s="20">
        <f t="shared" si="4"/>
        <v>-31.606062927256914</v>
      </c>
      <c r="J11" s="31">
        <f t="shared" si="5"/>
        <v>0.40245950595755631</v>
      </c>
      <c r="K11" s="79" t="s">
        <v>197</v>
      </c>
      <c r="L11" s="79"/>
    </row>
    <row r="12" spans="1:12" ht="16" x14ac:dyDescent="0.2">
      <c r="A12" s="19"/>
      <c r="B12" s="20" t="s">
        <v>3</v>
      </c>
      <c r="C12" s="29">
        <f>GEOMEAN(D12,E12)</f>
        <v>0.69107851774070783</v>
      </c>
      <c r="D12" s="36">
        <v>0.29775984121096721</v>
      </c>
      <c r="E12" s="37">
        <v>1.603942008231777</v>
      </c>
      <c r="F12" s="24">
        <f t="shared" si="3"/>
        <v>2.1913956042006208E-14</v>
      </c>
      <c r="G12" s="25">
        <f t="shared" si="0"/>
        <v>9.4419026259185443E-15</v>
      </c>
      <c r="H12" s="26">
        <f t="shared" si="1"/>
        <v>5.0860667435051271E-14</v>
      </c>
      <c r="I12" s="20">
        <f t="shared" si="4"/>
        <v>-31.451652698861494</v>
      </c>
      <c r="J12" s="31">
        <f t="shared" si="5"/>
        <v>0.3268502278122466</v>
      </c>
      <c r="K12" s="79" t="s">
        <v>197</v>
      </c>
      <c r="L12" s="79"/>
    </row>
    <row r="13" spans="1:12" ht="16" x14ac:dyDescent="0.2">
      <c r="A13" s="19"/>
      <c r="B13" s="20" t="s">
        <v>8</v>
      </c>
      <c r="C13" s="29">
        <f>GEOMEAN(D13,E13)</f>
        <v>3.1622776601683791E-2</v>
      </c>
      <c r="D13" s="38">
        <v>1E-3</v>
      </c>
      <c r="E13" s="39">
        <v>1</v>
      </c>
      <c r="F13" s="24">
        <f t="shared" si="3"/>
        <v>1.0027516679884511E-15</v>
      </c>
      <c r="G13" s="25">
        <f t="shared" si="0"/>
        <v>3.1709791983764588E-17</v>
      </c>
      <c r="H13" s="26">
        <f t="shared" si="1"/>
        <v>3.1709791983764584E-14</v>
      </c>
      <c r="I13" s="20">
        <f t="shared" si="4"/>
        <v>-34.536028505829982</v>
      </c>
      <c r="J13" s="31">
        <f t="shared" si="5"/>
        <v>1.3407910091192035</v>
      </c>
      <c r="K13" s="79" t="s">
        <v>197</v>
      </c>
      <c r="L13" s="79"/>
    </row>
    <row r="14" spans="1:12" ht="16" x14ac:dyDescent="0.2">
      <c r="A14" s="19"/>
      <c r="B14" s="20" t="s">
        <v>4</v>
      </c>
      <c r="C14" s="29">
        <f>GEOMEAN(D14,E14)</f>
        <v>0.01</v>
      </c>
      <c r="D14" s="38">
        <v>1E-3</v>
      </c>
      <c r="E14" s="39">
        <v>0.1</v>
      </c>
      <c r="F14" s="24">
        <f t="shared" si="3"/>
        <v>3.1709791983764586E-16</v>
      </c>
      <c r="G14" s="25">
        <f t="shared" si="0"/>
        <v>3.1709791983764588E-17</v>
      </c>
      <c r="H14" s="26">
        <f t="shared" si="1"/>
        <v>3.1709791983764586E-15</v>
      </c>
      <c r="I14" s="20">
        <f t="shared" si="4"/>
        <v>-35.687321052327007</v>
      </c>
      <c r="J14" s="31">
        <f t="shared" si="5"/>
        <v>0.89386067274613612</v>
      </c>
      <c r="K14" s="79" t="s">
        <v>10363</v>
      </c>
      <c r="L14" s="79"/>
    </row>
    <row r="15" spans="1:12" ht="16" x14ac:dyDescent="0.2">
      <c r="A15" s="19"/>
      <c r="B15" s="20" t="s">
        <v>165</v>
      </c>
      <c r="C15" s="29">
        <f t="shared" ref="C15:C29" si="6">GEOMEAN(D15,E15)</f>
        <v>0.25248762345905196</v>
      </c>
      <c r="D15" s="38">
        <v>1E-3</v>
      </c>
      <c r="E15" s="39">
        <v>63.75</v>
      </c>
      <c r="F15" s="24">
        <f t="shared" si="3"/>
        <v>8.0063300183616164E-15</v>
      </c>
      <c r="G15" s="25">
        <f t="shared" si="0"/>
        <v>3.1709791983764588E-17</v>
      </c>
      <c r="H15" s="26">
        <f t="shared" si="1"/>
        <v>2.021499238964992E-12</v>
      </c>
      <c r="I15" s="20">
        <f t="shared" si="4"/>
        <v>-32.458543913810715</v>
      </c>
      <c r="J15" s="31">
        <f t="shared" si="5"/>
        <v>2.1472679470148819</v>
      </c>
      <c r="K15" s="79" t="s">
        <v>10363</v>
      </c>
      <c r="L15" s="79"/>
    </row>
    <row r="16" spans="1:12" ht="16" x14ac:dyDescent="0.2">
      <c r="A16" s="19"/>
      <c r="B16" s="40" t="s">
        <v>10</v>
      </c>
      <c r="C16" s="29">
        <f t="shared" si="6"/>
        <v>0.01</v>
      </c>
      <c r="D16" s="38">
        <v>1E-3</v>
      </c>
      <c r="E16" s="41">
        <v>0.1</v>
      </c>
      <c r="F16" s="24">
        <f t="shared" si="3"/>
        <v>3.1709791983764586E-16</v>
      </c>
      <c r="G16" s="25">
        <f t="shared" si="0"/>
        <v>3.1709791983764588E-17</v>
      </c>
      <c r="H16" s="26">
        <f t="shared" si="1"/>
        <v>3.1709791983764586E-15</v>
      </c>
      <c r="I16" s="20">
        <f t="shared" si="4"/>
        <v>-35.687321052327007</v>
      </c>
      <c r="J16" s="31">
        <f t="shared" si="5"/>
        <v>0.89386067274613612</v>
      </c>
      <c r="K16" s="79" t="s">
        <v>10363</v>
      </c>
      <c r="L16" s="79"/>
    </row>
    <row r="17" spans="1:12" ht="16" x14ac:dyDescent="0.2">
      <c r="A17" s="19"/>
      <c r="B17" s="20" t="s">
        <v>6</v>
      </c>
      <c r="C17" s="20" t="s">
        <v>14</v>
      </c>
      <c r="D17" s="42" t="s">
        <v>14</v>
      </c>
      <c r="E17" s="41" t="s">
        <v>14</v>
      </c>
      <c r="F17" s="24">
        <f t="shared" si="3"/>
        <v>2.6740141936609089E-13</v>
      </c>
      <c r="G17" s="25">
        <v>6.1504700000000002E-14</v>
      </c>
      <c r="H17" s="26">
        <v>1.16257E-12</v>
      </c>
      <c r="I17" s="20">
        <f t="shared" si="4"/>
        <v>-28.95002542223116</v>
      </c>
      <c r="J17" s="31">
        <f t="shared" si="5"/>
        <v>0.57051140451199345</v>
      </c>
      <c r="K17" s="79" t="s">
        <v>10363</v>
      </c>
      <c r="L17" s="79"/>
    </row>
    <row r="18" spans="1:12" ht="16" x14ac:dyDescent="0.2">
      <c r="A18" s="19"/>
      <c r="B18" s="20" t="s">
        <v>7</v>
      </c>
      <c r="C18" s="29">
        <f t="shared" si="6"/>
        <v>1194.744585675114</v>
      </c>
      <c r="D18" s="34">
        <v>912.5</v>
      </c>
      <c r="E18" s="35">
        <v>1564.29</v>
      </c>
      <c r="F18" s="24">
        <f t="shared" si="3"/>
        <v>3.7885102285486868E-11</v>
      </c>
      <c r="G18" s="25">
        <f t="shared" ref="G18:G29" si="7">(D18*0.000001)/(365*24*3600)</f>
        <v>2.8935185185185184E-11</v>
      </c>
      <c r="H18" s="26">
        <f t="shared" ref="H18:H29" si="8">(E18*0.000001)/(365*24*3600)</f>
        <v>4.9603310502283099E-11</v>
      </c>
      <c r="I18" s="20">
        <f t="shared" si="4"/>
        <v>-23.996463160654784</v>
      </c>
      <c r="J18" s="31">
        <f t="shared" si="5"/>
        <v>0.10461941779017071</v>
      </c>
      <c r="K18" s="79" t="s">
        <v>10363</v>
      </c>
      <c r="L18" s="79"/>
    </row>
    <row r="19" spans="1:12" ht="16" x14ac:dyDescent="0.2">
      <c r="A19" s="19"/>
      <c r="B19" s="20" t="s">
        <v>20</v>
      </c>
      <c r="C19" s="29">
        <f t="shared" si="6"/>
        <v>121.05226887588684</v>
      </c>
      <c r="D19" s="34">
        <v>78.69</v>
      </c>
      <c r="E19" s="35">
        <v>186.22</v>
      </c>
      <c r="F19" s="24">
        <f t="shared" si="3"/>
        <v>3.838542265217111E-12</v>
      </c>
      <c r="G19" s="25">
        <f t="shared" si="7"/>
        <v>2.4952435312024351E-12</v>
      </c>
      <c r="H19" s="26">
        <f t="shared" si="8"/>
        <v>5.9049974632166407E-12</v>
      </c>
      <c r="I19" s="20">
        <f t="shared" si="4"/>
        <v>-26.285928439835274</v>
      </c>
      <c r="J19" s="31">
        <f t="shared" si="5"/>
        <v>0.16719966768507238</v>
      </c>
      <c r="K19" s="79" t="s">
        <v>10363</v>
      </c>
      <c r="L19" s="79"/>
    </row>
    <row r="20" spans="1:12" ht="16" x14ac:dyDescent="0.2">
      <c r="A20" s="19"/>
      <c r="B20" s="20" t="s">
        <v>166</v>
      </c>
      <c r="C20" s="29">
        <f t="shared" si="6"/>
        <v>14.839903216935076</v>
      </c>
      <c r="D20" s="43">
        <v>1.31416</v>
      </c>
      <c r="E20" s="44">
        <v>167.57679999999999</v>
      </c>
      <c r="F20" s="24">
        <f t="shared" si="3"/>
        <v>4.705702440682101E-13</v>
      </c>
      <c r="G20" s="25">
        <f t="shared" si="7"/>
        <v>4.1671740233384066E-14</v>
      </c>
      <c r="H20" s="26">
        <f t="shared" si="8"/>
        <v>5.3138254693049209E-12</v>
      </c>
      <c r="I20" s="20">
        <f t="shared" si="4"/>
        <v>-28.38483115039082</v>
      </c>
      <c r="J20" s="31">
        <f t="shared" si="5"/>
        <v>0.94104116370236246</v>
      </c>
      <c r="K20" s="79" t="s">
        <v>10363</v>
      </c>
      <c r="L20" s="79"/>
    </row>
    <row r="21" spans="1:12" ht="16" x14ac:dyDescent="0.2">
      <c r="A21" s="19"/>
      <c r="B21" s="20" t="s">
        <v>167</v>
      </c>
      <c r="C21" s="29">
        <f t="shared" si="6"/>
        <v>44.722870199760628</v>
      </c>
      <c r="D21" s="36">
        <v>39.673913043478265</v>
      </c>
      <c r="E21" s="37">
        <v>50.414364640883996</v>
      </c>
      <c r="F21" s="24">
        <f t="shared" si="3"/>
        <v>1.4181529109513134E-12</v>
      </c>
      <c r="G21" s="25">
        <f t="shared" si="7"/>
        <v>1.2580515297906603E-12</v>
      </c>
      <c r="H21" s="26">
        <f t="shared" si="8"/>
        <v>1.5986290157560879E-12</v>
      </c>
      <c r="I21" s="20">
        <f t="shared" si="4"/>
        <v>-27.28166585798273</v>
      </c>
      <c r="J21" s="31">
        <f t="shared" si="5"/>
        <v>4.6502771284427306E-2</v>
      </c>
      <c r="K21" s="79" t="s">
        <v>10363</v>
      </c>
      <c r="L21" s="79"/>
    </row>
    <row r="22" spans="1:12" ht="16" x14ac:dyDescent="0.2">
      <c r="A22" s="19"/>
      <c r="B22" s="20" t="s">
        <v>15</v>
      </c>
      <c r="C22" s="20">
        <v>101.29</v>
      </c>
      <c r="D22" s="34">
        <v>42.74</v>
      </c>
      <c r="E22" s="35">
        <v>2556.9</v>
      </c>
      <c r="F22" s="24">
        <f t="shared" si="3"/>
        <v>1.0482564022803663E-11</v>
      </c>
      <c r="G22" s="25">
        <f t="shared" si="7"/>
        <v>1.3552765093860984E-12</v>
      </c>
      <c r="H22" s="26">
        <f t="shared" si="8"/>
        <v>8.1078767123287676E-11</v>
      </c>
      <c r="I22" s="20">
        <f t="shared" si="4"/>
        <v>-25.281307808295232</v>
      </c>
      <c r="J22" s="31">
        <f t="shared" si="5"/>
        <v>0.79414122987293512</v>
      </c>
      <c r="K22" s="79" t="s">
        <v>10363</v>
      </c>
      <c r="L22" s="79"/>
    </row>
    <row r="23" spans="1:12" ht="16" x14ac:dyDescent="0.2">
      <c r="A23" s="19"/>
      <c r="B23" s="20" t="s">
        <v>9</v>
      </c>
      <c r="C23" s="29">
        <f t="shared" si="6"/>
        <v>5.4221766846903838</v>
      </c>
      <c r="D23" s="34">
        <v>1.96</v>
      </c>
      <c r="E23" s="35">
        <v>15</v>
      </c>
      <c r="F23" s="24">
        <f t="shared" si="3"/>
        <v>1.7193609477075036E-13</v>
      </c>
      <c r="G23" s="25">
        <f t="shared" si="7"/>
        <v>6.2151192288178581E-14</v>
      </c>
      <c r="H23" s="26">
        <f t="shared" si="8"/>
        <v>4.7564687975646877E-13</v>
      </c>
      <c r="I23" s="20">
        <f t="shared" si="4"/>
        <v>-29.391653529166593</v>
      </c>
      <c r="J23" s="31">
        <f t="shared" si="5"/>
        <v>0.39501275773675909</v>
      </c>
      <c r="K23" s="79" t="s">
        <v>10363</v>
      </c>
      <c r="L23" s="79"/>
    </row>
    <row r="24" spans="1:12" ht="16" x14ac:dyDescent="0.2">
      <c r="A24" s="19"/>
      <c r="B24" s="45" t="s">
        <v>145</v>
      </c>
      <c r="C24" s="29">
        <f t="shared" si="6"/>
        <v>3.9632421857174061</v>
      </c>
      <c r="D24" s="46">
        <f>H35</f>
        <v>1.8766595106346127</v>
      </c>
      <c r="E24" s="47">
        <f>H36</f>
        <v>8.3698127090398469</v>
      </c>
      <c r="F24" s="24">
        <f t="shared" si="3"/>
        <v>1.2567358529037943E-13</v>
      </c>
      <c r="G24" s="25">
        <f t="shared" si="7"/>
        <v>5.9508482706577007E-14</v>
      </c>
      <c r="H24" s="26">
        <f t="shared" si="8"/>
        <v>2.6540501994672272E-13</v>
      </c>
      <c r="I24" s="20">
        <f t="shared" si="4"/>
        <v>-29.705088442285167</v>
      </c>
      <c r="J24" s="31">
        <f t="shared" si="5"/>
        <v>0.29020538965003162</v>
      </c>
      <c r="K24" s="79" t="s">
        <v>10363</v>
      </c>
      <c r="L24" s="79" t="s">
        <v>204</v>
      </c>
    </row>
    <row r="25" spans="1:12" ht="16" customHeight="1" x14ac:dyDescent="0.2">
      <c r="A25" s="19"/>
      <c r="B25" s="45" t="s">
        <v>146</v>
      </c>
      <c r="C25" s="29">
        <f t="shared" si="6"/>
        <v>10.917417276993675</v>
      </c>
      <c r="D25" s="18">
        <v>8.6999999999999993</v>
      </c>
      <c r="E25" s="30">
        <v>13.7</v>
      </c>
      <c r="F25" s="24">
        <f t="shared" si="3"/>
        <v>3.4618903085342703E-13</v>
      </c>
      <c r="G25" s="25">
        <f t="shared" si="7"/>
        <v>2.7587519025875188E-13</v>
      </c>
      <c r="H25" s="26">
        <f t="shared" si="8"/>
        <v>4.3442415017757479E-13</v>
      </c>
      <c r="I25" s="20">
        <f t="shared" si="4"/>
        <v>-28.691791437091602</v>
      </c>
      <c r="J25" s="31">
        <f t="shared" si="5"/>
        <v>8.8135249839585067E-2</v>
      </c>
      <c r="K25" s="79" t="s">
        <v>10363</v>
      </c>
      <c r="L25" s="307" t="s">
        <v>10387</v>
      </c>
    </row>
    <row r="26" spans="1:12" ht="16" customHeight="1" x14ac:dyDescent="0.2">
      <c r="A26" s="19"/>
      <c r="B26" s="45" t="s">
        <v>147</v>
      </c>
      <c r="C26" s="29">
        <f t="shared" si="6"/>
        <v>13.252073735267864</v>
      </c>
      <c r="D26" s="48">
        <v>9.2919153280156053</v>
      </c>
      <c r="E26" s="49">
        <v>18.900027829082845</v>
      </c>
      <c r="F26" s="24">
        <f t="shared" si="3"/>
        <v>4.2022050149885418E-13</v>
      </c>
      <c r="G26" s="25">
        <f t="shared" si="7"/>
        <v>2.9464470218212854E-13</v>
      </c>
      <c r="H26" s="26">
        <f t="shared" si="8"/>
        <v>5.9931595094757881E-13</v>
      </c>
      <c r="I26" s="20">
        <f t="shared" si="4"/>
        <v>-28.497996817830728</v>
      </c>
      <c r="J26" s="31">
        <f t="shared" si="5"/>
        <v>0.13781418710969495</v>
      </c>
      <c r="K26" s="79" t="s">
        <v>10363</v>
      </c>
      <c r="L26" s="289" t="s">
        <v>10341</v>
      </c>
    </row>
    <row r="27" spans="1:12" ht="16" x14ac:dyDescent="0.2">
      <c r="A27" s="19"/>
      <c r="B27" s="45" t="s">
        <v>148</v>
      </c>
      <c r="C27" s="29">
        <f t="shared" si="6"/>
        <v>13.252073735267864</v>
      </c>
      <c r="D27" s="48">
        <f t="shared" ref="D27:D29" si="9">D26</f>
        <v>9.2919153280156053</v>
      </c>
      <c r="E27" s="49">
        <f t="shared" ref="E27:E29" si="10">E26</f>
        <v>18.900027829082845</v>
      </c>
      <c r="F27" s="24">
        <f t="shared" si="3"/>
        <v>4.2022050149885418E-13</v>
      </c>
      <c r="G27" s="25">
        <f t="shared" si="7"/>
        <v>2.9464470218212854E-13</v>
      </c>
      <c r="H27" s="26">
        <f t="shared" si="8"/>
        <v>5.9931595094757881E-13</v>
      </c>
      <c r="I27" s="20">
        <f t="shared" si="4"/>
        <v>-28.497996817830728</v>
      </c>
      <c r="J27" s="31">
        <f t="shared" si="5"/>
        <v>0.13781418710969495</v>
      </c>
      <c r="K27" s="79" t="s">
        <v>10363</v>
      </c>
      <c r="L27" s="289"/>
    </row>
    <row r="28" spans="1:12" ht="16" x14ac:dyDescent="0.2">
      <c r="A28" s="19"/>
      <c r="B28" s="45" t="s">
        <v>149</v>
      </c>
      <c r="C28" s="29">
        <f t="shared" si="6"/>
        <v>13.252073735267864</v>
      </c>
      <c r="D28" s="48">
        <f t="shared" si="9"/>
        <v>9.2919153280156053</v>
      </c>
      <c r="E28" s="49">
        <f t="shared" si="10"/>
        <v>18.900027829082845</v>
      </c>
      <c r="F28" s="24">
        <f t="shared" si="3"/>
        <v>4.2022050149885418E-13</v>
      </c>
      <c r="G28" s="25">
        <f t="shared" si="7"/>
        <v>2.9464470218212854E-13</v>
      </c>
      <c r="H28" s="26">
        <f t="shared" si="8"/>
        <v>5.9931595094757881E-13</v>
      </c>
      <c r="I28" s="20">
        <f t="shared" si="4"/>
        <v>-28.497996817830728</v>
      </c>
      <c r="J28" s="31">
        <f t="shared" si="5"/>
        <v>0.13781418710969495</v>
      </c>
      <c r="K28" s="79" t="s">
        <v>10363</v>
      </c>
      <c r="L28" s="289"/>
    </row>
    <row r="29" spans="1:12" ht="16" x14ac:dyDescent="0.2">
      <c r="A29" s="19"/>
      <c r="B29" s="51" t="s">
        <v>150</v>
      </c>
      <c r="C29" s="52">
        <f t="shared" si="6"/>
        <v>13.252073735267864</v>
      </c>
      <c r="D29" s="53">
        <f t="shared" si="9"/>
        <v>9.2919153280156053</v>
      </c>
      <c r="E29" s="54">
        <f t="shared" si="10"/>
        <v>18.900027829082845</v>
      </c>
      <c r="F29" s="55">
        <f t="shared" si="3"/>
        <v>4.2022050149885418E-13</v>
      </c>
      <c r="G29" s="56">
        <f t="shared" si="7"/>
        <v>2.9464470218212854E-13</v>
      </c>
      <c r="H29" s="57">
        <f t="shared" si="8"/>
        <v>5.9931595094757881E-13</v>
      </c>
      <c r="I29" s="58">
        <f t="shared" si="4"/>
        <v>-28.497996817830728</v>
      </c>
      <c r="J29" s="59">
        <f t="shared" si="5"/>
        <v>0.13781418710969495</v>
      </c>
      <c r="K29" s="165" t="s">
        <v>10363</v>
      </c>
      <c r="L29" s="290"/>
    </row>
    <row r="30" spans="1:12" x14ac:dyDescent="0.2">
      <c r="A30" s="19"/>
      <c r="B30" s="19"/>
      <c r="C30" s="19"/>
      <c r="D30" s="19"/>
      <c r="E30" s="19"/>
      <c r="F30" s="19"/>
      <c r="G30" s="19"/>
      <c r="H30" s="19"/>
    </row>
    <row r="31" spans="1:12" x14ac:dyDescent="0.2">
      <c r="A31" s="19"/>
      <c r="B31" s="19"/>
      <c r="C31" s="19"/>
      <c r="D31" s="19"/>
      <c r="E31" s="19"/>
      <c r="F31" s="19"/>
      <c r="G31" s="19"/>
      <c r="H31" s="19"/>
      <c r="K31" s="34"/>
    </row>
    <row r="32" spans="1:12" x14ac:dyDescent="0.2">
      <c r="A32" s="19"/>
      <c r="B32" s="12" t="s">
        <v>10388</v>
      </c>
      <c r="K32" s="34"/>
    </row>
    <row r="33" spans="1:11" x14ac:dyDescent="0.2">
      <c r="B33" s="60"/>
      <c r="C33" s="61"/>
      <c r="F33" s="60"/>
      <c r="I33" s="60"/>
      <c r="J33" s="60"/>
      <c r="K33" s="62"/>
    </row>
    <row r="34" spans="1:11" x14ac:dyDescent="0.2">
      <c r="A34" s="60"/>
      <c r="B34" s="61" t="s">
        <v>201</v>
      </c>
      <c r="C34" s="61" t="s">
        <v>200</v>
      </c>
      <c r="D34" s="61" t="s">
        <v>198</v>
      </c>
      <c r="E34" s="61" t="s">
        <v>199</v>
      </c>
      <c r="F34" s="61" t="s">
        <v>202</v>
      </c>
      <c r="G34" s="61" t="s">
        <v>206</v>
      </c>
      <c r="H34" s="63" t="s">
        <v>203</v>
      </c>
      <c r="I34" s="63" t="s">
        <v>205</v>
      </c>
    </row>
    <row r="35" spans="1:11" x14ac:dyDescent="0.2">
      <c r="A35" s="61"/>
      <c r="B35" s="60" t="s">
        <v>145</v>
      </c>
      <c r="C35" s="60" t="s">
        <v>204</v>
      </c>
      <c r="D35" s="64">
        <v>2</v>
      </c>
      <c r="E35" s="65">
        <v>0.2</v>
      </c>
      <c r="F35" s="64">
        <f>154/365</f>
        <v>0.42191780821917807</v>
      </c>
      <c r="G35" s="66">
        <v>15</v>
      </c>
      <c r="H35" s="67">
        <f>1/2*G35/F35*(1-(1-E35)^(1/D35))</f>
        <v>1.8766595106346127</v>
      </c>
      <c r="I35" s="14">
        <f>H35/(365*24*3600)/1000000</f>
        <v>5.9508482706577007E-14</v>
      </c>
    </row>
    <row r="36" spans="1:11" x14ac:dyDescent="0.2">
      <c r="A36" s="60"/>
      <c r="B36" s="60" t="s">
        <v>145</v>
      </c>
      <c r="C36" s="60" t="s">
        <v>204</v>
      </c>
      <c r="D36" s="64">
        <v>2</v>
      </c>
      <c r="E36" s="65">
        <v>0.72</v>
      </c>
      <c r="F36" s="64">
        <f>154/365</f>
        <v>0.42191780821917807</v>
      </c>
      <c r="G36" s="66">
        <v>15</v>
      </c>
      <c r="H36" s="67">
        <f>1/2*G36/F36*(1-(1-E36)^(1/D36))</f>
        <v>8.3698127090398469</v>
      </c>
      <c r="I36" s="14">
        <f t="shared" ref="I36:I38" si="11">H36/(365*24*3600)/1000000</f>
        <v>2.6540501994672272E-13</v>
      </c>
    </row>
    <row r="37" spans="1:11" x14ac:dyDescent="0.2">
      <c r="B37" s="60" t="s">
        <v>145</v>
      </c>
      <c r="C37" s="60" t="s">
        <v>207</v>
      </c>
      <c r="D37" s="64">
        <v>2</v>
      </c>
      <c r="E37" s="65">
        <v>0.16</v>
      </c>
      <c r="F37" s="64">
        <f>90/365</f>
        <v>0.24657534246575341</v>
      </c>
      <c r="G37" s="66">
        <v>15</v>
      </c>
      <c r="H37" s="67">
        <f>1/2*G37/F37*(1-(1-E37)^(1/D37))</f>
        <v>2.5393311890186405</v>
      </c>
      <c r="I37" s="14">
        <f t="shared" si="11"/>
        <v>8.0521663781666674E-14</v>
      </c>
    </row>
    <row r="38" spans="1:11" x14ac:dyDescent="0.2">
      <c r="B38" s="60" t="s">
        <v>145</v>
      </c>
      <c r="C38" s="60" t="s">
        <v>207</v>
      </c>
      <c r="D38" s="64">
        <v>2</v>
      </c>
      <c r="E38" s="65">
        <v>0.28000000000000003</v>
      </c>
      <c r="F38" s="64">
        <f>90/365</f>
        <v>0.24657534246575341</v>
      </c>
      <c r="G38" s="66">
        <v>15</v>
      </c>
      <c r="H38" s="67">
        <f>1/2*G38/F38*(1-(1-E38)^(1/D38))</f>
        <v>4.6072691533576826</v>
      </c>
      <c r="I38" s="14">
        <f t="shared" si="11"/>
        <v>1.460955464661873E-13</v>
      </c>
    </row>
    <row r="40" spans="1:11" x14ac:dyDescent="0.2">
      <c r="K40" s="34"/>
    </row>
  </sheetData>
  <mergeCells count="2">
    <mergeCell ref="B4:J4"/>
    <mergeCell ref="L26:L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1326B-A7C2-714F-BE68-28965D8487FF}">
  <sheetPr>
    <tabColor theme="7" tint="0.79998168889431442"/>
  </sheetPr>
  <dimension ref="A1:V38"/>
  <sheetViews>
    <sheetView workbookViewId="0">
      <selection activeCell="G21" sqref="G21"/>
    </sheetView>
  </sheetViews>
  <sheetFormatPr baseColWidth="10" defaultRowHeight="15" x14ac:dyDescent="0.2"/>
  <cols>
    <col min="1" max="1" width="10.83203125" style="14"/>
    <col min="2" max="2" width="14.1640625" style="14" customWidth="1"/>
    <col min="3" max="16384" width="10.83203125" style="14"/>
  </cols>
  <sheetData>
    <row r="1" spans="1:22" x14ac:dyDescent="0.2">
      <c r="A1" s="18"/>
      <c r="B1" s="18"/>
      <c r="C1" s="18"/>
      <c r="D1" s="18"/>
      <c r="E1" s="18"/>
      <c r="F1" s="18"/>
      <c r="G1" s="18"/>
      <c r="H1" s="18"/>
      <c r="I1" s="18"/>
      <c r="J1" s="18"/>
      <c r="K1" s="18"/>
      <c r="L1" s="18"/>
      <c r="M1" s="18"/>
      <c r="N1" s="18"/>
    </row>
    <row r="2" spans="1:22" x14ac:dyDescent="0.2">
      <c r="A2" s="18"/>
      <c r="B2" s="253" t="s">
        <v>197</v>
      </c>
      <c r="C2" s="18"/>
      <c r="D2" s="18"/>
      <c r="E2" s="18"/>
      <c r="F2" s="18"/>
      <c r="G2" s="18"/>
      <c r="H2" s="18"/>
      <c r="I2" s="18"/>
      <c r="J2" s="18"/>
      <c r="K2" s="18"/>
      <c r="L2" s="18"/>
      <c r="M2" s="18"/>
      <c r="N2" s="18"/>
    </row>
    <row r="3" spans="1:22" x14ac:dyDescent="0.2">
      <c r="A3" s="18"/>
      <c r="B3" s="253"/>
      <c r="C3" s="18"/>
      <c r="D3" s="18"/>
      <c r="E3" s="18"/>
      <c r="F3" s="18"/>
      <c r="G3" s="18"/>
      <c r="H3" s="18"/>
      <c r="I3" s="18"/>
      <c r="J3" s="18"/>
      <c r="K3" s="18"/>
      <c r="L3" s="18"/>
      <c r="M3" s="18"/>
      <c r="N3" s="18"/>
    </row>
    <row r="4" spans="1:22" ht="95" customHeight="1" x14ac:dyDescent="0.2">
      <c r="A4" s="18"/>
      <c r="B4" s="288" t="s">
        <v>10358</v>
      </c>
      <c r="C4" s="288"/>
      <c r="D4" s="288"/>
      <c r="E4" s="288"/>
      <c r="F4" s="288"/>
      <c r="G4" s="288"/>
      <c r="H4" s="288"/>
      <c r="I4" s="288"/>
      <c r="J4" s="288"/>
      <c r="K4" s="18"/>
      <c r="L4" s="18"/>
      <c r="M4" s="18"/>
      <c r="N4" s="18"/>
    </row>
    <row r="5" spans="1:22" x14ac:dyDescent="0.2">
      <c r="A5" s="18"/>
      <c r="B5" s="17"/>
      <c r="C5" s="17"/>
      <c r="D5" s="17"/>
      <c r="E5" s="17"/>
      <c r="F5" s="17"/>
      <c r="G5" s="17"/>
      <c r="H5" s="17"/>
      <c r="I5" s="17"/>
      <c r="J5" s="17"/>
      <c r="K5" s="18"/>
      <c r="L5" s="18"/>
      <c r="M5" s="18"/>
      <c r="N5" s="18"/>
      <c r="O5" s="18"/>
      <c r="P5" s="18"/>
    </row>
    <row r="6" spans="1:22" x14ac:dyDescent="0.2">
      <c r="A6" s="18"/>
      <c r="B6" s="102"/>
      <c r="C6" s="293" t="s">
        <v>0</v>
      </c>
      <c r="D6" s="291"/>
      <c r="E6" s="291"/>
      <c r="F6" s="292"/>
      <c r="G6" s="293" t="s">
        <v>1</v>
      </c>
      <c r="H6" s="291"/>
      <c r="I6" s="291"/>
      <c r="J6" s="292"/>
      <c r="K6" s="293" t="s">
        <v>2</v>
      </c>
      <c r="L6" s="291"/>
      <c r="M6" s="291"/>
      <c r="N6" s="292"/>
      <c r="O6" s="293" t="s">
        <v>3</v>
      </c>
      <c r="P6" s="291"/>
      <c r="Q6" s="291"/>
      <c r="R6" s="292"/>
      <c r="S6" s="291" t="s">
        <v>8</v>
      </c>
      <c r="T6" s="291"/>
      <c r="U6" s="291"/>
      <c r="V6" s="292"/>
    </row>
    <row r="7" spans="1:22" ht="32" x14ac:dyDescent="0.2">
      <c r="A7" s="18"/>
      <c r="B7" s="4" t="s">
        <v>12</v>
      </c>
      <c r="C7" s="5" t="s">
        <v>282</v>
      </c>
      <c r="D7" s="6" t="s">
        <v>283</v>
      </c>
      <c r="E7" s="8" t="s">
        <v>232</v>
      </c>
      <c r="F7" s="9" t="s">
        <v>233</v>
      </c>
      <c r="G7" s="5" t="s">
        <v>282</v>
      </c>
      <c r="H7" s="7" t="s">
        <v>283</v>
      </c>
      <c r="I7" s="8" t="s">
        <v>232</v>
      </c>
      <c r="J7" s="9" t="s">
        <v>233</v>
      </c>
      <c r="K7" s="5" t="s">
        <v>282</v>
      </c>
      <c r="L7" s="6" t="s">
        <v>283</v>
      </c>
      <c r="M7" s="8" t="s">
        <v>232</v>
      </c>
      <c r="N7" s="9" t="s">
        <v>233</v>
      </c>
      <c r="O7" s="5" t="s">
        <v>282</v>
      </c>
      <c r="P7" s="6" t="s">
        <v>283</v>
      </c>
      <c r="Q7" s="8" t="s">
        <v>232</v>
      </c>
      <c r="R7" s="9" t="s">
        <v>233</v>
      </c>
      <c r="S7" s="6" t="s">
        <v>282</v>
      </c>
      <c r="T7" s="6" t="s">
        <v>283</v>
      </c>
      <c r="U7" s="8" t="s">
        <v>232</v>
      </c>
      <c r="V7" s="9" t="s">
        <v>233</v>
      </c>
    </row>
    <row r="8" spans="1:22" x14ac:dyDescent="0.2">
      <c r="A8" s="17"/>
      <c r="B8" s="254" t="s">
        <v>285</v>
      </c>
      <c r="C8" s="255">
        <v>1.0262753023911369E-2</v>
      </c>
      <c r="D8" s="256">
        <v>8.8522568518694625E-4</v>
      </c>
      <c r="E8" s="83">
        <f>LN(C8)</f>
        <v>-4.5792341493151865</v>
      </c>
      <c r="F8" s="257">
        <f>D8</f>
        <v>8.8522568518694625E-4</v>
      </c>
      <c r="G8" s="255">
        <v>1.1050589923981958E-2</v>
      </c>
      <c r="H8" s="258">
        <v>5.7046216926572363E-3</v>
      </c>
      <c r="I8" s="83">
        <f>LN(G8)</f>
        <v>-4.5052714656577013</v>
      </c>
      <c r="J8" s="257">
        <f>H8</f>
        <v>5.7046216926572363E-3</v>
      </c>
      <c r="K8" s="255">
        <v>2.432762664179211E-4</v>
      </c>
      <c r="L8" s="256">
        <v>2.9524825547148014E-4</v>
      </c>
      <c r="M8" s="83">
        <f>LN(K8)</f>
        <v>-8.3213128615646177</v>
      </c>
      <c r="N8" s="257">
        <f>L8</f>
        <v>2.9524825547148014E-4</v>
      </c>
      <c r="O8" s="259">
        <v>5.498191491131529E-3</v>
      </c>
      <c r="P8" s="260">
        <v>5.095161679579672E-3</v>
      </c>
      <c r="Q8" s="83">
        <f>LN(O8)</f>
        <v>-5.2033360606110612</v>
      </c>
      <c r="R8" s="257">
        <f>P8</f>
        <v>5.095161679579672E-3</v>
      </c>
      <c r="S8" s="259">
        <v>2.7325414959528186E-4</v>
      </c>
      <c r="T8" s="261">
        <v>2.0039698122812592E-4</v>
      </c>
      <c r="U8" s="83">
        <f>LN(S8)</f>
        <v>-8.2051082449468797</v>
      </c>
      <c r="V8" s="257">
        <f>T8</f>
        <v>2.0039698122812592E-4</v>
      </c>
    </row>
    <row r="9" spans="1:22" x14ac:dyDescent="0.2">
      <c r="A9" s="17"/>
      <c r="B9" s="254" t="s">
        <v>286</v>
      </c>
      <c r="C9" s="255">
        <v>3.358408094206361E-11</v>
      </c>
      <c r="D9" s="256">
        <v>0.18031551631660608</v>
      </c>
      <c r="E9" s="83">
        <f>LN(C9)</f>
        <v>-24.116968942715502</v>
      </c>
      <c r="F9" s="257">
        <f t="shared" ref="F9:F13" si="0">D9</f>
        <v>0.18031551631660608</v>
      </c>
      <c r="G9" s="255">
        <v>4.9999999999999827E-13</v>
      </c>
      <c r="H9" s="258">
        <v>0.10974721132064617</v>
      </c>
      <c r="I9" s="83">
        <f t="shared" ref="I9:I13" si="1">LN(G9)</f>
        <v>-28.324168296488498</v>
      </c>
      <c r="J9" s="257">
        <f t="shared" ref="J9:J13" si="2">H9</f>
        <v>0.10974721132064617</v>
      </c>
      <c r="K9" s="255">
        <v>0.79097577099168459</v>
      </c>
      <c r="L9" s="256">
        <v>0.19332889713928206</v>
      </c>
      <c r="M9" s="83">
        <f t="shared" ref="M9:M13" si="3">LN(K9)</f>
        <v>-0.23448794254115907</v>
      </c>
      <c r="N9" s="257">
        <f t="shared" ref="N9:N13" si="4">L9</f>
        <v>0.19332889713928206</v>
      </c>
      <c r="O9" s="255">
        <v>1.3720790802151868E-2</v>
      </c>
      <c r="P9" s="258">
        <v>0.11216725202724696</v>
      </c>
      <c r="Q9" s="83">
        <f t="shared" ref="Q9:Q13" si="5">LN(O9)</f>
        <v>-4.2888430197046334</v>
      </c>
      <c r="R9" s="257">
        <f t="shared" ref="R9:R13" si="6">P9</f>
        <v>0.11216725202724696</v>
      </c>
      <c r="S9" s="255">
        <v>0.24329239036966804</v>
      </c>
      <c r="T9" s="256">
        <v>6.755047266342272E-2</v>
      </c>
      <c r="U9" s="83">
        <f t="shared" ref="U9:U13" si="7">LN(S9)</f>
        <v>-1.4134913064196912</v>
      </c>
      <c r="V9" s="257">
        <f t="shared" ref="V9:V13" si="8">T9</f>
        <v>6.755047266342272E-2</v>
      </c>
    </row>
    <row r="10" spans="1:22" x14ac:dyDescent="0.2">
      <c r="A10" s="17"/>
      <c r="B10" s="254" t="s">
        <v>287</v>
      </c>
      <c r="C10" s="255">
        <v>2.1825283888841857E-3</v>
      </c>
      <c r="D10" s="256">
        <v>4.2838610360828892E-3</v>
      </c>
      <c r="E10" s="83">
        <f t="shared" ref="E10:E13" si="9">LN(C10)</f>
        <v>-6.1272712628280415</v>
      </c>
      <c r="F10" s="257">
        <f t="shared" si="0"/>
        <v>4.2838610360828892E-3</v>
      </c>
      <c r="G10" s="255">
        <v>1.0314560124374485E-2</v>
      </c>
      <c r="H10" s="258">
        <v>6.1122893201501606E-3</v>
      </c>
      <c r="I10" s="83">
        <f t="shared" si="1"/>
        <v>-4.5741987776363207</v>
      </c>
      <c r="J10" s="257">
        <f t="shared" si="2"/>
        <v>6.1122893201501606E-3</v>
      </c>
      <c r="K10" s="255">
        <v>1.3261955767881682E-5</v>
      </c>
      <c r="L10" s="256">
        <v>2.1960388534196288E-5</v>
      </c>
      <c r="M10" s="83">
        <f t="shared" si="3"/>
        <v>-11.230611090275636</v>
      </c>
      <c r="N10" s="257">
        <f t="shared" si="4"/>
        <v>2.1960388534196288E-5</v>
      </c>
      <c r="O10" s="255">
        <v>1.7245229542043029E-2</v>
      </c>
      <c r="P10" s="258">
        <v>1.6245854917083305E-3</v>
      </c>
      <c r="Q10" s="83">
        <f t="shared" si="5"/>
        <v>-4.0602197220386582</v>
      </c>
      <c r="R10" s="257">
        <f t="shared" si="6"/>
        <v>1.6245854917083305E-3</v>
      </c>
      <c r="S10" s="255">
        <v>1.4446952203994605E-2</v>
      </c>
      <c r="T10" s="256">
        <v>4.3872181235929018E-6</v>
      </c>
      <c r="U10" s="83">
        <f t="shared" si="7"/>
        <v>-4.2372718068092583</v>
      </c>
      <c r="V10" s="257">
        <f t="shared" si="8"/>
        <v>4.3872181235929018E-6</v>
      </c>
    </row>
    <row r="11" spans="1:22" x14ac:dyDescent="0.2">
      <c r="A11" s="17"/>
      <c r="B11" s="254" t="s">
        <v>288</v>
      </c>
      <c r="C11" s="255">
        <v>0.29904863199407866</v>
      </c>
      <c r="D11" s="256">
        <v>0.56576349322207697</v>
      </c>
      <c r="E11" s="83">
        <f t="shared" si="9"/>
        <v>-1.2071490700077065</v>
      </c>
      <c r="F11" s="257">
        <f t="shared" si="0"/>
        <v>0.56576349322207697</v>
      </c>
      <c r="G11" s="255">
        <v>4.362022267738264E-3</v>
      </c>
      <c r="H11" s="258">
        <v>3.6211086630142278E-5</v>
      </c>
      <c r="I11" s="83">
        <f t="shared" si="1"/>
        <v>-5.4348195062780258</v>
      </c>
      <c r="J11" s="257">
        <f t="shared" si="2"/>
        <v>3.6211086630142278E-5</v>
      </c>
      <c r="K11" s="255">
        <v>1.8763022076137708</v>
      </c>
      <c r="L11" s="256">
        <v>0.22318783126059411</v>
      </c>
      <c r="M11" s="83">
        <f t="shared" si="3"/>
        <v>0.62930292908874985</v>
      </c>
      <c r="N11" s="257">
        <f t="shared" si="4"/>
        <v>0.22318783126059411</v>
      </c>
      <c r="O11" s="255">
        <v>0.70549281899550453</v>
      </c>
      <c r="P11" s="258">
        <v>0.38047219974999136</v>
      </c>
      <c r="Q11" s="83">
        <f t="shared" si="5"/>
        <v>-0.3488586863441826</v>
      </c>
      <c r="R11" s="257">
        <f t="shared" si="6"/>
        <v>0.38047219974999136</v>
      </c>
      <c r="S11" s="255">
        <v>1.0090731771779824</v>
      </c>
      <c r="T11" s="256">
        <v>0.16004412598369772</v>
      </c>
      <c r="U11" s="83">
        <f t="shared" si="7"/>
        <v>9.0322631995621971E-3</v>
      </c>
      <c r="V11" s="257">
        <f t="shared" si="8"/>
        <v>0.16004412598369772</v>
      </c>
    </row>
    <row r="12" spans="1:22" x14ac:dyDescent="0.2">
      <c r="A12" s="17"/>
      <c r="B12" s="254" t="s">
        <v>289</v>
      </c>
      <c r="C12" s="255">
        <v>3.780320604053785E-4</v>
      </c>
      <c r="D12" s="256">
        <v>1.0821863165152337E-3</v>
      </c>
      <c r="E12" s="83">
        <f t="shared" si="9"/>
        <v>-7.8805315500541058</v>
      </c>
      <c r="F12" s="257">
        <f t="shared" si="0"/>
        <v>1.0821863165152337E-3</v>
      </c>
      <c r="G12" s="255">
        <v>1.0475542749963076E-4</v>
      </c>
      <c r="H12" s="258">
        <v>4.4412819089122309E-4</v>
      </c>
      <c r="I12" s="83">
        <f t="shared" si="1"/>
        <v>-9.1638821866653597</v>
      </c>
      <c r="J12" s="257">
        <f t="shared" si="2"/>
        <v>4.4412819089122309E-4</v>
      </c>
      <c r="K12" s="255">
        <v>1.5217890973559184E-2</v>
      </c>
      <c r="L12" s="256">
        <v>4.4013893320794464E-6</v>
      </c>
      <c r="M12" s="83">
        <f t="shared" si="3"/>
        <v>-4.1852835055615794</v>
      </c>
      <c r="N12" s="257">
        <f t="shared" si="4"/>
        <v>4.4013893320794464E-6</v>
      </c>
      <c r="O12" s="255">
        <v>1.6158543822027385E-5</v>
      </c>
      <c r="P12" s="258">
        <v>3.8147496202113584E-5</v>
      </c>
      <c r="Q12" s="83">
        <f t="shared" si="5"/>
        <v>-11.033061618954534</v>
      </c>
      <c r="R12" s="257">
        <f t="shared" si="6"/>
        <v>3.8147496202113584E-5</v>
      </c>
      <c r="S12" s="255">
        <v>6.2330521521325821E-5</v>
      </c>
      <c r="T12" s="256">
        <v>1.7657693967440435E-4</v>
      </c>
      <c r="U12" s="83">
        <f t="shared" si="7"/>
        <v>-9.6830593400787937</v>
      </c>
      <c r="V12" s="257">
        <f t="shared" si="8"/>
        <v>1.7657693967440435E-4</v>
      </c>
    </row>
    <row r="13" spans="1:22" x14ac:dyDescent="0.2">
      <c r="A13" s="17"/>
      <c r="B13" s="262" t="s">
        <v>290</v>
      </c>
      <c r="C13" s="263">
        <v>0.21648776963088343</v>
      </c>
      <c r="D13" s="264">
        <v>0.17415973531339507</v>
      </c>
      <c r="E13" s="99">
        <f t="shared" si="9"/>
        <v>-1.5302212244476034</v>
      </c>
      <c r="F13" s="265">
        <f t="shared" si="0"/>
        <v>0.17415973531339507</v>
      </c>
      <c r="G13" s="263">
        <v>0.32405972126395782</v>
      </c>
      <c r="H13" s="266">
        <v>0.19223313230112987</v>
      </c>
      <c r="I13" s="99">
        <f t="shared" si="1"/>
        <v>-1.1268274552867941</v>
      </c>
      <c r="J13" s="265">
        <f t="shared" si="2"/>
        <v>0.19223313230112987</v>
      </c>
      <c r="K13" s="263">
        <v>7.8461949501476475E-2</v>
      </c>
      <c r="L13" s="264">
        <v>4.5684842445671371E-2</v>
      </c>
      <c r="M13" s="99">
        <f t="shared" si="3"/>
        <v>-2.5451414914347712</v>
      </c>
      <c r="N13" s="265">
        <f t="shared" si="4"/>
        <v>4.5684842445671371E-2</v>
      </c>
      <c r="O13" s="263">
        <v>0.4421091864971286</v>
      </c>
      <c r="P13" s="266">
        <v>0.11138573469379663</v>
      </c>
      <c r="Q13" s="99">
        <f t="shared" si="5"/>
        <v>-0.81619839913685255</v>
      </c>
      <c r="R13" s="265">
        <f t="shared" si="6"/>
        <v>0.11138573469379663</v>
      </c>
      <c r="S13" s="263">
        <v>0.49603678909463539</v>
      </c>
      <c r="T13" s="264">
        <v>0.12211789796236601</v>
      </c>
      <c r="U13" s="99">
        <f t="shared" si="7"/>
        <v>-0.70110518344601891</v>
      </c>
      <c r="V13" s="265">
        <f t="shared" si="8"/>
        <v>0.12211789796236601</v>
      </c>
    </row>
    <row r="14" spans="1:22" x14ac:dyDescent="0.2">
      <c r="A14" s="17"/>
      <c r="B14" s="18"/>
      <c r="C14" s="81"/>
      <c r="D14" s="81"/>
      <c r="E14" s="18"/>
      <c r="F14" s="267"/>
      <c r="G14" s="18"/>
      <c r="H14" s="81"/>
      <c r="I14" s="81"/>
      <c r="J14" s="18"/>
      <c r="K14" s="18"/>
      <c r="L14" s="18"/>
      <c r="M14" s="18"/>
      <c r="N14" s="18"/>
      <c r="O14" s="18"/>
      <c r="P14" s="18"/>
    </row>
    <row r="15" spans="1:22" x14ac:dyDescent="0.2">
      <c r="A15" s="17"/>
      <c r="B15" s="18"/>
      <c r="C15" s="81"/>
      <c r="D15" s="81"/>
      <c r="E15" s="18"/>
      <c r="F15" s="267"/>
      <c r="G15" s="18"/>
      <c r="H15" s="81"/>
      <c r="I15" s="81"/>
      <c r="J15" s="18"/>
      <c r="K15" s="18"/>
      <c r="L15" s="18"/>
      <c r="M15" s="18"/>
      <c r="N15" s="18"/>
      <c r="O15" s="18"/>
      <c r="P15" s="18"/>
    </row>
    <row r="16" spans="1:22" x14ac:dyDescent="0.2">
      <c r="A16" s="17"/>
      <c r="B16" s="18"/>
      <c r="C16" s="81"/>
      <c r="D16" s="81"/>
      <c r="E16" s="18"/>
      <c r="F16" s="267"/>
      <c r="G16" s="18"/>
      <c r="H16" s="81"/>
      <c r="I16" s="81"/>
      <c r="J16" s="18"/>
      <c r="K16" s="18"/>
      <c r="L16" s="18"/>
      <c r="M16" s="18"/>
      <c r="N16" s="18"/>
      <c r="O16" s="18"/>
      <c r="P16" s="18"/>
    </row>
    <row r="17" spans="1:16" x14ac:dyDescent="0.2">
      <c r="A17" s="17"/>
      <c r="B17" s="101"/>
      <c r="C17" s="81"/>
      <c r="D17" s="81"/>
      <c r="E17" s="18"/>
      <c r="F17" s="267"/>
      <c r="G17" s="18"/>
      <c r="H17" s="18"/>
      <c r="I17" s="18"/>
      <c r="J17" s="18"/>
      <c r="K17" s="18"/>
      <c r="L17" s="18"/>
      <c r="M17" s="18"/>
      <c r="N17" s="18"/>
      <c r="O17" s="18"/>
      <c r="P17" s="18"/>
    </row>
    <row r="18" spans="1:16" x14ac:dyDescent="0.2">
      <c r="A18" s="17"/>
      <c r="B18" s="18"/>
      <c r="C18" s="81"/>
      <c r="D18" s="81"/>
      <c r="E18" s="18"/>
      <c r="F18" s="267"/>
      <c r="G18" s="18"/>
      <c r="H18" s="18"/>
      <c r="I18" s="18"/>
      <c r="J18" s="18"/>
      <c r="K18" s="18"/>
      <c r="L18" s="18"/>
      <c r="M18" s="18"/>
      <c r="N18" s="18"/>
      <c r="O18" s="18"/>
      <c r="P18" s="18"/>
    </row>
    <row r="19" spans="1:16" x14ac:dyDescent="0.2">
      <c r="A19" s="17"/>
      <c r="B19" s="18"/>
      <c r="C19" s="81"/>
      <c r="D19" s="81"/>
      <c r="E19" s="18"/>
      <c r="F19" s="267"/>
      <c r="G19" s="18"/>
      <c r="H19" s="18"/>
      <c r="I19" s="18"/>
      <c r="J19" s="18"/>
      <c r="K19" s="18"/>
      <c r="L19" s="18"/>
      <c r="M19" s="18"/>
      <c r="N19" s="18"/>
      <c r="O19" s="18"/>
      <c r="P19" s="18"/>
    </row>
    <row r="20" spans="1:16" x14ac:dyDescent="0.2">
      <c r="A20" s="17"/>
      <c r="B20" s="18"/>
      <c r="C20" s="81"/>
      <c r="D20" s="81"/>
      <c r="E20" s="18"/>
      <c r="F20" s="267"/>
      <c r="G20" s="18"/>
      <c r="H20" s="18"/>
      <c r="I20" s="18"/>
      <c r="J20" s="18"/>
      <c r="K20" s="18"/>
      <c r="L20" s="18"/>
      <c r="M20" s="18"/>
      <c r="N20" s="18"/>
      <c r="O20" s="18"/>
      <c r="P20" s="18"/>
    </row>
    <row r="21" spans="1:16" x14ac:dyDescent="0.2">
      <c r="A21" s="17"/>
      <c r="B21" s="18"/>
      <c r="C21" s="81"/>
      <c r="D21" s="81"/>
      <c r="E21" s="18"/>
      <c r="F21" s="267"/>
      <c r="G21" s="18"/>
      <c r="H21" s="18"/>
      <c r="I21" s="18"/>
      <c r="J21" s="18"/>
      <c r="K21" s="18"/>
      <c r="L21" s="18"/>
      <c r="M21" s="18"/>
      <c r="N21" s="18"/>
      <c r="O21" s="18"/>
      <c r="P21" s="18"/>
    </row>
    <row r="22" spans="1:16" x14ac:dyDescent="0.2">
      <c r="A22" s="17"/>
      <c r="B22" s="18"/>
      <c r="C22" s="81"/>
      <c r="D22" s="81"/>
      <c r="E22" s="18"/>
      <c r="F22" s="267"/>
      <c r="G22" s="18"/>
      <c r="H22" s="18"/>
      <c r="I22" s="18"/>
      <c r="J22" s="18"/>
      <c r="K22" s="18"/>
      <c r="L22" s="18"/>
      <c r="M22" s="18"/>
      <c r="N22" s="18"/>
      <c r="O22" s="18"/>
      <c r="P22" s="18"/>
    </row>
    <row r="23" spans="1:16" x14ac:dyDescent="0.2">
      <c r="A23" s="17"/>
      <c r="B23" s="18"/>
      <c r="C23" s="81"/>
      <c r="D23" s="81"/>
      <c r="E23" s="18"/>
      <c r="F23" s="267"/>
      <c r="G23" s="18"/>
      <c r="H23" s="18"/>
      <c r="I23" s="18"/>
      <c r="J23" s="18"/>
      <c r="K23" s="18"/>
      <c r="L23" s="18"/>
      <c r="M23" s="18"/>
      <c r="N23" s="18"/>
      <c r="O23" s="18"/>
      <c r="P23" s="18"/>
    </row>
    <row r="24" spans="1:16" x14ac:dyDescent="0.2">
      <c r="A24" s="17"/>
      <c r="B24" s="18"/>
      <c r="C24" s="81"/>
      <c r="D24" s="81"/>
      <c r="E24" s="18"/>
      <c r="F24" s="267"/>
      <c r="G24" s="18"/>
      <c r="H24" s="18"/>
      <c r="I24" s="18"/>
      <c r="J24" s="18"/>
      <c r="K24" s="18"/>
      <c r="L24" s="18"/>
      <c r="M24" s="18"/>
      <c r="N24" s="18"/>
      <c r="O24" s="18"/>
      <c r="P24" s="18"/>
    </row>
    <row r="25" spans="1:16" x14ac:dyDescent="0.2">
      <c r="A25" s="17"/>
      <c r="B25" s="38"/>
      <c r="C25" s="81"/>
      <c r="D25" s="81"/>
      <c r="E25" s="18"/>
      <c r="F25" s="267"/>
      <c r="G25" s="18"/>
      <c r="H25" s="18"/>
      <c r="I25" s="18"/>
      <c r="J25" s="18"/>
      <c r="K25" s="18"/>
      <c r="L25" s="18"/>
      <c r="M25" s="18"/>
      <c r="N25" s="18"/>
      <c r="O25" s="18"/>
      <c r="P25" s="18"/>
    </row>
    <row r="26" spans="1:16" x14ac:dyDescent="0.2">
      <c r="A26" s="17"/>
      <c r="B26" s="38"/>
      <c r="C26" s="81"/>
      <c r="D26" s="81"/>
      <c r="E26" s="18"/>
      <c r="F26" s="267"/>
      <c r="G26" s="18"/>
      <c r="H26" s="18"/>
      <c r="I26" s="18"/>
      <c r="J26" s="18"/>
      <c r="K26" s="18"/>
      <c r="L26" s="18"/>
      <c r="M26" s="18"/>
      <c r="N26" s="18"/>
      <c r="O26" s="18"/>
      <c r="P26" s="18"/>
    </row>
    <row r="27" spans="1:16" x14ac:dyDescent="0.2">
      <c r="A27" s="18"/>
      <c r="B27" s="38"/>
      <c r="C27" s="81"/>
      <c r="D27" s="81"/>
      <c r="E27" s="18"/>
      <c r="F27" s="267"/>
      <c r="G27" s="18"/>
      <c r="H27" s="18"/>
      <c r="I27" s="18"/>
      <c r="J27" s="18"/>
      <c r="K27" s="18"/>
      <c r="L27" s="18"/>
      <c r="M27" s="18"/>
      <c r="N27" s="18"/>
      <c r="O27" s="18"/>
      <c r="P27" s="18"/>
    </row>
    <row r="28" spans="1:16" x14ac:dyDescent="0.2">
      <c r="A28" s="18"/>
      <c r="B28" s="38"/>
      <c r="C28" s="81"/>
      <c r="D28" s="81"/>
      <c r="E28" s="18"/>
      <c r="F28" s="267"/>
      <c r="G28" s="18"/>
      <c r="H28" s="18"/>
      <c r="I28" s="18"/>
      <c r="J28" s="18"/>
      <c r="K28" s="18"/>
      <c r="L28" s="18"/>
      <c r="M28" s="18"/>
      <c r="N28" s="18"/>
      <c r="O28" s="18"/>
      <c r="P28" s="18"/>
    </row>
    <row r="29" spans="1:16" x14ac:dyDescent="0.2">
      <c r="A29" s="18"/>
      <c r="B29" s="38"/>
      <c r="C29" s="81"/>
      <c r="D29" s="81"/>
      <c r="E29" s="18"/>
      <c r="F29" s="267"/>
      <c r="G29" s="18"/>
      <c r="H29" s="18"/>
      <c r="I29" s="18"/>
      <c r="J29" s="18"/>
      <c r="K29" s="18"/>
      <c r="L29" s="18"/>
      <c r="M29" s="18"/>
      <c r="N29" s="18"/>
      <c r="O29" s="18"/>
      <c r="P29" s="18"/>
    </row>
    <row r="30" spans="1:16" x14ac:dyDescent="0.2">
      <c r="A30" s="18"/>
      <c r="B30" s="38"/>
      <c r="C30" s="81"/>
      <c r="D30" s="81"/>
      <c r="E30" s="18"/>
      <c r="F30" s="267"/>
      <c r="G30" s="18"/>
      <c r="H30" s="18"/>
      <c r="I30" s="18"/>
      <c r="J30" s="18"/>
      <c r="K30" s="18"/>
      <c r="L30" s="18"/>
      <c r="M30" s="18"/>
      <c r="N30" s="18"/>
      <c r="O30" s="18"/>
      <c r="P30" s="18"/>
    </row>
    <row r="31" spans="1:16" x14ac:dyDescent="0.2">
      <c r="A31" s="18"/>
      <c r="B31" s="18"/>
      <c r="C31" s="18"/>
      <c r="D31" s="18"/>
      <c r="E31" s="18"/>
      <c r="F31" s="18"/>
      <c r="G31" s="18"/>
      <c r="H31" s="18"/>
      <c r="I31" s="18"/>
      <c r="J31" s="34"/>
      <c r="K31" s="18"/>
      <c r="L31" s="18"/>
      <c r="M31" s="18"/>
      <c r="N31" s="18"/>
      <c r="O31" s="18"/>
      <c r="P31" s="18"/>
    </row>
    <row r="32" spans="1:16" x14ac:dyDescent="0.2">
      <c r="A32" s="18"/>
      <c r="B32" s="18"/>
      <c r="C32" s="18"/>
      <c r="D32" s="18"/>
      <c r="E32" s="18"/>
      <c r="F32" s="18"/>
      <c r="G32" s="18"/>
      <c r="H32" s="18"/>
      <c r="I32" s="18"/>
      <c r="J32" s="18"/>
      <c r="K32" s="18"/>
      <c r="L32" s="18"/>
      <c r="M32" s="18"/>
      <c r="N32" s="18"/>
      <c r="O32" s="18"/>
      <c r="P32" s="18"/>
    </row>
    <row r="33" spans="1:16" x14ac:dyDescent="0.2">
      <c r="A33" s="18"/>
      <c r="B33" s="18"/>
      <c r="C33" s="18"/>
      <c r="D33" s="18"/>
      <c r="E33" s="18"/>
      <c r="F33" s="18"/>
      <c r="G33" s="18"/>
      <c r="H33" s="18"/>
      <c r="I33" s="18"/>
      <c r="J33" s="18"/>
      <c r="K33" s="18"/>
      <c r="L33" s="18"/>
      <c r="M33" s="18"/>
      <c r="N33" s="18"/>
      <c r="O33" s="18"/>
      <c r="P33" s="18"/>
    </row>
    <row r="34" spans="1:16" x14ac:dyDescent="0.2">
      <c r="A34" s="18"/>
      <c r="B34" s="18"/>
      <c r="C34" s="18"/>
      <c r="D34" s="18"/>
      <c r="E34" s="18"/>
      <c r="F34" s="18"/>
      <c r="G34" s="18"/>
      <c r="H34" s="18"/>
      <c r="I34" s="18"/>
      <c r="J34" s="18"/>
      <c r="K34" s="18"/>
      <c r="L34" s="18"/>
      <c r="M34" s="18"/>
      <c r="N34" s="18"/>
      <c r="O34" s="18"/>
      <c r="P34" s="18"/>
    </row>
    <row r="35" spans="1:16" x14ac:dyDescent="0.2">
      <c r="A35" s="18"/>
      <c r="B35" s="18"/>
      <c r="C35" s="18"/>
      <c r="D35" s="18"/>
      <c r="E35" s="18"/>
      <c r="F35" s="18"/>
      <c r="G35" s="18"/>
      <c r="H35" s="18"/>
      <c r="I35" s="18"/>
      <c r="J35" s="18"/>
      <c r="K35" s="18"/>
      <c r="L35" s="18"/>
      <c r="M35" s="18"/>
      <c r="N35" s="18"/>
      <c r="O35" s="18"/>
      <c r="P35" s="18"/>
    </row>
    <row r="36" spans="1:16" x14ac:dyDescent="0.2">
      <c r="A36" s="18"/>
      <c r="B36" s="18"/>
      <c r="C36" s="18"/>
      <c r="D36" s="18"/>
      <c r="E36" s="18"/>
      <c r="F36" s="18"/>
      <c r="G36" s="18"/>
      <c r="H36" s="18"/>
      <c r="I36" s="18"/>
      <c r="J36" s="18"/>
      <c r="K36" s="18"/>
      <c r="L36" s="18"/>
      <c r="M36" s="18"/>
      <c r="N36" s="18"/>
    </row>
    <row r="37" spans="1:16" x14ac:dyDescent="0.2">
      <c r="A37" s="18"/>
      <c r="B37" s="18"/>
      <c r="C37" s="18"/>
      <c r="D37" s="18"/>
      <c r="E37" s="18"/>
      <c r="F37" s="18"/>
      <c r="G37" s="18"/>
      <c r="H37" s="18"/>
      <c r="I37" s="18"/>
      <c r="J37" s="18"/>
      <c r="K37" s="18"/>
      <c r="L37" s="18"/>
      <c r="M37" s="18"/>
      <c r="N37" s="18"/>
    </row>
    <row r="38" spans="1:16" x14ac:dyDescent="0.2">
      <c r="A38" s="18"/>
      <c r="B38" s="18"/>
      <c r="C38" s="18"/>
      <c r="D38" s="18"/>
      <c r="E38" s="18"/>
      <c r="F38" s="18"/>
      <c r="G38" s="18"/>
      <c r="H38" s="18"/>
      <c r="I38" s="18"/>
      <c r="J38" s="18"/>
      <c r="K38" s="18"/>
      <c r="L38" s="18"/>
      <c r="M38" s="18"/>
      <c r="N38" s="18"/>
    </row>
  </sheetData>
  <mergeCells count="6">
    <mergeCell ref="S6:V6"/>
    <mergeCell ref="B4:J4"/>
    <mergeCell ref="C6:F6"/>
    <mergeCell ref="G6:J6"/>
    <mergeCell ref="K6:N6"/>
    <mergeCell ref="O6:R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672B-A687-D147-A1E7-6AD5313DFA85}">
  <sheetPr>
    <tabColor theme="7" tint="0.79998168889431442"/>
  </sheetPr>
  <dimension ref="A1:U47"/>
  <sheetViews>
    <sheetView zoomScale="110" workbookViewId="0">
      <selection activeCell="G15" sqref="G15"/>
    </sheetView>
  </sheetViews>
  <sheetFormatPr baseColWidth="10" defaultColWidth="15.83203125" defaultRowHeight="20" customHeight="1" x14ac:dyDescent="0.2"/>
  <cols>
    <col min="1" max="1" width="21" style="134" bestFit="1" customWidth="1"/>
    <col min="2" max="2" width="19.5" style="134" bestFit="1" customWidth="1"/>
    <col min="3" max="3" width="10.5" style="134" bestFit="1" customWidth="1"/>
    <col min="4" max="4" width="11.1640625" style="134" bestFit="1" customWidth="1"/>
    <col min="5" max="5" width="21" style="134" bestFit="1" customWidth="1"/>
    <col min="6" max="6" width="16.33203125" style="134" bestFit="1" customWidth="1"/>
    <col min="7" max="7" width="17.33203125" style="134" bestFit="1" customWidth="1"/>
    <col min="8" max="8" width="15.83203125" style="134" customWidth="1"/>
    <col min="9" max="9" width="30.33203125" style="134" bestFit="1" customWidth="1"/>
    <col min="10" max="10" width="30.33203125" style="134" customWidth="1"/>
    <col min="11" max="11" width="20.5" style="134" bestFit="1" customWidth="1"/>
    <col min="12" max="12" width="25.5" style="134" bestFit="1" customWidth="1"/>
    <col min="13" max="16384" width="15.83203125" style="134"/>
  </cols>
  <sheetData>
    <row r="1" spans="1:21" ht="20" customHeight="1" x14ac:dyDescent="0.2">
      <c r="A1" s="295" t="s">
        <v>237</v>
      </c>
      <c r="B1" s="295"/>
      <c r="C1" s="295"/>
      <c r="D1" s="295"/>
      <c r="E1" s="295"/>
      <c r="G1" s="295" t="s">
        <v>238</v>
      </c>
      <c r="H1" s="295"/>
      <c r="K1" s="295" t="s">
        <v>278</v>
      </c>
      <c r="L1" s="295"/>
      <c r="M1" s="295"/>
      <c r="N1" s="295"/>
      <c r="O1" s="295"/>
      <c r="P1" s="295"/>
      <c r="Q1" s="295"/>
      <c r="R1" s="295"/>
      <c r="S1" s="295"/>
      <c r="T1" s="295"/>
    </row>
    <row r="2" spans="1:21" ht="20" customHeight="1" x14ac:dyDescent="0.2">
      <c r="A2" s="268" t="s">
        <v>27</v>
      </c>
      <c r="B2" s="268" t="s">
        <v>239</v>
      </c>
      <c r="C2" s="295" t="s">
        <v>240</v>
      </c>
      <c r="D2" s="295"/>
      <c r="E2" s="268" t="s">
        <v>241</v>
      </c>
      <c r="G2" s="268" t="s">
        <v>27</v>
      </c>
      <c r="H2" s="268" t="s">
        <v>10364</v>
      </c>
      <c r="I2" s="268" t="s">
        <v>200</v>
      </c>
      <c r="J2" s="268"/>
      <c r="K2" s="268" t="s">
        <v>249</v>
      </c>
      <c r="L2" s="268" t="s">
        <v>280</v>
      </c>
      <c r="M2" s="268" t="s">
        <v>93</v>
      </c>
      <c r="N2" s="268" t="s">
        <v>28</v>
      </c>
      <c r="O2" s="268" t="s">
        <v>21</v>
      </c>
      <c r="P2" s="268" t="s">
        <v>94</v>
      </c>
      <c r="Q2" s="268" t="s">
        <v>29</v>
      </c>
      <c r="R2" s="268" t="s">
        <v>30</v>
      </c>
      <c r="S2" s="268" t="s">
        <v>31</v>
      </c>
      <c r="T2" s="268" t="s">
        <v>22</v>
      </c>
      <c r="U2" s="268" t="s">
        <v>279</v>
      </c>
    </row>
    <row r="3" spans="1:21" ht="20" customHeight="1" x14ac:dyDescent="0.2">
      <c r="A3" s="134" t="s">
        <v>93</v>
      </c>
      <c r="B3" s="134" t="s">
        <v>242</v>
      </c>
      <c r="C3" s="294" t="s">
        <v>243</v>
      </c>
      <c r="D3" s="294"/>
      <c r="E3" s="134">
        <v>0.80200000000000005</v>
      </c>
      <c r="G3" s="134" t="s">
        <v>244</v>
      </c>
      <c r="H3" s="134">
        <v>10</v>
      </c>
      <c r="I3" s="134" t="s">
        <v>10359</v>
      </c>
      <c r="K3" s="268" t="s">
        <v>266</v>
      </c>
      <c r="L3" s="14" t="s">
        <v>98</v>
      </c>
      <c r="M3" s="269">
        <f>'1.5.UVintensity'!$H$3*'1.5.UVintensity'!$E$3*'1.5.UVintensity'!E14</f>
        <v>8.02</v>
      </c>
      <c r="N3" s="269">
        <f>'1.5.UVintensity'!$H$3*'1.5.UVintensity'!$E$4*'1.5.UVintensity'!E14</f>
        <v>11.78</v>
      </c>
      <c r="O3" s="269">
        <f>'1.5.UVintensity'!$H$3*'1.5.UVintensity'!$E$5*'1.5.UVintensity'!E14</f>
        <v>5.23</v>
      </c>
      <c r="P3" s="269">
        <f>'1.5.UVintensity'!$H$3*'1.5.UVintensity'!$E$6*'1.5.UVintensity'!E14</f>
        <v>13.819999999999999</v>
      </c>
      <c r="Q3" s="269">
        <f>'1.5.UVintensity'!$H$3*'1.5.UVintensity'!$E$7*'1.5.UVintensity'!E14</f>
        <v>5.629999999999999</v>
      </c>
      <c r="R3" s="269">
        <f>'1.5.UVintensity'!$H$3*'1.5.UVintensity'!$E$8*'1.5.UVintensity'!E14</f>
        <v>13.65</v>
      </c>
      <c r="S3" s="269">
        <f>'1.5.UVintensity'!$H$3*'1.5.UVintensity'!$E$9*'1.5.UVintensity'!E14</f>
        <v>3.6399999999999997</v>
      </c>
      <c r="T3" s="269">
        <f>'1.5.UVintensity'!$H$3*'1.5.UVintensity'!$E$10*'1.5.UVintensity'!E14</f>
        <v>11.850000000000001</v>
      </c>
      <c r="U3" s="103">
        <f>H3</f>
        <v>10</v>
      </c>
    </row>
    <row r="4" spans="1:21" ht="20" customHeight="1" x14ac:dyDescent="0.2">
      <c r="A4" s="134" t="s">
        <v>28</v>
      </c>
      <c r="B4" s="134" t="s">
        <v>245</v>
      </c>
      <c r="C4" s="294" t="s">
        <v>246</v>
      </c>
      <c r="D4" s="294"/>
      <c r="E4" s="134">
        <v>1.1779999999999999</v>
      </c>
      <c r="K4" s="268" t="s">
        <v>268</v>
      </c>
      <c r="L4" s="14" t="s">
        <v>118</v>
      </c>
      <c r="M4" s="269">
        <f>'1.5.UVintensity'!$H$3*'1.5.UVintensity'!$E$3*'1.5.UVintensity'!E15</f>
        <v>0</v>
      </c>
      <c r="N4" s="269">
        <f>'1.5.UVintensity'!$H$3*'1.5.UVintensity'!$E$4*'1.5.UVintensity'!E15</f>
        <v>0</v>
      </c>
      <c r="O4" s="269">
        <f>'1.5.UVintensity'!$H$3*'1.5.UVintensity'!$E$5*'1.5.UVintensity'!E15</f>
        <v>0</v>
      </c>
      <c r="P4" s="269">
        <f>'1.5.UVintensity'!$H$3*'1.5.UVintensity'!$E$6*'1.5.UVintensity'!E15</f>
        <v>0</v>
      </c>
      <c r="Q4" s="269">
        <f>'1.5.UVintensity'!$H$3*'1.5.UVintensity'!$E$7*'1.5.UVintensity'!E15</f>
        <v>0</v>
      </c>
      <c r="R4" s="269">
        <f>'1.5.UVintensity'!$H$3*'1.5.UVintensity'!$E$8*'1.5.UVintensity'!E15</f>
        <v>0</v>
      </c>
      <c r="S4" s="269">
        <f>'1.5.UVintensity'!$H$3*'1.5.UVintensity'!$E$9*'1.5.UVintensity'!E15</f>
        <v>0</v>
      </c>
      <c r="T4" s="269">
        <f>'1.5.UVintensity'!$H$3*'1.5.UVintensity'!$E$10*'1.5.UVintensity'!E15</f>
        <v>0</v>
      </c>
      <c r="U4" s="103">
        <f t="shared" ref="U4:U14" si="0">AVERAGE(M4:T4)</f>
        <v>0</v>
      </c>
    </row>
    <row r="5" spans="1:21" ht="20" customHeight="1" x14ac:dyDescent="0.2">
      <c r="A5" s="134" t="s">
        <v>21</v>
      </c>
      <c r="B5" s="134" t="s">
        <v>247</v>
      </c>
      <c r="C5" s="294" t="s">
        <v>248</v>
      </c>
      <c r="D5" s="294"/>
      <c r="E5" s="134">
        <v>0.52300000000000002</v>
      </c>
      <c r="G5" s="268" t="s">
        <v>249</v>
      </c>
      <c r="H5" s="268" t="s">
        <v>10365</v>
      </c>
      <c r="I5" s="268" t="s">
        <v>200</v>
      </c>
      <c r="K5" s="268" t="s">
        <v>269</v>
      </c>
      <c r="L5" s="14" t="s">
        <v>117</v>
      </c>
      <c r="M5" s="269">
        <f>'1.5.UVintensity'!$H$3*'1.5.UVintensity'!$E$3*'1.5.UVintensity'!E16</f>
        <v>0</v>
      </c>
      <c r="N5" s="269">
        <f>'1.5.UVintensity'!$H$3*'1.5.UVintensity'!$E$4*'1.5.UVintensity'!E16</f>
        <v>0</v>
      </c>
      <c r="O5" s="269">
        <f>'1.5.UVintensity'!$H$3*'1.5.UVintensity'!$E$5*'1.5.UVintensity'!E16</f>
        <v>0</v>
      </c>
      <c r="P5" s="269">
        <f>'1.5.UVintensity'!$H$3*'1.5.UVintensity'!$E$6*'1.5.UVintensity'!E16</f>
        <v>0</v>
      </c>
      <c r="Q5" s="269">
        <f>'1.5.UVintensity'!$H$3*'1.5.UVintensity'!$E$7*'1.5.UVintensity'!E16</f>
        <v>0</v>
      </c>
      <c r="R5" s="269">
        <f>'1.5.UVintensity'!$H$3*'1.5.UVintensity'!$E$8*'1.5.UVintensity'!E16</f>
        <v>0</v>
      </c>
      <c r="S5" s="269">
        <f>'1.5.UVintensity'!$H$3*'1.5.UVintensity'!$E$9*'1.5.UVintensity'!E16</f>
        <v>0</v>
      </c>
      <c r="T5" s="269">
        <f>'1.5.UVintensity'!$H$3*'1.5.UVintensity'!$E$10*'1.5.UVintensity'!E16</f>
        <v>0</v>
      </c>
      <c r="U5" s="103">
        <f t="shared" si="0"/>
        <v>0</v>
      </c>
    </row>
    <row r="6" spans="1:21" ht="20" customHeight="1" x14ac:dyDescent="0.2">
      <c r="A6" s="134" t="s">
        <v>94</v>
      </c>
      <c r="B6" s="134" t="s">
        <v>250</v>
      </c>
      <c r="C6" s="294" t="s">
        <v>251</v>
      </c>
      <c r="D6" s="294"/>
      <c r="E6" s="134">
        <v>1.3819999999999999</v>
      </c>
      <c r="G6" s="134" t="s">
        <v>252</v>
      </c>
      <c r="H6" s="270">
        <v>10</v>
      </c>
      <c r="I6" s="134" t="s">
        <v>253</v>
      </c>
      <c r="K6" s="268" t="s">
        <v>270</v>
      </c>
      <c r="L6" s="14" t="s">
        <v>127</v>
      </c>
      <c r="M6" s="269">
        <f>'1.5.UVintensity'!$H$3*'1.5.UVintensity'!$E$3*'1.5.UVintensity'!E17</f>
        <v>0</v>
      </c>
      <c r="N6" s="269">
        <f>'1.5.UVintensity'!$H$3*'1.5.UVintensity'!$E$4*'1.5.UVintensity'!E17</f>
        <v>0</v>
      </c>
      <c r="O6" s="269">
        <f>'1.5.UVintensity'!$H$3*'1.5.UVintensity'!$E$5*'1.5.UVintensity'!E17</f>
        <v>0</v>
      </c>
      <c r="P6" s="269">
        <f>'1.5.UVintensity'!$H$3*'1.5.UVintensity'!$E$6*'1.5.UVintensity'!E17</f>
        <v>0</v>
      </c>
      <c r="Q6" s="269">
        <f>'1.5.UVintensity'!$H$3*'1.5.UVintensity'!$E$7*'1.5.UVintensity'!E17</f>
        <v>0</v>
      </c>
      <c r="R6" s="269">
        <f>'1.5.UVintensity'!$H$3*'1.5.UVintensity'!$E$8*'1.5.UVintensity'!E17</f>
        <v>0</v>
      </c>
      <c r="S6" s="269">
        <f>'1.5.UVintensity'!$H$3*'1.5.UVintensity'!$E$9*'1.5.UVintensity'!E17</f>
        <v>0</v>
      </c>
      <c r="T6" s="269">
        <f>'1.5.UVintensity'!$H$3*'1.5.UVintensity'!$E$10*'1.5.UVintensity'!E17</f>
        <v>0</v>
      </c>
      <c r="U6" s="103">
        <f t="shared" si="0"/>
        <v>0</v>
      </c>
    </row>
    <row r="7" spans="1:21" ht="20" customHeight="1" x14ac:dyDescent="0.2">
      <c r="A7" s="134" t="s">
        <v>29</v>
      </c>
      <c r="B7" s="134" t="s">
        <v>247</v>
      </c>
      <c r="C7" s="294" t="s">
        <v>248</v>
      </c>
      <c r="D7" s="294"/>
      <c r="E7" s="134">
        <v>0.56299999999999994</v>
      </c>
      <c r="G7" s="134" t="s">
        <v>254</v>
      </c>
      <c r="H7" s="270">
        <v>4</v>
      </c>
      <c r="I7" s="134" t="s">
        <v>255</v>
      </c>
      <c r="K7" s="268" t="s">
        <v>271</v>
      </c>
      <c r="L7" s="14" t="s">
        <v>160</v>
      </c>
      <c r="M7" s="269">
        <f>'1.5.UVintensity'!$H$3*'1.5.UVintensity'!$E$3*'1.5.UVintensity'!E18</f>
        <v>8.02</v>
      </c>
      <c r="N7" s="269">
        <f>'1.5.UVintensity'!$H$3*'1.5.UVintensity'!$E$4*'1.5.UVintensity'!E18</f>
        <v>11.78</v>
      </c>
      <c r="O7" s="269">
        <f>'1.5.UVintensity'!$H$3*'1.5.UVintensity'!$E$5*'1.5.UVintensity'!E18</f>
        <v>5.23</v>
      </c>
      <c r="P7" s="269">
        <f>'1.5.UVintensity'!$H$3*'1.5.UVintensity'!$E$6*'1.5.UVintensity'!E18</f>
        <v>13.819999999999999</v>
      </c>
      <c r="Q7" s="269">
        <f>'1.5.UVintensity'!$H$3*'1.5.UVintensity'!$E$7*'1.5.UVintensity'!E18</f>
        <v>5.629999999999999</v>
      </c>
      <c r="R7" s="269">
        <f>'1.5.UVintensity'!$H$3*'1.5.UVintensity'!$E$8*'1.5.UVintensity'!E18</f>
        <v>13.65</v>
      </c>
      <c r="S7" s="269">
        <f>'1.5.UVintensity'!$H$3*'1.5.UVintensity'!$E$9*'1.5.UVintensity'!E18</f>
        <v>3.6399999999999997</v>
      </c>
      <c r="T7" s="269">
        <f>'1.5.UVintensity'!$H$3*'1.5.UVintensity'!$E$10*'1.5.UVintensity'!E18</f>
        <v>11.850000000000001</v>
      </c>
      <c r="U7" s="103">
        <f>H3</f>
        <v>10</v>
      </c>
    </row>
    <row r="8" spans="1:21" ht="20" customHeight="1" x14ac:dyDescent="0.2">
      <c r="A8" s="134" t="s">
        <v>30</v>
      </c>
      <c r="B8" s="134" t="s">
        <v>256</v>
      </c>
      <c r="C8" s="294" t="s">
        <v>257</v>
      </c>
      <c r="D8" s="294"/>
      <c r="E8" s="134">
        <v>1.365</v>
      </c>
      <c r="G8" s="134" t="s">
        <v>258</v>
      </c>
      <c r="H8" s="270">
        <v>0.2</v>
      </c>
      <c r="I8" s="134" t="s">
        <v>259</v>
      </c>
      <c r="K8" s="268" t="s">
        <v>272</v>
      </c>
      <c r="L8" s="14" t="s">
        <v>115</v>
      </c>
      <c r="M8" s="269">
        <f>'1.5.UVintensity'!$H$3*'1.5.UVintensity'!E3*'1.5.UVintensity'!E19</f>
        <v>0.33416666665405143</v>
      </c>
      <c r="N8" s="269">
        <f>'1.5.UVintensity'!$H$3*'1.5.UVintensity'!E4*'1.5.UVintensity'!E20</f>
        <v>0.2677272727272727</v>
      </c>
      <c r="O8" s="269">
        <f>'1.5.UVintensity'!$H$3*'1.5.UVintensity'!E5*'1.5.UVintensity'!E21</f>
        <v>0.27526315635249343</v>
      </c>
      <c r="P8" s="269">
        <f>'1.5.UVintensity'!$H$3*'1.5.UVintensity'!E6*'1.5.UVintensity'!E22</f>
        <v>0.55279999999232277</v>
      </c>
      <c r="Q8" s="269">
        <f>'1.5.UVintensity'!$H$3*'1.5.UVintensity'!E7*'1.5.UVintensity'!E23</f>
        <v>0.25590909083770585</v>
      </c>
      <c r="R8" s="269">
        <f>'1.5.UVintensity'!$H$3*'1.5.UVintensity'!E8*'1.5.UVintensity'!E24</f>
        <v>0.41363636363636169</v>
      </c>
      <c r="S8" s="269">
        <f>'1.5.UVintensity'!$H$3*'1.5.UVintensity'!E9*'1.5.UVintensity'!E25</f>
        <v>0.12551724137927842</v>
      </c>
      <c r="T8" s="269">
        <f>'1.5.UVintensity'!$H$3*'1.5.UVintensity'!E10*'1.5.UVintensity'!E26</f>
        <v>1.1849462010832317</v>
      </c>
      <c r="U8" s="103">
        <f t="shared" si="0"/>
        <v>0.42624574908283974</v>
      </c>
    </row>
    <row r="9" spans="1:21" ht="20" customHeight="1" x14ac:dyDescent="0.2">
      <c r="A9" s="134" t="s">
        <v>31</v>
      </c>
      <c r="B9" s="134" t="s">
        <v>260</v>
      </c>
      <c r="C9" s="294" t="s">
        <v>261</v>
      </c>
      <c r="D9" s="294"/>
      <c r="E9" s="134">
        <v>0.36399999999999999</v>
      </c>
      <c r="K9" s="268" t="s">
        <v>273</v>
      </c>
      <c r="L9" s="14" t="s">
        <v>138</v>
      </c>
      <c r="M9" s="269">
        <f>'1.5.UVintensity'!$H$3*'1.5.UVintensity'!$E$3*'1.5.UVintensity'!E27</f>
        <v>0</v>
      </c>
      <c r="N9" s="269">
        <f>'1.5.UVintensity'!$H$3*'1.5.UVintensity'!$E$4*'1.5.UVintensity'!E27</f>
        <v>0</v>
      </c>
      <c r="O9" s="269">
        <f>'1.5.UVintensity'!$H$3*'1.5.UVintensity'!$E$5*'1.5.UVintensity'!E27</f>
        <v>0</v>
      </c>
      <c r="P9" s="269">
        <f>'1.5.UVintensity'!$H$3*'1.5.UVintensity'!$E$6*'1.5.UVintensity'!E27</f>
        <v>0</v>
      </c>
      <c r="Q9" s="269">
        <f>'1.5.UVintensity'!$H$3*'1.5.UVintensity'!$E$7*'1.5.UVintensity'!E27</f>
        <v>0</v>
      </c>
      <c r="R9" s="269">
        <f>'1.5.UVintensity'!$H$3*'1.5.UVintensity'!$E$8*'1.5.UVintensity'!E27</f>
        <v>0</v>
      </c>
      <c r="S9" s="269">
        <f>'1.5.UVintensity'!$H$3*'1.5.UVintensity'!$E$9*'1.5.UVintensity'!E27</f>
        <v>0</v>
      </c>
      <c r="T9" s="269">
        <f>'1.5.UVintensity'!$H$3*'1.5.UVintensity'!$E$10*'1.5.UVintensity'!E27</f>
        <v>0</v>
      </c>
      <c r="U9" s="103">
        <f t="shared" si="0"/>
        <v>0</v>
      </c>
    </row>
    <row r="10" spans="1:21" ht="20" customHeight="1" x14ac:dyDescent="0.2">
      <c r="A10" s="134" t="s">
        <v>22</v>
      </c>
      <c r="B10" s="134" t="s">
        <v>262</v>
      </c>
      <c r="C10" s="294" t="s">
        <v>263</v>
      </c>
      <c r="D10" s="294"/>
      <c r="E10" s="134">
        <v>1.1850000000000001</v>
      </c>
      <c r="K10" s="268" t="s">
        <v>254</v>
      </c>
      <c r="L10" s="14" t="s">
        <v>116</v>
      </c>
      <c r="M10" s="269">
        <f>'1.5.UVintensity'!$H$3*'1.5.UVintensity'!E3*'1.5.UVintensity'!E28</f>
        <v>6.7966101694915251E-2</v>
      </c>
      <c r="N10" s="269">
        <f>'1.5.UVintensity'!$H$3*'1.5.UVintensity'!E4*'1.5.UVintensity'!E29</f>
        <v>0.11459143968871595</v>
      </c>
      <c r="O10" s="269">
        <f>'1.5.UVintensity'!$H$3*'1.5.UVintensity'!E5*'1.5.UVintensity'!E30</f>
        <v>4.860594795539034E-2</v>
      </c>
      <c r="P10" s="269">
        <f>'1.5.UVintensity'!$H$3*'1.5.UVintensity'!E6*'1.5.UVintensity'!E31</f>
        <v>2.9810181190681618E-2</v>
      </c>
      <c r="Q10" s="269">
        <f>'1.5.UVintensity'!$H$3*'1.5.UVintensity'!E7*'1.5.UVintensity'!E32</f>
        <v>4.2522658610271893E-2</v>
      </c>
      <c r="R10" s="269">
        <f>'1.5.UVintensity'!$H$3*'1.5.UVintensity'!E8*'1.5.UVintensity'!E33</f>
        <v>0.19612068965517243</v>
      </c>
      <c r="S10" s="269">
        <f>'1.5.UVintensity'!$H$3*'1.5.UVintensity'!E9*'1.5.UVintensity'!E34</f>
        <v>6.8991660348749042E-3</v>
      </c>
      <c r="T10" s="269">
        <f>'1.5.UVintensity'!$H$3*'1.5.UVintensity'!E10*'1.5.UVintensity'!E35</f>
        <v>0.33664772727272707</v>
      </c>
      <c r="U10" s="103">
        <f t="shared" si="0"/>
        <v>0.10539548901284368</v>
      </c>
    </row>
    <row r="11" spans="1:21" ht="20" customHeight="1" x14ac:dyDescent="0.2">
      <c r="K11" s="268" t="s">
        <v>274</v>
      </c>
      <c r="L11" s="15" t="s">
        <v>139</v>
      </c>
      <c r="M11" s="269">
        <f>'1.5.UVintensity'!$H$3*'1.5.UVintensity'!$E$3*'1.5.UVintensity'!E36</f>
        <v>0</v>
      </c>
      <c r="N11" s="269">
        <f>'1.5.UVintensity'!$H$3*'1.5.UVintensity'!$E$4*'1.5.UVintensity'!E36</f>
        <v>0</v>
      </c>
      <c r="O11" s="269">
        <f>'1.5.UVintensity'!$H$3*'1.5.UVintensity'!$E$5*'1.5.UVintensity'!E36</f>
        <v>0</v>
      </c>
      <c r="P11" s="269">
        <f>'1.5.UVintensity'!$H$3*'1.5.UVintensity'!$E$6*'1.5.UVintensity'!E36</f>
        <v>0</v>
      </c>
      <c r="Q11" s="269">
        <f>'1.5.UVintensity'!$H$3*'1.5.UVintensity'!$E$7*'1.5.UVintensity'!E36</f>
        <v>0</v>
      </c>
      <c r="R11" s="269">
        <f>'1.5.UVintensity'!$H$3*'1.5.UVintensity'!$E$8*'1.5.UVintensity'!E36</f>
        <v>0</v>
      </c>
      <c r="S11" s="269">
        <f>'1.5.UVintensity'!$H$3*'1.5.UVintensity'!$E$9*'1.5.UVintensity'!E36</f>
        <v>0</v>
      </c>
      <c r="T11" s="269">
        <f>'1.5.UVintensity'!$H$3*'1.5.UVintensity'!$E$10*'1.5.UVintensity'!E36</f>
        <v>0</v>
      </c>
      <c r="U11" s="103">
        <f t="shared" si="0"/>
        <v>0</v>
      </c>
    </row>
    <row r="12" spans="1:21" ht="20" customHeight="1" x14ac:dyDescent="0.2">
      <c r="A12" s="295" t="s">
        <v>10361</v>
      </c>
      <c r="B12" s="295"/>
      <c r="C12" s="295"/>
      <c r="D12" s="295"/>
      <c r="E12" s="295"/>
      <c r="K12" s="268" t="s">
        <v>258</v>
      </c>
      <c r="L12" s="15" t="s">
        <v>124</v>
      </c>
      <c r="M12" s="269">
        <f>'1.5.UVintensity'!$H$3*'1.5.UVintensity'!E3*'1.5.UVintensity'!E37</f>
        <v>6.2824028586777008</v>
      </c>
      <c r="N12" s="269">
        <f>'1.5.UVintensity'!$H$3*'1.5.UVintensity'!E4*'1.5.UVintensity'!E38</f>
        <v>8.4842488088791796</v>
      </c>
      <c r="O12" s="269">
        <f>'1.5.UVintensity'!$H$3*'1.5.UVintensity'!E5*'1.5.UVintensity'!E39</f>
        <v>2.9094139083336823</v>
      </c>
      <c r="P12" s="269">
        <f>'1.5.UVintensity'!$H$3*'1.5.UVintensity'!E6*'1.5.UVintensity'!E40</f>
        <v>7.1304795394711213</v>
      </c>
      <c r="Q12" s="269">
        <f>'1.5.UVintensity'!$H$3*'1.5.UVintensity'!E7*'1.5.UVintensity'!E41</f>
        <v>4.9576137381766223</v>
      </c>
      <c r="R12" s="269">
        <f>'1.5.UVintensity'!$H$3*'1.5.UVintensity'!E8*'1.5.UVintensity'!E42</f>
        <v>10.815944874572182</v>
      </c>
      <c r="S12" s="269">
        <f>'1.5.UVintensity'!$H$3*'1.5.UVintensity'!E9*'1.5.UVintensity'!E43</f>
        <v>2.8644567972920285</v>
      </c>
      <c r="T12" s="269">
        <f>'1.5.UVintensity'!$H$3*'1.5.UVintensity'!E10*'1.5.UVintensity'!E44</f>
        <v>6.9007071573670054</v>
      </c>
      <c r="U12" s="103">
        <f t="shared" si="0"/>
        <v>6.2931584603461896</v>
      </c>
    </row>
    <row r="13" spans="1:21" ht="20" customHeight="1" x14ac:dyDescent="0.2">
      <c r="A13" s="268" t="s">
        <v>249</v>
      </c>
      <c r="B13" s="268" t="s">
        <v>27</v>
      </c>
      <c r="C13" s="268" t="s">
        <v>264</v>
      </c>
      <c r="D13" s="268" t="s">
        <v>10365</v>
      </c>
      <c r="E13" s="268" t="s">
        <v>265</v>
      </c>
      <c r="K13" s="268" t="s">
        <v>275</v>
      </c>
      <c r="L13" s="15" t="s">
        <v>140</v>
      </c>
      <c r="M13" s="269">
        <f>'1.5.UVintensity'!$H$3*'1.5.UVintensity'!$E$3*'1.5.UVintensity'!E45</f>
        <v>0</v>
      </c>
      <c r="N13" s="269">
        <f>'1.5.UVintensity'!$H$3*'1.5.UVintensity'!$E$4*'1.5.UVintensity'!E45</f>
        <v>0</v>
      </c>
      <c r="O13" s="269">
        <f>'1.5.UVintensity'!$H$3*'1.5.UVintensity'!$E$5*'1.5.UVintensity'!E45</f>
        <v>0</v>
      </c>
      <c r="P13" s="269">
        <f>'1.5.UVintensity'!$H$3*'1.5.UVintensity'!$E$6*'1.5.UVintensity'!E45</f>
        <v>0</v>
      </c>
      <c r="Q13" s="269">
        <f>'1.5.UVintensity'!$H$3*'1.5.UVintensity'!$E$7*'1.5.UVintensity'!E45</f>
        <v>0</v>
      </c>
      <c r="R13" s="269">
        <f>'1.5.UVintensity'!$H$3*'1.5.UVintensity'!$E$8*'1.5.UVintensity'!E45</f>
        <v>0</v>
      </c>
      <c r="S13" s="269">
        <f>'1.5.UVintensity'!$H$3*'1.5.UVintensity'!$E$9*'1.5.UVintensity'!E45</f>
        <v>0</v>
      </c>
      <c r="T13" s="269">
        <f>'1.5.UVintensity'!$H$3*'1.5.UVintensity'!$E$10*'1.5.UVintensity'!E45</f>
        <v>0</v>
      </c>
      <c r="U13" s="103">
        <f t="shared" si="0"/>
        <v>0</v>
      </c>
    </row>
    <row r="14" spans="1:21" ht="20" customHeight="1" x14ac:dyDescent="0.2">
      <c r="A14" s="134" t="s">
        <v>266</v>
      </c>
      <c r="B14" s="134" t="s">
        <v>267</v>
      </c>
      <c r="C14" s="134" t="s">
        <v>267</v>
      </c>
      <c r="D14" s="134" t="s">
        <v>267</v>
      </c>
      <c r="E14" s="271">
        <v>1</v>
      </c>
      <c r="K14" s="268" t="s">
        <v>276</v>
      </c>
      <c r="L14" s="15" t="s">
        <v>137</v>
      </c>
      <c r="M14" s="269">
        <f>'1.5.UVintensity'!$H$3*'1.5.UVintensity'!$E$3*'1.5.UVintensity'!E46</f>
        <v>0</v>
      </c>
      <c r="N14" s="269">
        <f>'1.5.UVintensity'!$H$3*'1.5.UVintensity'!$E$4*'1.5.UVintensity'!E46</f>
        <v>0</v>
      </c>
      <c r="O14" s="269">
        <f>'1.5.UVintensity'!$H$3*'1.5.UVintensity'!$E$5*'1.5.UVintensity'!E46</f>
        <v>0</v>
      </c>
      <c r="P14" s="269">
        <f>'1.5.UVintensity'!$H$3*'1.5.UVintensity'!$E$6*'1.5.UVintensity'!E46</f>
        <v>0</v>
      </c>
      <c r="Q14" s="269">
        <f>'1.5.UVintensity'!$H$3*'1.5.UVintensity'!$E$7*'1.5.UVintensity'!E46</f>
        <v>0</v>
      </c>
      <c r="R14" s="269">
        <f>'1.5.UVintensity'!$H$3*'1.5.UVintensity'!$E$8*'1.5.UVintensity'!E46</f>
        <v>0</v>
      </c>
      <c r="S14" s="269">
        <f>'1.5.UVintensity'!$H$3*'1.5.UVintensity'!$E$9*'1.5.UVintensity'!E46</f>
        <v>0</v>
      </c>
      <c r="T14" s="269">
        <f>'1.5.UVintensity'!$H$3*'1.5.UVintensity'!$E$10*'1.5.UVintensity'!E46</f>
        <v>0</v>
      </c>
      <c r="U14" s="103">
        <f t="shared" si="0"/>
        <v>0</v>
      </c>
    </row>
    <row r="15" spans="1:21" ht="20" customHeight="1" x14ac:dyDescent="0.2">
      <c r="A15" s="134" t="s">
        <v>268</v>
      </c>
      <c r="B15" s="134" t="s">
        <v>267</v>
      </c>
      <c r="C15" s="134" t="s">
        <v>267</v>
      </c>
      <c r="D15" s="134" t="s">
        <v>267</v>
      </c>
      <c r="E15" s="271">
        <v>0</v>
      </c>
      <c r="U15" s="14"/>
    </row>
    <row r="16" spans="1:21" ht="20" customHeight="1" x14ac:dyDescent="0.2">
      <c r="A16" s="134" t="s">
        <v>269</v>
      </c>
      <c r="B16" s="134" t="s">
        <v>267</v>
      </c>
      <c r="C16" s="134" t="s">
        <v>267</v>
      </c>
      <c r="D16" s="134" t="s">
        <v>267</v>
      </c>
      <c r="E16" s="271">
        <v>0</v>
      </c>
    </row>
    <row r="17" spans="1:6" ht="20" customHeight="1" x14ac:dyDescent="0.2">
      <c r="A17" s="134" t="s">
        <v>270</v>
      </c>
      <c r="B17" s="134" t="s">
        <v>267</v>
      </c>
      <c r="C17" s="134" t="s">
        <v>267</v>
      </c>
      <c r="D17" s="134" t="s">
        <v>267</v>
      </c>
      <c r="E17" s="271">
        <v>0</v>
      </c>
    </row>
    <row r="18" spans="1:6" ht="20" customHeight="1" x14ac:dyDescent="0.2">
      <c r="A18" s="134" t="s">
        <v>271</v>
      </c>
      <c r="B18" s="134" t="s">
        <v>267</v>
      </c>
      <c r="C18" s="134" t="s">
        <v>267</v>
      </c>
      <c r="D18" s="134" t="s">
        <v>267</v>
      </c>
      <c r="E18" s="271">
        <v>1</v>
      </c>
      <c r="F18" s="272"/>
    </row>
    <row r="19" spans="1:6" ht="20" customHeight="1" x14ac:dyDescent="0.2">
      <c r="A19" s="294" t="s">
        <v>272</v>
      </c>
      <c r="B19" s="134" t="s">
        <v>93</v>
      </c>
      <c r="C19" s="134">
        <v>2.4</v>
      </c>
      <c r="D19" s="270">
        <f>$H$6</f>
        <v>10</v>
      </c>
      <c r="E19" s="273">
        <f>(1-EXP(-D19*C19))/(D19*C19)</f>
        <v>4.1666666665093693E-2</v>
      </c>
      <c r="F19" s="272"/>
    </row>
    <row r="20" spans="1:6" ht="20" customHeight="1" x14ac:dyDescent="0.2">
      <c r="A20" s="294"/>
      <c r="B20" s="134" t="s">
        <v>28</v>
      </c>
      <c r="C20" s="134">
        <v>4.4000000000000004</v>
      </c>
      <c r="D20" s="270">
        <f t="shared" ref="D20:D26" si="1">$H$6</f>
        <v>10</v>
      </c>
      <c r="E20" s="273">
        <f t="shared" ref="E20:E26" si="2">(1-EXP(-D20*C20))/(D20*C20)</f>
        <v>2.2727272727272728E-2</v>
      </c>
      <c r="F20" s="272"/>
    </row>
    <row r="21" spans="1:6" ht="20" customHeight="1" x14ac:dyDescent="0.2">
      <c r="A21" s="294"/>
      <c r="B21" s="134" t="s">
        <v>21</v>
      </c>
      <c r="C21" s="134">
        <v>1.9</v>
      </c>
      <c r="D21" s="270">
        <f t="shared" si="1"/>
        <v>10</v>
      </c>
      <c r="E21" s="273">
        <f t="shared" si="2"/>
        <v>5.2631578652484398E-2</v>
      </c>
      <c r="F21" s="272"/>
    </row>
    <row r="22" spans="1:6" ht="20" customHeight="1" x14ac:dyDescent="0.2">
      <c r="A22" s="294"/>
      <c r="B22" s="134" t="s">
        <v>94</v>
      </c>
      <c r="C22" s="134">
        <v>2.5</v>
      </c>
      <c r="D22" s="270">
        <f t="shared" si="1"/>
        <v>10</v>
      </c>
      <c r="E22" s="273">
        <f t="shared" si="2"/>
        <v>3.9999999999444487E-2</v>
      </c>
      <c r="F22" s="272"/>
    </row>
    <row r="23" spans="1:6" ht="20" customHeight="1" x14ac:dyDescent="0.2">
      <c r="A23" s="294"/>
      <c r="B23" s="134" t="s">
        <v>29</v>
      </c>
      <c r="C23" s="134">
        <v>2.2000000000000002</v>
      </c>
      <c r="D23" s="270">
        <f t="shared" si="1"/>
        <v>10</v>
      </c>
      <c r="E23" s="273">
        <f t="shared" si="2"/>
        <v>4.5454545441866057E-2</v>
      </c>
      <c r="F23" s="272"/>
    </row>
    <row r="24" spans="1:6" ht="20" customHeight="1" x14ac:dyDescent="0.2">
      <c r="A24" s="294"/>
      <c r="B24" s="134" t="s">
        <v>30</v>
      </c>
      <c r="C24" s="134">
        <v>3.3</v>
      </c>
      <c r="D24" s="270">
        <f t="shared" si="1"/>
        <v>10</v>
      </c>
      <c r="E24" s="273">
        <f t="shared" si="2"/>
        <v>3.0303030303030162E-2</v>
      </c>
      <c r="F24" s="272"/>
    </row>
    <row r="25" spans="1:6" ht="20" customHeight="1" x14ac:dyDescent="0.2">
      <c r="A25" s="294"/>
      <c r="B25" s="134" t="s">
        <v>31</v>
      </c>
      <c r="C25" s="134">
        <v>2.9</v>
      </c>
      <c r="D25" s="270">
        <f t="shared" si="1"/>
        <v>10</v>
      </c>
      <c r="E25" s="273">
        <f t="shared" si="2"/>
        <v>3.4482758620680884E-2</v>
      </c>
      <c r="F25" s="272"/>
    </row>
    <row r="26" spans="1:6" ht="20" customHeight="1" x14ac:dyDescent="0.2">
      <c r="A26" s="294"/>
      <c r="B26" s="134" t="s">
        <v>22</v>
      </c>
      <c r="C26" s="270">
        <v>1</v>
      </c>
      <c r="D26" s="270">
        <f t="shared" si="1"/>
        <v>10</v>
      </c>
      <c r="E26" s="273">
        <f t="shared" si="2"/>
        <v>9.9995460007023751E-2</v>
      </c>
      <c r="F26" s="272"/>
    </row>
    <row r="27" spans="1:6" ht="20" customHeight="1" x14ac:dyDescent="0.2">
      <c r="A27" s="134" t="s">
        <v>273</v>
      </c>
      <c r="B27" s="134" t="s">
        <v>267</v>
      </c>
      <c r="C27" s="134" t="s">
        <v>267</v>
      </c>
      <c r="D27" s="134" t="s">
        <v>267</v>
      </c>
      <c r="E27" s="271">
        <v>0</v>
      </c>
    </row>
    <row r="28" spans="1:6" ht="20" customHeight="1" x14ac:dyDescent="0.2">
      <c r="A28" s="294" t="s">
        <v>254</v>
      </c>
      <c r="B28" s="134" t="s">
        <v>93</v>
      </c>
      <c r="C28" s="134">
        <v>29.5</v>
      </c>
      <c r="D28" s="270">
        <f>$H$7</f>
        <v>4</v>
      </c>
      <c r="E28" s="273">
        <f>(1-EXP(-D28*C28))/(D28*C28)</f>
        <v>8.4745762711864406E-3</v>
      </c>
    </row>
    <row r="29" spans="1:6" ht="20" customHeight="1" x14ac:dyDescent="0.2">
      <c r="A29" s="294"/>
      <c r="B29" s="134" t="s">
        <v>28</v>
      </c>
      <c r="C29" s="134">
        <v>25.7</v>
      </c>
      <c r="D29" s="270">
        <f t="shared" ref="D29:D35" si="3">$H$7</f>
        <v>4</v>
      </c>
      <c r="E29" s="273">
        <f t="shared" ref="E29:E35" si="4">(1-EXP(-D29*C29))/(D29*C29)</f>
        <v>9.727626459143969E-3</v>
      </c>
    </row>
    <row r="30" spans="1:6" ht="20" customHeight="1" x14ac:dyDescent="0.2">
      <c r="A30" s="294"/>
      <c r="B30" s="134" t="s">
        <v>21</v>
      </c>
      <c r="C30" s="134">
        <v>26.9</v>
      </c>
      <c r="D30" s="270">
        <f t="shared" si="3"/>
        <v>4</v>
      </c>
      <c r="E30" s="273">
        <f t="shared" si="4"/>
        <v>9.2936802973977699E-3</v>
      </c>
    </row>
    <row r="31" spans="1:6" ht="20" customHeight="1" x14ac:dyDescent="0.2">
      <c r="A31" s="294"/>
      <c r="B31" s="134" t="s">
        <v>94</v>
      </c>
      <c r="C31" s="134">
        <v>115.9</v>
      </c>
      <c r="D31" s="270">
        <f t="shared" si="3"/>
        <v>4</v>
      </c>
      <c r="E31" s="273">
        <f t="shared" si="4"/>
        <v>2.1570319240724763E-3</v>
      </c>
    </row>
    <row r="32" spans="1:6" ht="20" customHeight="1" x14ac:dyDescent="0.2">
      <c r="A32" s="294"/>
      <c r="B32" s="134" t="s">
        <v>29</v>
      </c>
      <c r="C32" s="134">
        <v>33.1</v>
      </c>
      <c r="D32" s="270">
        <f t="shared" si="3"/>
        <v>4</v>
      </c>
      <c r="E32" s="273">
        <f t="shared" si="4"/>
        <v>7.5528700906344406E-3</v>
      </c>
    </row>
    <row r="33" spans="1:5" ht="20" customHeight="1" x14ac:dyDescent="0.2">
      <c r="A33" s="294"/>
      <c r="B33" s="134" t="s">
        <v>30</v>
      </c>
      <c r="C33" s="134">
        <v>17.399999999999999</v>
      </c>
      <c r="D33" s="270">
        <f t="shared" si="3"/>
        <v>4</v>
      </c>
      <c r="E33" s="273">
        <f t="shared" si="4"/>
        <v>1.4367816091954025E-2</v>
      </c>
    </row>
    <row r="34" spans="1:5" ht="20" customHeight="1" x14ac:dyDescent="0.2">
      <c r="A34" s="294"/>
      <c r="B34" s="134" t="s">
        <v>31</v>
      </c>
      <c r="C34" s="134">
        <v>131.9</v>
      </c>
      <c r="D34" s="270">
        <f t="shared" si="3"/>
        <v>4</v>
      </c>
      <c r="E34" s="273">
        <f t="shared" si="4"/>
        <v>1.8953752843062926E-3</v>
      </c>
    </row>
    <row r="35" spans="1:5" ht="20" customHeight="1" x14ac:dyDescent="0.2">
      <c r="A35" s="294"/>
      <c r="B35" s="134" t="s">
        <v>22</v>
      </c>
      <c r="C35" s="134">
        <v>8.8000000000000007</v>
      </c>
      <c r="D35" s="270">
        <f t="shared" si="3"/>
        <v>4</v>
      </c>
      <c r="E35" s="273">
        <f t="shared" si="4"/>
        <v>2.8409090909090891E-2</v>
      </c>
    </row>
    <row r="36" spans="1:5" ht="20" customHeight="1" x14ac:dyDescent="0.2">
      <c r="A36" s="134" t="s">
        <v>274</v>
      </c>
      <c r="B36" s="134" t="s">
        <v>267</v>
      </c>
      <c r="C36" s="134" t="s">
        <v>267</v>
      </c>
      <c r="D36" s="134" t="s">
        <v>267</v>
      </c>
      <c r="E36" s="271">
        <v>0</v>
      </c>
    </row>
    <row r="37" spans="1:5" ht="20" customHeight="1" x14ac:dyDescent="0.2">
      <c r="A37" s="294" t="s">
        <v>258</v>
      </c>
      <c r="B37" s="134" t="s">
        <v>93</v>
      </c>
      <c r="C37" s="134">
        <f>'3.1.regional_data'!F23</f>
        <v>2.5499999999999998</v>
      </c>
      <c r="D37" s="270">
        <f>$H$8</f>
        <v>0.2</v>
      </c>
      <c r="E37" s="273">
        <f>(1-EXP(-D37*C37))/(D37*C37)</f>
        <v>0.7833420023288904</v>
      </c>
    </row>
    <row r="38" spans="1:5" ht="20" customHeight="1" x14ac:dyDescent="0.2">
      <c r="A38" s="294"/>
      <c r="B38" s="134" t="s">
        <v>28</v>
      </c>
      <c r="C38" s="134">
        <f>'3.1.regional_data'!G23</f>
        <v>3.4833333333333329</v>
      </c>
      <c r="D38" s="270">
        <f t="shared" ref="D38:D44" si="5">$H$8</f>
        <v>0.2</v>
      </c>
      <c r="E38" s="273">
        <f t="shared" ref="E38:E44" si="6">(1-EXP(-D38*C38))/(D38*C38)</f>
        <v>0.72022485644135648</v>
      </c>
    </row>
    <row r="39" spans="1:5" ht="20" customHeight="1" x14ac:dyDescent="0.2">
      <c r="A39" s="294"/>
      <c r="B39" s="134" t="s">
        <v>21</v>
      </c>
      <c r="C39" s="134">
        <f>'3.1.regional_data'!H23</f>
        <v>6.5750000000000002</v>
      </c>
      <c r="D39" s="270">
        <f t="shared" si="5"/>
        <v>0.2</v>
      </c>
      <c r="E39" s="273">
        <f t="shared" si="6"/>
        <v>0.55629329031236752</v>
      </c>
    </row>
    <row r="40" spans="1:5" ht="20" customHeight="1" x14ac:dyDescent="0.2">
      <c r="A40" s="294"/>
      <c r="B40" s="134" t="s">
        <v>94</v>
      </c>
      <c r="C40" s="134">
        <f>'3.1.regional_data'!I23</f>
        <v>7.55</v>
      </c>
      <c r="D40" s="270">
        <f t="shared" si="5"/>
        <v>0.2</v>
      </c>
      <c r="E40" s="273">
        <f t="shared" si="6"/>
        <v>0.5159536569805443</v>
      </c>
    </row>
    <row r="41" spans="1:5" ht="20" customHeight="1" x14ac:dyDescent="0.2">
      <c r="A41" s="294"/>
      <c r="B41" s="134" t="s">
        <v>29</v>
      </c>
      <c r="C41" s="134">
        <f>'3.1.regional_data'!J23</f>
        <v>1.3</v>
      </c>
      <c r="D41" s="270">
        <f t="shared" si="5"/>
        <v>0.2</v>
      </c>
      <c r="E41" s="273">
        <f t="shared" si="6"/>
        <v>0.88057082383243745</v>
      </c>
    </row>
    <row r="42" spans="1:5" ht="20" customHeight="1" x14ac:dyDescent="0.2">
      <c r="A42" s="294"/>
      <c r="B42" s="134" t="s">
        <v>30</v>
      </c>
      <c r="C42" s="134">
        <f>'3.1.regional_data'!K23</f>
        <v>2.4249999999999998</v>
      </c>
      <c r="D42" s="270">
        <f t="shared" si="5"/>
        <v>0.2</v>
      </c>
      <c r="E42" s="273">
        <f t="shared" si="6"/>
        <v>0.79237691388807185</v>
      </c>
    </row>
    <row r="43" spans="1:5" ht="20" customHeight="1" x14ac:dyDescent="0.2">
      <c r="A43" s="294"/>
      <c r="B43" s="134" t="s">
        <v>31</v>
      </c>
      <c r="C43" s="134">
        <f>'3.1.regional_data'!L23</f>
        <v>2.5</v>
      </c>
      <c r="D43" s="270">
        <f t="shared" si="5"/>
        <v>0.2</v>
      </c>
      <c r="E43" s="273">
        <f t="shared" si="6"/>
        <v>0.78693868057473315</v>
      </c>
    </row>
    <row r="44" spans="1:5" ht="20" customHeight="1" x14ac:dyDescent="0.2">
      <c r="A44" s="294"/>
      <c r="B44" s="134" t="s">
        <v>22</v>
      </c>
      <c r="C44" s="134">
        <f>'3.1.regional_data'!M23</f>
        <v>6</v>
      </c>
      <c r="D44" s="270">
        <f t="shared" si="5"/>
        <v>0.2</v>
      </c>
      <c r="E44" s="273">
        <f t="shared" si="6"/>
        <v>0.58233815673983158</v>
      </c>
    </row>
    <row r="45" spans="1:5" ht="20" customHeight="1" x14ac:dyDescent="0.2">
      <c r="A45" s="134" t="s">
        <v>275</v>
      </c>
      <c r="B45" s="134" t="s">
        <v>267</v>
      </c>
      <c r="C45" s="134" t="s">
        <v>267</v>
      </c>
      <c r="D45" s="134" t="s">
        <v>267</v>
      </c>
      <c r="E45" s="271">
        <v>0</v>
      </c>
    </row>
    <row r="46" spans="1:5" ht="20" customHeight="1" x14ac:dyDescent="0.2">
      <c r="A46" s="134" t="s">
        <v>276</v>
      </c>
      <c r="B46" s="134" t="s">
        <v>267</v>
      </c>
      <c r="C46" s="134" t="s">
        <v>267</v>
      </c>
      <c r="D46" s="134" t="s">
        <v>267</v>
      </c>
      <c r="E46" s="271">
        <v>0</v>
      </c>
    </row>
    <row r="47" spans="1:5" ht="20" customHeight="1" x14ac:dyDescent="0.2">
      <c r="A47" s="134" t="s">
        <v>277</v>
      </c>
    </row>
  </sheetData>
  <mergeCells count="16">
    <mergeCell ref="A19:A26"/>
    <mergeCell ref="A28:A35"/>
    <mergeCell ref="A37:A44"/>
    <mergeCell ref="K1:T1"/>
    <mergeCell ref="C6:D6"/>
    <mergeCell ref="C7:D7"/>
    <mergeCell ref="C8:D8"/>
    <mergeCell ref="C9:D9"/>
    <mergeCell ref="C10:D10"/>
    <mergeCell ref="A12:E12"/>
    <mergeCell ref="A1:E1"/>
    <mergeCell ref="G1:H1"/>
    <mergeCell ref="C2:D2"/>
    <mergeCell ref="C3:D3"/>
    <mergeCell ref="C4:D4"/>
    <mergeCell ref="C5:D5"/>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D16C-E59C-4180-A0FC-CE569A0DE423}">
  <sheetPr>
    <tabColor theme="4" tint="0.79998168889431442"/>
  </sheetPr>
  <dimension ref="B2:I10"/>
  <sheetViews>
    <sheetView zoomScale="125" workbookViewId="0">
      <selection activeCell="D2" sqref="D2"/>
    </sheetView>
  </sheetViews>
  <sheetFormatPr baseColWidth="10" defaultRowHeight="15" x14ac:dyDescent="0.2"/>
  <cols>
    <col min="1" max="1" width="10.83203125" style="14"/>
    <col min="2" max="2" width="15.33203125" style="14" customWidth="1"/>
    <col min="3" max="3" width="20.6640625" style="14" customWidth="1"/>
    <col min="4" max="4" width="16.33203125" style="14" customWidth="1"/>
    <col min="5" max="5" width="10.83203125" style="14"/>
    <col min="6" max="6" width="15.5" style="14" customWidth="1"/>
    <col min="7" max="7" width="12.1640625" style="14" bestFit="1" customWidth="1"/>
    <col min="8" max="8" width="12.33203125" style="14" customWidth="1"/>
    <col min="9" max="9" width="15.6640625" style="14" customWidth="1"/>
    <col min="10" max="16384" width="10.83203125" style="14"/>
  </cols>
  <sheetData>
    <row r="2" spans="2:9" ht="19" x14ac:dyDescent="0.2">
      <c r="B2" s="135" t="s">
        <v>26</v>
      </c>
    </row>
    <row r="4" spans="2:9" ht="85" customHeight="1" x14ac:dyDescent="0.2">
      <c r="B4" s="286" t="s">
        <v>10279</v>
      </c>
      <c r="C4" s="286"/>
      <c r="D4" s="286"/>
      <c r="E4" s="286"/>
    </row>
    <row r="5" spans="2:9" s="132" customFormat="1" ht="16" x14ac:dyDescent="0.2">
      <c r="D5" s="132">
        <v>100</v>
      </c>
      <c r="E5" s="132" t="s">
        <v>133</v>
      </c>
      <c r="F5" s="296"/>
      <c r="G5" s="296"/>
      <c r="H5" s="296"/>
      <c r="I5" s="296"/>
    </row>
    <row r="6" spans="2:9" ht="32" x14ac:dyDescent="0.2">
      <c r="B6" s="136" t="s">
        <v>24</v>
      </c>
      <c r="C6" s="144" t="s">
        <v>25</v>
      </c>
      <c r="D6" s="144" t="s">
        <v>132</v>
      </c>
      <c r="F6" s="175"/>
      <c r="G6" s="175"/>
      <c r="H6" s="175"/>
      <c r="I6" s="175"/>
    </row>
    <row r="7" spans="2:9" x14ac:dyDescent="0.2">
      <c r="B7" s="14" t="s">
        <v>5</v>
      </c>
      <c r="C7" s="175">
        <v>8.3499999999999998E-13</v>
      </c>
      <c r="D7" s="175">
        <f>C7*$D$5</f>
        <v>8.3499999999999996E-11</v>
      </c>
      <c r="E7" s="14" t="s">
        <v>131</v>
      </c>
      <c r="F7" s="175"/>
      <c r="G7" s="175"/>
      <c r="H7" s="175"/>
      <c r="I7" s="175"/>
    </row>
    <row r="8" spans="2:9" x14ac:dyDescent="0.2">
      <c r="B8" s="14" t="s">
        <v>3</v>
      </c>
      <c r="C8" s="175">
        <v>5.6700000000000001E-10</v>
      </c>
      <c r="D8" s="175">
        <f>C8*$D$5</f>
        <v>5.6699999999999998E-8</v>
      </c>
      <c r="E8" s="14" t="s">
        <v>131</v>
      </c>
      <c r="F8" s="175"/>
      <c r="G8" s="175"/>
      <c r="H8" s="175"/>
      <c r="I8" s="175"/>
    </row>
    <row r="9" spans="2:9" x14ac:dyDescent="0.2">
      <c r="B9" s="14" t="s">
        <v>0</v>
      </c>
      <c r="C9" s="175">
        <v>5.6700000000000001E-10</v>
      </c>
      <c r="D9" s="175">
        <f>C9*$D$5</f>
        <v>5.6699999999999998E-8</v>
      </c>
      <c r="E9" s="14" t="s">
        <v>131</v>
      </c>
      <c r="F9" s="175"/>
      <c r="G9" s="175"/>
      <c r="H9" s="175"/>
      <c r="I9" s="175"/>
    </row>
    <row r="10" spans="2:9" x14ac:dyDescent="0.2">
      <c r="B10" s="14" t="s">
        <v>1</v>
      </c>
      <c r="C10" s="175">
        <v>5.6700000000000001E-10</v>
      </c>
      <c r="D10" s="175">
        <f>C10*$D$5</f>
        <v>5.6699999999999998E-8</v>
      </c>
      <c r="E10" s="14" t="s">
        <v>131</v>
      </c>
      <c r="F10" s="175"/>
      <c r="G10" s="175"/>
      <c r="H10" s="175"/>
      <c r="I10" s="175"/>
    </row>
  </sheetData>
  <mergeCells count="3">
    <mergeCell ref="B4:E4"/>
    <mergeCell ref="F5:G5"/>
    <mergeCell ref="H5:I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F588-3FBD-0D4A-A399-A01975539555}">
  <sheetPr>
    <tabColor theme="4" tint="0.79998168889431442"/>
  </sheetPr>
  <dimension ref="A2:AV726"/>
  <sheetViews>
    <sheetView topLeftCell="R1" zoomScale="93" zoomScaleNormal="110" workbookViewId="0">
      <selection activeCell="AB13" sqref="AB13"/>
    </sheetView>
  </sheetViews>
  <sheetFormatPr baseColWidth="10" defaultRowHeight="15" x14ac:dyDescent="0.2"/>
  <cols>
    <col min="1" max="1" width="14.83203125" style="14" bestFit="1" customWidth="1"/>
    <col min="2" max="2" width="15.33203125" style="14" customWidth="1"/>
    <col min="3" max="4" width="20.6640625" style="14" customWidth="1"/>
    <col min="5" max="5" width="16.33203125" style="14" customWidth="1"/>
    <col min="6" max="21" width="10.83203125" style="14"/>
    <col min="22" max="22" width="15.6640625" style="14" bestFit="1" customWidth="1"/>
    <col min="23" max="23" width="20.1640625" style="14" bestFit="1" customWidth="1"/>
    <col min="24" max="24" width="12.6640625" style="14" bestFit="1" customWidth="1"/>
    <col min="25" max="25" width="10.83203125" style="14"/>
    <col min="26" max="26" width="10.83203125" style="175"/>
    <col min="27" max="29" width="10.83203125" style="14"/>
    <col min="30" max="30" width="12.1640625" style="14" bestFit="1" customWidth="1"/>
    <col min="31" max="35" width="10.83203125" style="14"/>
    <col min="36" max="36" width="25.6640625" style="14" bestFit="1" customWidth="1"/>
    <col min="37" max="37" width="14" style="14" bestFit="1" customWidth="1"/>
    <col min="38" max="38" width="13.1640625" style="14" bestFit="1" customWidth="1"/>
    <col min="39" max="39" width="9.6640625" style="14" bestFit="1" customWidth="1"/>
    <col min="40" max="40" width="12" style="14" bestFit="1" customWidth="1"/>
    <col min="41" max="41" width="12.5" style="14" bestFit="1" customWidth="1"/>
    <col min="42" max="42" width="20.33203125" style="14" bestFit="1" customWidth="1"/>
    <col min="43" max="43" width="11" style="14" bestFit="1" customWidth="1"/>
    <col min="44" max="44" width="18.1640625" style="14" bestFit="1" customWidth="1"/>
    <col min="45" max="45" width="12.6640625" style="14" bestFit="1" customWidth="1"/>
    <col min="46" max="46" width="11" style="14" bestFit="1" customWidth="1"/>
    <col min="47" max="48" width="12.5" style="14" bestFit="1" customWidth="1"/>
    <col min="49" max="16384" width="10.83203125" style="14"/>
  </cols>
  <sheetData>
    <row r="2" spans="1:48" ht="19" x14ac:dyDescent="0.2">
      <c r="B2" s="135" t="s">
        <v>6374</v>
      </c>
      <c r="E2" s="15"/>
    </row>
    <row r="4" spans="1:48" ht="85" customHeight="1" x14ac:dyDescent="0.2">
      <c r="B4" s="286" t="s">
        <v>10277</v>
      </c>
      <c r="C4" s="286"/>
      <c r="D4" s="286"/>
      <c r="E4" s="286"/>
      <c r="F4" s="286"/>
      <c r="G4" s="286"/>
      <c r="H4" s="286"/>
      <c r="I4" s="286"/>
      <c r="J4" s="286"/>
      <c r="K4" s="286"/>
      <c r="L4" s="286"/>
      <c r="M4" s="286"/>
      <c r="N4" s="286"/>
    </row>
    <row r="5" spans="1:48" x14ac:dyDescent="0.2">
      <c r="A5" s="14" t="s">
        <v>97</v>
      </c>
      <c r="I5" s="14" t="s">
        <v>10238</v>
      </c>
      <c r="J5" s="14" t="s">
        <v>10238</v>
      </c>
      <c r="K5" s="14" t="s">
        <v>10239</v>
      </c>
      <c r="L5" s="14" t="s">
        <v>10239</v>
      </c>
      <c r="M5" s="14" t="s">
        <v>10238</v>
      </c>
      <c r="N5" s="14" t="s">
        <v>10238</v>
      </c>
      <c r="AB5" s="298" t="s">
        <v>10366</v>
      </c>
      <c r="AC5" s="298"/>
    </row>
    <row r="6" spans="1:48" x14ac:dyDescent="0.2">
      <c r="A6" s="237" t="s">
        <v>27</v>
      </c>
      <c r="B6" s="237" t="s">
        <v>10224</v>
      </c>
      <c r="C6" s="237" t="s">
        <v>10225</v>
      </c>
      <c r="D6" s="237" t="s">
        <v>10240</v>
      </c>
      <c r="E6" s="237" t="s">
        <v>10226</v>
      </c>
      <c r="F6" s="237" t="s">
        <v>10227</v>
      </c>
      <c r="G6" s="237" t="s">
        <v>10228</v>
      </c>
      <c r="H6" s="237" t="s">
        <v>10229</v>
      </c>
      <c r="I6" s="237" t="s">
        <v>10230</v>
      </c>
      <c r="J6" s="237" t="s">
        <v>10231</v>
      </c>
      <c r="K6" s="237" t="s">
        <v>10349</v>
      </c>
      <c r="L6" s="237" t="s">
        <v>10350</v>
      </c>
      <c r="M6" s="237" t="s">
        <v>10232</v>
      </c>
      <c r="N6" s="237" t="s">
        <v>10233</v>
      </c>
      <c r="R6" s="138" t="s">
        <v>10235</v>
      </c>
      <c r="S6" s="138" t="s">
        <v>10236</v>
      </c>
      <c r="T6" s="138" t="s">
        <v>10237</v>
      </c>
      <c r="V6" s="137" t="s">
        <v>27</v>
      </c>
      <c r="W6" s="137" t="s">
        <v>10240</v>
      </c>
      <c r="X6" s="137" t="s">
        <v>10226</v>
      </c>
      <c r="Y6" s="137" t="s">
        <v>10227</v>
      </c>
      <c r="Z6" s="274" t="s">
        <v>10228</v>
      </c>
      <c r="AA6" s="137" t="s">
        <v>10229</v>
      </c>
      <c r="AB6" s="137" t="s">
        <v>10232</v>
      </c>
      <c r="AC6" s="137" t="s">
        <v>10233</v>
      </c>
      <c r="AJ6" s="15" t="s">
        <v>10245</v>
      </c>
      <c r="AK6" s="15" t="s">
        <v>31</v>
      </c>
      <c r="AL6" s="15" t="s">
        <v>10242</v>
      </c>
      <c r="AM6" s="297" t="s">
        <v>30</v>
      </c>
      <c r="AN6" s="297"/>
      <c r="AO6" s="15" t="s">
        <v>22</v>
      </c>
      <c r="AP6" s="297" t="s">
        <v>21</v>
      </c>
      <c r="AQ6" s="297"/>
      <c r="AR6" s="297" t="s">
        <v>10243</v>
      </c>
      <c r="AS6" s="297"/>
      <c r="AT6" s="297"/>
      <c r="AU6" s="15" t="s">
        <v>93</v>
      </c>
      <c r="AV6" s="15" t="s">
        <v>28</v>
      </c>
    </row>
    <row r="7" spans="1:48" x14ac:dyDescent="0.2">
      <c r="A7" s="233" t="s">
        <v>31</v>
      </c>
      <c r="B7" s="233" t="s">
        <v>10234</v>
      </c>
      <c r="C7" s="233" t="s">
        <v>5</v>
      </c>
      <c r="D7" s="233">
        <v>1</v>
      </c>
      <c r="E7" s="233">
        <v>0.03</v>
      </c>
      <c r="F7" s="233" t="s">
        <v>6370</v>
      </c>
      <c r="G7" s="233">
        <v>5.0000000000000002E-5</v>
      </c>
      <c r="H7" s="233">
        <v>9.9999999999999995E-7</v>
      </c>
      <c r="I7" s="233">
        <v>2.2418311999999999E-2</v>
      </c>
      <c r="J7" s="233">
        <v>1.0501735160000001</v>
      </c>
      <c r="K7" s="233">
        <v>0</v>
      </c>
      <c r="L7" s="233">
        <v>0</v>
      </c>
      <c r="M7" s="233">
        <v>0</v>
      </c>
      <c r="N7" s="233">
        <v>0</v>
      </c>
      <c r="R7" s="139" t="s">
        <v>5</v>
      </c>
      <c r="S7" s="139">
        <v>36.5</v>
      </c>
      <c r="T7" s="139">
        <v>1</v>
      </c>
      <c r="V7" s="140" t="s">
        <v>10274</v>
      </c>
      <c r="W7" s="140">
        <v>1</v>
      </c>
      <c r="X7" s="140">
        <v>0.03</v>
      </c>
      <c r="Y7" s="140" t="s">
        <v>6369</v>
      </c>
      <c r="Z7" s="141">
        <v>5.0000000000000001E-3</v>
      </c>
      <c r="AA7" s="140">
        <v>5.0000000000000001E-3</v>
      </c>
      <c r="AB7" s="14">
        <f>AVERAGEIFS('2.1.trackMPD'!M:M,'2.1.trackMPD'!D:D,W7,'2.1.trackMPD'!F:F,Y7,'2.1.trackMPD'!H:H,AA7,'2.1.trackMPD'!M:M,"&lt;&gt;0")</f>
        <v>9.4723708924841721E-2</v>
      </c>
      <c r="AC7" s="14">
        <f>AVERAGEIFS('2.1.trackMPD'!N:N,'2.1.trackMPD'!D:D,W7,'2.1.trackMPD'!F:F,Y7,'2.1.trackMPD'!H:H,AA7,'2.1.trackMPD'!N:N,"&lt;&gt;0")</f>
        <v>15.00420319520275</v>
      </c>
      <c r="AJ7" s="15" t="s">
        <v>10246</v>
      </c>
      <c r="AK7" s="250" t="s">
        <v>10234</v>
      </c>
      <c r="AL7" s="250" t="s">
        <v>10247</v>
      </c>
      <c r="AM7" s="250" t="s">
        <v>10241</v>
      </c>
      <c r="AN7" s="250" t="s">
        <v>10278</v>
      </c>
      <c r="AO7" s="250" t="s">
        <v>22</v>
      </c>
      <c r="AP7" s="250" t="s">
        <v>10344</v>
      </c>
      <c r="AQ7" s="250" t="s">
        <v>10275</v>
      </c>
      <c r="AR7" s="250" t="s">
        <v>10345</v>
      </c>
      <c r="AS7" s="250" t="s">
        <v>10348</v>
      </c>
      <c r="AT7" s="15" t="s">
        <v>10244</v>
      </c>
      <c r="AU7" s="251" t="s">
        <v>10346</v>
      </c>
      <c r="AV7" s="250" t="s">
        <v>10347</v>
      </c>
    </row>
    <row r="8" spans="1:48" ht="48" x14ac:dyDescent="0.2">
      <c r="A8" s="233" t="s">
        <v>31</v>
      </c>
      <c r="B8" s="233" t="s">
        <v>10234</v>
      </c>
      <c r="C8" s="233" t="s">
        <v>5</v>
      </c>
      <c r="D8" s="233">
        <v>1</v>
      </c>
      <c r="E8" s="233">
        <v>0.03</v>
      </c>
      <c r="F8" s="233" t="s">
        <v>6370</v>
      </c>
      <c r="G8" s="233">
        <v>1E-4</v>
      </c>
      <c r="H8" s="233">
        <v>1.0000000000000001E-5</v>
      </c>
      <c r="I8" s="233">
        <v>0.20106031299999999</v>
      </c>
      <c r="J8" s="233">
        <v>3.6710467329999998</v>
      </c>
      <c r="K8" s="233">
        <v>0</v>
      </c>
      <c r="L8" s="233">
        <v>0</v>
      </c>
      <c r="M8" s="233">
        <v>0</v>
      </c>
      <c r="N8" s="233">
        <v>0</v>
      </c>
      <c r="R8" s="139" t="s">
        <v>0</v>
      </c>
      <c r="S8" s="139">
        <v>955</v>
      </c>
      <c r="T8" s="139">
        <v>4</v>
      </c>
      <c r="V8" s="140" t="s">
        <v>10274</v>
      </c>
      <c r="W8" s="140">
        <v>1</v>
      </c>
      <c r="X8" s="140">
        <v>0.03</v>
      </c>
      <c r="Y8" s="140" t="s">
        <v>6369</v>
      </c>
      <c r="Z8" s="141">
        <v>1E-3</v>
      </c>
      <c r="AA8" s="140">
        <v>1E-3</v>
      </c>
      <c r="AB8" s="14">
        <f>AVERAGEIFS('2.1.trackMPD'!M:M,'2.1.trackMPD'!D:D,W8,'2.1.trackMPD'!F:F,Y8,'2.1.trackMPD'!H:H,AA8,'2.1.trackMPD'!M:M,"&lt;&gt;0")</f>
        <v>0.1547609235300921</v>
      </c>
      <c r="AC8" s="14">
        <f>AVERAGEIFS('2.1.trackMPD'!N:N,'2.1.trackMPD'!D:D,W8,'2.1.trackMPD'!F:F,Y8,'2.1.trackMPD'!H:H,AA8,'2.1.trackMPD'!N:N,"&lt;&gt;0")</f>
        <v>156.62441959167236</v>
      </c>
      <c r="AJ8" s="131" t="s">
        <v>10276</v>
      </c>
      <c r="AK8" s="249">
        <v>795.54957755640896</v>
      </c>
      <c r="AL8" s="249">
        <v>38267.499684307302</v>
      </c>
      <c r="AM8" s="249">
        <v>1469480.81676072</v>
      </c>
      <c r="AN8" s="249">
        <v>72844.777098271094</v>
      </c>
      <c r="AO8" s="249">
        <v>1526.22183940527</v>
      </c>
      <c r="AP8" s="249">
        <v>73.158823213140195</v>
      </c>
      <c r="AQ8" s="249">
        <v>472.68920520757899</v>
      </c>
      <c r="AR8" s="249">
        <v>84791.834138176506</v>
      </c>
      <c r="AS8" s="249">
        <v>35195.802108392701</v>
      </c>
      <c r="AT8" s="249">
        <v>13445.6992647722</v>
      </c>
      <c r="AU8" s="249">
        <v>572.01340666843305</v>
      </c>
      <c r="AV8" s="249">
        <v>3729.1248502554499</v>
      </c>
    </row>
    <row r="9" spans="1:48" x14ac:dyDescent="0.2">
      <c r="A9" s="233" t="s">
        <v>31</v>
      </c>
      <c r="B9" s="233" t="s">
        <v>10234</v>
      </c>
      <c r="C9" s="233" t="s">
        <v>5</v>
      </c>
      <c r="D9" s="233">
        <v>1</v>
      </c>
      <c r="E9" s="233">
        <v>0.03</v>
      </c>
      <c r="F9" s="233" t="s">
        <v>6370</v>
      </c>
      <c r="G9" s="233">
        <v>1E-3</v>
      </c>
      <c r="H9" s="233">
        <v>1E-4</v>
      </c>
      <c r="I9" s="233">
        <v>4.3597282000000001E-2</v>
      </c>
      <c r="J9" s="233">
        <v>3.0857715209999999</v>
      </c>
      <c r="K9" s="233">
        <v>0</v>
      </c>
      <c r="L9" s="233">
        <v>0</v>
      </c>
      <c r="M9" s="233">
        <v>0</v>
      </c>
      <c r="N9" s="233">
        <v>0</v>
      </c>
      <c r="R9" s="139" t="s">
        <v>1</v>
      </c>
      <c r="S9" s="139">
        <v>925</v>
      </c>
      <c r="T9" s="139">
        <v>3</v>
      </c>
      <c r="V9" s="140" t="s">
        <v>10274</v>
      </c>
      <c r="W9" s="140">
        <v>1</v>
      </c>
      <c r="X9" s="140">
        <v>0.03</v>
      </c>
      <c r="Y9" s="140" t="s">
        <v>6369</v>
      </c>
      <c r="Z9" s="141">
        <v>1E-4</v>
      </c>
      <c r="AA9" s="140">
        <v>1E-4</v>
      </c>
      <c r="AB9" s="14">
        <f>AVERAGEIFS('2.1.trackMPD'!M:M,'2.1.trackMPD'!D:D,W9,'2.1.trackMPD'!F:F,Y9,'2.1.trackMPD'!H:H,AA9,'2.1.trackMPD'!M:M,"&lt;&gt;0")</f>
        <v>2.9516122682312758</v>
      </c>
      <c r="AC9" s="14">
        <f>AVERAGEIFS('2.1.trackMPD'!N:N,'2.1.trackMPD'!D:D,W9,'2.1.trackMPD'!F:F,Y9,'2.1.trackMPD'!H:H,AA9,'2.1.trackMPD'!N:N,"&lt;&gt;0")</f>
        <v>42.528846536042529</v>
      </c>
      <c r="AJ9" s="139"/>
    </row>
    <row r="10" spans="1:48" x14ac:dyDescent="0.2">
      <c r="A10" s="233" t="s">
        <v>31</v>
      </c>
      <c r="B10" s="233" t="s">
        <v>10234</v>
      </c>
      <c r="C10" s="233" t="s">
        <v>5</v>
      </c>
      <c r="D10" s="233">
        <v>1</v>
      </c>
      <c r="E10" s="233">
        <v>0.03</v>
      </c>
      <c r="F10" s="233" t="s">
        <v>6370</v>
      </c>
      <c r="G10" s="233">
        <v>5.0000000000000001E-3</v>
      </c>
      <c r="H10" s="233">
        <v>1E-3</v>
      </c>
      <c r="I10" s="233">
        <v>1.9459275000000002E-2</v>
      </c>
      <c r="J10" s="233">
        <v>0.99595540100000002</v>
      </c>
      <c r="K10" s="233">
        <v>0</v>
      </c>
      <c r="L10" s="233">
        <v>0</v>
      </c>
      <c r="M10" s="233">
        <v>0</v>
      </c>
      <c r="N10" s="233">
        <v>0</v>
      </c>
      <c r="R10" s="139" t="s">
        <v>13</v>
      </c>
      <c r="S10" s="139">
        <v>1240</v>
      </c>
      <c r="T10" s="139">
        <v>6</v>
      </c>
      <c r="V10" s="140" t="s">
        <v>10274</v>
      </c>
      <c r="W10" s="140">
        <v>1</v>
      </c>
      <c r="X10" s="140">
        <v>0.03</v>
      </c>
      <c r="Y10" s="140" t="s">
        <v>6369</v>
      </c>
      <c r="Z10" s="141">
        <v>1.0000000000000001E-5</v>
      </c>
      <c r="AA10" s="141">
        <v>1.0000000000000001E-5</v>
      </c>
      <c r="AB10" s="14">
        <f>AVERAGEIFS('2.1.trackMPD'!M:M,'2.1.trackMPD'!D:D,W10,'2.1.trackMPD'!F:F,Y10,'2.1.trackMPD'!H:H,AA10,'2.1.trackMPD'!M:M,"&lt;&gt;0")</f>
        <v>1.0955050981924039</v>
      </c>
      <c r="AC10" s="14">
        <f>AVERAGEIFS('2.1.trackMPD'!N:N,'2.1.trackMPD'!D:D,W10,'2.1.trackMPD'!F:F,Y10,'2.1.trackMPD'!H:H,AA10,'2.1.trackMPD'!N:N,"&lt;&gt;0")</f>
        <v>14.335529659163669</v>
      </c>
      <c r="AJ10" s="139"/>
    </row>
    <row r="11" spans="1:48" x14ac:dyDescent="0.2">
      <c r="A11" s="233" t="s">
        <v>31</v>
      </c>
      <c r="B11" s="233" t="s">
        <v>10234</v>
      </c>
      <c r="C11" s="233" t="s">
        <v>5</v>
      </c>
      <c r="D11" s="233">
        <v>1</v>
      </c>
      <c r="E11" s="233">
        <v>0.03</v>
      </c>
      <c r="F11" s="233" t="s">
        <v>6370</v>
      </c>
      <c r="G11" s="233">
        <v>2.5000000000000001E-2</v>
      </c>
      <c r="H11" s="233">
        <v>5.0000000000000001E-3</v>
      </c>
      <c r="I11" s="233">
        <v>1.9975065E-2</v>
      </c>
      <c r="J11" s="233">
        <v>1.049139923</v>
      </c>
      <c r="K11" s="233">
        <v>0</v>
      </c>
      <c r="L11" s="233">
        <v>0</v>
      </c>
      <c r="M11" s="233">
        <v>0</v>
      </c>
      <c r="N11" s="233">
        <v>0</v>
      </c>
      <c r="R11" s="139" t="s">
        <v>2</v>
      </c>
      <c r="S11" s="139">
        <v>1350</v>
      </c>
      <c r="T11" s="139">
        <v>6</v>
      </c>
      <c r="V11" s="140" t="s">
        <v>10274</v>
      </c>
      <c r="W11" s="140">
        <v>1</v>
      </c>
      <c r="X11" s="140">
        <v>0.03</v>
      </c>
      <c r="Y11" s="140" t="s">
        <v>6369</v>
      </c>
      <c r="Z11" s="141">
        <v>9.9999999999999995E-7</v>
      </c>
      <c r="AA11" s="141">
        <v>9.9999999999999995E-7</v>
      </c>
      <c r="AB11" s="14">
        <f>AVERAGEIFS('2.1.trackMPD'!M:M,'2.1.trackMPD'!D:D,W11,'2.1.trackMPD'!F:F,Y11,'2.1.trackMPD'!H:H,AA11,'2.1.trackMPD'!M:M,"&lt;&gt;0")</f>
        <v>1.1451908593842288</v>
      </c>
      <c r="AC11" s="14">
        <f>AVERAGEIFS('2.1.trackMPD'!N:N,'2.1.trackMPD'!D:D,W11,'2.1.trackMPD'!F:F,Y11,'2.1.trackMPD'!H:H,AA11,'2.1.trackMPD'!N:N,"&lt;&gt;0")</f>
        <v>7.0288086828619774</v>
      </c>
    </row>
    <row r="12" spans="1:48" x14ac:dyDescent="0.2">
      <c r="A12" s="233" t="s">
        <v>31</v>
      </c>
      <c r="B12" s="233" t="s">
        <v>10234</v>
      </c>
      <c r="C12" s="233" t="s">
        <v>5</v>
      </c>
      <c r="D12" s="233">
        <v>1</v>
      </c>
      <c r="E12" s="233">
        <v>0.03</v>
      </c>
      <c r="F12" s="233" t="s">
        <v>6371</v>
      </c>
      <c r="G12" s="233">
        <v>9.9999999999999995E-7</v>
      </c>
      <c r="H12" s="233">
        <v>9.9999999999999995E-7</v>
      </c>
      <c r="I12" s="233">
        <v>0.17463921800000001</v>
      </c>
      <c r="J12" s="233">
        <v>1.836448257</v>
      </c>
      <c r="K12" s="233">
        <v>0</v>
      </c>
      <c r="L12" s="233">
        <v>0</v>
      </c>
      <c r="M12" s="233">
        <v>0</v>
      </c>
      <c r="N12" s="233">
        <v>0</v>
      </c>
      <c r="R12" s="139" t="s">
        <v>3</v>
      </c>
      <c r="S12" s="139">
        <v>885</v>
      </c>
      <c r="T12" s="139">
        <v>2</v>
      </c>
      <c r="V12" s="140" t="s">
        <v>10274</v>
      </c>
      <c r="W12" s="140">
        <v>1</v>
      </c>
      <c r="X12" s="140">
        <v>0.03</v>
      </c>
      <c r="Y12" s="140" t="s">
        <v>6370</v>
      </c>
      <c r="Z12" s="141">
        <v>5.0000000000000001E-3</v>
      </c>
      <c r="AA12" s="140">
        <v>1E-3</v>
      </c>
      <c r="AB12" s="14">
        <f>AVERAGEIFS('2.1.trackMPD'!M:M,'2.1.trackMPD'!D:D,W12,'2.1.trackMPD'!F:F,Y12,'2.1.trackMPD'!H:H,AA12,'2.1.trackMPD'!M:M,"&lt;&gt;0")</f>
        <v>0.12149204472545307</v>
      </c>
      <c r="AC12" s="14">
        <f>AVERAGEIFS('2.1.trackMPD'!N:N,'2.1.trackMPD'!D:D,W12,'2.1.trackMPD'!F:F,Y12,'2.1.trackMPD'!H:H,AA12,'2.1.trackMPD'!N:N,"&lt;&gt;0")</f>
        <v>55.292712775996144</v>
      </c>
    </row>
    <row r="13" spans="1:48" x14ac:dyDescent="0.2">
      <c r="A13" s="233" t="s">
        <v>31</v>
      </c>
      <c r="B13" s="233" t="s">
        <v>10234</v>
      </c>
      <c r="C13" s="233" t="s">
        <v>5</v>
      </c>
      <c r="D13" s="233">
        <v>1</v>
      </c>
      <c r="E13" s="233">
        <v>0.03</v>
      </c>
      <c r="F13" s="233" t="s">
        <v>6371</v>
      </c>
      <c r="G13" s="233">
        <v>1.0000000000000001E-5</v>
      </c>
      <c r="H13" s="233">
        <v>1.0000000000000001E-5</v>
      </c>
      <c r="I13" s="233">
        <v>0.11892635999999999</v>
      </c>
      <c r="J13" s="233">
        <v>7.7895659509999993</v>
      </c>
      <c r="K13" s="233">
        <v>0</v>
      </c>
      <c r="L13" s="233">
        <v>0</v>
      </c>
      <c r="M13" s="233">
        <v>0</v>
      </c>
      <c r="N13" s="233">
        <v>0</v>
      </c>
      <c r="R13" s="139" t="s">
        <v>23</v>
      </c>
      <c r="S13" s="139">
        <v>1040</v>
      </c>
      <c r="T13" s="139">
        <v>5</v>
      </c>
      <c r="V13" s="140" t="s">
        <v>10274</v>
      </c>
      <c r="W13" s="140">
        <v>1</v>
      </c>
      <c r="X13" s="140">
        <v>0.03</v>
      </c>
      <c r="Y13" s="140" t="s">
        <v>6370</v>
      </c>
      <c r="Z13" s="141">
        <v>1E-3</v>
      </c>
      <c r="AA13" s="140">
        <v>1E-4</v>
      </c>
      <c r="AB13" s="14">
        <f>AVERAGEIFS('2.1.trackMPD'!M:M,'2.1.trackMPD'!D:D,W13,'2.1.trackMPD'!F:F,Y13,'2.1.trackMPD'!H:H,AA13,'2.1.trackMPD'!M:M,"&lt;&gt;0")</f>
        <v>1.2252247793102879</v>
      </c>
      <c r="AC13" s="14">
        <f>AVERAGEIFS('2.1.trackMPD'!N:N,'2.1.trackMPD'!D:D,W13,'2.1.trackMPD'!F:F,Y13,'2.1.trackMPD'!H:H,AA13,'2.1.trackMPD'!N:N,"&lt;&gt;0")</f>
        <v>81.24593335875737</v>
      </c>
    </row>
    <row r="14" spans="1:48" x14ac:dyDescent="0.2">
      <c r="A14" s="233" t="s">
        <v>31</v>
      </c>
      <c r="B14" s="233" t="s">
        <v>10234</v>
      </c>
      <c r="C14" s="233" t="s">
        <v>5</v>
      </c>
      <c r="D14" s="233">
        <v>1</v>
      </c>
      <c r="E14" s="233">
        <v>0.03</v>
      </c>
      <c r="F14" s="233" t="s">
        <v>6371</v>
      </c>
      <c r="G14" s="233">
        <v>1E-4</v>
      </c>
      <c r="H14" s="233">
        <v>1E-4</v>
      </c>
      <c r="I14" s="233">
        <v>1.9609677999999998E-2</v>
      </c>
      <c r="J14" s="233">
        <v>1.350584918</v>
      </c>
      <c r="K14" s="233">
        <v>0</v>
      </c>
      <c r="L14" s="233">
        <v>0</v>
      </c>
      <c r="M14" s="233">
        <v>0</v>
      </c>
      <c r="N14" s="233">
        <v>0</v>
      </c>
      <c r="R14" s="139" t="s">
        <v>4</v>
      </c>
      <c r="S14" s="139">
        <v>1380</v>
      </c>
      <c r="T14" s="139">
        <v>6</v>
      </c>
      <c r="V14" s="140" t="s">
        <v>10274</v>
      </c>
      <c r="W14" s="140">
        <v>1</v>
      </c>
      <c r="X14" s="140">
        <v>0.03</v>
      </c>
      <c r="Y14" s="140" t="s">
        <v>6370</v>
      </c>
      <c r="Z14" s="141">
        <v>1E-4</v>
      </c>
      <c r="AA14" s="141">
        <v>1.0000000000000001E-5</v>
      </c>
      <c r="AB14" s="14">
        <f>AVERAGEIFS('2.1.trackMPD'!M:M,'2.1.trackMPD'!D:D,W14,'2.1.trackMPD'!F:F,Y14,'2.1.trackMPD'!H:H,AA14,'2.1.trackMPD'!M:M,"&lt;&gt;0")</f>
        <v>1.5527249923333333</v>
      </c>
      <c r="AC14" s="14">
        <f>AVERAGEIFS('2.1.trackMPD'!N:N,'2.1.trackMPD'!D:D,W14,'2.1.trackMPD'!F:F,Y14,'2.1.trackMPD'!H:H,AA14,'2.1.trackMPD'!N:N,"&lt;&gt;0")</f>
        <v>33.561826966999995</v>
      </c>
    </row>
    <row r="15" spans="1:48" x14ac:dyDescent="0.2">
      <c r="A15" s="233" t="s">
        <v>31</v>
      </c>
      <c r="B15" s="233" t="s">
        <v>10234</v>
      </c>
      <c r="C15" s="233" t="s">
        <v>5</v>
      </c>
      <c r="D15" s="233">
        <v>1</v>
      </c>
      <c r="E15" s="233">
        <v>0.03</v>
      </c>
      <c r="F15" s="233" t="s">
        <v>6369</v>
      </c>
      <c r="G15" s="233">
        <v>9.9999999999999995E-7</v>
      </c>
      <c r="H15" s="233">
        <v>9.9999999999999995E-7</v>
      </c>
      <c r="I15" s="233">
        <v>2.4233620000000001E-2</v>
      </c>
      <c r="J15" s="233">
        <v>1.016094477</v>
      </c>
      <c r="K15" s="233">
        <v>0</v>
      </c>
      <c r="L15" s="233">
        <v>0</v>
      </c>
      <c r="M15" s="233">
        <v>0</v>
      </c>
      <c r="N15" s="233">
        <v>0</v>
      </c>
      <c r="R15" s="139" t="s">
        <v>165</v>
      </c>
      <c r="S15" s="139">
        <v>1200</v>
      </c>
      <c r="T15" s="139">
        <v>5</v>
      </c>
      <c r="V15" s="140" t="s">
        <v>10274</v>
      </c>
      <c r="W15" s="140">
        <v>1</v>
      </c>
      <c r="X15" s="140">
        <v>0.03</v>
      </c>
      <c r="Y15" s="140" t="s">
        <v>6370</v>
      </c>
      <c r="Z15" s="141">
        <v>5.0000000000000002E-5</v>
      </c>
      <c r="AA15" s="141">
        <v>9.9999999999999995E-7</v>
      </c>
      <c r="AB15" s="14">
        <f>AVERAGEIFS('2.1.trackMPD'!M:M,'2.1.trackMPD'!D:D,W15,'2.1.trackMPD'!F:F,Y15,'2.1.trackMPD'!H:H,AA15,'2.1.trackMPD'!M:M,"&lt;&gt;0")</f>
        <v>0.76689924337037041</v>
      </c>
      <c r="AC15" s="14">
        <f>AVERAGEIFS('2.1.trackMPD'!N:N,'2.1.trackMPD'!D:D,W15,'2.1.trackMPD'!F:F,Y15,'2.1.trackMPD'!H:H,AA15,'2.1.trackMPD'!N:N,"&lt;&gt;0")</f>
        <v>26.061068110383804</v>
      </c>
    </row>
    <row r="16" spans="1:48" x14ac:dyDescent="0.2">
      <c r="A16" s="233" t="s">
        <v>31</v>
      </c>
      <c r="B16" s="233" t="s">
        <v>10234</v>
      </c>
      <c r="C16" s="233" t="s">
        <v>5</v>
      </c>
      <c r="D16" s="233">
        <v>1</v>
      </c>
      <c r="E16" s="233">
        <v>0.03</v>
      </c>
      <c r="F16" s="233" t="s">
        <v>6369</v>
      </c>
      <c r="G16" s="233">
        <v>1.0000000000000001E-5</v>
      </c>
      <c r="H16" s="233">
        <v>1.0000000000000001E-5</v>
      </c>
      <c r="I16" s="233">
        <v>0.13200285</v>
      </c>
      <c r="J16" s="233">
        <v>1.5469725009999999</v>
      </c>
      <c r="K16" s="233">
        <v>0</v>
      </c>
      <c r="L16" s="233">
        <v>0</v>
      </c>
      <c r="M16" s="233">
        <v>0</v>
      </c>
      <c r="N16" s="233">
        <v>0</v>
      </c>
      <c r="R16" s="139" t="s">
        <v>10</v>
      </c>
      <c r="S16" s="139">
        <v>1184</v>
      </c>
      <c r="T16" s="139">
        <v>5</v>
      </c>
      <c r="V16" s="140" t="s">
        <v>10274</v>
      </c>
      <c r="W16" s="140">
        <v>1</v>
      </c>
      <c r="X16" s="140">
        <v>0.03</v>
      </c>
      <c r="Y16" s="140" t="s">
        <v>6370</v>
      </c>
      <c r="Z16" s="141">
        <v>2.5000000000000001E-2</v>
      </c>
      <c r="AA16" s="140">
        <v>5.0000000000000001E-3</v>
      </c>
      <c r="AB16" s="14">
        <f>AVERAGEIFS('2.1.trackMPD'!M:M,'2.1.trackMPD'!D:D,W16,'2.1.trackMPD'!F:F,Y16,'2.1.trackMPD'!H:H,AA16,'2.1.trackMPD'!M:M,"&lt;&gt;0")</f>
        <v>0.47770080032181073</v>
      </c>
      <c r="AC16" s="14">
        <f>AVERAGEIFS('2.1.trackMPD'!N:N,'2.1.trackMPD'!D:D,W16,'2.1.trackMPD'!F:F,Y16,'2.1.trackMPD'!H:H,AA16,'2.1.trackMPD'!N:N,"&lt;&gt;0")</f>
        <v>30.747331669125334</v>
      </c>
    </row>
    <row r="17" spans="1:29" x14ac:dyDescent="0.2">
      <c r="A17" s="233" t="s">
        <v>31</v>
      </c>
      <c r="B17" s="233" t="s">
        <v>10234</v>
      </c>
      <c r="C17" s="233" t="s">
        <v>5</v>
      </c>
      <c r="D17" s="233">
        <v>1</v>
      </c>
      <c r="E17" s="233">
        <v>0.03</v>
      </c>
      <c r="F17" s="233" t="s">
        <v>6369</v>
      </c>
      <c r="G17" s="233">
        <v>1E-4</v>
      </c>
      <c r="H17" s="233">
        <v>1E-4</v>
      </c>
      <c r="I17" s="233">
        <v>7.2653091000000003E-2</v>
      </c>
      <c r="J17" s="233">
        <v>3.8850990589999999</v>
      </c>
      <c r="K17" s="233">
        <v>0</v>
      </c>
      <c r="L17" s="233">
        <v>0</v>
      </c>
      <c r="M17" s="233">
        <v>0</v>
      </c>
      <c r="N17" s="233">
        <v>0</v>
      </c>
      <c r="R17" s="139" t="s">
        <v>6</v>
      </c>
      <c r="S17" s="139">
        <v>1800</v>
      </c>
      <c r="T17" s="139">
        <v>6</v>
      </c>
      <c r="V17" s="140" t="s">
        <v>10274</v>
      </c>
      <c r="W17" s="140">
        <v>1</v>
      </c>
      <c r="X17" s="140">
        <v>0.03</v>
      </c>
      <c r="Y17" s="233" t="s">
        <v>6371</v>
      </c>
      <c r="AA17" s="233">
        <v>9.9999999999999995E-7</v>
      </c>
      <c r="AB17" s="14">
        <f>AVERAGEIFS('2.1.trackMPD'!M:M,'2.1.trackMPD'!D:D,W17,'2.1.trackMPD'!F:F,Y17,'2.1.trackMPD'!H:H,AA17,'2.1.trackMPD'!M:M,"&lt;&gt;0")</f>
        <v>1.2643598310000002</v>
      </c>
      <c r="AC17" s="14">
        <f>AVERAGEIFS('2.1.trackMPD'!N:N,'2.1.trackMPD'!D:D,W17,'2.1.trackMPD'!F:F,Y17,'2.1.trackMPD'!H:H,AA17,'2.1.trackMPD'!N:N,"&lt;&gt;0")</f>
        <v>6.2838465960972023</v>
      </c>
    </row>
    <row r="18" spans="1:29" x14ac:dyDescent="0.2">
      <c r="A18" s="233" t="s">
        <v>31</v>
      </c>
      <c r="B18" s="233" t="s">
        <v>10234</v>
      </c>
      <c r="C18" s="233" t="s">
        <v>5</v>
      </c>
      <c r="D18" s="233">
        <v>1</v>
      </c>
      <c r="E18" s="233">
        <v>0.03</v>
      </c>
      <c r="F18" s="233" t="s">
        <v>6369</v>
      </c>
      <c r="G18" s="233">
        <v>1E-3</v>
      </c>
      <c r="H18" s="233">
        <v>1E-3</v>
      </c>
      <c r="I18" s="233">
        <v>1.7726037E-2</v>
      </c>
      <c r="J18" s="233">
        <v>1.2368372949999999</v>
      </c>
      <c r="K18" s="233">
        <v>0</v>
      </c>
      <c r="L18" s="233">
        <v>0</v>
      </c>
      <c r="M18" s="233">
        <v>0</v>
      </c>
      <c r="N18" s="233">
        <v>0</v>
      </c>
      <c r="R18" s="139" t="s">
        <v>7</v>
      </c>
      <c r="S18" s="139">
        <v>1220</v>
      </c>
      <c r="T18" s="139">
        <v>6</v>
      </c>
      <c r="V18" s="140" t="s">
        <v>10274</v>
      </c>
      <c r="W18" s="140">
        <v>1</v>
      </c>
      <c r="X18" s="140">
        <v>0.03</v>
      </c>
      <c r="Y18" s="233" t="s">
        <v>6371</v>
      </c>
      <c r="AA18" s="233">
        <v>1.0000000000000001E-5</v>
      </c>
      <c r="AB18" s="14">
        <f>AVERAGEIFS('2.1.trackMPD'!M:M,'2.1.trackMPD'!D:D,W18,'2.1.trackMPD'!F:F,Y18,'2.1.trackMPD'!H:H,AA18,'2.1.trackMPD'!M:M,"&lt;&gt;0")</f>
        <v>3.4759972432000006</v>
      </c>
      <c r="AC18" s="14">
        <f>AVERAGEIFS('2.1.trackMPD'!N:N,'2.1.trackMPD'!D:D,W18,'2.1.trackMPD'!F:F,Y18,'2.1.trackMPD'!H:H,AA18,'2.1.trackMPD'!N:N,"&lt;&gt;0")</f>
        <v>45.08222103666666</v>
      </c>
    </row>
    <row r="19" spans="1:29" x14ac:dyDescent="0.2">
      <c r="A19" s="233" t="s">
        <v>31</v>
      </c>
      <c r="B19" s="233" t="s">
        <v>10234</v>
      </c>
      <c r="C19" s="233" t="s">
        <v>5</v>
      </c>
      <c r="D19" s="233">
        <v>1</v>
      </c>
      <c r="E19" s="233">
        <v>0.03</v>
      </c>
      <c r="F19" s="233" t="s">
        <v>6369</v>
      </c>
      <c r="G19" s="233">
        <v>5.0000000000000001E-3</v>
      </c>
      <c r="H19" s="233">
        <v>5.0000000000000001E-3</v>
      </c>
      <c r="I19" s="233">
        <v>1.8047303000000001E-2</v>
      </c>
      <c r="J19" s="233">
        <v>1.0907678199999999</v>
      </c>
      <c r="K19" s="233">
        <v>0</v>
      </c>
      <c r="L19" s="233">
        <v>0</v>
      </c>
      <c r="M19" s="233">
        <v>0</v>
      </c>
      <c r="N19" s="233">
        <v>0</v>
      </c>
      <c r="R19" s="139" t="s">
        <v>20</v>
      </c>
      <c r="S19" s="139">
        <v>1240</v>
      </c>
      <c r="T19" s="139">
        <v>6</v>
      </c>
      <c r="V19" s="140" t="s">
        <v>10274</v>
      </c>
      <c r="W19" s="140">
        <v>1</v>
      </c>
      <c r="X19" s="140">
        <v>0.03</v>
      </c>
      <c r="Y19" s="233" t="s">
        <v>6371</v>
      </c>
      <c r="AA19" s="233">
        <v>1E-4</v>
      </c>
      <c r="AB19" s="14">
        <f>AVERAGEIFS('2.1.trackMPD'!M:M,'2.1.trackMPD'!D:D,W19,'2.1.trackMPD'!F:F,Y19,'2.1.trackMPD'!H:H,AA19,'2.1.trackMPD'!M:M,"&lt;&gt;0")</f>
        <v>0.30931868221164416</v>
      </c>
      <c r="AC19" s="14">
        <f>AVERAGEIFS('2.1.trackMPD'!N:N,'2.1.trackMPD'!D:D,W19,'2.1.trackMPD'!F:F,Y19,'2.1.trackMPD'!H:H,AA19,'2.1.trackMPD'!N:N,"&lt;&gt;0")</f>
        <v>147.06179042163919</v>
      </c>
    </row>
    <row r="20" spans="1:29" x14ac:dyDescent="0.2">
      <c r="A20" s="233" t="s">
        <v>31</v>
      </c>
      <c r="B20" s="233" t="s">
        <v>10234</v>
      </c>
      <c r="C20" s="233" t="s">
        <v>0</v>
      </c>
      <c r="D20" s="233">
        <v>4</v>
      </c>
      <c r="E20" s="233">
        <v>0.95299999999999996</v>
      </c>
      <c r="F20" s="233" t="s">
        <v>6370</v>
      </c>
      <c r="G20" s="233">
        <v>5.0000000000000002E-5</v>
      </c>
      <c r="H20" s="233">
        <v>9.9999999999999995E-7</v>
      </c>
      <c r="I20" s="233">
        <v>2.5523145000000001E-2</v>
      </c>
      <c r="J20" s="233">
        <v>0.92657174500000006</v>
      </c>
      <c r="K20" s="233">
        <v>0</v>
      </c>
      <c r="L20" s="233">
        <v>0</v>
      </c>
      <c r="M20" s="233">
        <v>0</v>
      </c>
      <c r="N20" s="233">
        <v>0</v>
      </c>
      <c r="R20" s="139" t="s">
        <v>166</v>
      </c>
      <c r="S20" s="139">
        <v>1150</v>
      </c>
      <c r="T20" s="139">
        <v>5</v>
      </c>
      <c r="V20" s="140" t="s">
        <v>10274</v>
      </c>
      <c r="W20" s="140">
        <v>4</v>
      </c>
      <c r="X20" s="140">
        <v>0.95299999999999996</v>
      </c>
      <c r="Y20" s="140" t="s">
        <v>6369</v>
      </c>
      <c r="Z20" s="141">
        <v>5.0000000000000001E-3</v>
      </c>
      <c r="AA20" s="140">
        <v>5.0000000000000001E-3</v>
      </c>
      <c r="AB20" s="14">
        <f>AVERAGEIFS('2.1.trackMPD'!M:M,'2.1.trackMPD'!D:D,W20,'2.1.trackMPD'!F:F,Y20,'2.1.trackMPD'!H:H,AA20,'2.1.trackMPD'!M:M,"&lt;&gt;0")</f>
        <v>0.29475036959845075</v>
      </c>
      <c r="AC20" s="14">
        <f>AVERAGEIFS('2.1.trackMPD'!N:N,'2.1.trackMPD'!D:D,W20,'2.1.trackMPD'!F:F,Y20,'2.1.trackMPD'!H:H,AA20,'2.1.trackMPD'!N:N,"&lt;&gt;0")</f>
        <v>378.60894651791358</v>
      </c>
    </row>
    <row r="21" spans="1:29" x14ac:dyDescent="0.2">
      <c r="A21" s="233" t="s">
        <v>31</v>
      </c>
      <c r="B21" s="233" t="s">
        <v>10234</v>
      </c>
      <c r="C21" s="233" t="s">
        <v>0</v>
      </c>
      <c r="D21" s="233">
        <v>4</v>
      </c>
      <c r="E21" s="233">
        <v>0.95299999999999996</v>
      </c>
      <c r="F21" s="233" t="s">
        <v>6370</v>
      </c>
      <c r="G21" s="233">
        <v>1E-4</v>
      </c>
      <c r="H21" s="233">
        <v>1.0000000000000001E-5</v>
      </c>
      <c r="I21" s="233">
        <v>0.52565935900000005</v>
      </c>
      <c r="J21" s="233">
        <v>4.2427036149999999</v>
      </c>
      <c r="K21" s="233">
        <v>0</v>
      </c>
      <c r="L21" s="233">
        <v>0</v>
      </c>
      <c r="M21" s="233">
        <v>0</v>
      </c>
      <c r="N21" s="233">
        <v>0</v>
      </c>
      <c r="P21" s="139"/>
      <c r="R21" s="139" t="s">
        <v>167</v>
      </c>
      <c r="S21" s="139">
        <v>1240</v>
      </c>
      <c r="T21" s="139">
        <v>6</v>
      </c>
      <c r="V21" s="140" t="s">
        <v>10274</v>
      </c>
      <c r="W21" s="140">
        <v>4</v>
      </c>
      <c r="X21" s="140">
        <v>0.95299999999999996</v>
      </c>
      <c r="Y21" s="140" t="s">
        <v>6369</v>
      </c>
      <c r="Z21" s="141">
        <v>1E-3</v>
      </c>
      <c r="AA21" s="140">
        <v>1E-3</v>
      </c>
      <c r="AB21" s="14">
        <f>AVERAGEIFS('2.1.trackMPD'!M:M,'2.1.trackMPD'!D:D,W21,'2.1.trackMPD'!F:F,Y21,'2.1.trackMPD'!H:H,AA21,'2.1.trackMPD'!M:M,"&lt;&gt;0")</f>
        <v>2.5382911007862066</v>
      </c>
      <c r="AC21" s="14">
        <f>AVERAGEIFS('2.1.trackMPD'!N:N,'2.1.trackMPD'!D:D,W21,'2.1.trackMPD'!F:F,Y21,'2.1.trackMPD'!H:H,AA21,'2.1.trackMPD'!N:N,"&lt;&gt;0")</f>
        <v>246.89909100602694</v>
      </c>
    </row>
    <row r="22" spans="1:29" x14ac:dyDescent="0.2">
      <c r="A22" s="233" t="s">
        <v>31</v>
      </c>
      <c r="B22" s="233" t="s">
        <v>10234</v>
      </c>
      <c r="C22" s="233" t="s">
        <v>0</v>
      </c>
      <c r="D22" s="233">
        <v>4</v>
      </c>
      <c r="E22" s="233">
        <v>0.95299999999999996</v>
      </c>
      <c r="F22" s="233" t="s">
        <v>6370</v>
      </c>
      <c r="G22" s="233">
        <v>1E-3</v>
      </c>
      <c r="H22" s="233">
        <v>1E-4</v>
      </c>
      <c r="I22" s="233">
        <v>0.36692488400000001</v>
      </c>
      <c r="J22" s="233">
        <v>20.589569860000001</v>
      </c>
      <c r="K22" s="233">
        <v>0</v>
      </c>
      <c r="L22" s="233">
        <v>0</v>
      </c>
      <c r="M22" s="233">
        <v>0</v>
      </c>
      <c r="N22" s="233">
        <v>0</v>
      </c>
      <c r="P22" s="139"/>
      <c r="R22" s="139" t="s">
        <v>15</v>
      </c>
      <c r="S22" s="139">
        <v>1250</v>
      </c>
      <c r="T22" s="139">
        <v>6</v>
      </c>
      <c r="V22" s="140" t="s">
        <v>10274</v>
      </c>
      <c r="W22" s="140">
        <v>4</v>
      </c>
      <c r="X22" s="140">
        <v>0.95299999999999996</v>
      </c>
      <c r="Y22" s="140" t="s">
        <v>6369</v>
      </c>
      <c r="Z22" s="141">
        <v>1E-4</v>
      </c>
      <c r="AA22" s="140">
        <v>1E-4</v>
      </c>
      <c r="AB22" s="14">
        <f>AVERAGEIFS('2.1.trackMPD'!M:M,'2.1.trackMPD'!D:D,W22,'2.1.trackMPD'!F:F,Y22,'2.1.trackMPD'!H:H,AA22,'2.1.trackMPD'!M:M,"&lt;&gt;0")</f>
        <v>5.3793207093333324</v>
      </c>
      <c r="AC22" s="14">
        <f>AVERAGEIFS('2.1.trackMPD'!N:N,'2.1.trackMPD'!D:D,W22,'2.1.trackMPD'!F:F,Y22,'2.1.trackMPD'!H:H,AA22,'2.1.trackMPD'!N:N,"&lt;&gt;0")</f>
        <v>56.196882424999998</v>
      </c>
    </row>
    <row r="23" spans="1:29" x14ac:dyDescent="0.2">
      <c r="A23" s="233" t="s">
        <v>31</v>
      </c>
      <c r="B23" s="233" t="s">
        <v>10234</v>
      </c>
      <c r="C23" s="233" t="s">
        <v>0</v>
      </c>
      <c r="D23" s="233">
        <v>4</v>
      </c>
      <c r="E23" s="233">
        <v>0.95299999999999996</v>
      </c>
      <c r="F23" s="233" t="s">
        <v>6370</v>
      </c>
      <c r="G23" s="233">
        <v>5.0000000000000001E-3</v>
      </c>
      <c r="H23" s="233">
        <v>1E-3</v>
      </c>
      <c r="I23" s="233">
        <v>5.1959516999999997E-2</v>
      </c>
      <c r="J23" s="233">
        <v>2.7434105280000001</v>
      </c>
      <c r="K23" s="233">
        <v>0</v>
      </c>
      <c r="L23" s="233">
        <v>0</v>
      </c>
      <c r="M23" s="233">
        <v>0</v>
      </c>
      <c r="N23" s="233">
        <v>0</v>
      </c>
      <c r="P23" s="139"/>
      <c r="R23" s="139" t="s">
        <v>9</v>
      </c>
      <c r="S23" s="139">
        <v>1260</v>
      </c>
      <c r="T23" s="139">
        <v>6</v>
      </c>
      <c r="V23" s="140" t="s">
        <v>10274</v>
      </c>
      <c r="W23" s="140">
        <v>4</v>
      </c>
      <c r="X23" s="140">
        <v>0.95299999999999996</v>
      </c>
      <c r="Y23" s="140" t="s">
        <v>6369</v>
      </c>
      <c r="Z23" s="141">
        <v>1.0000000000000001E-5</v>
      </c>
      <c r="AA23" s="141">
        <v>1.0000000000000001E-5</v>
      </c>
      <c r="AB23" s="14">
        <f>AVERAGEIFS('2.1.trackMPD'!M:M,'2.1.trackMPD'!D:D,W23,'2.1.trackMPD'!F:F,Y23,'2.1.trackMPD'!H:H,AA23,'2.1.trackMPD'!M:M,"&lt;&gt;0")</f>
        <v>2.7646648138196164</v>
      </c>
      <c r="AC23" s="14">
        <f>AVERAGEIFS('2.1.trackMPD'!N:N,'2.1.trackMPD'!D:D,W23,'2.1.trackMPD'!F:F,Y23,'2.1.trackMPD'!H:H,AA23,'2.1.trackMPD'!N:N,"&lt;&gt;0")</f>
        <v>9.9736220929137946</v>
      </c>
    </row>
    <row r="24" spans="1:29" x14ac:dyDescent="0.2">
      <c r="A24" s="233" t="s">
        <v>31</v>
      </c>
      <c r="B24" s="233" t="s">
        <v>10234</v>
      </c>
      <c r="C24" s="233" t="s">
        <v>0</v>
      </c>
      <c r="D24" s="233">
        <v>4</v>
      </c>
      <c r="E24" s="233">
        <v>0.95299999999999996</v>
      </c>
      <c r="F24" s="233" t="s">
        <v>6370</v>
      </c>
      <c r="G24" s="233">
        <v>2.5000000000000001E-2</v>
      </c>
      <c r="H24" s="233">
        <v>5.0000000000000001E-3</v>
      </c>
      <c r="I24" s="233">
        <v>2.0830299E-2</v>
      </c>
      <c r="J24" s="233">
        <v>1.229234553</v>
      </c>
      <c r="K24" s="233">
        <v>0</v>
      </c>
      <c r="L24" s="233">
        <v>0</v>
      </c>
      <c r="M24" s="233">
        <v>0</v>
      </c>
      <c r="N24" s="233">
        <v>0</v>
      </c>
      <c r="P24" s="139"/>
      <c r="R24" s="139" t="s">
        <v>145</v>
      </c>
      <c r="S24" s="139">
        <v>1540</v>
      </c>
      <c r="T24" s="139">
        <v>6</v>
      </c>
      <c r="V24" s="140" t="s">
        <v>10274</v>
      </c>
      <c r="W24" s="140">
        <v>4</v>
      </c>
      <c r="X24" s="140">
        <v>0.95299999999999996</v>
      </c>
      <c r="Y24" s="140" t="s">
        <v>6369</v>
      </c>
      <c r="Z24" s="141">
        <v>9.9999999999999995E-7</v>
      </c>
      <c r="AA24" s="141">
        <v>9.9999999999999995E-7</v>
      </c>
      <c r="AB24" s="14">
        <f>AVERAGEIFS('2.1.trackMPD'!M:M,'2.1.trackMPD'!D:D,W24,'2.1.trackMPD'!F:F,Y24,'2.1.trackMPD'!H:H,AA24,'2.1.trackMPD'!M:M,"&lt;&gt;0")</f>
        <v>1.9145646194436523</v>
      </c>
      <c r="AC24" s="14">
        <f>AVERAGEIFS('2.1.trackMPD'!N:N,'2.1.trackMPD'!D:D,W24,'2.1.trackMPD'!F:F,Y24,'2.1.trackMPD'!H:H,AA24,'2.1.trackMPD'!N:N,"&lt;&gt;0")</f>
        <v>7.4469706144965011</v>
      </c>
    </row>
    <row r="25" spans="1:29" x14ac:dyDescent="0.2">
      <c r="A25" s="233" t="s">
        <v>31</v>
      </c>
      <c r="B25" s="233" t="s">
        <v>10234</v>
      </c>
      <c r="C25" s="233" t="s">
        <v>0</v>
      </c>
      <c r="D25" s="233">
        <v>4</v>
      </c>
      <c r="E25" s="233">
        <v>0.95299999999999996</v>
      </c>
      <c r="F25" s="233" t="s">
        <v>6371</v>
      </c>
      <c r="G25" s="233">
        <v>9.9999999999999995E-7</v>
      </c>
      <c r="H25" s="233">
        <v>9.9999999999999995E-7</v>
      </c>
      <c r="I25" s="233">
        <v>0.25001428999999997</v>
      </c>
      <c r="J25" s="233">
        <v>2.036985525</v>
      </c>
      <c r="K25" s="233">
        <v>0</v>
      </c>
      <c r="L25" s="233">
        <v>0</v>
      </c>
      <c r="M25" s="233">
        <v>0</v>
      </c>
      <c r="N25" s="233">
        <v>0</v>
      </c>
      <c r="P25" s="139"/>
      <c r="R25" s="139" t="s">
        <v>146</v>
      </c>
      <c r="S25" s="139">
        <v>1500</v>
      </c>
      <c r="T25" s="139">
        <v>6</v>
      </c>
      <c r="V25" s="140" t="s">
        <v>10274</v>
      </c>
      <c r="W25" s="140">
        <v>4</v>
      </c>
      <c r="X25" s="140">
        <v>0.95299999999999996</v>
      </c>
      <c r="Y25" s="140" t="s">
        <v>6370</v>
      </c>
      <c r="Z25" s="141">
        <v>5.0000000000000001E-3</v>
      </c>
      <c r="AA25" s="140">
        <v>1E-3</v>
      </c>
      <c r="AB25" s="14">
        <f>AVERAGEIFS('2.1.trackMPD'!M:M,'2.1.trackMPD'!D:D,W25,'2.1.trackMPD'!F:F,Y25,'2.1.trackMPD'!H:H,AA25,'2.1.trackMPD'!M:M,"&lt;&gt;0")</f>
        <v>2.6871944156023981</v>
      </c>
      <c r="AC25" s="14">
        <f>AVERAGEIFS('2.1.trackMPD'!N:N,'2.1.trackMPD'!D:D,W25,'2.1.trackMPD'!F:F,Y25,'2.1.trackMPD'!H:H,AA25,'2.1.trackMPD'!N:N,"&lt;&gt;0")</f>
        <v>235.60886819945301</v>
      </c>
    </row>
    <row r="26" spans="1:29" x14ac:dyDescent="0.2">
      <c r="A26" s="233" t="s">
        <v>31</v>
      </c>
      <c r="B26" s="233" t="s">
        <v>10234</v>
      </c>
      <c r="C26" s="233" t="s">
        <v>0</v>
      </c>
      <c r="D26" s="233">
        <v>4</v>
      </c>
      <c r="E26" s="233">
        <v>0.95299999999999996</v>
      </c>
      <c r="F26" s="233" t="s">
        <v>6371</v>
      </c>
      <c r="G26" s="233">
        <v>1.0000000000000001E-5</v>
      </c>
      <c r="H26" s="233">
        <v>1.0000000000000001E-5</v>
      </c>
      <c r="I26" s="233">
        <v>1.339035701</v>
      </c>
      <c r="J26" s="233">
        <v>26.75984235</v>
      </c>
      <c r="K26" s="233">
        <v>0</v>
      </c>
      <c r="L26" s="233">
        <v>0</v>
      </c>
      <c r="M26" s="233">
        <v>0</v>
      </c>
      <c r="N26" s="233">
        <v>0</v>
      </c>
      <c r="R26" s="139" t="s">
        <v>147</v>
      </c>
      <c r="S26" s="139">
        <v>1520</v>
      </c>
      <c r="T26" s="139">
        <v>6</v>
      </c>
      <c r="V26" s="140" t="s">
        <v>10274</v>
      </c>
      <c r="W26" s="140">
        <v>4</v>
      </c>
      <c r="X26" s="140">
        <v>0.95299999999999996</v>
      </c>
      <c r="Y26" s="140" t="s">
        <v>6370</v>
      </c>
      <c r="Z26" s="141">
        <v>1E-3</v>
      </c>
      <c r="AA26" s="140">
        <v>1E-4</v>
      </c>
      <c r="AB26" s="14">
        <f>AVERAGEIFS('2.1.trackMPD'!M:M,'2.1.trackMPD'!D:D,W26,'2.1.trackMPD'!F:F,Y26,'2.1.trackMPD'!H:H,AA26,'2.1.trackMPD'!M:M,"&lt;&gt;0")</f>
        <v>5.0500314803333337</v>
      </c>
      <c r="AC26" s="14">
        <f>AVERAGEIFS('2.1.trackMPD'!N:N,'2.1.trackMPD'!D:D,W26,'2.1.trackMPD'!F:F,Y26,'2.1.trackMPD'!H:H,AA26,'2.1.trackMPD'!N:N,"&lt;&gt;0")</f>
        <v>103.86807210000001</v>
      </c>
    </row>
    <row r="27" spans="1:29" x14ac:dyDescent="0.2">
      <c r="A27" s="233" t="s">
        <v>31</v>
      </c>
      <c r="B27" s="233" t="s">
        <v>10234</v>
      </c>
      <c r="C27" s="233" t="s">
        <v>0</v>
      </c>
      <c r="D27" s="233">
        <v>4</v>
      </c>
      <c r="E27" s="233">
        <v>0.95299999999999996</v>
      </c>
      <c r="F27" s="233" t="s">
        <v>6371</v>
      </c>
      <c r="G27" s="233">
        <v>1E-4</v>
      </c>
      <c r="H27" s="233">
        <v>1E-4</v>
      </c>
      <c r="I27" s="233">
        <v>0.22309572499999999</v>
      </c>
      <c r="J27" s="233">
        <v>37.055561840000003</v>
      </c>
      <c r="K27" s="233">
        <v>0</v>
      </c>
      <c r="L27" s="233">
        <v>0</v>
      </c>
      <c r="M27" s="233">
        <v>0</v>
      </c>
      <c r="N27" s="233">
        <v>0</v>
      </c>
      <c r="R27" s="139" t="s">
        <v>148</v>
      </c>
      <c r="S27" s="139">
        <v>1520</v>
      </c>
      <c r="T27" s="139">
        <v>6</v>
      </c>
      <c r="V27" s="140" t="s">
        <v>10274</v>
      </c>
      <c r="W27" s="140">
        <v>4</v>
      </c>
      <c r="X27" s="140">
        <v>0.95299999999999996</v>
      </c>
      <c r="Y27" s="140" t="s">
        <v>6370</v>
      </c>
      <c r="Z27" s="141">
        <v>1E-4</v>
      </c>
      <c r="AA27" s="141">
        <v>1.0000000000000001E-5</v>
      </c>
      <c r="AB27" s="14">
        <f>AVERAGEIFS('2.1.trackMPD'!M:M,'2.1.trackMPD'!D:D,W27,'2.1.trackMPD'!F:F,Y27,'2.1.trackMPD'!H:H,AA27,'2.1.trackMPD'!M:M,"&lt;&gt;0")</f>
        <v>3.6530397073333334</v>
      </c>
      <c r="AC27" s="14">
        <f>AVERAGEIFS('2.1.trackMPD'!N:N,'2.1.trackMPD'!D:D,W27,'2.1.trackMPD'!F:F,Y27,'2.1.trackMPD'!H:H,AA27,'2.1.trackMPD'!N:N,"&lt;&gt;0")</f>
        <v>15.654364321799999</v>
      </c>
    </row>
    <row r="28" spans="1:29" x14ac:dyDescent="0.2">
      <c r="A28" s="233" t="s">
        <v>31</v>
      </c>
      <c r="B28" s="233" t="s">
        <v>10234</v>
      </c>
      <c r="C28" s="233" t="s">
        <v>0</v>
      </c>
      <c r="D28" s="233">
        <v>4</v>
      </c>
      <c r="E28" s="233">
        <v>0.95299999999999996</v>
      </c>
      <c r="F28" s="233" t="s">
        <v>6369</v>
      </c>
      <c r="G28" s="233">
        <v>9.9999999999999995E-7</v>
      </c>
      <c r="H28" s="233">
        <v>9.9999999999999995E-7</v>
      </c>
      <c r="I28" s="233">
        <v>2.3886732000000001E-2</v>
      </c>
      <c r="J28" s="233">
        <v>1.084650213</v>
      </c>
      <c r="K28" s="233">
        <v>0</v>
      </c>
      <c r="L28" s="233">
        <v>0</v>
      </c>
      <c r="M28" s="233">
        <v>0</v>
      </c>
      <c r="N28" s="233">
        <v>0</v>
      </c>
      <c r="P28" s="139"/>
      <c r="R28" s="139" t="s">
        <v>149</v>
      </c>
      <c r="S28" s="139">
        <v>1500</v>
      </c>
      <c r="T28" s="139">
        <v>6</v>
      </c>
      <c r="V28" s="140" t="s">
        <v>10274</v>
      </c>
      <c r="W28" s="140">
        <v>4</v>
      </c>
      <c r="X28" s="140">
        <v>0.95299999999999996</v>
      </c>
      <c r="Y28" s="140" t="s">
        <v>6370</v>
      </c>
      <c r="Z28" s="141">
        <v>5.0000000000000002E-5</v>
      </c>
      <c r="AA28" s="141">
        <v>9.9999999999999995E-7</v>
      </c>
      <c r="AB28" s="14">
        <f>AVERAGEIFS('2.1.trackMPD'!M:M,'2.1.trackMPD'!D:D,W28,'2.1.trackMPD'!F:F,Y28,'2.1.trackMPD'!H:H,AA28,'2.1.trackMPD'!M:M,"&lt;&gt;0")</f>
        <v>1.6016294611995885</v>
      </c>
      <c r="AC28" s="14">
        <f>AVERAGEIFS('2.1.trackMPD'!N:N,'2.1.trackMPD'!D:D,W28,'2.1.trackMPD'!F:F,Y28,'2.1.trackMPD'!H:H,AA28,'2.1.trackMPD'!N:N,"&lt;&gt;0")</f>
        <v>11.963935864745876</v>
      </c>
    </row>
    <row r="29" spans="1:29" x14ac:dyDescent="0.2">
      <c r="A29" s="233" t="s">
        <v>31</v>
      </c>
      <c r="B29" s="233" t="s">
        <v>10234</v>
      </c>
      <c r="C29" s="233" t="s">
        <v>0</v>
      </c>
      <c r="D29" s="233">
        <v>4</v>
      </c>
      <c r="E29" s="233">
        <v>0.95299999999999996</v>
      </c>
      <c r="F29" s="233" t="s">
        <v>6369</v>
      </c>
      <c r="G29" s="233">
        <v>1.0000000000000001E-5</v>
      </c>
      <c r="H29" s="233">
        <v>1.0000000000000001E-5</v>
      </c>
      <c r="I29" s="233">
        <v>0.16452824499999999</v>
      </c>
      <c r="J29" s="233">
        <v>1.6026342179999999</v>
      </c>
      <c r="K29" s="233">
        <v>0</v>
      </c>
      <c r="L29" s="233">
        <v>0</v>
      </c>
      <c r="M29" s="233">
        <v>0</v>
      </c>
      <c r="N29" s="233">
        <v>0</v>
      </c>
      <c r="R29" s="139" t="s">
        <v>150</v>
      </c>
      <c r="S29" s="139">
        <v>1520</v>
      </c>
      <c r="T29" s="139">
        <v>6</v>
      </c>
      <c r="V29" s="140" t="s">
        <v>10274</v>
      </c>
      <c r="W29" s="140">
        <v>4</v>
      </c>
      <c r="X29" s="140">
        <v>0.95299999999999996</v>
      </c>
      <c r="Y29" s="140" t="s">
        <v>6370</v>
      </c>
      <c r="Z29" s="141">
        <v>2.5000000000000001E-2</v>
      </c>
      <c r="AA29" s="140">
        <v>5.0000000000000001E-3</v>
      </c>
      <c r="AB29" s="14">
        <f>AVERAGEIFS('2.1.trackMPD'!M:M,'2.1.trackMPD'!D:D,W29,'2.1.trackMPD'!F:F,Y29,'2.1.trackMPD'!H:H,AA29,'2.1.trackMPD'!M:M,"&lt;&gt;0")</f>
        <v>0.21581085222219154</v>
      </c>
      <c r="AC29" s="14">
        <f>AVERAGEIFS('2.1.trackMPD'!N:N,'2.1.trackMPD'!D:D,W29,'2.1.trackMPD'!F:F,Y29,'2.1.trackMPD'!H:H,AA29,'2.1.trackMPD'!N:N,"&lt;&gt;0")</f>
        <v>283.79907847102788</v>
      </c>
    </row>
    <row r="30" spans="1:29" x14ac:dyDescent="0.2">
      <c r="A30" s="233" t="s">
        <v>31</v>
      </c>
      <c r="B30" s="233" t="s">
        <v>10234</v>
      </c>
      <c r="C30" s="233" t="s">
        <v>0</v>
      </c>
      <c r="D30" s="233">
        <v>4</v>
      </c>
      <c r="E30" s="233">
        <v>0.95299999999999996</v>
      </c>
      <c r="F30" s="233" t="s">
        <v>6369</v>
      </c>
      <c r="G30" s="233">
        <v>1E-4</v>
      </c>
      <c r="H30" s="233">
        <v>1E-4</v>
      </c>
      <c r="I30" s="233">
        <v>0.44387653300000002</v>
      </c>
      <c r="J30" s="233">
        <v>14.394101450000001</v>
      </c>
      <c r="K30" s="233">
        <v>0</v>
      </c>
      <c r="L30" s="233">
        <v>0</v>
      </c>
      <c r="M30" s="233">
        <v>0</v>
      </c>
      <c r="N30" s="233">
        <v>0</v>
      </c>
      <c r="V30" s="140" t="s">
        <v>10274</v>
      </c>
      <c r="W30" s="140">
        <v>4</v>
      </c>
      <c r="X30" s="140">
        <v>0.95299999999999996</v>
      </c>
      <c r="Y30" s="233" t="s">
        <v>6371</v>
      </c>
      <c r="AA30" s="233">
        <v>9.9999999999999995E-7</v>
      </c>
      <c r="AB30" s="14">
        <f>AVERAGEIFS('2.1.trackMPD'!M:M,'2.1.trackMPD'!D:D,W30,'2.1.trackMPD'!F:F,Y30,'2.1.trackMPD'!H:H,AA30,'2.1.trackMPD'!M:M,"&lt;&gt;0")</f>
        <v>3.4363250071999998</v>
      </c>
      <c r="AC30" s="14">
        <f>AVERAGEIFS('2.1.trackMPD'!N:N,'2.1.trackMPD'!D:D,W30,'2.1.trackMPD'!F:F,Y30,'2.1.trackMPD'!H:H,AA30,'2.1.trackMPD'!N:N,"&lt;&gt;0")</f>
        <v>11.379431660688907</v>
      </c>
    </row>
    <row r="31" spans="1:29" x14ac:dyDescent="0.2">
      <c r="A31" s="233" t="s">
        <v>31</v>
      </c>
      <c r="B31" s="233" t="s">
        <v>10234</v>
      </c>
      <c r="C31" s="233" t="s">
        <v>0</v>
      </c>
      <c r="D31" s="233">
        <v>4</v>
      </c>
      <c r="E31" s="233">
        <v>0.95299999999999996</v>
      </c>
      <c r="F31" s="233" t="s">
        <v>6369</v>
      </c>
      <c r="G31" s="233">
        <v>1E-3</v>
      </c>
      <c r="H31" s="233">
        <v>1E-3</v>
      </c>
      <c r="I31" s="233">
        <v>7.4858405000000003E-2</v>
      </c>
      <c r="J31" s="233">
        <v>4.4742373530000004</v>
      </c>
      <c r="K31" s="233">
        <v>0</v>
      </c>
      <c r="L31" s="233">
        <v>0</v>
      </c>
      <c r="M31" s="233">
        <v>0</v>
      </c>
      <c r="N31" s="233">
        <v>0</v>
      </c>
      <c r="V31" s="140" t="s">
        <v>10274</v>
      </c>
      <c r="W31" s="140">
        <v>4</v>
      </c>
      <c r="X31" s="140">
        <v>0.95299999999999996</v>
      </c>
      <c r="Y31" s="233" t="s">
        <v>6371</v>
      </c>
      <c r="AA31" s="233">
        <v>1.0000000000000001E-5</v>
      </c>
      <c r="AB31" s="14">
        <f>AVERAGEIFS('2.1.trackMPD'!M:M,'2.1.trackMPD'!D:D,W31,'2.1.trackMPD'!F:F,Y31,'2.1.trackMPD'!H:H,AA31,'2.1.trackMPD'!M:M,"&lt;&gt;0")</f>
        <v>10.831011069999997</v>
      </c>
      <c r="AC31" s="14">
        <f>AVERAGEIFS('2.1.trackMPD'!N:N,'2.1.trackMPD'!D:D,W31,'2.1.trackMPD'!F:F,Y31,'2.1.trackMPD'!H:H,AA31,'2.1.trackMPD'!N:N,"&lt;&gt;0")</f>
        <v>70.772603562499995</v>
      </c>
    </row>
    <row r="32" spans="1:29" x14ac:dyDescent="0.2">
      <c r="A32" s="233" t="s">
        <v>31</v>
      </c>
      <c r="B32" s="233" t="s">
        <v>10234</v>
      </c>
      <c r="C32" s="233" t="s">
        <v>0</v>
      </c>
      <c r="D32" s="233">
        <v>4</v>
      </c>
      <c r="E32" s="233">
        <v>0.95299999999999996</v>
      </c>
      <c r="F32" s="233" t="s">
        <v>6369</v>
      </c>
      <c r="G32" s="233">
        <v>5.0000000000000001E-3</v>
      </c>
      <c r="H32" s="233">
        <v>5.0000000000000001E-3</v>
      </c>
      <c r="I32" s="233">
        <v>1.9451729000000001E-2</v>
      </c>
      <c r="J32" s="233">
        <v>1.5723599370000001</v>
      </c>
      <c r="K32" s="233">
        <v>0</v>
      </c>
      <c r="L32" s="233">
        <v>0</v>
      </c>
      <c r="M32" s="233">
        <v>0</v>
      </c>
      <c r="N32" s="233">
        <v>0</v>
      </c>
      <c r="R32" s="137" t="s">
        <v>10240</v>
      </c>
      <c r="S32" s="136" t="s">
        <v>10236</v>
      </c>
      <c r="T32" s="136" t="s">
        <v>10236</v>
      </c>
      <c r="V32" s="140" t="s">
        <v>10274</v>
      </c>
      <c r="W32" s="140">
        <v>4</v>
      </c>
      <c r="X32" s="140">
        <v>0.95299999999999996</v>
      </c>
      <c r="Y32" s="233" t="s">
        <v>6371</v>
      </c>
      <c r="AA32" s="233">
        <v>1E-4</v>
      </c>
      <c r="AB32" s="14">
        <f>AVERAGEIFS('2.1.trackMPD'!M:M,'2.1.trackMPD'!D:D,W32,'2.1.trackMPD'!F:F,Y32,'2.1.trackMPD'!H:H,AA32,'2.1.trackMPD'!M:M,"&lt;&gt;0")</f>
        <v>4.7589069822000001</v>
      </c>
      <c r="AC32" s="14">
        <f>AVERAGEIFS('2.1.trackMPD'!N:N,'2.1.trackMPD'!D:D,W32,'2.1.trackMPD'!F:F,Y32,'2.1.trackMPD'!H:H,AA32,'2.1.trackMPD'!N:N,"&lt;&gt;0")</f>
        <v>236.72625146000001</v>
      </c>
    </row>
    <row r="33" spans="1:29" x14ac:dyDescent="0.2">
      <c r="A33" s="233" t="s">
        <v>31</v>
      </c>
      <c r="B33" s="233" t="s">
        <v>10234</v>
      </c>
      <c r="C33" s="233" t="s">
        <v>1</v>
      </c>
      <c r="D33" s="233">
        <v>3</v>
      </c>
      <c r="E33" s="233">
        <v>0.91500000000000004</v>
      </c>
      <c r="F33" s="233" t="s">
        <v>6370</v>
      </c>
      <c r="G33" s="233">
        <v>5.0000000000000002E-5</v>
      </c>
      <c r="H33" s="233">
        <v>9.9999999999999995E-7</v>
      </c>
      <c r="I33" s="233">
        <v>2.4903384000000001E-2</v>
      </c>
      <c r="J33" s="233">
        <v>1.0039570390000001</v>
      </c>
      <c r="K33" s="233">
        <v>0</v>
      </c>
      <c r="L33" s="233">
        <v>0</v>
      </c>
      <c r="M33" s="233">
        <v>0</v>
      </c>
      <c r="N33" s="233">
        <v>0</v>
      </c>
      <c r="R33" s="14">
        <v>1</v>
      </c>
      <c r="S33" s="14">
        <v>0.03</v>
      </c>
      <c r="T33" s="14">
        <f>S33*1000</f>
        <v>30</v>
      </c>
      <c r="V33" s="140" t="s">
        <v>10274</v>
      </c>
      <c r="W33" s="140">
        <v>3</v>
      </c>
      <c r="X33" s="140">
        <v>0.91500000000000004</v>
      </c>
      <c r="Y33" s="140" t="s">
        <v>6369</v>
      </c>
      <c r="Z33" s="141">
        <v>5.0000000000000001E-3</v>
      </c>
      <c r="AA33" s="140">
        <v>5.0000000000000001E-3</v>
      </c>
      <c r="AB33" s="14">
        <f>AVERAGEIFS('2.1.trackMPD'!M:M,'2.1.trackMPD'!D:D,W33,'2.1.trackMPD'!F:F,Y33,'2.1.trackMPD'!H:H,AA33,'2.1.trackMPD'!M:M,"&lt;&gt;0")</f>
        <v>0.19324494235282361</v>
      </c>
      <c r="AC33" s="14">
        <f>AVERAGEIFS('2.1.trackMPD'!N:N,'2.1.trackMPD'!D:D,W33,'2.1.trackMPD'!F:F,Y33,'2.1.trackMPD'!H:H,AA33,'2.1.trackMPD'!N:N,"&lt;&gt;0")</f>
        <v>255.2214425212581</v>
      </c>
    </row>
    <row r="34" spans="1:29" x14ac:dyDescent="0.2">
      <c r="A34" s="233" t="s">
        <v>31</v>
      </c>
      <c r="B34" s="233" t="s">
        <v>10234</v>
      </c>
      <c r="C34" s="233" t="s">
        <v>1</v>
      </c>
      <c r="D34" s="233">
        <v>3</v>
      </c>
      <c r="E34" s="233">
        <v>0.91500000000000004</v>
      </c>
      <c r="F34" s="233" t="s">
        <v>6370</v>
      </c>
      <c r="G34" s="233">
        <v>1E-4</v>
      </c>
      <c r="H34" s="233">
        <v>1.0000000000000001E-5</v>
      </c>
      <c r="I34" s="233">
        <v>0.46832856099999998</v>
      </c>
      <c r="J34" s="233">
        <v>4.114011123</v>
      </c>
      <c r="K34" s="233">
        <v>0</v>
      </c>
      <c r="L34" s="233">
        <v>0</v>
      </c>
      <c r="M34" s="233">
        <v>0</v>
      </c>
      <c r="N34" s="233">
        <v>0</v>
      </c>
      <c r="R34" s="14">
        <v>4</v>
      </c>
      <c r="S34" s="14">
        <v>0.95299999999999996</v>
      </c>
      <c r="T34" s="14">
        <f t="shared" ref="T34:T38" si="0">S34*1000</f>
        <v>953</v>
      </c>
      <c r="V34" s="140" t="s">
        <v>10274</v>
      </c>
      <c r="W34" s="140">
        <v>3</v>
      </c>
      <c r="X34" s="140">
        <v>0.91500000000000004</v>
      </c>
      <c r="Y34" s="140" t="s">
        <v>6369</v>
      </c>
      <c r="Z34" s="141">
        <v>1E-3</v>
      </c>
      <c r="AA34" s="140">
        <v>1E-3</v>
      </c>
      <c r="AB34" s="14">
        <f>AVERAGEIFS('2.1.trackMPD'!M:M,'2.1.trackMPD'!D:D,W34,'2.1.trackMPD'!F:F,Y34,'2.1.trackMPD'!H:H,AA34,'2.1.trackMPD'!M:M,"&lt;&gt;0")</f>
        <v>2.2916574666722638</v>
      </c>
      <c r="AC34" s="14">
        <f>AVERAGEIFS('2.1.trackMPD'!N:N,'2.1.trackMPD'!D:D,W34,'2.1.trackMPD'!F:F,Y34,'2.1.trackMPD'!H:H,AA34,'2.1.trackMPD'!N:N,"&lt;&gt;0")</f>
        <v>218.14627297723641</v>
      </c>
    </row>
    <row r="35" spans="1:29" x14ac:dyDescent="0.2">
      <c r="A35" s="233" t="s">
        <v>31</v>
      </c>
      <c r="B35" s="233" t="s">
        <v>10234</v>
      </c>
      <c r="C35" s="233" t="s">
        <v>1</v>
      </c>
      <c r="D35" s="233">
        <v>3</v>
      </c>
      <c r="E35" s="233">
        <v>0.91500000000000004</v>
      </c>
      <c r="F35" s="233" t="s">
        <v>6370</v>
      </c>
      <c r="G35" s="233">
        <v>1E-3</v>
      </c>
      <c r="H35" s="233">
        <v>1E-4</v>
      </c>
      <c r="I35" s="233">
        <v>0.24460601800000001</v>
      </c>
      <c r="J35" s="233">
        <v>19.671054479999999</v>
      </c>
      <c r="K35" s="233">
        <v>0</v>
      </c>
      <c r="L35" s="233">
        <v>0</v>
      </c>
      <c r="M35" s="233">
        <v>0</v>
      </c>
      <c r="N35" s="233">
        <v>0</v>
      </c>
      <c r="R35" s="14">
        <v>3</v>
      </c>
      <c r="S35" s="14">
        <v>0.91500000000000004</v>
      </c>
      <c r="T35" s="14">
        <f t="shared" si="0"/>
        <v>915</v>
      </c>
      <c r="V35" s="140" t="s">
        <v>10274</v>
      </c>
      <c r="W35" s="140">
        <v>3</v>
      </c>
      <c r="X35" s="140">
        <v>0.91500000000000004</v>
      </c>
      <c r="Y35" s="140" t="s">
        <v>6369</v>
      </c>
      <c r="Z35" s="141">
        <v>1E-4</v>
      </c>
      <c r="AA35" s="140">
        <v>1E-4</v>
      </c>
      <c r="AB35" s="14">
        <f>AVERAGEIFS('2.1.trackMPD'!M:M,'2.1.trackMPD'!D:D,W35,'2.1.trackMPD'!F:F,Y35,'2.1.trackMPD'!H:H,AA35,'2.1.trackMPD'!M:M,"&lt;&gt;0")</f>
        <v>4.4548029113333341</v>
      </c>
      <c r="AC35" s="14">
        <f>AVERAGEIFS('2.1.trackMPD'!N:N,'2.1.trackMPD'!D:D,W35,'2.1.trackMPD'!F:F,Y35,'2.1.trackMPD'!H:H,AA35,'2.1.trackMPD'!N:N,"&lt;&gt;0")</f>
        <v>55.294690577499992</v>
      </c>
    </row>
    <row r="36" spans="1:29" x14ac:dyDescent="0.2">
      <c r="A36" s="233" t="s">
        <v>31</v>
      </c>
      <c r="B36" s="233" t="s">
        <v>10234</v>
      </c>
      <c r="C36" s="233" t="s">
        <v>1</v>
      </c>
      <c r="D36" s="233">
        <v>3</v>
      </c>
      <c r="E36" s="233">
        <v>0.91500000000000004</v>
      </c>
      <c r="F36" s="233" t="s">
        <v>6370</v>
      </c>
      <c r="G36" s="233">
        <v>5.0000000000000001E-3</v>
      </c>
      <c r="H36" s="233">
        <v>1E-3</v>
      </c>
      <c r="I36" s="233">
        <v>3.2545805999999997E-2</v>
      </c>
      <c r="J36" s="233">
        <v>1.9669860450000001</v>
      </c>
      <c r="K36" s="233">
        <v>0</v>
      </c>
      <c r="L36" s="233">
        <v>0</v>
      </c>
      <c r="M36" s="233">
        <v>0</v>
      </c>
      <c r="N36" s="233">
        <v>0</v>
      </c>
      <c r="R36" s="14">
        <v>6</v>
      </c>
      <c r="S36" s="14">
        <v>1.35</v>
      </c>
      <c r="T36" s="14">
        <f t="shared" si="0"/>
        <v>1350</v>
      </c>
      <c r="V36" s="140" t="s">
        <v>10274</v>
      </c>
      <c r="W36" s="140">
        <v>3</v>
      </c>
      <c r="X36" s="140">
        <v>0.91500000000000004</v>
      </c>
      <c r="Y36" s="140" t="s">
        <v>6369</v>
      </c>
      <c r="Z36" s="141">
        <v>1.0000000000000001E-5</v>
      </c>
      <c r="AA36" s="141">
        <v>1.0000000000000001E-5</v>
      </c>
      <c r="AB36" s="14">
        <f>AVERAGEIFS('2.1.trackMPD'!M:M,'2.1.trackMPD'!D:D,W36,'2.1.trackMPD'!F:F,Y36,'2.1.trackMPD'!H:H,AA36,'2.1.trackMPD'!M:M,"&lt;&gt;0")</f>
        <v>2.3013775425482259</v>
      </c>
      <c r="AC36" s="14">
        <f>AVERAGEIFS('2.1.trackMPD'!N:N,'2.1.trackMPD'!D:D,W36,'2.1.trackMPD'!F:F,Y36,'2.1.trackMPD'!H:H,AA36,'2.1.trackMPD'!N:N,"&lt;&gt;0")</f>
        <v>10.721050305728385</v>
      </c>
    </row>
    <row r="37" spans="1:29" x14ac:dyDescent="0.2">
      <c r="A37" s="233" t="s">
        <v>31</v>
      </c>
      <c r="B37" s="233" t="s">
        <v>10234</v>
      </c>
      <c r="C37" s="233" t="s">
        <v>1</v>
      </c>
      <c r="D37" s="233">
        <v>3</v>
      </c>
      <c r="E37" s="233">
        <v>0.91500000000000004</v>
      </c>
      <c r="F37" s="233" t="s">
        <v>6370</v>
      </c>
      <c r="G37" s="233">
        <v>2.5000000000000001E-2</v>
      </c>
      <c r="H37" s="233">
        <v>5.0000000000000001E-3</v>
      </c>
      <c r="I37" s="233">
        <v>1.9786393999999999E-2</v>
      </c>
      <c r="J37" s="233">
        <v>1.0936939530000001</v>
      </c>
      <c r="K37" s="233">
        <v>0</v>
      </c>
      <c r="L37" s="233">
        <v>0</v>
      </c>
      <c r="M37" s="233">
        <v>0</v>
      </c>
      <c r="N37" s="233">
        <v>0</v>
      </c>
      <c r="R37" s="14">
        <v>2</v>
      </c>
      <c r="S37" s="14">
        <v>0.88</v>
      </c>
      <c r="T37" s="14">
        <f t="shared" si="0"/>
        <v>880</v>
      </c>
      <c r="V37" s="140" t="s">
        <v>10274</v>
      </c>
      <c r="W37" s="140">
        <v>3</v>
      </c>
      <c r="X37" s="140">
        <v>0.91500000000000004</v>
      </c>
      <c r="Y37" s="140" t="s">
        <v>6369</v>
      </c>
      <c r="Z37" s="141">
        <v>9.9999999999999995E-7</v>
      </c>
      <c r="AA37" s="141">
        <v>9.9999999999999995E-7</v>
      </c>
      <c r="AB37" s="14">
        <f>AVERAGEIFS('2.1.trackMPD'!M:M,'2.1.trackMPD'!D:D,W37,'2.1.trackMPD'!F:F,Y37,'2.1.trackMPD'!H:H,AA37,'2.1.trackMPD'!M:M,"&lt;&gt;0")</f>
        <v>1.7307703152366449</v>
      </c>
      <c r="AC37" s="14">
        <f>AVERAGEIFS('2.1.trackMPD'!N:N,'2.1.trackMPD'!D:D,W37,'2.1.trackMPD'!F:F,Y37,'2.1.trackMPD'!H:H,AA37,'2.1.trackMPD'!N:N,"&lt;&gt;0")</f>
        <v>8.3998767343823992</v>
      </c>
    </row>
    <row r="38" spans="1:29" x14ac:dyDescent="0.2">
      <c r="A38" s="233" t="s">
        <v>31</v>
      </c>
      <c r="B38" s="233" t="s">
        <v>10234</v>
      </c>
      <c r="C38" s="233" t="s">
        <v>1</v>
      </c>
      <c r="D38" s="233">
        <v>3</v>
      </c>
      <c r="E38" s="233">
        <v>0.91500000000000004</v>
      </c>
      <c r="F38" s="233" t="s">
        <v>6371</v>
      </c>
      <c r="G38" s="233">
        <v>9.9999999999999995E-7</v>
      </c>
      <c r="H38" s="233">
        <v>9.9999999999999995E-7</v>
      </c>
      <c r="I38" s="233">
        <v>0.24039529900000001</v>
      </c>
      <c r="J38" s="233">
        <v>1.939130802</v>
      </c>
      <c r="K38" s="233">
        <v>0</v>
      </c>
      <c r="L38" s="233">
        <v>0</v>
      </c>
      <c r="M38" s="233">
        <v>0</v>
      </c>
      <c r="N38" s="233">
        <v>0</v>
      </c>
      <c r="R38" s="14">
        <v>5</v>
      </c>
      <c r="S38" s="14">
        <v>1.06</v>
      </c>
      <c r="T38" s="14">
        <f t="shared" si="0"/>
        <v>1060</v>
      </c>
      <c r="V38" s="140" t="s">
        <v>10274</v>
      </c>
      <c r="W38" s="140">
        <v>3</v>
      </c>
      <c r="X38" s="140">
        <v>0.91500000000000004</v>
      </c>
      <c r="Y38" s="140" t="s">
        <v>6370</v>
      </c>
      <c r="Z38" s="141">
        <v>5.0000000000000001E-3</v>
      </c>
      <c r="AA38" s="140">
        <v>1E-3</v>
      </c>
      <c r="AB38" s="14">
        <f>AVERAGEIFS('2.1.trackMPD'!M:M,'2.1.trackMPD'!D:D,W38,'2.1.trackMPD'!F:F,Y38,'2.1.trackMPD'!H:H,AA38,'2.1.trackMPD'!M:M,"&lt;&gt;0")</f>
        <v>1.7955140233145428</v>
      </c>
      <c r="AC38" s="14">
        <f>AVERAGEIFS('2.1.trackMPD'!N:N,'2.1.trackMPD'!D:D,W38,'2.1.trackMPD'!F:F,Y38,'2.1.trackMPD'!H:H,AA38,'2.1.trackMPD'!N:N,"&lt;&gt;0")</f>
        <v>244.17017632555223</v>
      </c>
    </row>
    <row r="39" spans="1:29" x14ac:dyDescent="0.2">
      <c r="A39" s="233" t="s">
        <v>31</v>
      </c>
      <c r="B39" s="233" t="s">
        <v>10234</v>
      </c>
      <c r="C39" s="233" t="s">
        <v>1</v>
      </c>
      <c r="D39" s="233">
        <v>3</v>
      </c>
      <c r="E39" s="233">
        <v>0.91500000000000004</v>
      </c>
      <c r="F39" s="233" t="s">
        <v>6371</v>
      </c>
      <c r="G39" s="233">
        <v>1.0000000000000001E-5</v>
      </c>
      <c r="H39" s="233">
        <v>1.0000000000000001E-5</v>
      </c>
      <c r="I39" s="233">
        <v>0.95985980400000004</v>
      </c>
      <c r="J39" s="233">
        <v>24.990122060000001</v>
      </c>
      <c r="K39" s="233">
        <v>0</v>
      </c>
      <c r="L39" s="233">
        <v>0</v>
      </c>
      <c r="M39" s="233">
        <v>0</v>
      </c>
      <c r="N39" s="233">
        <v>0</v>
      </c>
      <c r="V39" s="140" t="s">
        <v>10274</v>
      </c>
      <c r="W39" s="140">
        <v>3</v>
      </c>
      <c r="X39" s="140">
        <v>0.91500000000000004</v>
      </c>
      <c r="Y39" s="140" t="s">
        <v>6370</v>
      </c>
      <c r="Z39" s="141">
        <v>1E-3</v>
      </c>
      <c r="AA39" s="140">
        <v>1E-4</v>
      </c>
      <c r="AB39" s="14">
        <f>AVERAGEIFS('2.1.trackMPD'!M:M,'2.1.trackMPD'!D:D,W39,'2.1.trackMPD'!F:F,Y39,'2.1.trackMPD'!H:H,AA39,'2.1.trackMPD'!M:M,"&lt;&gt;0")</f>
        <v>3.6889111123333334</v>
      </c>
      <c r="AC39" s="14">
        <f>AVERAGEIFS('2.1.trackMPD'!N:N,'2.1.trackMPD'!D:D,W39,'2.1.trackMPD'!F:F,Y39,'2.1.trackMPD'!H:H,AA39,'2.1.trackMPD'!N:N,"&lt;&gt;0")</f>
        <v>103.97867436000001</v>
      </c>
    </row>
    <row r="40" spans="1:29" x14ac:dyDescent="0.2">
      <c r="A40" s="233" t="s">
        <v>31</v>
      </c>
      <c r="B40" s="233" t="s">
        <v>10234</v>
      </c>
      <c r="C40" s="233" t="s">
        <v>1</v>
      </c>
      <c r="D40" s="233">
        <v>3</v>
      </c>
      <c r="E40" s="233">
        <v>0.91500000000000004</v>
      </c>
      <c r="F40" s="233" t="s">
        <v>6371</v>
      </c>
      <c r="G40" s="233">
        <v>1E-4</v>
      </c>
      <c r="H40" s="233">
        <v>1E-4</v>
      </c>
      <c r="I40" s="233">
        <v>0.13555254899999999</v>
      </c>
      <c r="J40" s="233">
        <v>16.584746429999999</v>
      </c>
      <c r="K40" s="233">
        <v>0</v>
      </c>
      <c r="L40" s="233">
        <v>0</v>
      </c>
      <c r="M40" s="233">
        <v>0</v>
      </c>
      <c r="N40" s="233">
        <v>0</v>
      </c>
      <c r="V40" s="140" t="s">
        <v>10274</v>
      </c>
      <c r="W40" s="140">
        <v>3</v>
      </c>
      <c r="X40" s="140">
        <v>0.91500000000000004</v>
      </c>
      <c r="Y40" s="140" t="s">
        <v>6370</v>
      </c>
      <c r="Z40" s="141">
        <v>1E-4</v>
      </c>
      <c r="AA40" s="141">
        <v>1.0000000000000001E-5</v>
      </c>
      <c r="AB40" s="14">
        <f>AVERAGEIFS('2.1.trackMPD'!M:M,'2.1.trackMPD'!D:D,W40,'2.1.trackMPD'!F:F,Y40,'2.1.trackMPD'!H:H,AA40,'2.1.trackMPD'!M:M,"&lt;&gt;0")</f>
        <v>2.8576893963333334</v>
      </c>
      <c r="AC40" s="14">
        <f>AVERAGEIFS('2.1.trackMPD'!N:N,'2.1.trackMPD'!D:D,W40,'2.1.trackMPD'!F:F,Y40,'2.1.trackMPD'!H:H,AA40,'2.1.trackMPD'!N:N,"&lt;&gt;0")</f>
        <v>4.3064747283999996</v>
      </c>
    </row>
    <row r="41" spans="1:29" x14ac:dyDescent="0.2">
      <c r="A41" s="233" t="s">
        <v>31</v>
      </c>
      <c r="B41" s="233" t="s">
        <v>10234</v>
      </c>
      <c r="C41" s="233" t="s">
        <v>1</v>
      </c>
      <c r="D41" s="233">
        <v>3</v>
      </c>
      <c r="E41" s="233">
        <v>0.91500000000000004</v>
      </c>
      <c r="F41" s="233" t="s">
        <v>6369</v>
      </c>
      <c r="G41" s="233">
        <v>9.9999999999999995E-7</v>
      </c>
      <c r="H41" s="233">
        <v>9.9999999999999995E-7</v>
      </c>
      <c r="I41" s="233">
        <v>2.3409518000000001E-2</v>
      </c>
      <c r="J41" s="233">
        <v>0.94922070399999992</v>
      </c>
      <c r="K41" s="233">
        <v>0</v>
      </c>
      <c r="L41" s="233">
        <v>0</v>
      </c>
      <c r="M41" s="233">
        <v>0</v>
      </c>
      <c r="N41" s="233">
        <v>0</v>
      </c>
      <c r="V41" s="140" t="s">
        <v>10274</v>
      </c>
      <c r="W41" s="140">
        <v>3</v>
      </c>
      <c r="X41" s="140">
        <v>0.91500000000000004</v>
      </c>
      <c r="Y41" s="140" t="s">
        <v>6370</v>
      </c>
      <c r="Z41" s="141">
        <v>5.0000000000000002E-5</v>
      </c>
      <c r="AA41" s="141">
        <v>9.9999999999999995E-7</v>
      </c>
      <c r="AB41" s="14">
        <f>AVERAGEIFS('2.1.trackMPD'!M:M,'2.1.trackMPD'!D:D,W41,'2.1.trackMPD'!F:F,Y41,'2.1.trackMPD'!H:H,AA41,'2.1.trackMPD'!M:M,"&lt;&gt;0")</f>
        <v>1.5215425700773664</v>
      </c>
      <c r="AC41" s="14">
        <f>AVERAGEIFS('2.1.trackMPD'!N:N,'2.1.trackMPD'!D:D,W41,'2.1.trackMPD'!F:F,Y41,'2.1.trackMPD'!H:H,AA41,'2.1.trackMPD'!N:N,"&lt;&gt;0")</f>
        <v>2.5475803330052473</v>
      </c>
    </row>
    <row r="42" spans="1:29" x14ac:dyDescent="0.2">
      <c r="A42" s="233" t="s">
        <v>31</v>
      </c>
      <c r="B42" s="233" t="s">
        <v>10234</v>
      </c>
      <c r="C42" s="233" t="s">
        <v>1</v>
      </c>
      <c r="D42" s="233">
        <v>3</v>
      </c>
      <c r="E42" s="233">
        <v>0.91500000000000004</v>
      </c>
      <c r="F42" s="233" t="s">
        <v>6369</v>
      </c>
      <c r="G42" s="233">
        <v>1.0000000000000001E-5</v>
      </c>
      <c r="H42" s="233">
        <v>1.0000000000000001E-5</v>
      </c>
      <c r="I42" s="233">
        <v>0.175544482</v>
      </c>
      <c r="J42" s="233">
        <v>1.558749041</v>
      </c>
      <c r="K42" s="233">
        <v>0</v>
      </c>
      <c r="L42" s="233">
        <v>0</v>
      </c>
      <c r="M42" s="233">
        <v>0</v>
      </c>
      <c r="N42" s="233">
        <v>0</v>
      </c>
      <c r="V42" s="140" t="s">
        <v>10274</v>
      </c>
      <c r="W42" s="140">
        <v>3</v>
      </c>
      <c r="X42" s="140">
        <v>0.91500000000000004</v>
      </c>
      <c r="Y42" s="140" t="s">
        <v>6370</v>
      </c>
      <c r="Z42" s="141">
        <v>2.5000000000000001E-2</v>
      </c>
      <c r="AA42" s="140">
        <v>5.0000000000000001E-3</v>
      </c>
      <c r="AB42" s="14">
        <f>AVERAGEIFS('2.1.trackMPD'!M:M,'2.1.trackMPD'!D:D,W42,'2.1.trackMPD'!F:F,Y42,'2.1.trackMPD'!H:H,AA42,'2.1.trackMPD'!M:M,"&lt;&gt;0")</f>
        <v>0.14488131284127109</v>
      </c>
      <c r="AC42" s="14">
        <f>AVERAGEIFS('2.1.trackMPD'!N:N,'2.1.trackMPD'!D:D,W42,'2.1.trackMPD'!F:F,Y42,'2.1.trackMPD'!H:H,AA42,'2.1.trackMPD'!N:N,"&lt;&gt;0")</f>
        <v>145.22032671527992</v>
      </c>
    </row>
    <row r="43" spans="1:29" x14ac:dyDescent="0.2">
      <c r="A43" s="233" t="s">
        <v>31</v>
      </c>
      <c r="B43" s="233" t="s">
        <v>10234</v>
      </c>
      <c r="C43" s="233" t="s">
        <v>1</v>
      </c>
      <c r="D43" s="233">
        <v>3</v>
      </c>
      <c r="E43" s="233">
        <v>0.91500000000000004</v>
      </c>
      <c r="F43" s="233" t="s">
        <v>6369</v>
      </c>
      <c r="G43" s="233">
        <v>1E-4</v>
      </c>
      <c r="H43" s="233">
        <v>1E-4</v>
      </c>
      <c r="I43" s="233">
        <v>0.33931996500000011</v>
      </c>
      <c r="J43" s="233">
        <v>13.12739586</v>
      </c>
      <c r="K43" s="233">
        <v>0</v>
      </c>
      <c r="L43" s="233">
        <v>0</v>
      </c>
      <c r="M43" s="233">
        <v>0</v>
      </c>
      <c r="N43" s="233">
        <v>0</v>
      </c>
      <c r="V43" s="140" t="s">
        <v>10274</v>
      </c>
      <c r="W43" s="140">
        <v>3</v>
      </c>
      <c r="X43" s="140">
        <v>0.91500000000000004</v>
      </c>
      <c r="Y43" s="233" t="s">
        <v>6371</v>
      </c>
      <c r="AA43" s="233">
        <v>9.9999999999999995E-7</v>
      </c>
      <c r="AB43" s="14">
        <f>AVERAGEIFS('2.1.trackMPD'!M:M,'2.1.trackMPD'!D:D,W43,'2.1.trackMPD'!F:F,Y43,'2.1.trackMPD'!H:H,AA43,'2.1.trackMPD'!M:M,"&lt;&gt;0")</f>
        <v>3.3669754149999997</v>
      </c>
      <c r="AC43" s="14">
        <f>AVERAGEIFS('2.1.trackMPD'!N:N,'2.1.trackMPD'!D:D,W43,'2.1.trackMPD'!F:F,Y43,'2.1.trackMPD'!H:H,AA43,'2.1.trackMPD'!N:N,"&lt;&gt;0")</f>
        <v>10.811393802095951</v>
      </c>
    </row>
    <row r="44" spans="1:29" x14ac:dyDescent="0.2">
      <c r="A44" s="233" t="s">
        <v>31</v>
      </c>
      <c r="B44" s="233" t="s">
        <v>10234</v>
      </c>
      <c r="C44" s="233" t="s">
        <v>1</v>
      </c>
      <c r="D44" s="233">
        <v>3</v>
      </c>
      <c r="E44" s="233">
        <v>0.91500000000000004</v>
      </c>
      <c r="F44" s="233" t="s">
        <v>6369</v>
      </c>
      <c r="G44" s="233">
        <v>1E-3</v>
      </c>
      <c r="H44" s="233">
        <v>1E-3</v>
      </c>
      <c r="I44" s="233">
        <v>4.7542533999999997E-2</v>
      </c>
      <c r="J44" s="233">
        <v>2.8410996879999999</v>
      </c>
      <c r="K44" s="233">
        <v>0</v>
      </c>
      <c r="L44" s="233">
        <v>0</v>
      </c>
      <c r="M44" s="233">
        <v>0</v>
      </c>
      <c r="N44" s="233">
        <v>0</v>
      </c>
      <c r="V44" s="140" t="s">
        <v>10274</v>
      </c>
      <c r="W44" s="140">
        <v>3</v>
      </c>
      <c r="X44" s="140">
        <v>0.91500000000000004</v>
      </c>
      <c r="Y44" s="233" t="s">
        <v>6371</v>
      </c>
      <c r="AA44" s="233">
        <v>1.0000000000000001E-5</v>
      </c>
      <c r="AB44" s="14">
        <f>AVERAGEIFS('2.1.trackMPD'!M:M,'2.1.trackMPD'!D:D,W44,'2.1.trackMPD'!F:F,Y44,'2.1.trackMPD'!H:H,AA44,'2.1.trackMPD'!M:M,"&lt;&gt;0")</f>
        <v>9.9763686190000005</v>
      </c>
      <c r="AC44" s="14">
        <f>AVERAGEIFS('2.1.trackMPD'!N:N,'2.1.trackMPD'!D:D,W44,'2.1.trackMPD'!F:F,Y44,'2.1.trackMPD'!H:H,AA44,'2.1.trackMPD'!N:N,"&lt;&gt;0")</f>
        <v>71.251098080000006</v>
      </c>
    </row>
    <row r="45" spans="1:29" x14ac:dyDescent="0.2">
      <c r="A45" s="233" t="s">
        <v>31</v>
      </c>
      <c r="B45" s="233" t="s">
        <v>10234</v>
      </c>
      <c r="C45" s="233" t="s">
        <v>1</v>
      </c>
      <c r="D45" s="233">
        <v>3</v>
      </c>
      <c r="E45" s="233">
        <v>0.91500000000000004</v>
      </c>
      <c r="F45" s="233" t="s">
        <v>6369</v>
      </c>
      <c r="G45" s="233">
        <v>5.0000000000000001E-3</v>
      </c>
      <c r="H45" s="233">
        <v>5.0000000000000001E-3</v>
      </c>
      <c r="I45" s="233">
        <v>2.2102408E-2</v>
      </c>
      <c r="J45" s="233">
        <v>1.301533254</v>
      </c>
      <c r="K45" s="233">
        <v>0</v>
      </c>
      <c r="L45" s="233">
        <v>0</v>
      </c>
      <c r="M45" s="233">
        <v>0</v>
      </c>
      <c r="N45" s="233">
        <v>0</v>
      </c>
      <c r="V45" s="140" t="s">
        <v>10274</v>
      </c>
      <c r="W45" s="140">
        <v>3</v>
      </c>
      <c r="X45" s="140">
        <v>0.91500000000000004</v>
      </c>
      <c r="Y45" s="233" t="s">
        <v>6371</v>
      </c>
      <c r="AA45" s="233">
        <v>1E-4</v>
      </c>
      <c r="AB45" s="14">
        <f>AVERAGEIFS('2.1.trackMPD'!M:M,'2.1.trackMPD'!D:D,W45,'2.1.trackMPD'!F:F,Y45,'2.1.trackMPD'!H:H,AA45,'2.1.trackMPD'!M:M,"&lt;&gt;0")</f>
        <v>13.567195358833333</v>
      </c>
      <c r="AC45" s="14">
        <f>AVERAGEIFS('2.1.trackMPD'!N:N,'2.1.trackMPD'!D:D,W45,'2.1.trackMPD'!F:F,Y45,'2.1.trackMPD'!H:H,AA45,'2.1.trackMPD'!N:N,"&lt;&gt;0")</f>
        <v>235.16585076666669</v>
      </c>
    </row>
    <row r="46" spans="1:29" x14ac:dyDescent="0.2">
      <c r="A46" s="233" t="s">
        <v>31</v>
      </c>
      <c r="B46" s="233" t="s">
        <v>10234</v>
      </c>
      <c r="C46" s="233" t="s">
        <v>2</v>
      </c>
      <c r="D46" s="233">
        <v>6</v>
      </c>
      <c r="E46" s="233">
        <v>1.35</v>
      </c>
      <c r="F46" s="233" t="s">
        <v>6370</v>
      </c>
      <c r="G46" s="233">
        <v>5.0000000000000002E-5</v>
      </c>
      <c r="H46" s="233">
        <v>9.9999999999999995E-7</v>
      </c>
      <c r="I46" s="233">
        <v>2.3650897000000001E-2</v>
      </c>
      <c r="J46" s="233">
        <v>1.1401199500000001</v>
      </c>
      <c r="K46" s="233">
        <v>0</v>
      </c>
      <c r="L46" s="233">
        <v>0</v>
      </c>
      <c r="M46" s="233">
        <v>0</v>
      </c>
      <c r="N46" s="233">
        <v>0</v>
      </c>
      <c r="V46" s="140" t="s">
        <v>10274</v>
      </c>
      <c r="W46" s="140">
        <v>6</v>
      </c>
      <c r="X46" s="140">
        <v>1.35</v>
      </c>
      <c r="Y46" s="140" t="s">
        <v>6369</v>
      </c>
      <c r="Z46" s="141">
        <v>5.0000000000000001E-3</v>
      </c>
      <c r="AA46" s="140">
        <v>5.0000000000000001E-3</v>
      </c>
      <c r="AB46" s="14">
        <f>AVERAGEIFS('2.1.trackMPD'!M:M,'2.1.trackMPD'!D:D,W46,'2.1.trackMPD'!F:F,Y46,'2.1.trackMPD'!H:H,AA46,'2.1.trackMPD'!M:M,"&lt;&gt;0")</f>
        <v>13771.52250453333</v>
      </c>
      <c r="AC46" s="14">
        <f>AVERAGEIFS('2.1.trackMPD'!N:N,'2.1.trackMPD'!D:D,W46,'2.1.trackMPD'!F:F,Y46,'2.1.trackMPD'!H:H,AA46,'2.1.trackMPD'!N:N,"&lt;&gt;0")</f>
        <v>19903.681445000002</v>
      </c>
    </row>
    <row r="47" spans="1:29" x14ac:dyDescent="0.2">
      <c r="A47" s="233" t="s">
        <v>31</v>
      </c>
      <c r="B47" s="233" t="s">
        <v>10234</v>
      </c>
      <c r="C47" s="233" t="s">
        <v>2</v>
      </c>
      <c r="D47" s="233">
        <v>6</v>
      </c>
      <c r="E47" s="233">
        <v>1.35</v>
      </c>
      <c r="F47" s="233" t="s">
        <v>6370</v>
      </c>
      <c r="G47" s="233">
        <v>1E-4</v>
      </c>
      <c r="H47" s="233">
        <v>1.0000000000000001E-5</v>
      </c>
      <c r="I47" s="233">
        <v>1.8060251249999999</v>
      </c>
      <c r="J47" s="233">
        <v>5.4427717580000001</v>
      </c>
      <c r="K47" s="233">
        <v>0</v>
      </c>
      <c r="L47" s="233">
        <v>0</v>
      </c>
      <c r="M47" s="233">
        <v>0</v>
      </c>
      <c r="N47" s="233">
        <v>0</v>
      </c>
      <c r="V47" s="140" t="s">
        <v>10274</v>
      </c>
      <c r="W47" s="140">
        <v>6</v>
      </c>
      <c r="X47" s="140">
        <v>1.35</v>
      </c>
      <c r="Y47" s="140" t="s">
        <v>6369</v>
      </c>
      <c r="Z47" s="141">
        <v>1E-3</v>
      </c>
      <c r="AA47" s="140">
        <v>1E-3</v>
      </c>
      <c r="AB47" s="14">
        <f>AVERAGEIFS('2.1.trackMPD'!M:M,'2.1.trackMPD'!D:D,W47,'2.1.trackMPD'!F:F,Y47,'2.1.trackMPD'!H:H,AA47,'2.1.trackMPD'!M:M,"&lt;&gt;0")</f>
        <v>3665.2282520000003</v>
      </c>
      <c r="AC47" s="14">
        <f>AVERAGEIFS('2.1.trackMPD'!N:N,'2.1.trackMPD'!D:D,W47,'2.1.trackMPD'!F:F,Y47,'2.1.trackMPD'!H:H,AA47,'2.1.trackMPD'!N:N,"&lt;&gt;0")</f>
        <v>5040.7404590000006</v>
      </c>
    </row>
    <row r="48" spans="1:29" x14ac:dyDescent="0.2">
      <c r="A48" s="233" t="s">
        <v>31</v>
      </c>
      <c r="B48" s="233" t="s">
        <v>10234</v>
      </c>
      <c r="C48" s="233" t="s">
        <v>2</v>
      </c>
      <c r="D48" s="233">
        <v>6</v>
      </c>
      <c r="E48" s="233">
        <v>1.35</v>
      </c>
      <c r="F48" s="233" t="s">
        <v>6370</v>
      </c>
      <c r="G48" s="233">
        <v>1E-3</v>
      </c>
      <c r="H48" s="233">
        <v>1E-4</v>
      </c>
      <c r="I48" s="233">
        <v>3067.14021</v>
      </c>
      <c r="J48" s="233">
        <v>411.20984540000001</v>
      </c>
      <c r="K48" s="233">
        <v>0</v>
      </c>
      <c r="L48" s="233">
        <v>0</v>
      </c>
      <c r="M48" s="233">
        <v>0</v>
      </c>
      <c r="N48" s="233">
        <v>0</v>
      </c>
      <c r="V48" s="140" t="s">
        <v>10274</v>
      </c>
      <c r="W48" s="140">
        <v>6</v>
      </c>
      <c r="X48" s="140">
        <v>1.35</v>
      </c>
      <c r="Y48" s="140" t="s">
        <v>6369</v>
      </c>
      <c r="Z48" s="141">
        <v>1E-4</v>
      </c>
      <c r="AA48" s="140">
        <v>1E-4</v>
      </c>
      <c r="AB48" s="14">
        <f>AVERAGEIFS('2.1.trackMPD'!M:M,'2.1.trackMPD'!D:D,W48,'2.1.trackMPD'!F:F,Y48,'2.1.trackMPD'!H:H,AA48,'2.1.trackMPD'!M:M,"&lt;&gt;0")</f>
        <v>139.4979233</v>
      </c>
      <c r="AC48" s="14">
        <f>AVERAGEIFS('2.1.trackMPD'!N:N,'2.1.trackMPD'!D:D,W48,'2.1.trackMPD'!F:F,Y48,'2.1.trackMPD'!H:H,AA48,'2.1.trackMPD'!N:N,"&lt;&gt;0")</f>
        <v>126.32424883333333</v>
      </c>
    </row>
    <row r="49" spans="1:29" x14ac:dyDescent="0.2">
      <c r="A49" s="233" t="s">
        <v>31</v>
      </c>
      <c r="B49" s="233" t="s">
        <v>10234</v>
      </c>
      <c r="C49" s="233" t="s">
        <v>2</v>
      </c>
      <c r="D49" s="233">
        <v>6</v>
      </c>
      <c r="E49" s="233">
        <v>1.35</v>
      </c>
      <c r="F49" s="233" t="s">
        <v>6370</v>
      </c>
      <c r="G49" s="233">
        <v>5.0000000000000001E-3</v>
      </c>
      <c r="H49" s="233">
        <v>1E-3</v>
      </c>
      <c r="I49" s="233">
        <v>386328.92009999999</v>
      </c>
      <c r="J49" s="233">
        <v>4617.9381640000001</v>
      </c>
      <c r="K49" s="233">
        <v>0</v>
      </c>
      <c r="L49" s="233">
        <v>0</v>
      </c>
      <c r="M49" s="233">
        <v>0</v>
      </c>
      <c r="N49" s="233">
        <v>0</v>
      </c>
      <c r="V49" s="140" t="s">
        <v>10274</v>
      </c>
      <c r="W49" s="140">
        <v>6</v>
      </c>
      <c r="X49" s="140">
        <v>1.35</v>
      </c>
      <c r="Y49" s="140" t="s">
        <v>6369</v>
      </c>
      <c r="Z49" s="141">
        <v>1.0000000000000001E-5</v>
      </c>
      <c r="AA49" s="141">
        <v>1.0000000000000001E-5</v>
      </c>
      <c r="AB49" s="14">
        <f>AVERAGEIFS('2.1.trackMPD'!M:M,'2.1.trackMPD'!D:D,W49,'2.1.trackMPD'!F:F,Y49,'2.1.trackMPD'!H:H,AA49,'2.1.trackMPD'!M:M,"&lt;&gt;0")</f>
        <v>24.248869911038408</v>
      </c>
      <c r="AC49" s="14">
        <f>AVERAGEIFS('2.1.trackMPD'!N:N,'2.1.trackMPD'!D:D,W49,'2.1.trackMPD'!F:F,Y49,'2.1.trackMPD'!H:H,AA49,'2.1.trackMPD'!N:N,"&lt;&gt;0")</f>
        <v>22.683470836324584</v>
      </c>
    </row>
    <row r="50" spans="1:29" x14ac:dyDescent="0.2">
      <c r="A50" s="233" t="s">
        <v>31</v>
      </c>
      <c r="B50" s="233" t="s">
        <v>10234</v>
      </c>
      <c r="C50" s="233" t="s">
        <v>2</v>
      </c>
      <c r="D50" s="233">
        <v>6</v>
      </c>
      <c r="E50" s="233">
        <v>1.35</v>
      </c>
      <c r="F50" s="233" t="s">
        <v>6370</v>
      </c>
      <c r="G50" s="233">
        <v>2.5000000000000001E-2</v>
      </c>
      <c r="H50" s="233">
        <v>5.0000000000000001E-3</v>
      </c>
      <c r="I50" s="233">
        <v>2260845.298</v>
      </c>
      <c r="J50" s="233">
        <v>11171.330679999999</v>
      </c>
      <c r="K50" s="233">
        <v>0</v>
      </c>
      <c r="L50" s="233">
        <v>0</v>
      </c>
      <c r="M50" s="233">
        <v>0</v>
      </c>
      <c r="N50" s="233">
        <v>0</v>
      </c>
      <c r="V50" s="140" t="s">
        <v>10274</v>
      </c>
      <c r="W50" s="140">
        <v>6</v>
      </c>
      <c r="X50" s="140">
        <v>1.35</v>
      </c>
      <c r="Y50" s="140" t="s">
        <v>6369</v>
      </c>
      <c r="Z50" s="141">
        <v>9.9999999999999995E-7</v>
      </c>
      <c r="AA50" s="141">
        <v>9.9999999999999995E-7</v>
      </c>
      <c r="AB50" s="14">
        <f>AVERAGEIFS('2.1.trackMPD'!M:M,'2.1.trackMPD'!D:D,W50,'2.1.trackMPD'!F:F,Y50,'2.1.trackMPD'!H:H,AA50,'2.1.trackMPD'!M:M,"&lt;&gt;0")</f>
        <v>28.052869821397962</v>
      </c>
      <c r="AC50" s="14">
        <f>AVERAGEIFS('2.1.trackMPD'!N:N,'2.1.trackMPD'!D:D,W50,'2.1.trackMPD'!F:F,Y50,'2.1.trackMPD'!H:H,AA50,'2.1.trackMPD'!N:N,"&lt;&gt;0")</f>
        <v>22.59890587492529</v>
      </c>
    </row>
    <row r="51" spans="1:29" x14ac:dyDescent="0.2">
      <c r="A51" s="233" t="s">
        <v>31</v>
      </c>
      <c r="B51" s="233" t="s">
        <v>10234</v>
      </c>
      <c r="C51" s="233" t="s">
        <v>2</v>
      </c>
      <c r="D51" s="233">
        <v>6</v>
      </c>
      <c r="E51" s="233">
        <v>1.35</v>
      </c>
      <c r="F51" s="233" t="s">
        <v>6371</v>
      </c>
      <c r="G51" s="233">
        <v>9.9999999999999995E-7</v>
      </c>
      <c r="H51" s="233">
        <v>9.9999999999999995E-7</v>
      </c>
      <c r="I51" s="233">
        <v>0.278796245</v>
      </c>
      <c r="J51" s="233">
        <v>2.0848830280000001</v>
      </c>
      <c r="K51" s="233">
        <v>0</v>
      </c>
      <c r="L51" s="233">
        <v>0</v>
      </c>
      <c r="M51" s="233">
        <v>0</v>
      </c>
      <c r="N51" s="233">
        <v>0</v>
      </c>
      <c r="V51" s="140" t="s">
        <v>10274</v>
      </c>
      <c r="W51" s="140">
        <v>6</v>
      </c>
      <c r="X51" s="140">
        <v>1.35</v>
      </c>
      <c r="Y51" s="140" t="s">
        <v>6370</v>
      </c>
      <c r="Z51" s="141">
        <v>5.0000000000000001E-3</v>
      </c>
      <c r="AA51" s="140">
        <v>1E-3</v>
      </c>
      <c r="AB51" s="14">
        <f>AVERAGEIFS('2.1.trackMPD'!M:M,'2.1.trackMPD'!D:D,W51,'2.1.trackMPD'!F:F,Y51,'2.1.trackMPD'!H:H,AA51,'2.1.trackMPD'!M:M,"&lt;&gt;0")</f>
        <v>3337.1569879000003</v>
      </c>
      <c r="AC51" s="14">
        <f>AVERAGEIFS('2.1.trackMPD'!N:N,'2.1.trackMPD'!D:D,W51,'2.1.trackMPD'!F:F,Y51,'2.1.trackMPD'!H:H,AA51,'2.1.trackMPD'!N:N,"&lt;&gt;0")</f>
        <v>4558.9482106666665</v>
      </c>
    </row>
    <row r="52" spans="1:29" x14ac:dyDescent="0.2">
      <c r="A52" s="233" t="s">
        <v>31</v>
      </c>
      <c r="B52" s="233" t="s">
        <v>10234</v>
      </c>
      <c r="C52" s="233" t="s">
        <v>2</v>
      </c>
      <c r="D52" s="233">
        <v>6</v>
      </c>
      <c r="E52" s="233">
        <v>1.35</v>
      </c>
      <c r="F52" s="233" t="s">
        <v>6371</v>
      </c>
      <c r="G52" s="233">
        <v>1.0000000000000001E-5</v>
      </c>
      <c r="H52" s="233">
        <v>1.0000000000000001E-5</v>
      </c>
      <c r="I52" s="233">
        <v>451.56770710000001</v>
      </c>
      <c r="J52" s="233">
        <v>157.67291109999999</v>
      </c>
      <c r="K52" s="233">
        <v>0</v>
      </c>
      <c r="L52" s="233">
        <v>0</v>
      </c>
      <c r="M52" s="233">
        <v>0</v>
      </c>
      <c r="N52" s="233">
        <v>0</v>
      </c>
      <c r="V52" s="140" t="s">
        <v>10274</v>
      </c>
      <c r="W52" s="140">
        <v>6</v>
      </c>
      <c r="X52" s="140">
        <v>1.35</v>
      </c>
      <c r="Y52" s="140" t="s">
        <v>6370</v>
      </c>
      <c r="Z52" s="141">
        <v>1E-3</v>
      </c>
      <c r="AA52" s="140">
        <v>1E-4</v>
      </c>
      <c r="AB52" s="14">
        <f>AVERAGEIFS('2.1.trackMPD'!M:M,'2.1.trackMPD'!D:D,W52,'2.1.trackMPD'!F:F,Y52,'2.1.trackMPD'!H:H,AA52,'2.1.trackMPD'!M:M,"&lt;&gt;0")</f>
        <v>412.25005096666661</v>
      </c>
      <c r="AC52" s="14">
        <f>AVERAGEIFS('2.1.trackMPD'!N:N,'2.1.trackMPD'!D:D,W52,'2.1.trackMPD'!F:F,Y52,'2.1.trackMPD'!H:H,AA52,'2.1.trackMPD'!N:N,"&lt;&gt;0")</f>
        <v>396.25354953333334</v>
      </c>
    </row>
    <row r="53" spans="1:29" x14ac:dyDescent="0.2">
      <c r="A53" s="233" t="s">
        <v>31</v>
      </c>
      <c r="B53" s="233" t="s">
        <v>10234</v>
      </c>
      <c r="C53" s="233" t="s">
        <v>2</v>
      </c>
      <c r="D53" s="233">
        <v>6</v>
      </c>
      <c r="E53" s="233">
        <v>1.35</v>
      </c>
      <c r="F53" s="233" t="s">
        <v>6371</v>
      </c>
      <c r="G53" s="233">
        <v>1E-4</v>
      </c>
      <c r="H53" s="233">
        <v>1E-4</v>
      </c>
      <c r="I53" s="233">
        <v>78076.843680000005</v>
      </c>
      <c r="J53" s="233">
        <v>2076.015766</v>
      </c>
      <c r="K53" s="233">
        <v>0</v>
      </c>
      <c r="L53" s="233">
        <v>0</v>
      </c>
      <c r="M53" s="233">
        <v>0</v>
      </c>
      <c r="N53" s="233">
        <v>0</v>
      </c>
      <c r="V53" s="140" t="s">
        <v>10274</v>
      </c>
      <c r="W53" s="140">
        <v>6</v>
      </c>
      <c r="X53" s="140">
        <v>1.35</v>
      </c>
      <c r="Y53" s="140" t="s">
        <v>6370</v>
      </c>
      <c r="Z53" s="141">
        <v>1E-4</v>
      </c>
      <c r="AA53" s="141">
        <v>1.0000000000000001E-5</v>
      </c>
      <c r="AB53" s="14">
        <f>AVERAGEIFS('2.1.trackMPD'!M:M,'2.1.trackMPD'!D:D,W53,'2.1.trackMPD'!F:F,Y53,'2.1.trackMPD'!H:H,AA53,'2.1.trackMPD'!M:M,"&lt;&gt;0")</f>
        <v>138.55394767633334</v>
      </c>
      <c r="AC53" s="14">
        <f>AVERAGEIFS('2.1.trackMPD'!N:N,'2.1.trackMPD'!D:D,W53,'2.1.trackMPD'!F:F,Y53,'2.1.trackMPD'!H:H,AA53,'2.1.trackMPD'!N:N,"&lt;&gt;0")</f>
        <v>82.977690064800015</v>
      </c>
    </row>
    <row r="54" spans="1:29" x14ac:dyDescent="0.2">
      <c r="A54" s="233" t="s">
        <v>31</v>
      </c>
      <c r="B54" s="233" t="s">
        <v>10234</v>
      </c>
      <c r="C54" s="233" t="s">
        <v>2</v>
      </c>
      <c r="D54" s="233">
        <v>6</v>
      </c>
      <c r="E54" s="233">
        <v>1.35</v>
      </c>
      <c r="F54" s="233" t="s">
        <v>6369</v>
      </c>
      <c r="G54" s="233">
        <v>9.9999999999999995E-7</v>
      </c>
      <c r="H54" s="233">
        <v>9.9999999999999995E-7</v>
      </c>
      <c r="I54" s="233">
        <v>2.3332874999999999E-2</v>
      </c>
      <c r="J54" s="233">
        <v>1.0678195070000001</v>
      </c>
      <c r="K54" s="233">
        <v>0</v>
      </c>
      <c r="L54" s="233">
        <v>0</v>
      </c>
      <c r="M54" s="233">
        <v>0</v>
      </c>
      <c r="N54" s="233">
        <v>0</v>
      </c>
      <c r="V54" s="140" t="s">
        <v>10274</v>
      </c>
      <c r="W54" s="140">
        <v>6</v>
      </c>
      <c r="X54" s="140">
        <v>1.35</v>
      </c>
      <c r="Y54" s="140" t="s">
        <v>6370</v>
      </c>
      <c r="Z54" s="141">
        <v>5.0000000000000002E-5</v>
      </c>
      <c r="AA54" s="141">
        <v>9.9999999999999995E-7</v>
      </c>
      <c r="AB54" s="14">
        <f>AVERAGEIFS('2.1.trackMPD'!M:M,'2.1.trackMPD'!D:D,W54,'2.1.trackMPD'!F:F,Y54,'2.1.trackMPD'!H:H,AA54,'2.1.trackMPD'!M:M,"&lt;&gt;0")</f>
        <v>68.192596853985762</v>
      </c>
      <c r="AC54" s="14">
        <f>AVERAGEIFS('2.1.trackMPD'!N:N,'2.1.trackMPD'!D:D,W54,'2.1.trackMPD'!F:F,Y54,'2.1.trackMPD'!H:H,AA54,'2.1.trackMPD'!N:N,"&lt;&gt;0")</f>
        <v>68.07904935359997</v>
      </c>
    </row>
    <row r="55" spans="1:29" x14ac:dyDescent="0.2">
      <c r="A55" s="233" t="s">
        <v>31</v>
      </c>
      <c r="B55" s="233" t="s">
        <v>10234</v>
      </c>
      <c r="C55" s="233" t="s">
        <v>2</v>
      </c>
      <c r="D55" s="233">
        <v>6</v>
      </c>
      <c r="E55" s="233">
        <v>1.35</v>
      </c>
      <c r="F55" s="233" t="s">
        <v>6369</v>
      </c>
      <c r="G55" s="233">
        <v>1.0000000000000001E-5</v>
      </c>
      <c r="H55" s="233">
        <v>1.0000000000000001E-5</v>
      </c>
      <c r="I55" s="233">
        <v>0.17354227699999999</v>
      </c>
      <c r="J55" s="233">
        <v>1.6164422009999999</v>
      </c>
      <c r="K55" s="233">
        <v>0</v>
      </c>
      <c r="L55" s="233">
        <v>0</v>
      </c>
      <c r="M55" s="233">
        <v>0</v>
      </c>
      <c r="N55" s="233">
        <v>0</v>
      </c>
      <c r="V55" s="140" t="s">
        <v>10274</v>
      </c>
      <c r="W55" s="140">
        <v>6</v>
      </c>
      <c r="X55" s="140">
        <v>1.35</v>
      </c>
      <c r="Y55" s="140" t="s">
        <v>6370</v>
      </c>
      <c r="Z55" s="141">
        <v>2.5000000000000001E-2</v>
      </c>
      <c r="AA55" s="140">
        <v>5.0000000000000001E-3</v>
      </c>
      <c r="AB55" s="14">
        <f>AVERAGEIFS('2.1.trackMPD'!M:M,'2.1.trackMPD'!D:D,W55,'2.1.trackMPD'!F:F,Y55,'2.1.trackMPD'!H:H,AA55,'2.1.trackMPD'!M:M,"&lt;&gt;0")</f>
        <v>7760.3795375666668</v>
      </c>
      <c r="AC55" s="14">
        <f>AVERAGEIFS('2.1.trackMPD'!N:N,'2.1.trackMPD'!D:D,W55,'2.1.trackMPD'!F:F,Y55,'2.1.trackMPD'!H:H,AA55,'2.1.trackMPD'!N:N,"&lt;&gt;0")</f>
        <v>11066.062375</v>
      </c>
    </row>
    <row r="56" spans="1:29" x14ac:dyDescent="0.2">
      <c r="A56" s="233" t="s">
        <v>31</v>
      </c>
      <c r="B56" s="233" t="s">
        <v>10234</v>
      </c>
      <c r="C56" s="233" t="s">
        <v>2</v>
      </c>
      <c r="D56" s="233">
        <v>6</v>
      </c>
      <c r="E56" s="233">
        <v>1.35</v>
      </c>
      <c r="F56" s="233" t="s">
        <v>6369</v>
      </c>
      <c r="G56" s="233">
        <v>1E-4</v>
      </c>
      <c r="H56" s="233">
        <v>1E-4</v>
      </c>
      <c r="I56" s="233">
        <v>361.14861259999998</v>
      </c>
      <c r="J56" s="233">
        <v>140.40595970000001</v>
      </c>
      <c r="K56" s="233">
        <v>0</v>
      </c>
      <c r="L56" s="233">
        <v>0</v>
      </c>
      <c r="M56" s="233">
        <v>0</v>
      </c>
      <c r="N56" s="233">
        <v>0</v>
      </c>
      <c r="V56" s="140" t="s">
        <v>10274</v>
      </c>
      <c r="W56" s="140">
        <v>6</v>
      </c>
      <c r="X56" s="140">
        <v>1.35</v>
      </c>
      <c r="Y56" s="233" t="s">
        <v>6371</v>
      </c>
      <c r="AA56" s="233">
        <v>9.9999999999999995E-7</v>
      </c>
      <c r="AB56" s="14">
        <f>AVERAGEIFS('2.1.trackMPD'!M:M,'2.1.trackMPD'!D:D,W56,'2.1.trackMPD'!F:F,Y56,'2.1.trackMPD'!H:H,AA56,'2.1.trackMPD'!M:M,"&lt;&gt;0")</f>
        <v>32.140554632200001</v>
      </c>
      <c r="AC56" s="14">
        <f>AVERAGEIFS('2.1.trackMPD'!N:N,'2.1.trackMPD'!D:D,W56,'2.1.trackMPD'!F:F,Y56,'2.1.trackMPD'!H:H,AA56,'2.1.trackMPD'!N:N,"&lt;&gt;0")</f>
        <v>1.4758811511766616</v>
      </c>
    </row>
    <row r="57" spans="1:29" x14ac:dyDescent="0.2">
      <c r="A57" s="233" t="s">
        <v>31</v>
      </c>
      <c r="B57" s="233" t="s">
        <v>10234</v>
      </c>
      <c r="C57" s="233" t="s">
        <v>2</v>
      </c>
      <c r="D57" s="233">
        <v>6</v>
      </c>
      <c r="E57" s="233">
        <v>1.35</v>
      </c>
      <c r="F57" s="233" t="s">
        <v>6369</v>
      </c>
      <c r="G57" s="233">
        <v>1E-3</v>
      </c>
      <c r="H57" s="233">
        <v>1E-3</v>
      </c>
      <c r="I57" s="233">
        <v>474359.11479999998</v>
      </c>
      <c r="J57" s="233">
        <v>5117.0911109999997</v>
      </c>
      <c r="K57" s="233">
        <v>0</v>
      </c>
      <c r="L57" s="233">
        <v>0</v>
      </c>
      <c r="M57" s="233">
        <v>0</v>
      </c>
      <c r="N57" s="233">
        <v>0</v>
      </c>
      <c r="V57" s="140" t="s">
        <v>10274</v>
      </c>
      <c r="W57" s="140">
        <v>6</v>
      </c>
      <c r="X57" s="140">
        <v>1.35</v>
      </c>
      <c r="Y57" s="233" t="s">
        <v>6371</v>
      </c>
      <c r="AA57" s="233">
        <v>1.0000000000000001E-5</v>
      </c>
      <c r="AB57" s="14">
        <f>AVERAGEIFS('2.1.trackMPD'!M:M,'2.1.trackMPD'!D:D,W57,'2.1.trackMPD'!F:F,Y57,'2.1.trackMPD'!H:H,AA57,'2.1.trackMPD'!M:M,"&lt;&gt;0")</f>
        <v>158.52663766666669</v>
      </c>
      <c r="AC57" s="14">
        <f>AVERAGEIFS('2.1.trackMPD'!N:N,'2.1.trackMPD'!D:D,W57,'2.1.trackMPD'!F:F,Y57,'2.1.trackMPD'!H:H,AA57,'2.1.trackMPD'!N:N,"&lt;&gt;0")</f>
        <v>135.56312260000001</v>
      </c>
    </row>
    <row r="58" spans="1:29" x14ac:dyDescent="0.2">
      <c r="A58" s="233" t="s">
        <v>31</v>
      </c>
      <c r="B58" s="233" t="s">
        <v>10234</v>
      </c>
      <c r="C58" s="233" t="s">
        <v>2</v>
      </c>
      <c r="D58" s="233">
        <v>6</v>
      </c>
      <c r="E58" s="233">
        <v>1.35</v>
      </c>
      <c r="F58" s="233" t="s">
        <v>6369</v>
      </c>
      <c r="G58" s="233">
        <v>5.0000000000000001E-3</v>
      </c>
      <c r="H58" s="233">
        <v>5.0000000000000001E-3</v>
      </c>
      <c r="I58" s="233">
        <v>7332781.7139999997</v>
      </c>
      <c r="J58" s="233">
        <v>20118.881870000001</v>
      </c>
      <c r="K58" s="233">
        <v>0</v>
      </c>
      <c r="L58" s="233">
        <v>0</v>
      </c>
      <c r="M58" s="233">
        <v>0</v>
      </c>
      <c r="N58" s="233">
        <v>0</v>
      </c>
      <c r="V58" s="140" t="s">
        <v>10274</v>
      </c>
      <c r="W58" s="140">
        <v>6</v>
      </c>
      <c r="X58" s="140">
        <v>1.35</v>
      </c>
      <c r="Y58" s="233" t="s">
        <v>6371</v>
      </c>
      <c r="AA58" s="233">
        <v>1E-4</v>
      </c>
      <c r="AB58" s="14">
        <f>AVERAGEIFS('2.1.trackMPD'!M:M,'2.1.trackMPD'!D:D,W58,'2.1.trackMPD'!F:F,Y58,'2.1.trackMPD'!H:H,AA58,'2.1.trackMPD'!M:M,"&lt;&gt;0")</f>
        <v>2080.313189</v>
      </c>
      <c r="AC58" s="14">
        <f>AVERAGEIFS('2.1.trackMPD'!N:N,'2.1.trackMPD'!D:D,W58,'2.1.trackMPD'!F:F,Y58,'2.1.trackMPD'!H:H,AA58,'2.1.trackMPD'!N:N,"&lt;&gt;0")</f>
        <v>2044.1223203333332</v>
      </c>
    </row>
    <row r="59" spans="1:29" x14ac:dyDescent="0.2">
      <c r="A59" s="233" t="s">
        <v>31</v>
      </c>
      <c r="B59" s="233" t="s">
        <v>10234</v>
      </c>
      <c r="C59" s="233" t="s">
        <v>3</v>
      </c>
      <c r="D59" s="233">
        <v>2</v>
      </c>
      <c r="E59" s="233">
        <v>0.88</v>
      </c>
      <c r="F59" s="233" t="s">
        <v>6370</v>
      </c>
      <c r="G59" s="233">
        <v>5.0000000000000002E-5</v>
      </c>
      <c r="H59" s="233">
        <v>9.9999999999999995E-7</v>
      </c>
      <c r="I59" s="233">
        <v>2.7940396999999999E-2</v>
      </c>
      <c r="J59" s="233">
        <v>1.004327789</v>
      </c>
      <c r="K59" s="233">
        <v>0</v>
      </c>
      <c r="L59" s="233">
        <v>0</v>
      </c>
      <c r="M59" s="233">
        <v>0</v>
      </c>
      <c r="N59" s="233">
        <v>0</v>
      </c>
      <c r="V59" s="140" t="s">
        <v>10274</v>
      </c>
      <c r="W59" s="140">
        <v>2</v>
      </c>
      <c r="X59" s="140">
        <v>0.88</v>
      </c>
      <c r="Y59" s="140" t="s">
        <v>6369</v>
      </c>
      <c r="Z59" s="141">
        <v>5.0000000000000001E-3</v>
      </c>
      <c r="AA59" s="140">
        <v>5.0000000000000001E-3</v>
      </c>
      <c r="AB59" s="14">
        <f>AVERAGEIFS('2.1.trackMPD'!M:M,'2.1.trackMPD'!D:D,W59,'2.1.trackMPD'!F:F,Y59,'2.1.trackMPD'!H:H,AA59,'2.1.trackMPD'!M:M,"&lt;&gt;0")</f>
        <v>0.18294491173830754</v>
      </c>
      <c r="AC59" s="14">
        <f>AVERAGEIFS('2.1.trackMPD'!N:N,'2.1.trackMPD'!D:D,W59,'2.1.trackMPD'!F:F,Y59,'2.1.trackMPD'!H:H,AA59,'2.1.trackMPD'!N:N,"&lt;&gt;0")</f>
        <v>228.33896863095578</v>
      </c>
    </row>
    <row r="60" spans="1:29" x14ac:dyDescent="0.2">
      <c r="A60" s="233" t="s">
        <v>31</v>
      </c>
      <c r="B60" s="233" t="s">
        <v>10234</v>
      </c>
      <c r="C60" s="233" t="s">
        <v>3</v>
      </c>
      <c r="D60" s="233">
        <v>2</v>
      </c>
      <c r="E60" s="233">
        <v>0.88</v>
      </c>
      <c r="F60" s="233" t="s">
        <v>6370</v>
      </c>
      <c r="G60" s="233">
        <v>1E-4</v>
      </c>
      <c r="H60" s="233">
        <v>1.0000000000000001E-5</v>
      </c>
      <c r="I60" s="233">
        <v>0.44978301100000001</v>
      </c>
      <c r="J60" s="233">
        <v>4.0347459460000001</v>
      </c>
      <c r="K60" s="233">
        <v>0</v>
      </c>
      <c r="L60" s="233">
        <v>0</v>
      </c>
      <c r="M60" s="233">
        <v>0</v>
      </c>
      <c r="N60" s="233">
        <v>0</v>
      </c>
      <c r="V60" s="140" t="s">
        <v>10274</v>
      </c>
      <c r="W60" s="140">
        <v>2</v>
      </c>
      <c r="X60" s="140">
        <v>0.88</v>
      </c>
      <c r="Y60" s="140" t="s">
        <v>6369</v>
      </c>
      <c r="Z60" s="141">
        <v>1E-3</v>
      </c>
      <c r="AA60" s="140">
        <v>1E-3</v>
      </c>
      <c r="AB60" s="14">
        <f>AVERAGEIFS('2.1.trackMPD'!M:M,'2.1.trackMPD'!D:D,W60,'2.1.trackMPD'!F:F,Y60,'2.1.trackMPD'!H:H,AA60,'2.1.trackMPD'!M:M,"&lt;&gt;0")</f>
        <v>2.4265030910686662</v>
      </c>
      <c r="AC60" s="14">
        <f>AVERAGEIFS('2.1.trackMPD'!N:N,'2.1.trackMPD'!D:D,W60,'2.1.trackMPD'!F:F,Y60,'2.1.trackMPD'!H:H,AA60,'2.1.trackMPD'!N:N,"&lt;&gt;0")</f>
        <v>240.13354359680659</v>
      </c>
    </row>
    <row r="61" spans="1:29" x14ac:dyDescent="0.2">
      <c r="A61" s="233" t="s">
        <v>31</v>
      </c>
      <c r="B61" s="233" t="s">
        <v>10234</v>
      </c>
      <c r="C61" s="233" t="s">
        <v>3</v>
      </c>
      <c r="D61" s="233">
        <v>2</v>
      </c>
      <c r="E61" s="233">
        <v>0.88</v>
      </c>
      <c r="F61" s="233" t="s">
        <v>6370</v>
      </c>
      <c r="G61" s="233">
        <v>1E-3</v>
      </c>
      <c r="H61" s="233">
        <v>1E-4</v>
      </c>
      <c r="I61" s="233">
        <v>0.188417327</v>
      </c>
      <c r="J61" s="233">
        <v>16.765691019999998</v>
      </c>
      <c r="K61" s="233">
        <v>0</v>
      </c>
      <c r="L61" s="233">
        <v>0</v>
      </c>
      <c r="M61" s="233">
        <v>0</v>
      </c>
      <c r="N61" s="233">
        <v>0</v>
      </c>
      <c r="V61" s="140" t="s">
        <v>10274</v>
      </c>
      <c r="W61" s="140">
        <v>2</v>
      </c>
      <c r="X61" s="140">
        <v>0.88</v>
      </c>
      <c r="Y61" s="140" t="s">
        <v>6369</v>
      </c>
      <c r="Z61" s="141">
        <v>1E-4</v>
      </c>
      <c r="AA61" s="140">
        <v>1E-4</v>
      </c>
      <c r="AB61" s="14">
        <f>AVERAGEIFS('2.1.trackMPD'!M:M,'2.1.trackMPD'!D:D,W61,'2.1.trackMPD'!F:F,Y61,'2.1.trackMPD'!H:H,AA61,'2.1.trackMPD'!M:M,"&lt;&gt;0")</f>
        <v>3.8027770006666661</v>
      </c>
      <c r="AC61" s="14">
        <f>AVERAGEIFS('2.1.trackMPD'!N:N,'2.1.trackMPD'!D:D,W61,'2.1.trackMPD'!F:F,Y61,'2.1.trackMPD'!H:H,AA61,'2.1.trackMPD'!N:N,"&lt;&gt;0")</f>
        <v>54.595961562499994</v>
      </c>
    </row>
    <row r="62" spans="1:29" x14ac:dyDescent="0.2">
      <c r="A62" s="233" t="s">
        <v>31</v>
      </c>
      <c r="B62" s="233" t="s">
        <v>10234</v>
      </c>
      <c r="C62" s="233" t="s">
        <v>3</v>
      </c>
      <c r="D62" s="233">
        <v>2</v>
      </c>
      <c r="E62" s="233">
        <v>0.88</v>
      </c>
      <c r="F62" s="233" t="s">
        <v>6370</v>
      </c>
      <c r="G62" s="233">
        <v>5.0000000000000001E-3</v>
      </c>
      <c r="H62" s="233">
        <v>1E-3</v>
      </c>
      <c r="I62" s="233">
        <v>2.8493867999999999E-2</v>
      </c>
      <c r="J62" s="233">
        <v>1.6780037409999999</v>
      </c>
      <c r="K62" s="233">
        <v>0</v>
      </c>
      <c r="L62" s="233">
        <v>0</v>
      </c>
      <c r="M62" s="233">
        <v>0</v>
      </c>
      <c r="N62" s="233">
        <v>0</v>
      </c>
      <c r="V62" s="140" t="s">
        <v>10274</v>
      </c>
      <c r="W62" s="140">
        <v>2</v>
      </c>
      <c r="X62" s="140">
        <v>0.88</v>
      </c>
      <c r="Y62" s="140" t="s">
        <v>6369</v>
      </c>
      <c r="Z62" s="141">
        <v>1.0000000000000001E-5</v>
      </c>
      <c r="AA62" s="141">
        <v>1.0000000000000001E-5</v>
      </c>
      <c r="AB62" s="14">
        <f>AVERAGEIFS('2.1.trackMPD'!M:M,'2.1.trackMPD'!D:D,W62,'2.1.trackMPD'!F:F,Y62,'2.1.trackMPD'!H:H,AA62,'2.1.trackMPD'!M:M,"&lt;&gt;0")</f>
        <v>2.3093864007523739</v>
      </c>
      <c r="AC62" s="14">
        <f>AVERAGEIFS('2.1.trackMPD'!N:N,'2.1.trackMPD'!D:D,W62,'2.1.trackMPD'!F:F,Y62,'2.1.trackMPD'!H:H,AA62,'2.1.trackMPD'!N:N,"&lt;&gt;0")</f>
        <v>10.21744638493653</v>
      </c>
    </row>
    <row r="63" spans="1:29" x14ac:dyDescent="0.2">
      <c r="A63" s="233" t="s">
        <v>31</v>
      </c>
      <c r="B63" s="233" t="s">
        <v>10234</v>
      </c>
      <c r="C63" s="233" t="s">
        <v>3</v>
      </c>
      <c r="D63" s="233">
        <v>2</v>
      </c>
      <c r="E63" s="233">
        <v>0.88</v>
      </c>
      <c r="F63" s="233" t="s">
        <v>6370</v>
      </c>
      <c r="G63" s="233">
        <v>2.5000000000000001E-2</v>
      </c>
      <c r="H63" s="233">
        <v>5.0000000000000001E-3</v>
      </c>
      <c r="I63" s="233">
        <v>2.0335011E-2</v>
      </c>
      <c r="J63" s="233">
        <v>1.020277474</v>
      </c>
      <c r="K63" s="233">
        <v>0</v>
      </c>
      <c r="L63" s="233">
        <v>0</v>
      </c>
      <c r="M63" s="233">
        <v>0</v>
      </c>
      <c r="N63" s="233">
        <v>0</v>
      </c>
      <c r="V63" s="140" t="s">
        <v>10274</v>
      </c>
      <c r="W63" s="140">
        <v>2</v>
      </c>
      <c r="X63" s="140">
        <v>0.88</v>
      </c>
      <c r="Y63" s="140" t="s">
        <v>6369</v>
      </c>
      <c r="Z63" s="141">
        <v>9.9999999999999995E-7</v>
      </c>
      <c r="AA63" s="141">
        <v>9.9999999999999995E-7</v>
      </c>
      <c r="AB63" s="14">
        <f>AVERAGEIFS('2.1.trackMPD'!M:M,'2.1.trackMPD'!D:D,W63,'2.1.trackMPD'!F:F,Y63,'2.1.trackMPD'!H:H,AA63,'2.1.trackMPD'!M:M,"&lt;&gt;0")</f>
        <v>0.78963289896232192</v>
      </c>
      <c r="AC63" s="14">
        <f>AVERAGEIFS('2.1.trackMPD'!N:N,'2.1.trackMPD'!D:D,W63,'2.1.trackMPD'!F:F,Y63,'2.1.trackMPD'!H:H,AA63,'2.1.trackMPD'!N:N,"&lt;&gt;0")</f>
        <v>0.74510523524412797</v>
      </c>
    </row>
    <row r="64" spans="1:29" x14ac:dyDescent="0.2">
      <c r="A64" s="233" t="s">
        <v>31</v>
      </c>
      <c r="B64" s="233" t="s">
        <v>10234</v>
      </c>
      <c r="C64" s="233" t="s">
        <v>3</v>
      </c>
      <c r="D64" s="233">
        <v>2</v>
      </c>
      <c r="E64" s="233">
        <v>0.88</v>
      </c>
      <c r="F64" s="233" t="s">
        <v>6371</v>
      </c>
      <c r="G64" s="233">
        <v>9.9999999999999995E-7</v>
      </c>
      <c r="H64" s="233">
        <v>9.9999999999999995E-7</v>
      </c>
      <c r="I64" s="233">
        <v>0.24221784699999999</v>
      </c>
      <c r="J64" s="233">
        <v>2.0441543470000001</v>
      </c>
      <c r="K64" s="233">
        <v>0</v>
      </c>
      <c r="L64" s="233">
        <v>0</v>
      </c>
      <c r="M64" s="233">
        <v>0</v>
      </c>
      <c r="N64" s="233">
        <v>0</v>
      </c>
      <c r="V64" s="140" t="s">
        <v>10274</v>
      </c>
      <c r="W64" s="140">
        <v>2</v>
      </c>
      <c r="X64" s="140">
        <v>0.88</v>
      </c>
      <c r="Y64" s="140" t="s">
        <v>6370</v>
      </c>
      <c r="Z64" s="141">
        <v>5.0000000000000001E-3</v>
      </c>
      <c r="AA64" s="140">
        <v>1E-3</v>
      </c>
      <c r="AB64" s="14">
        <f>AVERAGEIFS('2.1.trackMPD'!M:M,'2.1.trackMPD'!D:D,W64,'2.1.trackMPD'!F:F,Y64,'2.1.trackMPD'!H:H,AA64,'2.1.trackMPD'!M:M,"&lt;&gt;0")</f>
        <v>1.014218683507996</v>
      </c>
      <c r="AC64" s="14">
        <f>AVERAGEIFS('2.1.trackMPD'!N:N,'2.1.trackMPD'!D:D,W64,'2.1.trackMPD'!F:F,Y64,'2.1.trackMPD'!H:H,AA64,'2.1.trackMPD'!N:N,"&lt;&gt;0")</f>
        <v>258.34463379105443</v>
      </c>
    </row>
    <row r="65" spans="1:30" x14ac:dyDescent="0.2">
      <c r="A65" s="233" t="s">
        <v>31</v>
      </c>
      <c r="B65" s="233" t="s">
        <v>10234</v>
      </c>
      <c r="C65" s="233" t="s">
        <v>3</v>
      </c>
      <c r="D65" s="233">
        <v>2</v>
      </c>
      <c r="E65" s="233">
        <v>0.88</v>
      </c>
      <c r="F65" s="233" t="s">
        <v>6371</v>
      </c>
      <c r="G65" s="233">
        <v>1.0000000000000001E-5</v>
      </c>
      <c r="H65" s="233">
        <v>1.0000000000000001E-5</v>
      </c>
      <c r="I65" s="233">
        <v>0.76165407900000004</v>
      </c>
      <c r="J65" s="233">
        <v>23.395884120000002</v>
      </c>
      <c r="K65" s="233">
        <v>0</v>
      </c>
      <c r="L65" s="233">
        <v>0</v>
      </c>
      <c r="M65" s="233">
        <v>0</v>
      </c>
      <c r="N65" s="233">
        <v>0</v>
      </c>
      <c r="V65" s="140" t="s">
        <v>10274</v>
      </c>
      <c r="W65" s="140">
        <v>2</v>
      </c>
      <c r="X65" s="140">
        <v>0.88</v>
      </c>
      <c r="Y65" s="140" t="s">
        <v>6370</v>
      </c>
      <c r="Z65" s="141">
        <v>1E-3</v>
      </c>
      <c r="AA65" s="140">
        <v>1E-4</v>
      </c>
      <c r="AB65" s="14">
        <f>AVERAGEIFS('2.1.trackMPD'!M:M,'2.1.trackMPD'!D:D,W65,'2.1.trackMPD'!F:F,Y65,'2.1.trackMPD'!H:H,AA65,'2.1.trackMPD'!M:M,"&lt;&gt;0")</f>
        <v>4.9710326552499993</v>
      </c>
      <c r="AC65" s="14">
        <f>AVERAGEIFS('2.1.trackMPD'!N:N,'2.1.trackMPD'!D:D,W65,'2.1.trackMPD'!F:F,Y65,'2.1.trackMPD'!H:H,AA65,'2.1.trackMPD'!N:N,"&lt;&gt;0")</f>
        <v>99.98935593249999</v>
      </c>
    </row>
    <row r="66" spans="1:30" x14ac:dyDescent="0.2">
      <c r="A66" s="233" t="s">
        <v>31</v>
      </c>
      <c r="B66" s="233" t="s">
        <v>10234</v>
      </c>
      <c r="C66" s="233" t="s">
        <v>3</v>
      </c>
      <c r="D66" s="233">
        <v>2</v>
      </c>
      <c r="E66" s="233">
        <v>0.88</v>
      </c>
      <c r="F66" s="233" t="s">
        <v>6371</v>
      </c>
      <c r="G66" s="233">
        <v>1E-4</v>
      </c>
      <c r="H66" s="233">
        <v>1E-4</v>
      </c>
      <c r="I66" s="233">
        <v>9.5925745000000007E-2</v>
      </c>
      <c r="J66" s="233">
        <v>9.9690434910000008</v>
      </c>
      <c r="K66" s="233">
        <v>0</v>
      </c>
      <c r="L66" s="233">
        <v>0</v>
      </c>
      <c r="M66" s="233">
        <v>0</v>
      </c>
      <c r="N66" s="233">
        <v>0</v>
      </c>
      <c r="V66" s="140" t="s">
        <v>10274</v>
      </c>
      <c r="W66" s="140">
        <v>2</v>
      </c>
      <c r="X66" s="140">
        <v>0.88</v>
      </c>
      <c r="Y66" s="140" t="s">
        <v>6370</v>
      </c>
      <c r="Z66" s="141">
        <v>1E-4</v>
      </c>
      <c r="AA66" s="141">
        <v>1.0000000000000001E-5</v>
      </c>
      <c r="AB66" s="14">
        <f>AVERAGEIFS('2.1.trackMPD'!M:M,'2.1.trackMPD'!D:D,W66,'2.1.trackMPD'!F:F,Y66,'2.1.trackMPD'!H:H,AA66,'2.1.trackMPD'!M:M,"&lt;&gt;0")</f>
        <v>2.7827111710000003</v>
      </c>
      <c r="AC66" s="14">
        <f>AVERAGEIFS('2.1.trackMPD'!N:N,'2.1.trackMPD'!D:D,W66,'2.1.trackMPD'!F:F,Y66,'2.1.trackMPD'!H:H,AA66,'2.1.trackMPD'!N:N,"&lt;&gt;0")</f>
        <v>4.5361587698000001</v>
      </c>
    </row>
    <row r="67" spans="1:30" x14ac:dyDescent="0.2">
      <c r="A67" s="233" t="s">
        <v>31</v>
      </c>
      <c r="B67" s="233" t="s">
        <v>10234</v>
      </c>
      <c r="C67" s="233" t="s">
        <v>3</v>
      </c>
      <c r="D67" s="233">
        <v>2</v>
      </c>
      <c r="E67" s="233">
        <v>0.88</v>
      </c>
      <c r="F67" s="233" t="s">
        <v>6369</v>
      </c>
      <c r="G67" s="233">
        <v>9.9999999999999995E-7</v>
      </c>
      <c r="H67" s="233">
        <v>9.9999999999999995E-7</v>
      </c>
      <c r="I67" s="233">
        <v>2.4481322E-2</v>
      </c>
      <c r="J67" s="233">
        <v>1.132895575</v>
      </c>
      <c r="K67" s="233">
        <v>0</v>
      </c>
      <c r="L67" s="233">
        <v>0</v>
      </c>
      <c r="M67" s="233">
        <v>0</v>
      </c>
      <c r="N67" s="233">
        <v>0</v>
      </c>
      <c r="V67" s="140" t="s">
        <v>10274</v>
      </c>
      <c r="W67" s="140">
        <v>2</v>
      </c>
      <c r="X67" s="140">
        <v>0.88</v>
      </c>
      <c r="Y67" s="140" t="s">
        <v>6370</v>
      </c>
      <c r="Z67" s="141">
        <v>5.0000000000000002E-5</v>
      </c>
      <c r="AA67" s="141">
        <v>9.9999999999999995E-7</v>
      </c>
      <c r="AB67" s="14">
        <f>AVERAGEIFS('2.1.trackMPD'!M:M,'2.1.trackMPD'!D:D,W67,'2.1.trackMPD'!F:F,Y67,'2.1.trackMPD'!H:H,AA67,'2.1.trackMPD'!M:M,"&lt;&gt;0")</f>
        <v>1.6845280147275719</v>
      </c>
      <c r="AC67" s="14">
        <f>AVERAGEIFS('2.1.trackMPD'!N:N,'2.1.trackMPD'!D:D,W67,'2.1.trackMPD'!F:F,Y67,'2.1.trackMPD'!H:H,AA67,'2.1.trackMPD'!N:N,"&lt;&gt;0")</f>
        <v>2.7452021427145423</v>
      </c>
    </row>
    <row r="68" spans="1:30" x14ac:dyDescent="0.2">
      <c r="A68" s="233" t="s">
        <v>31</v>
      </c>
      <c r="B68" s="233" t="s">
        <v>10234</v>
      </c>
      <c r="C68" s="233" t="s">
        <v>3</v>
      </c>
      <c r="D68" s="233">
        <v>2</v>
      </c>
      <c r="E68" s="233">
        <v>0.88</v>
      </c>
      <c r="F68" s="233" t="s">
        <v>6369</v>
      </c>
      <c r="G68" s="233">
        <v>1.0000000000000001E-5</v>
      </c>
      <c r="H68" s="233">
        <v>1.0000000000000001E-5</v>
      </c>
      <c r="I68" s="233">
        <v>0.14971828600000001</v>
      </c>
      <c r="J68" s="233">
        <v>1.5770467770000001</v>
      </c>
      <c r="K68" s="233">
        <v>0</v>
      </c>
      <c r="L68" s="233">
        <v>0</v>
      </c>
      <c r="M68" s="233">
        <v>0</v>
      </c>
      <c r="N68" s="233">
        <v>0</v>
      </c>
      <c r="V68" s="140" t="s">
        <v>10274</v>
      </c>
      <c r="W68" s="140">
        <v>2</v>
      </c>
      <c r="X68" s="140">
        <v>0.88</v>
      </c>
      <c r="Y68" s="140" t="s">
        <v>6370</v>
      </c>
      <c r="Z68" s="141">
        <v>2.5000000000000001E-2</v>
      </c>
      <c r="AA68" s="140">
        <v>5.0000000000000001E-3</v>
      </c>
      <c r="AB68" s="14">
        <f>AVERAGEIFS('2.1.trackMPD'!M:M,'2.1.trackMPD'!D:D,W68,'2.1.trackMPD'!F:F,Y68,'2.1.trackMPD'!H:H,AA68,'2.1.trackMPD'!M:M,"&lt;&gt;0")</f>
        <v>0.11489417609536019</v>
      </c>
      <c r="AC68" s="14">
        <f>AVERAGEIFS('2.1.trackMPD'!N:N,'2.1.trackMPD'!D:D,W68,'2.1.trackMPD'!F:F,Y68,'2.1.trackMPD'!H:H,AA68,'2.1.trackMPD'!N:N,"&lt;&gt;0")</f>
        <v>109.97053761204752</v>
      </c>
    </row>
    <row r="69" spans="1:30" x14ac:dyDescent="0.2">
      <c r="A69" s="233" t="s">
        <v>31</v>
      </c>
      <c r="B69" s="233" t="s">
        <v>10234</v>
      </c>
      <c r="C69" s="233" t="s">
        <v>3</v>
      </c>
      <c r="D69" s="233">
        <v>2</v>
      </c>
      <c r="E69" s="233">
        <v>0.88</v>
      </c>
      <c r="F69" s="233" t="s">
        <v>6369</v>
      </c>
      <c r="G69" s="233">
        <v>1E-4</v>
      </c>
      <c r="H69" s="233">
        <v>1E-4</v>
      </c>
      <c r="I69" s="233">
        <v>0.269511587</v>
      </c>
      <c r="J69" s="233">
        <v>12.227539630000001</v>
      </c>
      <c r="K69" s="233">
        <v>0</v>
      </c>
      <c r="L69" s="233">
        <v>0</v>
      </c>
      <c r="M69" s="233">
        <v>0</v>
      </c>
      <c r="N69" s="233">
        <v>0</v>
      </c>
      <c r="V69" s="140" t="s">
        <v>10274</v>
      </c>
      <c r="W69" s="140">
        <v>2</v>
      </c>
      <c r="X69" s="140">
        <v>0.88</v>
      </c>
      <c r="Y69" s="233" t="s">
        <v>6371</v>
      </c>
      <c r="AA69" s="233">
        <v>9.9999999999999995E-7</v>
      </c>
      <c r="AB69" s="14">
        <f>AVERAGEIFS('2.1.trackMPD'!M:M,'2.1.trackMPD'!D:D,W69,'2.1.trackMPD'!F:F,Y69,'2.1.trackMPD'!H:H,AA69,'2.1.trackMPD'!M:M,"&lt;&gt;0")</f>
        <v>3.3091599799794236</v>
      </c>
      <c r="AC69" s="14">
        <f>AVERAGEIFS('2.1.trackMPD'!N:N,'2.1.trackMPD'!D:D,W69,'2.1.trackMPD'!F:F,Y69,'2.1.trackMPD'!H:H,AA69,'2.1.trackMPD'!N:N,"&lt;&gt;0")</f>
        <v>10.149345626986007</v>
      </c>
    </row>
    <row r="70" spans="1:30" x14ac:dyDescent="0.2">
      <c r="A70" s="233" t="s">
        <v>31</v>
      </c>
      <c r="B70" s="233" t="s">
        <v>10234</v>
      </c>
      <c r="C70" s="233" t="s">
        <v>3</v>
      </c>
      <c r="D70" s="233">
        <v>2</v>
      </c>
      <c r="E70" s="233">
        <v>0.88</v>
      </c>
      <c r="F70" s="233" t="s">
        <v>6369</v>
      </c>
      <c r="G70" s="233">
        <v>1E-3</v>
      </c>
      <c r="H70" s="233">
        <v>1E-3</v>
      </c>
      <c r="I70" s="233">
        <v>3.9073899000000002E-2</v>
      </c>
      <c r="J70" s="233">
        <v>2.4417374490000001</v>
      </c>
      <c r="K70" s="233">
        <v>0</v>
      </c>
      <c r="L70" s="233">
        <v>0</v>
      </c>
      <c r="M70" s="233">
        <v>0</v>
      </c>
      <c r="N70" s="233">
        <v>0</v>
      </c>
      <c r="V70" s="140" t="s">
        <v>10274</v>
      </c>
      <c r="W70" s="140">
        <v>2</v>
      </c>
      <c r="X70" s="140">
        <v>0.88</v>
      </c>
      <c r="Y70" s="233" t="s">
        <v>6371</v>
      </c>
      <c r="AA70" s="233">
        <v>1.0000000000000001E-5</v>
      </c>
      <c r="AB70" s="14">
        <f>AVERAGEIFS('2.1.trackMPD'!M:M,'2.1.trackMPD'!D:D,W70,'2.1.trackMPD'!F:F,Y70,'2.1.trackMPD'!H:H,AA70,'2.1.trackMPD'!M:M,"&lt;&gt;0")</f>
        <v>8.5171419369999999</v>
      </c>
      <c r="AC70" s="14">
        <f>AVERAGEIFS('2.1.trackMPD'!N:N,'2.1.trackMPD'!D:D,W70,'2.1.trackMPD'!F:F,Y70,'2.1.trackMPD'!H:H,AA70,'2.1.trackMPD'!N:N,"&lt;&gt;0")</f>
        <v>68.777722757499987</v>
      </c>
    </row>
    <row r="71" spans="1:30" x14ac:dyDescent="0.2">
      <c r="A71" s="233" t="s">
        <v>31</v>
      </c>
      <c r="B71" s="233" t="s">
        <v>10234</v>
      </c>
      <c r="C71" s="233" t="s">
        <v>3</v>
      </c>
      <c r="D71" s="233">
        <v>2</v>
      </c>
      <c r="E71" s="233">
        <v>0.88</v>
      </c>
      <c r="F71" s="233" t="s">
        <v>6369</v>
      </c>
      <c r="G71" s="233">
        <v>5.0000000000000001E-3</v>
      </c>
      <c r="H71" s="233">
        <v>5.0000000000000001E-3</v>
      </c>
      <c r="I71" s="233">
        <v>1.7887872999999999E-2</v>
      </c>
      <c r="J71" s="233">
        <v>1.2057932979999999</v>
      </c>
      <c r="K71" s="233">
        <v>0</v>
      </c>
      <c r="L71" s="233">
        <v>0</v>
      </c>
      <c r="M71" s="233">
        <v>0</v>
      </c>
      <c r="N71" s="233">
        <v>0</v>
      </c>
      <c r="V71" s="140" t="s">
        <v>10274</v>
      </c>
      <c r="W71" s="140">
        <v>2</v>
      </c>
      <c r="X71" s="140">
        <v>0.88</v>
      </c>
      <c r="Y71" s="233" t="s">
        <v>6371</v>
      </c>
      <c r="AA71" s="233">
        <v>1E-4</v>
      </c>
      <c r="AB71" s="14">
        <f>AVERAGEIFS('2.1.trackMPD'!M:M,'2.1.trackMPD'!D:D,W71,'2.1.trackMPD'!F:F,Y71,'2.1.trackMPD'!H:H,AA71,'2.1.trackMPD'!M:M,"&lt;&gt;0")</f>
        <v>1.42798555725</v>
      </c>
      <c r="AC71" s="14">
        <f>AVERAGEIFS('2.1.trackMPD'!N:N,'2.1.trackMPD'!D:D,W71,'2.1.trackMPD'!F:F,Y71,'2.1.trackMPD'!H:H,AA71,'2.1.trackMPD'!N:N,"&lt;&gt;0")</f>
        <v>255.72717755000002</v>
      </c>
    </row>
    <row r="72" spans="1:30" x14ac:dyDescent="0.2">
      <c r="A72" s="233" t="s">
        <v>31</v>
      </c>
      <c r="B72" s="233" t="s">
        <v>10234</v>
      </c>
      <c r="C72" s="233" t="s">
        <v>23</v>
      </c>
      <c r="D72" s="233">
        <v>5</v>
      </c>
      <c r="E72" s="233">
        <v>1.06</v>
      </c>
      <c r="F72" s="233" t="s">
        <v>6370</v>
      </c>
      <c r="G72" s="233">
        <v>5.0000000000000002E-5</v>
      </c>
      <c r="H72" s="233">
        <v>9.9999999999999995E-7</v>
      </c>
      <c r="I72" s="233">
        <v>2.5951750999999999E-2</v>
      </c>
      <c r="J72" s="233">
        <v>1.0508288729999999</v>
      </c>
      <c r="K72" s="233">
        <v>0</v>
      </c>
      <c r="L72" s="233">
        <v>0</v>
      </c>
      <c r="M72" s="233">
        <v>0</v>
      </c>
      <c r="N72" s="233">
        <v>0</v>
      </c>
      <c r="V72" s="140" t="s">
        <v>10274</v>
      </c>
      <c r="W72" s="140">
        <v>5</v>
      </c>
      <c r="X72" s="140">
        <v>1.06</v>
      </c>
      <c r="Y72" s="140" t="s">
        <v>6369</v>
      </c>
      <c r="Z72" s="141">
        <v>5.0000000000000001E-3</v>
      </c>
      <c r="AA72" s="140">
        <v>5.0000000000000001E-3</v>
      </c>
      <c r="AB72" s="14">
        <f>AVERAGEIFS('2.1.trackMPD'!M:M,'2.1.trackMPD'!D:D,W72,'2.1.trackMPD'!F:F,Y72,'2.1.trackMPD'!H:H,AA72,'2.1.trackMPD'!M:M,"&lt;&gt;0")</f>
        <v>4016.3472723</v>
      </c>
      <c r="AC72" s="14">
        <f>AVERAGEIFS('2.1.trackMPD'!N:N,'2.1.trackMPD'!D:D,W72,'2.1.trackMPD'!F:F,Y72,'2.1.trackMPD'!H:H,AA72,'2.1.trackMPD'!N:N,"&lt;&gt;0")</f>
        <v>5485.7505890000002</v>
      </c>
    </row>
    <row r="73" spans="1:30" x14ac:dyDescent="0.2">
      <c r="A73" s="233" t="s">
        <v>31</v>
      </c>
      <c r="B73" s="233" t="s">
        <v>10234</v>
      </c>
      <c r="C73" s="233" t="s">
        <v>23</v>
      </c>
      <c r="D73" s="233">
        <v>5</v>
      </c>
      <c r="E73" s="233">
        <v>1.06</v>
      </c>
      <c r="F73" s="233" t="s">
        <v>6370</v>
      </c>
      <c r="G73" s="233">
        <v>1E-4</v>
      </c>
      <c r="H73" s="233">
        <v>1.0000000000000001E-5</v>
      </c>
      <c r="I73" s="233">
        <v>0.64322206100000012</v>
      </c>
      <c r="J73" s="233">
        <v>4.3872407190000002</v>
      </c>
      <c r="K73" s="233">
        <v>0</v>
      </c>
      <c r="L73" s="233">
        <v>0</v>
      </c>
      <c r="M73" s="233">
        <v>0</v>
      </c>
      <c r="N73" s="233">
        <v>0</v>
      </c>
      <c r="V73" s="140" t="s">
        <v>10274</v>
      </c>
      <c r="W73" s="140">
        <v>5</v>
      </c>
      <c r="X73" s="140">
        <v>1.06</v>
      </c>
      <c r="Y73" s="140" t="s">
        <v>6369</v>
      </c>
      <c r="Z73" s="141">
        <v>1E-3</v>
      </c>
      <c r="AA73" s="140">
        <v>1E-3</v>
      </c>
      <c r="AB73" s="14">
        <f>AVERAGEIFS('2.1.trackMPD'!M:M,'2.1.trackMPD'!D:D,W73,'2.1.trackMPD'!F:F,Y73,'2.1.trackMPD'!H:H,AA73,'2.1.trackMPD'!M:M,"&lt;&gt;0")</f>
        <v>894.11221183333328</v>
      </c>
      <c r="AC73" s="14">
        <f>AVERAGEIFS('2.1.trackMPD'!N:N,'2.1.trackMPD'!D:D,W73,'2.1.trackMPD'!F:F,Y73,'2.1.trackMPD'!H:H,AA73,'2.1.trackMPD'!N:N,"&lt;&gt;0")</f>
        <v>977.41426896666655</v>
      </c>
    </row>
    <row r="74" spans="1:30" x14ac:dyDescent="0.2">
      <c r="A74" s="233" t="s">
        <v>31</v>
      </c>
      <c r="B74" s="233" t="s">
        <v>10234</v>
      </c>
      <c r="C74" s="233" t="s">
        <v>23</v>
      </c>
      <c r="D74" s="233">
        <v>5</v>
      </c>
      <c r="E74" s="233">
        <v>1.06</v>
      </c>
      <c r="F74" s="233" t="s">
        <v>6370</v>
      </c>
      <c r="G74" s="233">
        <v>1E-3</v>
      </c>
      <c r="H74" s="233">
        <v>1E-4</v>
      </c>
      <c r="I74" s="233">
        <v>86.304717220000015</v>
      </c>
      <c r="J74" s="233">
        <v>73.942048389999997</v>
      </c>
      <c r="K74" s="233">
        <v>0</v>
      </c>
      <c r="L74" s="233">
        <v>0</v>
      </c>
      <c r="M74" s="233">
        <v>0</v>
      </c>
      <c r="N74" s="233">
        <v>0</v>
      </c>
      <c r="V74" s="140" t="s">
        <v>10274</v>
      </c>
      <c r="W74" s="140">
        <v>5</v>
      </c>
      <c r="X74" s="140">
        <v>1.06</v>
      </c>
      <c r="Y74" s="140" t="s">
        <v>6369</v>
      </c>
      <c r="Z74" s="141">
        <v>1E-4</v>
      </c>
      <c r="AA74" s="140">
        <v>1E-4</v>
      </c>
      <c r="AB74" s="14">
        <f>AVERAGEIFS('2.1.trackMPD'!M:M,'2.1.trackMPD'!D:D,W74,'2.1.trackMPD'!F:F,Y74,'2.1.trackMPD'!H:H,AA74,'2.1.trackMPD'!M:M,"&lt;&gt;0")</f>
        <v>21.261493063333333</v>
      </c>
      <c r="AC74" s="14">
        <f>AVERAGEIFS('2.1.trackMPD'!N:N,'2.1.trackMPD'!D:D,W74,'2.1.trackMPD'!F:F,Y74,'2.1.trackMPD'!H:H,AA74,'2.1.trackMPD'!N:N,"&lt;&gt;0")</f>
        <v>56.299989414999999</v>
      </c>
    </row>
    <row r="75" spans="1:30" x14ac:dyDescent="0.2">
      <c r="A75" s="233" t="s">
        <v>31</v>
      </c>
      <c r="B75" s="233" t="s">
        <v>10234</v>
      </c>
      <c r="C75" s="233" t="s">
        <v>23</v>
      </c>
      <c r="D75" s="233">
        <v>5</v>
      </c>
      <c r="E75" s="233">
        <v>1.06</v>
      </c>
      <c r="F75" s="233" t="s">
        <v>6370</v>
      </c>
      <c r="G75" s="233">
        <v>5.0000000000000001E-3</v>
      </c>
      <c r="H75" s="233">
        <v>1E-3</v>
      </c>
      <c r="I75" s="233">
        <v>27719.467680000002</v>
      </c>
      <c r="J75" s="233">
        <v>1236.9779940000001</v>
      </c>
      <c r="K75" s="233">
        <v>0</v>
      </c>
      <c r="L75" s="233">
        <v>0</v>
      </c>
      <c r="M75" s="233">
        <v>0</v>
      </c>
      <c r="N75" s="233">
        <v>0</v>
      </c>
      <c r="V75" s="140" t="s">
        <v>10274</v>
      </c>
      <c r="W75" s="140">
        <v>5</v>
      </c>
      <c r="X75" s="140">
        <v>1.06</v>
      </c>
      <c r="Y75" s="140" t="s">
        <v>6369</v>
      </c>
      <c r="Z75" s="141">
        <v>1.0000000000000001E-5</v>
      </c>
      <c r="AA75" s="141">
        <v>1.0000000000000001E-5</v>
      </c>
      <c r="AB75" s="14">
        <f>AVERAGEIFS('2.1.trackMPD'!M:M,'2.1.trackMPD'!D:D,W75,'2.1.trackMPD'!F:F,Y75,'2.1.trackMPD'!H:H,AA75,'2.1.trackMPD'!M:M,"&lt;&gt;0")</f>
        <v>7.5651110008808091</v>
      </c>
      <c r="AC75" s="14">
        <f>AVERAGEIFS('2.1.trackMPD'!N:N,'2.1.trackMPD'!D:D,W75,'2.1.trackMPD'!F:F,Y75,'2.1.trackMPD'!H:H,AA75,'2.1.trackMPD'!N:N,"&lt;&gt;0")</f>
        <v>17.201359446718893</v>
      </c>
    </row>
    <row r="76" spans="1:30" x14ac:dyDescent="0.2">
      <c r="A76" s="233" t="s">
        <v>31</v>
      </c>
      <c r="B76" s="233" t="s">
        <v>10234</v>
      </c>
      <c r="C76" s="233" t="s">
        <v>23</v>
      </c>
      <c r="D76" s="233">
        <v>5</v>
      </c>
      <c r="E76" s="233">
        <v>1.06</v>
      </c>
      <c r="F76" s="233" t="s">
        <v>6370</v>
      </c>
      <c r="G76" s="233">
        <v>2.5000000000000001E-2</v>
      </c>
      <c r="H76" s="233">
        <v>5.0000000000000001E-3</v>
      </c>
      <c r="I76" s="233">
        <v>298059.77110000001</v>
      </c>
      <c r="J76" s="233">
        <v>4056.2172890000002</v>
      </c>
      <c r="K76" s="233">
        <v>0</v>
      </c>
      <c r="L76" s="233">
        <v>0</v>
      </c>
      <c r="M76" s="233">
        <v>0</v>
      </c>
      <c r="N76" s="233">
        <v>0</v>
      </c>
      <c r="V76" s="140" t="s">
        <v>10274</v>
      </c>
      <c r="W76" s="140">
        <v>5</v>
      </c>
      <c r="X76" s="140">
        <v>1.06</v>
      </c>
      <c r="Y76" s="140" t="s">
        <v>6369</v>
      </c>
      <c r="Z76" s="141">
        <v>9.9999999999999995E-7</v>
      </c>
      <c r="AA76" s="141">
        <v>9.9999999999999995E-7</v>
      </c>
      <c r="AB76" s="14">
        <f>AVERAGEIFS('2.1.trackMPD'!M:M,'2.1.trackMPD'!D:D,W76,'2.1.trackMPD'!F:F,Y76,'2.1.trackMPD'!H:H,AA76,'2.1.trackMPD'!M:M,"&lt;&gt;0")</f>
        <v>3.9085349297359131</v>
      </c>
      <c r="AC76" s="14">
        <f>AVERAGEIFS('2.1.trackMPD'!N:N,'2.1.trackMPD'!D:D,W76,'2.1.trackMPD'!F:F,Y76,'2.1.trackMPD'!H:H,AA76,'2.1.trackMPD'!N:N,"&lt;&gt;0")</f>
        <v>7.7506312714589116</v>
      </c>
    </row>
    <row r="77" spans="1:30" x14ac:dyDescent="0.2">
      <c r="A77" s="233" t="s">
        <v>31</v>
      </c>
      <c r="B77" s="233" t="s">
        <v>10234</v>
      </c>
      <c r="C77" s="233" t="s">
        <v>23</v>
      </c>
      <c r="D77" s="233">
        <v>5</v>
      </c>
      <c r="E77" s="233">
        <v>1.06</v>
      </c>
      <c r="F77" s="233" t="s">
        <v>6371</v>
      </c>
      <c r="G77" s="233">
        <v>9.9999999999999995E-7</v>
      </c>
      <c r="H77" s="233">
        <v>9.9999999999999995E-7</v>
      </c>
      <c r="I77" s="233">
        <v>0.27616369600000001</v>
      </c>
      <c r="J77" s="233">
        <v>1.9839717189999999</v>
      </c>
      <c r="K77" s="233">
        <v>0</v>
      </c>
      <c r="L77" s="233">
        <v>0</v>
      </c>
      <c r="M77" s="233">
        <v>0</v>
      </c>
      <c r="N77" s="233">
        <v>0</v>
      </c>
      <c r="V77" s="140" t="s">
        <v>10274</v>
      </c>
      <c r="W77" s="140">
        <v>5</v>
      </c>
      <c r="X77" s="140">
        <v>1.06</v>
      </c>
      <c r="Y77" s="140" t="s">
        <v>6370</v>
      </c>
      <c r="Z77" s="141">
        <v>5.0000000000000001E-3</v>
      </c>
      <c r="AA77" s="140">
        <v>1E-3</v>
      </c>
      <c r="AB77" s="14">
        <f>AVERAGEIFS('2.1.trackMPD'!M:M,'2.1.trackMPD'!D:D,W77,'2.1.trackMPD'!F:F,Y77,'2.1.trackMPD'!H:H,AA77,'2.1.trackMPD'!M:M,"&lt;&gt;0")</f>
        <v>1007.4450214666667</v>
      </c>
      <c r="AC77" s="14">
        <f>AVERAGEIFS('2.1.trackMPD'!N:N,'2.1.trackMPD'!D:D,W77,'2.1.trackMPD'!F:F,Y77,'2.1.trackMPD'!H:H,AA77,'2.1.trackMPD'!N:N,"&lt;&gt;0")</f>
        <v>1134.5815613333334</v>
      </c>
    </row>
    <row r="78" spans="1:30" x14ac:dyDescent="0.2">
      <c r="A78" s="233" t="s">
        <v>31</v>
      </c>
      <c r="B78" s="233" t="s">
        <v>10234</v>
      </c>
      <c r="C78" s="233" t="s">
        <v>23</v>
      </c>
      <c r="D78" s="233">
        <v>5</v>
      </c>
      <c r="E78" s="233">
        <v>1.06</v>
      </c>
      <c r="F78" s="233" t="s">
        <v>6371</v>
      </c>
      <c r="G78" s="233">
        <v>1.0000000000000001E-5</v>
      </c>
      <c r="H78" s="233">
        <v>1.0000000000000001E-5</v>
      </c>
      <c r="I78" s="233">
        <v>17.672773750000001</v>
      </c>
      <c r="J78" s="233">
        <v>40.166688039999997</v>
      </c>
      <c r="K78" s="233">
        <v>0</v>
      </c>
      <c r="L78" s="233">
        <v>0</v>
      </c>
      <c r="M78" s="233">
        <v>0</v>
      </c>
      <c r="N78" s="233">
        <v>0</v>
      </c>
      <c r="V78" s="140" t="s">
        <v>10274</v>
      </c>
      <c r="W78" s="140">
        <v>5</v>
      </c>
      <c r="X78" s="140">
        <v>1.06</v>
      </c>
      <c r="Y78" s="140" t="s">
        <v>6370</v>
      </c>
      <c r="Z78" s="141">
        <v>1E-3</v>
      </c>
      <c r="AA78" s="140">
        <v>1E-4</v>
      </c>
      <c r="AB78" s="14">
        <f>AVERAGEIFS('2.1.trackMPD'!M:M,'2.1.trackMPD'!D:D,W78,'2.1.trackMPD'!F:F,Y78,'2.1.trackMPD'!H:H,AA78,'2.1.trackMPD'!M:M,"&lt;&gt;0")</f>
        <v>66.670951880000004</v>
      </c>
      <c r="AC78" s="14">
        <f>AVERAGEIFS('2.1.trackMPD'!N:N,'2.1.trackMPD'!D:D,W78,'2.1.trackMPD'!F:F,Y78,'2.1.trackMPD'!H:H,AA78,'2.1.trackMPD'!N:N,"&lt;&gt;0")</f>
        <v>126.8377273</v>
      </c>
    </row>
    <row r="79" spans="1:30" x14ac:dyDescent="0.2">
      <c r="A79" s="233" t="s">
        <v>31</v>
      </c>
      <c r="B79" s="233" t="s">
        <v>10234</v>
      </c>
      <c r="C79" s="233" t="s">
        <v>23</v>
      </c>
      <c r="D79" s="233">
        <v>5</v>
      </c>
      <c r="E79" s="233">
        <v>1.06</v>
      </c>
      <c r="F79" s="233" t="s">
        <v>6371</v>
      </c>
      <c r="G79" s="233">
        <v>1E-4</v>
      </c>
      <c r="H79" s="233">
        <v>1E-4</v>
      </c>
      <c r="I79" s="233">
        <v>5193.5176769999998</v>
      </c>
      <c r="J79" s="233">
        <v>535.39975890000005</v>
      </c>
      <c r="K79" s="233">
        <v>0</v>
      </c>
      <c r="L79" s="233">
        <v>0</v>
      </c>
      <c r="M79" s="233">
        <v>0</v>
      </c>
      <c r="N79" s="233">
        <v>0</v>
      </c>
      <c r="V79" s="140" t="s">
        <v>10274</v>
      </c>
      <c r="W79" s="140">
        <v>5</v>
      </c>
      <c r="X79" s="140">
        <v>1.06</v>
      </c>
      <c r="Y79" s="140" t="s">
        <v>6370</v>
      </c>
      <c r="Z79" s="141">
        <v>1E-4</v>
      </c>
      <c r="AA79" s="141">
        <v>1.0000000000000001E-5</v>
      </c>
      <c r="AB79" s="14">
        <f>AVERAGEIFS('2.1.trackMPD'!M:M,'2.1.trackMPD'!D:D,W79,'2.1.trackMPD'!F:F,Y79,'2.1.trackMPD'!H:H,AA79,'2.1.trackMPD'!M:M,"&lt;&gt;0")</f>
        <v>2.9934740309999999</v>
      </c>
      <c r="AC79" s="14">
        <f>AVERAGEIFS('2.1.trackMPD'!N:N,'2.1.trackMPD'!D:D,W79,'2.1.trackMPD'!F:F,Y79,'2.1.trackMPD'!H:H,AA79,'2.1.trackMPD'!N:N,"&lt;&gt;0")</f>
        <v>3.4844504465999995</v>
      </c>
      <c r="AD79" s="14">
        <f>AC79/24/60/60</f>
        <v>4.0329287576388883E-5</v>
      </c>
    </row>
    <row r="80" spans="1:30" x14ac:dyDescent="0.2">
      <c r="A80" s="233" t="s">
        <v>31</v>
      </c>
      <c r="B80" s="233" t="s">
        <v>10234</v>
      </c>
      <c r="C80" s="233" t="s">
        <v>23</v>
      </c>
      <c r="D80" s="233">
        <v>5</v>
      </c>
      <c r="E80" s="233">
        <v>1.06</v>
      </c>
      <c r="F80" s="233" t="s">
        <v>6369</v>
      </c>
      <c r="G80" s="233">
        <v>9.9999999999999995E-7</v>
      </c>
      <c r="H80" s="233">
        <v>9.9999999999999995E-7</v>
      </c>
      <c r="I80" s="233">
        <v>2.5783530999999998E-2</v>
      </c>
      <c r="J80" s="233">
        <v>1.0440923419999999</v>
      </c>
      <c r="K80" s="233">
        <v>0</v>
      </c>
      <c r="L80" s="233">
        <v>0</v>
      </c>
      <c r="M80" s="233">
        <v>0</v>
      </c>
      <c r="N80" s="233">
        <v>0</v>
      </c>
      <c r="V80" s="140" t="s">
        <v>10274</v>
      </c>
      <c r="W80" s="140">
        <v>5</v>
      </c>
      <c r="X80" s="140">
        <v>1.06</v>
      </c>
      <c r="Y80" s="140" t="s">
        <v>6370</v>
      </c>
      <c r="Z80" s="141">
        <v>5.0000000000000002E-5</v>
      </c>
      <c r="AA80" s="141">
        <v>9.9999999999999995E-7</v>
      </c>
      <c r="AB80" s="14">
        <f>AVERAGEIFS('2.1.trackMPD'!M:M,'2.1.trackMPD'!D:D,W80,'2.1.trackMPD'!F:F,Y80,'2.1.trackMPD'!H:H,AA80,'2.1.trackMPD'!M:M,"&lt;&gt;0")</f>
        <v>1.6087760876923869</v>
      </c>
      <c r="AC80" s="14">
        <f>AVERAGEIFS('2.1.trackMPD'!N:N,'2.1.trackMPD'!D:D,W80,'2.1.trackMPD'!F:F,Y80,'2.1.trackMPD'!H:H,AA80,'2.1.trackMPD'!N:N,"&lt;&gt;0")</f>
        <v>2.3381408370277357</v>
      </c>
    </row>
    <row r="81" spans="1:29" x14ac:dyDescent="0.2">
      <c r="A81" s="233" t="s">
        <v>31</v>
      </c>
      <c r="B81" s="233" t="s">
        <v>10234</v>
      </c>
      <c r="C81" s="233" t="s">
        <v>23</v>
      </c>
      <c r="D81" s="233">
        <v>5</v>
      </c>
      <c r="E81" s="233">
        <v>1.06</v>
      </c>
      <c r="F81" s="233" t="s">
        <v>6369</v>
      </c>
      <c r="G81" s="233">
        <v>1.0000000000000001E-5</v>
      </c>
      <c r="H81" s="233">
        <v>1.0000000000000001E-5</v>
      </c>
      <c r="I81" s="233">
        <v>0.16564474800000001</v>
      </c>
      <c r="J81" s="233">
        <v>1.5623276669999999</v>
      </c>
      <c r="K81" s="233">
        <v>0</v>
      </c>
      <c r="L81" s="233">
        <v>0</v>
      </c>
      <c r="M81" s="233">
        <v>0</v>
      </c>
      <c r="N81" s="233">
        <v>0</v>
      </c>
      <c r="V81" s="140" t="s">
        <v>10274</v>
      </c>
      <c r="W81" s="140">
        <v>5</v>
      </c>
      <c r="X81" s="140">
        <v>1.06</v>
      </c>
      <c r="Y81" s="140" t="s">
        <v>6370</v>
      </c>
      <c r="Z81" s="141">
        <v>2.5000000000000001E-2</v>
      </c>
      <c r="AA81" s="140">
        <v>5.0000000000000001E-3</v>
      </c>
      <c r="AB81" s="14">
        <f>AVERAGEIFS('2.1.trackMPD'!M:M,'2.1.trackMPD'!D:D,W81,'2.1.trackMPD'!F:F,Y81,'2.1.trackMPD'!H:H,AA81,'2.1.trackMPD'!M:M,"&lt;&gt;0")</f>
        <v>2822.9384003666669</v>
      </c>
      <c r="AC81" s="14">
        <f>AVERAGEIFS('2.1.trackMPD'!N:N,'2.1.trackMPD'!D:D,W81,'2.1.trackMPD'!F:F,Y81,'2.1.trackMPD'!H:H,AA81,'2.1.trackMPD'!N:N,"&lt;&gt;0")</f>
        <v>3766.8514503333331</v>
      </c>
    </row>
    <row r="82" spans="1:29" x14ac:dyDescent="0.2">
      <c r="A82" s="233" t="s">
        <v>31</v>
      </c>
      <c r="B82" s="233" t="s">
        <v>10234</v>
      </c>
      <c r="C82" s="233" t="s">
        <v>23</v>
      </c>
      <c r="D82" s="233">
        <v>5</v>
      </c>
      <c r="E82" s="233">
        <v>1.06</v>
      </c>
      <c r="F82" s="233" t="s">
        <v>6369</v>
      </c>
      <c r="G82" s="233">
        <v>1E-4</v>
      </c>
      <c r="H82" s="233">
        <v>1E-4</v>
      </c>
      <c r="I82" s="233">
        <v>8.9182379780000005</v>
      </c>
      <c r="J82" s="233">
        <v>24.86321023</v>
      </c>
      <c r="K82" s="233">
        <v>0</v>
      </c>
      <c r="L82" s="233">
        <v>0</v>
      </c>
      <c r="M82" s="233">
        <v>0</v>
      </c>
      <c r="N82" s="233">
        <v>0</v>
      </c>
      <c r="V82" s="140" t="s">
        <v>10274</v>
      </c>
      <c r="W82" s="140">
        <v>5</v>
      </c>
      <c r="X82" s="140">
        <v>1.06</v>
      </c>
      <c r="Y82" s="233" t="s">
        <v>6371</v>
      </c>
      <c r="AA82" s="233">
        <v>9.9999999999999995E-7</v>
      </c>
      <c r="AB82" s="14">
        <f>AVERAGEIFS('2.1.trackMPD'!M:M,'2.1.trackMPD'!D:D,W82,'2.1.trackMPD'!F:F,Y82,'2.1.trackMPD'!H:H,AA82,'2.1.trackMPD'!M:M,"&lt;&gt;0")</f>
        <v>9.4461464604936278</v>
      </c>
      <c r="AC82" s="14">
        <f>AVERAGEIFS('2.1.trackMPD'!N:N,'2.1.trackMPD'!D:D,W82,'2.1.trackMPD'!F:F,Y82,'2.1.trackMPD'!H:H,AA82,'2.1.trackMPD'!N:N,"&lt;&gt;0")</f>
        <v>11.840968957221138</v>
      </c>
    </row>
    <row r="83" spans="1:29" x14ac:dyDescent="0.2">
      <c r="A83" s="233" t="s">
        <v>31</v>
      </c>
      <c r="B83" s="233" t="s">
        <v>10234</v>
      </c>
      <c r="C83" s="233" t="s">
        <v>23</v>
      </c>
      <c r="D83" s="233">
        <v>5</v>
      </c>
      <c r="E83" s="233">
        <v>1.06</v>
      </c>
      <c r="F83" s="233" t="s">
        <v>6369</v>
      </c>
      <c r="G83" s="233">
        <v>1E-3</v>
      </c>
      <c r="H83" s="233">
        <v>1E-3</v>
      </c>
      <c r="I83" s="233">
        <v>21008.81292</v>
      </c>
      <c r="J83" s="233">
        <v>1076.887385</v>
      </c>
      <c r="K83" s="233">
        <v>0</v>
      </c>
      <c r="L83" s="233">
        <v>0</v>
      </c>
      <c r="M83" s="233">
        <v>0</v>
      </c>
      <c r="N83" s="233">
        <v>0</v>
      </c>
      <c r="V83" s="140" t="s">
        <v>10274</v>
      </c>
      <c r="W83" s="140">
        <v>5</v>
      </c>
      <c r="X83" s="140">
        <v>1.06</v>
      </c>
      <c r="Y83" s="233" t="s">
        <v>6371</v>
      </c>
      <c r="AA83" s="233">
        <v>1.0000000000000001E-5</v>
      </c>
      <c r="AB83" s="14">
        <f>AVERAGEIFS('2.1.trackMPD'!M:M,'2.1.trackMPD'!D:D,W83,'2.1.trackMPD'!F:F,Y83,'2.1.trackMPD'!H:H,AA83,'2.1.trackMPD'!M:M,"&lt;&gt;0")</f>
        <v>34.199607486666672</v>
      </c>
      <c r="AC83" s="14">
        <f>AVERAGEIFS('2.1.trackMPD'!N:N,'2.1.trackMPD'!D:D,W83,'2.1.trackMPD'!F:F,Y83,'2.1.trackMPD'!H:H,AA83,'2.1.trackMPD'!N:N,"&lt;&gt;0")</f>
        <v>77.660857109999995</v>
      </c>
    </row>
    <row r="84" spans="1:29" x14ac:dyDescent="0.2">
      <c r="A84" s="233" t="s">
        <v>31</v>
      </c>
      <c r="B84" s="233" t="s">
        <v>10234</v>
      </c>
      <c r="C84" s="233" t="s">
        <v>23</v>
      </c>
      <c r="D84" s="233">
        <v>5</v>
      </c>
      <c r="E84" s="233">
        <v>1.06</v>
      </c>
      <c r="F84" s="233" t="s">
        <v>6369</v>
      </c>
      <c r="G84" s="233">
        <v>5.0000000000000001E-3</v>
      </c>
      <c r="H84" s="233">
        <v>5.0000000000000001E-3</v>
      </c>
      <c r="I84" s="233">
        <v>653305.14069999999</v>
      </c>
      <c r="J84" s="233">
        <v>6005.2010190000001</v>
      </c>
      <c r="K84" s="233">
        <v>0</v>
      </c>
      <c r="L84" s="233">
        <v>0</v>
      </c>
      <c r="M84" s="233">
        <v>0</v>
      </c>
      <c r="N84" s="233">
        <v>0</v>
      </c>
      <c r="V84" s="140" t="s">
        <v>10274</v>
      </c>
      <c r="W84" s="140">
        <v>5</v>
      </c>
      <c r="X84" s="140">
        <v>1.06</v>
      </c>
      <c r="Y84" s="233" t="s">
        <v>6371</v>
      </c>
      <c r="AA84" s="233">
        <v>1E-4</v>
      </c>
      <c r="AB84" s="14">
        <f>AVERAGEIFS('2.1.trackMPD'!M:M,'2.1.trackMPD'!D:D,W84,'2.1.trackMPD'!F:F,Y84,'2.1.trackMPD'!H:H,AA84,'2.1.trackMPD'!M:M,"&lt;&gt;0")</f>
        <v>492.5150423</v>
      </c>
      <c r="AC84" s="14">
        <f>AVERAGEIFS('2.1.trackMPD'!N:N,'2.1.trackMPD'!D:D,W84,'2.1.trackMPD'!F:F,Y84,'2.1.trackMPD'!H:H,AA84,'2.1.trackMPD'!N:N,"&lt;&gt;0")</f>
        <v>533.7055896666667</v>
      </c>
    </row>
    <row r="85" spans="1:29" x14ac:dyDescent="0.2">
      <c r="A85" s="233" t="s">
        <v>29</v>
      </c>
      <c r="B85" s="233" t="s">
        <v>10369</v>
      </c>
      <c r="C85" s="233" t="s">
        <v>5</v>
      </c>
      <c r="D85" s="233">
        <v>1</v>
      </c>
      <c r="E85" s="233">
        <v>0.03</v>
      </c>
      <c r="F85" s="233" t="s">
        <v>6370</v>
      </c>
      <c r="G85" s="233">
        <v>5.0000000000000002E-5</v>
      </c>
      <c r="H85" s="233">
        <v>9.9999999999999995E-7</v>
      </c>
      <c r="I85" s="233">
        <v>0.29548736599999997</v>
      </c>
      <c r="J85" s="233">
        <v>2.9337927220000002</v>
      </c>
      <c r="K85" s="233">
        <v>0</v>
      </c>
      <c r="L85" s="233">
        <v>0</v>
      </c>
      <c r="M85" s="233">
        <v>0</v>
      </c>
      <c r="N85" s="233">
        <v>0</v>
      </c>
      <c r="V85" s="140"/>
      <c r="W85" s="140"/>
      <c r="X85" s="140"/>
      <c r="Y85" s="140"/>
      <c r="Z85" s="141"/>
      <c r="AA85" s="141"/>
    </row>
    <row r="86" spans="1:29" x14ac:dyDescent="0.2">
      <c r="A86" s="233" t="s">
        <v>29</v>
      </c>
      <c r="B86" s="233" t="s">
        <v>10369</v>
      </c>
      <c r="C86" s="233" t="s">
        <v>5</v>
      </c>
      <c r="D86" s="233">
        <v>1</v>
      </c>
      <c r="E86" s="233">
        <v>0.03</v>
      </c>
      <c r="F86" s="233" t="s">
        <v>6370</v>
      </c>
      <c r="G86" s="233">
        <v>1E-4</v>
      </c>
      <c r="H86" s="233">
        <v>1.0000000000000001E-5</v>
      </c>
      <c r="I86" s="233">
        <v>0.312689948</v>
      </c>
      <c r="J86" s="233">
        <v>5.0212691129999998</v>
      </c>
      <c r="K86" s="233">
        <v>0</v>
      </c>
      <c r="L86" s="233">
        <v>0</v>
      </c>
      <c r="M86" s="233">
        <v>0</v>
      </c>
      <c r="N86" s="233">
        <v>0</v>
      </c>
      <c r="V86" s="140"/>
      <c r="W86" s="140"/>
      <c r="X86" s="140"/>
      <c r="Y86" s="140"/>
      <c r="Z86" s="141"/>
      <c r="AA86" s="141"/>
    </row>
    <row r="87" spans="1:29" x14ac:dyDescent="0.2">
      <c r="A87" s="233" t="s">
        <v>29</v>
      </c>
      <c r="B87" s="233" t="s">
        <v>10369</v>
      </c>
      <c r="C87" s="233" t="s">
        <v>5</v>
      </c>
      <c r="D87" s="233">
        <v>1</v>
      </c>
      <c r="E87" s="233">
        <v>0.03</v>
      </c>
      <c r="F87" s="233" t="s">
        <v>6370</v>
      </c>
      <c r="G87" s="233">
        <v>1E-3</v>
      </c>
      <c r="H87" s="233">
        <v>1E-4</v>
      </c>
      <c r="I87" s="233">
        <v>0.123241563</v>
      </c>
      <c r="J87" s="233">
        <v>2.9085021969999998</v>
      </c>
      <c r="K87" s="233">
        <v>0</v>
      </c>
      <c r="L87" s="233">
        <v>0</v>
      </c>
      <c r="M87" s="233">
        <v>0</v>
      </c>
      <c r="N87" s="233">
        <v>0</v>
      </c>
      <c r="V87" s="140"/>
      <c r="W87" s="140"/>
      <c r="X87" s="140"/>
      <c r="Y87" s="140"/>
      <c r="Z87" s="141"/>
      <c r="AA87" s="140"/>
    </row>
    <row r="88" spans="1:29" x14ac:dyDescent="0.2">
      <c r="A88" s="233" t="s">
        <v>29</v>
      </c>
      <c r="B88" s="233" t="s">
        <v>10369</v>
      </c>
      <c r="C88" s="233" t="s">
        <v>5</v>
      </c>
      <c r="D88" s="233">
        <v>1</v>
      </c>
      <c r="E88" s="233">
        <v>0.03</v>
      </c>
      <c r="F88" s="233" t="s">
        <v>6370</v>
      </c>
      <c r="G88" s="233">
        <v>5.0000000000000001E-3</v>
      </c>
      <c r="H88" s="233">
        <v>1E-3</v>
      </c>
      <c r="I88" s="233">
        <v>0.15112068100000001</v>
      </c>
      <c r="J88" s="233">
        <v>2.3986204899999999</v>
      </c>
      <c r="K88" s="233">
        <v>0</v>
      </c>
      <c r="L88" s="233">
        <v>0</v>
      </c>
      <c r="M88" s="233">
        <v>0</v>
      </c>
      <c r="N88" s="233">
        <v>0</v>
      </c>
      <c r="V88" s="140"/>
      <c r="W88" s="140"/>
      <c r="X88" s="140"/>
      <c r="Y88" s="140"/>
      <c r="Z88" s="141"/>
      <c r="AA88" s="140"/>
    </row>
    <row r="89" spans="1:29" x14ac:dyDescent="0.2">
      <c r="A89" s="233" t="s">
        <v>29</v>
      </c>
      <c r="B89" s="233" t="s">
        <v>10369</v>
      </c>
      <c r="C89" s="233" t="s">
        <v>5</v>
      </c>
      <c r="D89" s="233">
        <v>1</v>
      </c>
      <c r="E89" s="233">
        <v>0.03</v>
      </c>
      <c r="F89" s="233" t="s">
        <v>6370</v>
      </c>
      <c r="G89" s="233">
        <v>2.5000000000000001E-2</v>
      </c>
      <c r="H89" s="233">
        <v>5.0000000000000001E-3</v>
      </c>
      <c r="I89" s="233">
        <v>0.122754662</v>
      </c>
      <c r="J89" s="233">
        <v>2.657609511</v>
      </c>
      <c r="K89" s="233">
        <v>0</v>
      </c>
      <c r="L89" s="233">
        <v>0</v>
      </c>
      <c r="M89" s="233">
        <v>0</v>
      </c>
      <c r="N89" s="233">
        <v>0</v>
      </c>
      <c r="V89" s="140"/>
      <c r="W89" s="140"/>
      <c r="X89" s="140"/>
      <c r="Y89" s="140"/>
      <c r="Z89" s="141"/>
      <c r="AA89" s="141"/>
    </row>
    <row r="90" spans="1:29" x14ac:dyDescent="0.2">
      <c r="A90" s="233" t="s">
        <v>29</v>
      </c>
      <c r="B90" s="233" t="s">
        <v>10369</v>
      </c>
      <c r="C90" s="233" t="s">
        <v>5</v>
      </c>
      <c r="D90" s="233">
        <v>1</v>
      </c>
      <c r="E90" s="233">
        <v>0.03</v>
      </c>
      <c r="F90" s="233" t="s">
        <v>6371</v>
      </c>
      <c r="G90" s="233">
        <v>9.9999999999999995E-7</v>
      </c>
      <c r="H90" s="233">
        <v>9.9999999999999995E-7</v>
      </c>
      <c r="I90" s="233">
        <v>0.27703969499999997</v>
      </c>
      <c r="J90" s="233">
        <v>3.0579428540000002</v>
      </c>
      <c r="K90" s="233">
        <v>0</v>
      </c>
      <c r="L90" s="233">
        <v>0</v>
      </c>
      <c r="M90" s="233">
        <v>0</v>
      </c>
      <c r="N90" s="233">
        <v>0</v>
      </c>
      <c r="V90" s="140"/>
      <c r="W90" s="140"/>
      <c r="X90" s="140"/>
      <c r="Y90" s="140"/>
      <c r="Z90" s="141"/>
      <c r="AA90" s="141"/>
    </row>
    <row r="91" spans="1:29" x14ac:dyDescent="0.2">
      <c r="A91" s="233" t="s">
        <v>29</v>
      </c>
      <c r="B91" s="233" t="s">
        <v>10369</v>
      </c>
      <c r="C91" s="233" t="s">
        <v>5</v>
      </c>
      <c r="D91" s="233">
        <v>1</v>
      </c>
      <c r="E91" s="233">
        <v>0.03</v>
      </c>
      <c r="F91" s="233" t="s">
        <v>6371</v>
      </c>
      <c r="G91" s="233">
        <v>1.0000000000000001E-5</v>
      </c>
      <c r="H91" s="233">
        <v>1.0000000000000001E-5</v>
      </c>
      <c r="I91" s="233">
        <v>0.134141754</v>
      </c>
      <c r="J91" s="233">
        <v>4.5213428640000002</v>
      </c>
      <c r="K91" s="233">
        <v>0</v>
      </c>
      <c r="L91" s="233">
        <v>0</v>
      </c>
      <c r="M91" s="233">
        <v>0</v>
      </c>
      <c r="N91" s="233">
        <v>0</v>
      </c>
      <c r="V91" s="140"/>
      <c r="W91" s="140"/>
      <c r="X91" s="140"/>
      <c r="Y91" s="140"/>
      <c r="Z91" s="141"/>
      <c r="AA91" s="140"/>
    </row>
    <row r="92" spans="1:29" x14ac:dyDescent="0.2">
      <c r="A92" s="233" t="s">
        <v>29</v>
      </c>
      <c r="B92" s="233" t="s">
        <v>10369</v>
      </c>
      <c r="C92" s="233" t="s">
        <v>5</v>
      </c>
      <c r="D92" s="233">
        <v>1</v>
      </c>
      <c r="E92" s="233">
        <v>0.03</v>
      </c>
      <c r="F92" s="233" t="s">
        <v>6371</v>
      </c>
      <c r="G92" s="233">
        <v>1E-4</v>
      </c>
      <c r="H92" s="233">
        <v>1E-4</v>
      </c>
      <c r="I92" s="233">
        <v>0.147776184</v>
      </c>
      <c r="J92" s="233">
        <v>2.7353219530000001</v>
      </c>
      <c r="K92" s="233">
        <v>0</v>
      </c>
      <c r="L92" s="233">
        <v>0</v>
      </c>
      <c r="M92" s="233">
        <v>0</v>
      </c>
      <c r="N92" s="233">
        <v>0</v>
      </c>
      <c r="V92" s="140"/>
      <c r="W92" s="140"/>
      <c r="X92" s="140"/>
      <c r="Y92" s="140"/>
      <c r="Z92" s="141"/>
      <c r="AA92" s="140"/>
    </row>
    <row r="93" spans="1:29" x14ac:dyDescent="0.2">
      <c r="A93" s="233" t="s">
        <v>29</v>
      </c>
      <c r="B93" s="233" t="s">
        <v>10369</v>
      </c>
      <c r="C93" s="233" t="s">
        <v>5</v>
      </c>
      <c r="D93" s="233">
        <v>1</v>
      </c>
      <c r="E93" s="233">
        <v>0.03</v>
      </c>
      <c r="F93" s="233" t="s">
        <v>6369</v>
      </c>
      <c r="G93" s="233">
        <v>9.9999999999999995E-7</v>
      </c>
      <c r="H93" s="233">
        <v>9.9999999999999995E-7</v>
      </c>
      <c r="I93" s="233">
        <v>0.160608161</v>
      </c>
      <c r="J93" s="233">
        <v>2.3734470540000001</v>
      </c>
      <c r="K93" s="233">
        <v>0</v>
      </c>
      <c r="L93" s="233">
        <v>0</v>
      </c>
      <c r="M93" s="233">
        <v>0</v>
      </c>
      <c r="N93" s="233">
        <v>0</v>
      </c>
      <c r="V93" s="140"/>
      <c r="W93" s="140"/>
      <c r="X93" s="140"/>
      <c r="Y93" s="140"/>
      <c r="Z93" s="141"/>
      <c r="AA93" s="140"/>
    </row>
    <row r="94" spans="1:29" x14ac:dyDescent="0.2">
      <c r="A94" s="233" t="s">
        <v>29</v>
      </c>
      <c r="B94" s="233" t="s">
        <v>10369</v>
      </c>
      <c r="C94" s="233" t="s">
        <v>5</v>
      </c>
      <c r="D94" s="233">
        <v>1</v>
      </c>
      <c r="E94" s="233">
        <v>0.03</v>
      </c>
      <c r="F94" s="233" t="s">
        <v>6369</v>
      </c>
      <c r="G94" s="233">
        <v>1.0000000000000001E-5</v>
      </c>
      <c r="H94" s="233">
        <v>1.0000000000000001E-5</v>
      </c>
      <c r="I94" s="233">
        <v>0.23297077699999999</v>
      </c>
      <c r="J94" s="233">
        <v>2.9879478669999999</v>
      </c>
      <c r="K94" s="233">
        <v>0</v>
      </c>
      <c r="L94" s="233">
        <v>0</v>
      </c>
      <c r="M94" s="233">
        <v>0</v>
      </c>
      <c r="N94" s="233">
        <v>0</v>
      </c>
      <c r="V94" s="140"/>
      <c r="W94" s="140"/>
      <c r="X94" s="140"/>
      <c r="Y94" s="140"/>
      <c r="Z94" s="141"/>
      <c r="AA94" s="140"/>
    </row>
    <row r="95" spans="1:29" x14ac:dyDescent="0.2">
      <c r="A95" s="233" t="s">
        <v>29</v>
      </c>
      <c r="B95" s="233" t="s">
        <v>10369</v>
      </c>
      <c r="C95" s="233" t="s">
        <v>5</v>
      </c>
      <c r="D95" s="233">
        <v>1</v>
      </c>
      <c r="E95" s="233">
        <v>0.03</v>
      </c>
      <c r="F95" s="233" t="s">
        <v>6369</v>
      </c>
      <c r="G95" s="233">
        <v>1E-4</v>
      </c>
      <c r="H95" s="233">
        <v>1E-4</v>
      </c>
      <c r="I95" s="233">
        <v>0.10201110200000001</v>
      </c>
      <c r="J95" s="233">
        <v>3.844023315999999</v>
      </c>
      <c r="K95" s="233">
        <v>0</v>
      </c>
      <c r="L95" s="233">
        <v>0</v>
      </c>
      <c r="M95" s="233">
        <v>0</v>
      </c>
      <c r="N95" s="233">
        <v>0</v>
      </c>
      <c r="V95" s="140"/>
      <c r="W95" s="140"/>
      <c r="X95" s="140"/>
      <c r="Y95" s="140"/>
      <c r="Z95" s="141"/>
      <c r="AA95" s="141"/>
    </row>
    <row r="96" spans="1:29" x14ac:dyDescent="0.2">
      <c r="A96" s="233" t="s">
        <v>29</v>
      </c>
      <c r="B96" s="233" t="s">
        <v>10369</v>
      </c>
      <c r="C96" s="233" t="s">
        <v>5</v>
      </c>
      <c r="D96" s="233">
        <v>1</v>
      </c>
      <c r="E96" s="233">
        <v>0.03</v>
      </c>
      <c r="F96" s="233" t="s">
        <v>6369</v>
      </c>
      <c r="G96" s="233">
        <v>1E-3</v>
      </c>
      <c r="H96" s="233">
        <v>1E-3</v>
      </c>
      <c r="I96" s="233">
        <v>0.158110685</v>
      </c>
      <c r="J96" s="233">
        <v>2.3257488720000001</v>
      </c>
      <c r="K96" s="233">
        <v>1.9370459999999999E-2</v>
      </c>
      <c r="L96" s="233">
        <v>7.3846153999999997E-2</v>
      </c>
      <c r="M96" s="233">
        <v>6.6912848999999996E-2</v>
      </c>
      <c r="N96" s="233">
        <v>9.1667091620000001</v>
      </c>
      <c r="V96" s="140"/>
      <c r="W96" s="140"/>
      <c r="X96" s="140"/>
      <c r="Y96" s="140"/>
      <c r="Z96" s="141"/>
      <c r="AA96" s="141"/>
    </row>
    <row r="97" spans="1:27" x14ac:dyDescent="0.2">
      <c r="A97" s="233" t="s">
        <v>29</v>
      </c>
      <c r="B97" s="233" t="s">
        <v>10369</v>
      </c>
      <c r="C97" s="233" t="s">
        <v>5</v>
      </c>
      <c r="D97" s="233">
        <v>1</v>
      </c>
      <c r="E97" s="233">
        <v>0.03</v>
      </c>
      <c r="F97" s="233" t="s">
        <v>6369</v>
      </c>
      <c r="G97" s="233">
        <v>5.0000000000000001E-3</v>
      </c>
      <c r="H97" s="233">
        <v>5.0000000000000001E-3</v>
      </c>
      <c r="I97" s="233">
        <v>0.14106829200000001</v>
      </c>
      <c r="J97" s="233">
        <v>2.743189015</v>
      </c>
      <c r="K97" s="233">
        <v>0</v>
      </c>
      <c r="L97" s="233">
        <v>0</v>
      </c>
      <c r="M97" s="233">
        <v>0</v>
      </c>
      <c r="N97" s="233">
        <v>0</v>
      </c>
      <c r="V97" s="140"/>
      <c r="W97" s="140"/>
      <c r="X97" s="140"/>
      <c r="Y97" s="140"/>
      <c r="Z97" s="141"/>
      <c r="AA97" s="140"/>
    </row>
    <row r="98" spans="1:27" x14ac:dyDescent="0.2">
      <c r="A98" s="233" t="s">
        <v>29</v>
      </c>
      <c r="B98" s="233" t="s">
        <v>10369</v>
      </c>
      <c r="C98" s="233" t="s">
        <v>0</v>
      </c>
      <c r="D98" s="233">
        <v>4</v>
      </c>
      <c r="E98" s="233">
        <v>0.95299999999999996</v>
      </c>
      <c r="F98" s="233" t="s">
        <v>6370</v>
      </c>
      <c r="G98" s="233">
        <v>5.0000000000000002E-5</v>
      </c>
      <c r="H98" s="233">
        <v>9.9999999999999995E-7</v>
      </c>
      <c r="I98" s="233">
        <v>0.326674717</v>
      </c>
      <c r="J98" s="233">
        <v>2.8102272579999998</v>
      </c>
      <c r="K98" s="233">
        <v>0</v>
      </c>
      <c r="L98" s="233">
        <v>0</v>
      </c>
      <c r="M98" s="233">
        <v>0</v>
      </c>
      <c r="N98" s="233">
        <v>0</v>
      </c>
      <c r="V98" s="140"/>
      <c r="W98" s="140"/>
      <c r="X98" s="140"/>
      <c r="Y98" s="140"/>
      <c r="Z98" s="141"/>
      <c r="AA98" s="140"/>
    </row>
    <row r="99" spans="1:27" x14ac:dyDescent="0.2">
      <c r="A99" s="233" t="s">
        <v>29</v>
      </c>
      <c r="B99" s="233" t="s">
        <v>10369</v>
      </c>
      <c r="C99" s="233" t="s">
        <v>0</v>
      </c>
      <c r="D99" s="233">
        <v>4</v>
      </c>
      <c r="E99" s="233">
        <v>0.95299999999999996</v>
      </c>
      <c r="F99" s="233" t="s">
        <v>6370</v>
      </c>
      <c r="G99" s="233">
        <v>1E-4</v>
      </c>
      <c r="H99" s="233">
        <v>1.0000000000000001E-5</v>
      </c>
      <c r="I99" s="233">
        <v>1.30845593</v>
      </c>
      <c r="J99" s="233">
        <v>8.2829464759999993</v>
      </c>
      <c r="K99" s="233">
        <v>0</v>
      </c>
      <c r="L99" s="233">
        <v>0</v>
      </c>
      <c r="M99" s="233">
        <v>0</v>
      </c>
      <c r="N99" s="233">
        <v>0</v>
      </c>
      <c r="V99" s="140"/>
      <c r="W99" s="140"/>
      <c r="X99" s="140"/>
      <c r="Y99" s="140"/>
      <c r="Z99" s="141"/>
      <c r="AA99" s="141"/>
    </row>
    <row r="100" spans="1:27" x14ac:dyDescent="0.2">
      <c r="A100" s="233" t="s">
        <v>29</v>
      </c>
      <c r="B100" s="233" t="s">
        <v>10369</v>
      </c>
      <c r="C100" s="233" t="s">
        <v>0</v>
      </c>
      <c r="D100" s="233">
        <v>4</v>
      </c>
      <c r="E100" s="233">
        <v>0.95299999999999996</v>
      </c>
      <c r="F100" s="233" t="s">
        <v>6370</v>
      </c>
      <c r="G100" s="233">
        <v>1E-3</v>
      </c>
      <c r="H100" s="233">
        <v>1E-4</v>
      </c>
      <c r="I100" s="233">
        <v>0.33364350999999998</v>
      </c>
      <c r="J100" s="233">
        <v>8.3963985809999997</v>
      </c>
      <c r="K100" s="233">
        <v>0</v>
      </c>
      <c r="L100" s="233">
        <v>0</v>
      </c>
      <c r="M100" s="233">
        <v>0</v>
      </c>
      <c r="N100" s="233">
        <v>0</v>
      </c>
      <c r="V100" s="140"/>
      <c r="W100" s="140"/>
      <c r="X100" s="140"/>
      <c r="Y100" s="140"/>
      <c r="Z100" s="141"/>
      <c r="AA100" s="141"/>
    </row>
    <row r="101" spans="1:27" x14ac:dyDescent="0.2">
      <c r="A101" s="233" t="s">
        <v>29</v>
      </c>
      <c r="B101" s="233" t="s">
        <v>10369</v>
      </c>
      <c r="C101" s="233" t="s">
        <v>0</v>
      </c>
      <c r="D101" s="233">
        <v>4</v>
      </c>
      <c r="E101" s="233">
        <v>0.95299999999999996</v>
      </c>
      <c r="F101" s="233" t="s">
        <v>6370</v>
      </c>
      <c r="G101" s="233">
        <v>5.0000000000000001E-3</v>
      </c>
      <c r="H101" s="233">
        <v>1E-3</v>
      </c>
      <c r="I101" s="233">
        <v>0.11098902200000001</v>
      </c>
      <c r="J101" s="233">
        <v>3.2538209390000001</v>
      </c>
      <c r="K101" s="233">
        <v>0</v>
      </c>
      <c r="L101" s="233">
        <v>0</v>
      </c>
      <c r="M101" s="233">
        <v>0</v>
      </c>
      <c r="N101" s="233">
        <v>0</v>
      </c>
      <c r="V101" s="140"/>
      <c r="W101" s="140"/>
      <c r="X101" s="140"/>
      <c r="Y101" s="140"/>
      <c r="Z101" s="141"/>
      <c r="AA101" s="140"/>
    </row>
    <row r="102" spans="1:27" x14ac:dyDescent="0.2">
      <c r="A102" s="233" t="s">
        <v>29</v>
      </c>
      <c r="B102" s="233" t="s">
        <v>10369</v>
      </c>
      <c r="C102" s="233" t="s">
        <v>0</v>
      </c>
      <c r="D102" s="233">
        <v>4</v>
      </c>
      <c r="E102" s="233">
        <v>0.95299999999999996</v>
      </c>
      <c r="F102" s="233" t="s">
        <v>6370</v>
      </c>
      <c r="G102" s="233">
        <v>2.5000000000000001E-2</v>
      </c>
      <c r="H102" s="233">
        <v>5.0000000000000001E-3</v>
      </c>
      <c r="I102" s="233">
        <v>0.14072864099999999</v>
      </c>
      <c r="J102" s="233">
        <v>2.398864702</v>
      </c>
      <c r="K102" s="233">
        <v>0</v>
      </c>
      <c r="L102" s="233">
        <v>0</v>
      </c>
      <c r="M102" s="233">
        <v>0</v>
      </c>
      <c r="N102" s="233">
        <v>0</v>
      </c>
      <c r="V102" s="140"/>
      <c r="W102" s="140"/>
      <c r="X102" s="140"/>
      <c r="Y102" s="140"/>
      <c r="Z102" s="141"/>
      <c r="AA102" s="140"/>
    </row>
    <row r="103" spans="1:27" x14ac:dyDescent="0.2">
      <c r="A103" s="233" t="s">
        <v>29</v>
      </c>
      <c r="B103" s="233" t="s">
        <v>10369</v>
      </c>
      <c r="C103" s="233" t="s">
        <v>0</v>
      </c>
      <c r="D103" s="233">
        <v>4</v>
      </c>
      <c r="E103" s="233">
        <v>0.95299999999999996</v>
      </c>
      <c r="F103" s="233" t="s">
        <v>6371</v>
      </c>
      <c r="G103" s="233">
        <v>9.9999999999999995E-7</v>
      </c>
      <c r="H103" s="233">
        <v>9.9999999999999995E-7</v>
      </c>
      <c r="I103" s="233">
        <v>0.40941730999999998</v>
      </c>
      <c r="J103" s="233">
        <v>3.3789111959999998</v>
      </c>
      <c r="K103" s="233">
        <v>0</v>
      </c>
      <c r="L103" s="233">
        <v>0</v>
      </c>
      <c r="M103" s="233">
        <v>0</v>
      </c>
      <c r="N103" s="233">
        <v>0</v>
      </c>
      <c r="V103" s="140"/>
      <c r="W103" s="140"/>
      <c r="X103" s="140"/>
      <c r="Y103" s="140"/>
      <c r="Z103" s="141"/>
      <c r="AA103" s="140"/>
    </row>
    <row r="104" spans="1:27" x14ac:dyDescent="0.2">
      <c r="A104" s="233" t="s">
        <v>29</v>
      </c>
      <c r="B104" s="233" t="s">
        <v>10369</v>
      </c>
      <c r="C104" s="233" t="s">
        <v>0</v>
      </c>
      <c r="D104" s="233">
        <v>4</v>
      </c>
      <c r="E104" s="233">
        <v>0.95299999999999996</v>
      </c>
      <c r="F104" s="233" t="s">
        <v>6371</v>
      </c>
      <c r="G104" s="233">
        <v>1.0000000000000001E-5</v>
      </c>
      <c r="H104" s="233">
        <v>1.0000000000000001E-5</v>
      </c>
      <c r="I104" s="233">
        <v>1.3033295709999999</v>
      </c>
      <c r="J104" s="233">
        <v>16.713697320000001</v>
      </c>
      <c r="K104" s="233">
        <v>0</v>
      </c>
      <c r="L104" s="233">
        <v>0</v>
      </c>
      <c r="M104" s="233">
        <v>0</v>
      </c>
      <c r="N104" s="233">
        <v>0</v>
      </c>
      <c r="V104" s="140"/>
      <c r="W104" s="140"/>
      <c r="X104" s="140"/>
      <c r="Y104" s="140"/>
      <c r="Z104" s="141"/>
      <c r="AA104" s="140"/>
    </row>
    <row r="105" spans="1:27" x14ac:dyDescent="0.2">
      <c r="A105" s="233" t="s">
        <v>29</v>
      </c>
      <c r="B105" s="233" t="s">
        <v>10369</v>
      </c>
      <c r="C105" s="233" t="s">
        <v>0</v>
      </c>
      <c r="D105" s="233">
        <v>4</v>
      </c>
      <c r="E105" s="233">
        <v>0.95299999999999996</v>
      </c>
      <c r="F105" s="233" t="s">
        <v>6371</v>
      </c>
      <c r="G105" s="233">
        <v>1E-4</v>
      </c>
      <c r="H105" s="233">
        <v>1E-4</v>
      </c>
      <c r="I105" s="233">
        <v>0.21785597900000001</v>
      </c>
      <c r="J105" s="233">
        <v>5.0654819900000003</v>
      </c>
      <c r="K105" s="233">
        <v>0</v>
      </c>
      <c r="L105" s="233">
        <v>0</v>
      </c>
      <c r="M105" s="233">
        <v>0</v>
      </c>
      <c r="N105" s="233">
        <v>0</v>
      </c>
      <c r="V105" s="140"/>
      <c r="W105" s="140"/>
      <c r="X105" s="140"/>
      <c r="Y105" s="140"/>
      <c r="Z105" s="141"/>
      <c r="AA105" s="141"/>
    </row>
    <row r="106" spans="1:27" x14ac:dyDescent="0.2">
      <c r="A106" s="233" t="s">
        <v>29</v>
      </c>
      <c r="B106" s="233" t="s">
        <v>10369</v>
      </c>
      <c r="C106" s="233" t="s">
        <v>0</v>
      </c>
      <c r="D106" s="233">
        <v>4</v>
      </c>
      <c r="E106" s="233">
        <v>0.95299999999999996</v>
      </c>
      <c r="F106" s="233" t="s">
        <v>6369</v>
      </c>
      <c r="G106" s="233">
        <v>9.9999999999999995E-7</v>
      </c>
      <c r="H106" s="233">
        <v>9.9999999999999995E-7</v>
      </c>
      <c r="I106" s="233">
        <v>0.143186169</v>
      </c>
      <c r="J106" s="233">
        <v>2.3843821350000001</v>
      </c>
      <c r="K106" s="233">
        <v>0</v>
      </c>
      <c r="L106" s="233">
        <v>0</v>
      </c>
      <c r="M106" s="233">
        <v>0</v>
      </c>
      <c r="N106" s="233">
        <v>0</v>
      </c>
      <c r="V106" s="140"/>
      <c r="W106" s="140"/>
      <c r="X106" s="140"/>
      <c r="Y106" s="140"/>
      <c r="Z106" s="141"/>
      <c r="AA106" s="141"/>
    </row>
    <row r="107" spans="1:27" x14ac:dyDescent="0.2">
      <c r="A107" s="233" t="s">
        <v>29</v>
      </c>
      <c r="B107" s="233" t="s">
        <v>10369</v>
      </c>
      <c r="C107" s="233" t="s">
        <v>0</v>
      </c>
      <c r="D107" s="233">
        <v>4</v>
      </c>
      <c r="E107" s="233">
        <v>0.95299999999999996</v>
      </c>
      <c r="F107" s="233" t="s">
        <v>6369</v>
      </c>
      <c r="G107" s="233">
        <v>1.0000000000000001E-5</v>
      </c>
      <c r="H107" s="233">
        <v>1.0000000000000001E-5</v>
      </c>
      <c r="I107" s="233">
        <v>0.26567726000000003</v>
      </c>
      <c r="J107" s="233">
        <v>2.835226537</v>
      </c>
      <c r="K107" s="233">
        <v>0</v>
      </c>
      <c r="L107" s="233">
        <v>0</v>
      </c>
      <c r="M107" s="233">
        <v>0</v>
      </c>
      <c r="N107" s="233">
        <v>0</v>
      </c>
      <c r="V107" s="140"/>
      <c r="W107" s="140"/>
      <c r="X107" s="140"/>
      <c r="Y107" s="140"/>
      <c r="Z107" s="141"/>
      <c r="AA107" s="140"/>
    </row>
    <row r="108" spans="1:27" x14ac:dyDescent="0.2">
      <c r="A108" s="233" t="s">
        <v>29</v>
      </c>
      <c r="B108" s="233" t="s">
        <v>10369</v>
      </c>
      <c r="C108" s="233" t="s">
        <v>0</v>
      </c>
      <c r="D108" s="233">
        <v>4</v>
      </c>
      <c r="E108" s="233">
        <v>0.95299999999999996</v>
      </c>
      <c r="F108" s="233" t="s">
        <v>6369</v>
      </c>
      <c r="G108" s="233">
        <v>1E-4</v>
      </c>
      <c r="H108" s="233">
        <v>1E-4</v>
      </c>
      <c r="I108" s="233">
        <v>0.44759938999999987</v>
      </c>
      <c r="J108" s="233">
        <v>7.6788961489999989</v>
      </c>
      <c r="K108" s="233">
        <v>0</v>
      </c>
      <c r="L108" s="233">
        <v>0</v>
      </c>
      <c r="M108" s="233">
        <v>0</v>
      </c>
      <c r="N108" s="233">
        <v>0</v>
      </c>
      <c r="V108" s="140"/>
      <c r="W108" s="140"/>
      <c r="X108" s="140"/>
      <c r="Y108" s="140"/>
      <c r="Z108" s="141"/>
      <c r="AA108" s="140"/>
    </row>
    <row r="109" spans="1:27" x14ac:dyDescent="0.2">
      <c r="A109" s="233" t="s">
        <v>29</v>
      </c>
      <c r="B109" s="233" t="s">
        <v>10369</v>
      </c>
      <c r="C109" s="233" t="s">
        <v>0</v>
      </c>
      <c r="D109" s="233">
        <v>4</v>
      </c>
      <c r="E109" s="233">
        <v>0.95299999999999996</v>
      </c>
      <c r="F109" s="233" t="s">
        <v>6369</v>
      </c>
      <c r="G109" s="233">
        <v>1E-3</v>
      </c>
      <c r="H109" s="233">
        <v>1E-3</v>
      </c>
      <c r="I109" s="233">
        <v>0.113006129</v>
      </c>
      <c r="J109" s="233">
        <v>3.3421854679999998</v>
      </c>
      <c r="K109" s="233">
        <v>0</v>
      </c>
      <c r="L109" s="233">
        <v>0</v>
      </c>
      <c r="M109" s="233">
        <v>0</v>
      </c>
      <c r="N109" s="233">
        <v>0</v>
      </c>
      <c r="V109" s="140"/>
      <c r="W109" s="140"/>
      <c r="X109" s="140"/>
      <c r="Y109" s="140"/>
      <c r="Z109" s="141"/>
      <c r="AA109" s="141"/>
    </row>
    <row r="110" spans="1:27" x14ac:dyDescent="0.2">
      <c r="A110" s="233" t="s">
        <v>29</v>
      </c>
      <c r="B110" s="233" t="s">
        <v>10369</v>
      </c>
      <c r="C110" s="233" t="s">
        <v>0</v>
      </c>
      <c r="D110" s="233">
        <v>4</v>
      </c>
      <c r="E110" s="233">
        <v>0.95299999999999996</v>
      </c>
      <c r="F110" s="233" t="s">
        <v>6369</v>
      </c>
      <c r="G110" s="233">
        <v>5.0000000000000001E-3</v>
      </c>
      <c r="H110" s="233">
        <v>5.0000000000000001E-3</v>
      </c>
      <c r="I110" s="233">
        <v>0.18323034099999999</v>
      </c>
      <c r="J110" s="233">
        <v>2.3670498819999999</v>
      </c>
      <c r="K110" s="233">
        <v>0</v>
      </c>
      <c r="L110" s="233">
        <v>0</v>
      </c>
      <c r="M110" s="233">
        <v>0</v>
      </c>
      <c r="N110" s="233">
        <v>0</v>
      </c>
      <c r="V110" s="140"/>
      <c r="W110" s="140"/>
      <c r="X110" s="140"/>
      <c r="Y110" s="140"/>
      <c r="Z110" s="141"/>
      <c r="AA110" s="141"/>
    </row>
    <row r="111" spans="1:27" x14ac:dyDescent="0.2">
      <c r="A111" s="233" t="s">
        <v>29</v>
      </c>
      <c r="B111" s="233" t="s">
        <v>10369</v>
      </c>
      <c r="C111" s="233" t="s">
        <v>1</v>
      </c>
      <c r="D111" s="233">
        <v>3</v>
      </c>
      <c r="E111" s="233">
        <v>0.91500000000000004</v>
      </c>
      <c r="F111" s="233" t="s">
        <v>6370</v>
      </c>
      <c r="G111" s="233">
        <v>5.0000000000000002E-5</v>
      </c>
      <c r="H111" s="233">
        <v>9.9999999999999995E-7</v>
      </c>
      <c r="I111" s="233">
        <v>0.34114684200000001</v>
      </c>
      <c r="J111" s="233">
        <v>2.996576224</v>
      </c>
      <c r="K111" s="233">
        <v>0</v>
      </c>
      <c r="L111" s="233">
        <v>0</v>
      </c>
      <c r="M111" s="233">
        <v>0</v>
      </c>
      <c r="N111" s="233">
        <v>0</v>
      </c>
      <c r="V111" s="140"/>
      <c r="W111" s="140"/>
      <c r="X111" s="140"/>
      <c r="Y111" s="140"/>
      <c r="Z111" s="141"/>
      <c r="AA111" s="140"/>
    </row>
    <row r="112" spans="1:27" x14ac:dyDescent="0.2">
      <c r="A112" s="233" t="s">
        <v>29</v>
      </c>
      <c r="B112" s="233" t="s">
        <v>10369</v>
      </c>
      <c r="C112" s="233" t="s">
        <v>1</v>
      </c>
      <c r="D112" s="233">
        <v>3</v>
      </c>
      <c r="E112" s="233">
        <v>0.91500000000000004</v>
      </c>
      <c r="F112" s="233" t="s">
        <v>6370</v>
      </c>
      <c r="G112" s="233">
        <v>1E-4</v>
      </c>
      <c r="H112" s="233">
        <v>1.0000000000000001E-5</v>
      </c>
      <c r="I112" s="233">
        <v>1.0594383009999999</v>
      </c>
      <c r="J112" s="233">
        <v>7.8651015610000004</v>
      </c>
      <c r="K112" s="233">
        <v>0</v>
      </c>
      <c r="L112" s="233">
        <v>0</v>
      </c>
      <c r="M112" s="233">
        <v>0</v>
      </c>
      <c r="N112" s="233">
        <v>0</v>
      </c>
      <c r="V112" s="140"/>
      <c r="W112" s="140"/>
      <c r="X112" s="140"/>
      <c r="Y112" s="140"/>
      <c r="Z112" s="141"/>
      <c r="AA112" s="140"/>
    </row>
    <row r="113" spans="1:27" x14ac:dyDescent="0.2">
      <c r="A113" s="233" t="s">
        <v>29</v>
      </c>
      <c r="B113" s="233" t="s">
        <v>10369</v>
      </c>
      <c r="C113" s="233" t="s">
        <v>1</v>
      </c>
      <c r="D113" s="233">
        <v>3</v>
      </c>
      <c r="E113" s="233">
        <v>0.91500000000000004</v>
      </c>
      <c r="F113" s="233" t="s">
        <v>6370</v>
      </c>
      <c r="G113" s="233">
        <v>1E-3</v>
      </c>
      <c r="H113" s="233">
        <v>1E-4</v>
      </c>
      <c r="I113" s="233">
        <v>0.25559105199999999</v>
      </c>
      <c r="J113" s="233">
        <v>5.8417892240000002</v>
      </c>
      <c r="K113" s="233">
        <v>0</v>
      </c>
      <c r="L113" s="233">
        <v>0</v>
      </c>
      <c r="M113" s="233">
        <v>0</v>
      </c>
      <c r="N113" s="233">
        <v>0</v>
      </c>
      <c r="V113" s="140"/>
      <c r="W113" s="140"/>
      <c r="X113" s="140"/>
      <c r="Y113" s="140"/>
      <c r="Z113" s="141"/>
      <c r="AA113" s="140"/>
    </row>
    <row r="114" spans="1:27" x14ac:dyDescent="0.2">
      <c r="A114" s="233" t="s">
        <v>29</v>
      </c>
      <c r="B114" s="233" t="s">
        <v>10369</v>
      </c>
      <c r="C114" s="233" t="s">
        <v>1</v>
      </c>
      <c r="D114" s="233">
        <v>3</v>
      </c>
      <c r="E114" s="233">
        <v>0.91500000000000004</v>
      </c>
      <c r="F114" s="233" t="s">
        <v>6370</v>
      </c>
      <c r="G114" s="233">
        <v>5.0000000000000001E-3</v>
      </c>
      <c r="H114" s="233">
        <v>1E-3</v>
      </c>
      <c r="I114" s="233">
        <v>0.103315459</v>
      </c>
      <c r="J114" s="233">
        <v>2.6872752680000001</v>
      </c>
      <c r="K114" s="233">
        <v>0</v>
      </c>
      <c r="L114" s="233">
        <v>0</v>
      </c>
      <c r="M114" s="233">
        <v>0</v>
      </c>
      <c r="N114" s="233">
        <v>0</v>
      </c>
      <c r="V114" s="140"/>
      <c r="W114" s="140"/>
      <c r="X114" s="140"/>
      <c r="Y114" s="140"/>
      <c r="Z114" s="141"/>
      <c r="AA114" s="140"/>
    </row>
    <row r="115" spans="1:27" x14ac:dyDescent="0.2">
      <c r="A115" s="233" t="s">
        <v>29</v>
      </c>
      <c r="B115" s="233" t="s">
        <v>10369</v>
      </c>
      <c r="C115" s="233" t="s">
        <v>1</v>
      </c>
      <c r="D115" s="233">
        <v>3</v>
      </c>
      <c r="E115" s="233">
        <v>0.91500000000000004</v>
      </c>
      <c r="F115" s="233" t="s">
        <v>6370</v>
      </c>
      <c r="G115" s="233">
        <v>2.5000000000000001E-2</v>
      </c>
      <c r="H115" s="233">
        <v>5.0000000000000001E-3</v>
      </c>
      <c r="I115" s="233">
        <v>0.167209632</v>
      </c>
      <c r="J115" s="233">
        <v>2.4084119570000002</v>
      </c>
      <c r="K115" s="233">
        <v>1.3475576E-2</v>
      </c>
      <c r="L115" s="233">
        <v>0.8</v>
      </c>
      <c r="M115" s="233">
        <v>4.8158962E-2</v>
      </c>
      <c r="N115" s="233">
        <v>18.766757120000001</v>
      </c>
      <c r="V115" s="140"/>
      <c r="W115" s="140"/>
      <c r="X115" s="140"/>
      <c r="Y115" s="140"/>
      <c r="Z115" s="141"/>
      <c r="AA115" s="141"/>
    </row>
    <row r="116" spans="1:27" x14ac:dyDescent="0.2">
      <c r="A116" s="233" t="s">
        <v>29</v>
      </c>
      <c r="B116" s="233" t="s">
        <v>10369</v>
      </c>
      <c r="C116" s="233" t="s">
        <v>1</v>
      </c>
      <c r="D116" s="233">
        <v>3</v>
      </c>
      <c r="E116" s="233">
        <v>0.91500000000000004</v>
      </c>
      <c r="F116" s="233" t="s">
        <v>6371</v>
      </c>
      <c r="G116" s="233">
        <v>9.9999999999999995E-7</v>
      </c>
      <c r="H116" s="233">
        <v>9.9999999999999995E-7</v>
      </c>
      <c r="I116" s="233">
        <v>0.40711888200000002</v>
      </c>
      <c r="J116" s="233">
        <v>3.1049511930000002</v>
      </c>
      <c r="K116" s="233">
        <v>0</v>
      </c>
      <c r="L116" s="233">
        <v>0</v>
      </c>
      <c r="M116" s="233">
        <v>0</v>
      </c>
      <c r="N116" s="233">
        <v>0</v>
      </c>
      <c r="V116" s="140"/>
      <c r="W116" s="140"/>
      <c r="X116" s="140"/>
      <c r="Y116" s="140"/>
      <c r="Z116" s="141"/>
      <c r="AA116" s="141"/>
    </row>
    <row r="117" spans="1:27" x14ac:dyDescent="0.2">
      <c r="A117" s="233" t="s">
        <v>29</v>
      </c>
      <c r="B117" s="233" t="s">
        <v>10369</v>
      </c>
      <c r="C117" s="233" t="s">
        <v>1</v>
      </c>
      <c r="D117" s="233">
        <v>3</v>
      </c>
      <c r="E117" s="233">
        <v>0.91500000000000004</v>
      </c>
      <c r="F117" s="233" t="s">
        <v>6371</v>
      </c>
      <c r="G117" s="233">
        <v>1.0000000000000001E-5</v>
      </c>
      <c r="H117" s="233">
        <v>1.0000000000000001E-5</v>
      </c>
      <c r="I117" s="233">
        <v>0.91087089700000001</v>
      </c>
      <c r="J117" s="233">
        <v>15.05191026</v>
      </c>
      <c r="K117" s="233">
        <v>0</v>
      </c>
      <c r="L117" s="233">
        <v>0</v>
      </c>
      <c r="M117" s="233">
        <v>0</v>
      </c>
      <c r="N117" s="233">
        <v>0</v>
      </c>
      <c r="V117" s="140"/>
      <c r="W117" s="140"/>
      <c r="X117" s="140"/>
      <c r="Y117" s="140"/>
      <c r="Z117" s="141"/>
      <c r="AA117" s="140"/>
    </row>
    <row r="118" spans="1:27" x14ac:dyDescent="0.2">
      <c r="A118" s="233" t="s">
        <v>29</v>
      </c>
      <c r="B118" s="233" t="s">
        <v>10369</v>
      </c>
      <c r="C118" s="233" t="s">
        <v>1</v>
      </c>
      <c r="D118" s="233">
        <v>3</v>
      </c>
      <c r="E118" s="233">
        <v>0.91500000000000004</v>
      </c>
      <c r="F118" s="233" t="s">
        <v>6371</v>
      </c>
      <c r="G118" s="233">
        <v>1E-4</v>
      </c>
      <c r="H118" s="233">
        <v>1E-4</v>
      </c>
      <c r="I118" s="233">
        <v>0.14019978599999999</v>
      </c>
      <c r="J118" s="233">
        <v>4.9287106789999999</v>
      </c>
      <c r="K118" s="233">
        <v>0</v>
      </c>
      <c r="L118" s="233">
        <v>0</v>
      </c>
      <c r="M118" s="233">
        <v>0</v>
      </c>
      <c r="N118" s="233">
        <v>0</v>
      </c>
      <c r="V118" s="140"/>
      <c r="W118" s="140"/>
      <c r="X118" s="140"/>
      <c r="Y118" s="140"/>
      <c r="Z118" s="141"/>
      <c r="AA118" s="140"/>
    </row>
    <row r="119" spans="1:27" x14ac:dyDescent="0.2">
      <c r="A119" s="233" t="s">
        <v>29</v>
      </c>
      <c r="B119" s="233" t="s">
        <v>10369</v>
      </c>
      <c r="C119" s="233" t="s">
        <v>1</v>
      </c>
      <c r="D119" s="233">
        <v>3</v>
      </c>
      <c r="E119" s="233">
        <v>0.91500000000000004</v>
      </c>
      <c r="F119" s="233" t="s">
        <v>6369</v>
      </c>
      <c r="G119" s="233">
        <v>9.9999999999999995E-7</v>
      </c>
      <c r="H119" s="233">
        <v>9.9999999999999995E-7</v>
      </c>
      <c r="I119" s="233">
        <v>0.14758532099999999</v>
      </c>
      <c r="J119" s="233">
        <v>2.3719308400000001</v>
      </c>
      <c r="K119" s="233">
        <v>1.8838305E-2</v>
      </c>
      <c r="L119" s="233">
        <v>0</v>
      </c>
      <c r="M119" s="233">
        <v>1.5831514710000001</v>
      </c>
      <c r="N119" s="233">
        <v>0.35629795600000003</v>
      </c>
      <c r="V119" s="140"/>
      <c r="W119" s="140"/>
      <c r="X119" s="140"/>
      <c r="Y119" s="140"/>
      <c r="Z119" s="141"/>
      <c r="AA119" s="141"/>
    </row>
    <row r="120" spans="1:27" x14ac:dyDescent="0.2">
      <c r="A120" s="233" t="s">
        <v>29</v>
      </c>
      <c r="B120" s="233" t="s">
        <v>10369</v>
      </c>
      <c r="C120" s="233" t="s">
        <v>1</v>
      </c>
      <c r="D120" s="233">
        <v>3</v>
      </c>
      <c r="E120" s="233">
        <v>0.91500000000000004</v>
      </c>
      <c r="F120" s="233" t="s">
        <v>6369</v>
      </c>
      <c r="G120" s="233">
        <v>1.0000000000000001E-5</v>
      </c>
      <c r="H120" s="233">
        <v>1.0000000000000001E-5</v>
      </c>
      <c r="I120" s="233">
        <v>0.24204935499999999</v>
      </c>
      <c r="J120" s="233">
        <v>2.6566007580000002</v>
      </c>
      <c r="K120" s="233">
        <v>0</v>
      </c>
      <c r="L120" s="233">
        <v>0</v>
      </c>
      <c r="M120" s="233">
        <v>0</v>
      </c>
      <c r="N120" s="233">
        <v>0</v>
      </c>
      <c r="V120" s="140"/>
      <c r="W120" s="140"/>
      <c r="X120" s="140"/>
      <c r="Y120" s="140"/>
      <c r="Z120" s="141"/>
      <c r="AA120" s="141"/>
    </row>
    <row r="121" spans="1:27" x14ac:dyDescent="0.2">
      <c r="A121" s="233" t="s">
        <v>29</v>
      </c>
      <c r="B121" s="233" t="s">
        <v>10369</v>
      </c>
      <c r="C121" s="233" t="s">
        <v>1</v>
      </c>
      <c r="D121" s="233">
        <v>3</v>
      </c>
      <c r="E121" s="233">
        <v>0.91500000000000004</v>
      </c>
      <c r="F121" s="233" t="s">
        <v>6369</v>
      </c>
      <c r="G121" s="233">
        <v>1E-4</v>
      </c>
      <c r="H121" s="233">
        <v>1E-4</v>
      </c>
      <c r="I121" s="233">
        <v>0.33416786599999998</v>
      </c>
      <c r="J121" s="233">
        <v>5.8565614520000002</v>
      </c>
      <c r="K121" s="233">
        <v>0</v>
      </c>
      <c r="L121" s="233">
        <v>0</v>
      </c>
      <c r="M121" s="233">
        <v>0</v>
      </c>
      <c r="N121" s="233">
        <v>0</v>
      </c>
      <c r="V121" s="140"/>
      <c r="W121" s="140"/>
      <c r="X121" s="140"/>
      <c r="Y121" s="140"/>
      <c r="Z121" s="141"/>
      <c r="AA121" s="140"/>
    </row>
    <row r="122" spans="1:27" x14ac:dyDescent="0.2">
      <c r="A122" s="233" t="s">
        <v>29</v>
      </c>
      <c r="B122" s="233" t="s">
        <v>10369</v>
      </c>
      <c r="C122" s="233" t="s">
        <v>1</v>
      </c>
      <c r="D122" s="233">
        <v>3</v>
      </c>
      <c r="E122" s="233">
        <v>0.91500000000000004</v>
      </c>
      <c r="F122" s="233" t="s">
        <v>6369</v>
      </c>
      <c r="G122" s="233">
        <v>1E-3</v>
      </c>
      <c r="H122" s="233">
        <v>1E-3</v>
      </c>
      <c r="I122" s="233">
        <v>0.118545768</v>
      </c>
      <c r="J122" s="233">
        <v>2.7709275369999999</v>
      </c>
      <c r="K122" s="233">
        <v>0</v>
      </c>
      <c r="L122" s="233">
        <v>0</v>
      </c>
      <c r="M122" s="233">
        <v>0</v>
      </c>
      <c r="N122" s="233">
        <v>0</v>
      </c>
      <c r="V122" s="140"/>
      <c r="W122" s="140"/>
      <c r="X122" s="140"/>
      <c r="Y122" s="140"/>
      <c r="Z122" s="141"/>
      <c r="AA122" s="140"/>
    </row>
    <row r="123" spans="1:27" x14ac:dyDescent="0.2">
      <c r="A123" s="233" t="s">
        <v>29</v>
      </c>
      <c r="B123" s="233" t="s">
        <v>10369</v>
      </c>
      <c r="C123" s="233" t="s">
        <v>1</v>
      </c>
      <c r="D123" s="233">
        <v>3</v>
      </c>
      <c r="E123" s="233">
        <v>0.91500000000000004</v>
      </c>
      <c r="F123" s="233" t="s">
        <v>6369</v>
      </c>
      <c r="G123" s="233">
        <v>5.0000000000000001E-3</v>
      </c>
      <c r="H123" s="233">
        <v>5.0000000000000001E-3</v>
      </c>
      <c r="I123" s="233">
        <v>0.160497637</v>
      </c>
      <c r="J123" s="233">
        <v>2.5486160070000001</v>
      </c>
      <c r="K123" s="233">
        <v>0</v>
      </c>
      <c r="L123" s="233">
        <v>3.3012380000000001E-2</v>
      </c>
      <c r="M123" s="233">
        <v>0</v>
      </c>
      <c r="N123" s="233">
        <v>5.072595132</v>
      </c>
      <c r="V123" s="140"/>
      <c r="W123" s="140"/>
      <c r="X123" s="140"/>
      <c r="Y123" s="140"/>
      <c r="Z123" s="141"/>
      <c r="AA123" s="140"/>
    </row>
    <row r="124" spans="1:27" x14ac:dyDescent="0.2">
      <c r="A124" s="233" t="s">
        <v>29</v>
      </c>
      <c r="B124" s="233" t="s">
        <v>10369</v>
      </c>
      <c r="C124" s="233" t="s">
        <v>2</v>
      </c>
      <c r="D124" s="233">
        <v>6</v>
      </c>
      <c r="E124" s="233">
        <v>1.35</v>
      </c>
      <c r="F124" s="233" t="s">
        <v>6370</v>
      </c>
      <c r="G124" s="233">
        <v>5.0000000000000002E-5</v>
      </c>
      <c r="H124" s="233">
        <v>9.9999999999999995E-7</v>
      </c>
      <c r="I124" s="233">
        <v>0.16074687400000001</v>
      </c>
      <c r="J124" s="233">
        <v>2.3840028179999999</v>
      </c>
      <c r="K124" s="233">
        <v>0</v>
      </c>
      <c r="L124" s="233">
        <v>0</v>
      </c>
      <c r="M124" s="233">
        <v>0</v>
      </c>
      <c r="N124" s="233">
        <v>0</v>
      </c>
      <c r="V124" s="140"/>
      <c r="W124" s="140"/>
      <c r="X124" s="140"/>
      <c r="Y124" s="140"/>
      <c r="Z124" s="141"/>
      <c r="AA124" s="140"/>
    </row>
    <row r="125" spans="1:27" x14ac:dyDescent="0.2">
      <c r="A125" s="233" t="s">
        <v>29</v>
      </c>
      <c r="B125" s="233" t="s">
        <v>10369</v>
      </c>
      <c r="C125" s="233" t="s">
        <v>2</v>
      </c>
      <c r="D125" s="233">
        <v>6</v>
      </c>
      <c r="E125" s="233">
        <v>1.35</v>
      </c>
      <c r="F125" s="233" t="s">
        <v>6370</v>
      </c>
      <c r="G125" s="233">
        <v>1E-4</v>
      </c>
      <c r="H125" s="233">
        <v>1.0000000000000001E-5</v>
      </c>
      <c r="I125" s="233">
        <v>3.4638747329999999</v>
      </c>
      <c r="J125" s="233">
        <v>6.3843983800000004</v>
      </c>
      <c r="K125" s="233">
        <v>0</v>
      </c>
      <c r="L125" s="233">
        <v>0</v>
      </c>
      <c r="M125" s="233">
        <v>0</v>
      </c>
      <c r="N125" s="233">
        <v>0</v>
      </c>
      <c r="V125" s="140"/>
      <c r="W125" s="140"/>
      <c r="X125" s="140"/>
      <c r="Y125" s="140"/>
      <c r="Z125" s="141"/>
      <c r="AA125" s="141"/>
    </row>
    <row r="126" spans="1:27" x14ac:dyDescent="0.2">
      <c r="A126" s="233" t="s">
        <v>29</v>
      </c>
      <c r="B126" s="233" t="s">
        <v>10369</v>
      </c>
      <c r="C126" s="233" t="s">
        <v>2</v>
      </c>
      <c r="D126" s="233">
        <v>6</v>
      </c>
      <c r="E126" s="233">
        <v>1.35</v>
      </c>
      <c r="F126" s="233" t="s">
        <v>6370</v>
      </c>
      <c r="G126" s="233">
        <v>1E-3</v>
      </c>
      <c r="H126" s="233">
        <v>1E-4</v>
      </c>
      <c r="I126" s="233">
        <v>6237.9879650000003</v>
      </c>
      <c r="J126" s="233">
        <v>405.81136529999998</v>
      </c>
      <c r="K126" s="233">
        <v>0</v>
      </c>
      <c r="L126" s="233">
        <v>0</v>
      </c>
      <c r="M126" s="233">
        <v>0</v>
      </c>
      <c r="N126" s="233">
        <v>0</v>
      </c>
      <c r="V126" s="140"/>
      <c r="W126" s="140"/>
      <c r="X126" s="140"/>
      <c r="Y126" s="140"/>
      <c r="Z126" s="141"/>
      <c r="AA126" s="141"/>
    </row>
    <row r="127" spans="1:27" x14ac:dyDescent="0.2">
      <c r="A127" s="233" t="s">
        <v>29</v>
      </c>
      <c r="B127" s="233" t="s">
        <v>10369</v>
      </c>
      <c r="C127" s="233" t="s">
        <v>2</v>
      </c>
      <c r="D127" s="233">
        <v>6</v>
      </c>
      <c r="E127" s="233">
        <v>1.35</v>
      </c>
      <c r="F127" s="233" t="s">
        <v>6370</v>
      </c>
      <c r="G127" s="233">
        <v>5.0000000000000001E-3</v>
      </c>
      <c r="H127" s="233">
        <v>1E-3</v>
      </c>
      <c r="I127" s="233">
        <v>788777.62490000005</v>
      </c>
      <c r="J127" s="233">
        <v>4563.301907</v>
      </c>
      <c r="K127" s="233">
        <v>0</v>
      </c>
      <c r="L127" s="233">
        <v>0</v>
      </c>
      <c r="M127" s="233">
        <v>0</v>
      </c>
      <c r="N127" s="233">
        <v>0</v>
      </c>
      <c r="V127" s="140"/>
      <c r="W127" s="140"/>
      <c r="X127" s="140"/>
      <c r="Y127" s="140"/>
      <c r="Z127" s="141"/>
      <c r="AA127" s="140"/>
    </row>
    <row r="128" spans="1:27" x14ac:dyDescent="0.2">
      <c r="A128" s="233" t="s">
        <v>29</v>
      </c>
      <c r="B128" s="233" t="s">
        <v>10369</v>
      </c>
      <c r="C128" s="233" t="s">
        <v>2</v>
      </c>
      <c r="D128" s="233">
        <v>6</v>
      </c>
      <c r="E128" s="233">
        <v>1.35</v>
      </c>
      <c r="F128" s="233" t="s">
        <v>6370</v>
      </c>
      <c r="G128" s="233">
        <v>2.5000000000000001E-2</v>
      </c>
      <c r="H128" s="233">
        <v>5.0000000000000001E-3</v>
      </c>
      <c r="I128" s="233">
        <v>4638896.0530000003</v>
      </c>
      <c r="J128" s="233">
        <v>11066.472680000001</v>
      </c>
      <c r="K128" s="233">
        <v>0</v>
      </c>
      <c r="L128" s="233">
        <v>0</v>
      </c>
      <c r="M128" s="233">
        <v>0</v>
      </c>
      <c r="N128" s="233">
        <v>0</v>
      </c>
      <c r="V128" s="140"/>
      <c r="W128" s="140"/>
      <c r="X128" s="140"/>
      <c r="Y128" s="140"/>
      <c r="Z128" s="141"/>
      <c r="AA128" s="140"/>
    </row>
    <row r="129" spans="1:27" x14ac:dyDescent="0.2">
      <c r="A129" s="233" t="s">
        <v>29</v>
      </c>
      <c r="B129" s="233" t="s">
        <v>10369</v>
      </c>
      <c r="C129" s="233" t="s">
        <v>2</v>
      </c>
      <c r="D129" s="233">
        <v>6</v>
      </c>
      <c r="E129" s="233">
        <v>1.35</v>
      </c>
      <c r="F129" s="233" t="s">
        <v>6371</v>
      </c>
      <c r="G129" s="233">
        <v>9.9999999999999995E-7</v>
      </c>
      <c r="H129" s="233">
        <v>9.9999999999999995E-7</v>
      </c>
      <c r="I129" s="233">
        <v>0.67266497999999997</v>
      </c>
      <c r="J129" s="233">
        <v>3.1874618899999998</v>
      </c>
      <c r="K129" s="233">
        <v>0</v>
      </c>
      <c r="L129" s="233">
        <v>0</v>
      </c>
      <c r="M129" s="233">
        <v>0</v>
      </c>
      <c r="N129" s="233">
        <v>0</v>
      </c>
      <c r="V129" s="140"/>
      <c r="W129" s="140"/>
      <c r="X129" s="140"/>
      <c r="Y129" s="140"/>
      <c r="Z129" s="141"/>
      <c r="AA129" s="141"/>
    </row>
    <row r="130" spans="1:27" x14ac:dyDescent="0.2">
      <c r="A130" s="233" t="s">
        <v>29</v>
      </c>
      <c r="B130" s="233" t="s">
        <v>10369</v>
      </c>
      <c r="C130" s="233" t="s">
        <v>2</v>
      </c>
      <c r="D130" s="233">
        <v>6</v>
      </c>
      <c r="E130" s="233">
        <v>1.35</v>
      </c>
      <c r="F130" s="233" t="s">
        <v>6371</v>
      </c>
      <c r="G130" s="233">
        <v>1.0000000000000001E-5</v>
      </c>
      <c r="H130" s="233">
        <v>1.0000000000000001E-5</v>
      </c>
      <c r="I130" s="233">
        <v>944.76035279999996</v>
      </c>
      <c r="J130" s="233">
        <v>155.16101370000001</v>
      </c>
      <c r="K130" s="233">
        <v>0</v>
      </c>
      <c r="L130" s="233">
        <v>0</v>
      </c>
      <c r="M130" s="233">
        <v>0</v>
      </c>
      <c r="N130" s="233">
        <v>0</v>
      </c>
      <c r="V130" s="140"/>
      <c r="W130" s="140"/>
      <c r="X130" s="140"/>
      <c r="Y130" s="140"/>
      <c r="Z130" s="141"/>
      <c r="AA130" s="141"/>
    </row>
    <row r="131" spans="1:27" x14ac:dyDescent="0.2">
      <c r="A131" s="233" t="s">
        <v>29</v>
      </c>
      <c r="B131" s="233" t="s">
        <v>10369</v>
      </c>
      <c r="C131" s="233" t="s">
        <v>2</v>
      </c>
      <c r="D131" s="233">
        <v>6</v>
      </c>
      <c r="E131" s="233">
        <v>1.35</v>
      </c>
      <c r="F131" s="233" t="s">
        <v>6371</v>
      </c>
      <c r="G131" s="233">
        <v>1E-4</v>
      </c>
      <c r="H131" s="233">
        <v>1E-4</v>
      </c>
      <c r="I131" s="233">
        <v>159227.92290000001</v>
      </c>
      <c r="J131" s="233">
        <v>2050.2723810000002</v>
      </c>
      <c r="K131" s="233">
        <v>0</v>
      </c>
      <c r="L131" s="233">
        <v>0</v>
      </c>
      <c r="M131" s="233">
        <v>0</v>
      </c>
      <c r="N131" s="233">
        <v>0</v>
      </c>
      <c r="V131" s="140"/>
      <c r="W131" s="140"/>
      <c r="X131" s="140"/>
      <c r="Y131" s="140"/>
      <c r="Z131" s="141"/>
      <c r="AA131" s="140"/>
    </row>
    <row r="132" spans="1:27" x14ac:dyDescent="0.2">
      <c r="A132" s="233" t="s">
        <v>29</v>
      </c>
      <c r="B132" s="233" t="s">
        <v>10369</v>
      </c>
      <c r="C132" s="233" t="s">
        <v>2</v>
      </c>
      <c r="D132" s="233">
        <v>6</v>
      </c>
      <c r="E132" s="233">
        <v>1.35</v>
      </c>
      <c r="F132" s="233" t="s">
        <v>6369</v>
      </c>
      <c r="G132" s="233">
        <v>9.9999999999999995E-7</v>
      </c>
      <c r="H132" s="233">
        <v>9.9999999999999995E-7</v>
      </c>
      <c r="I132" s="233">
        <v>0.184014498</v>
      </c>
      <c r="J132" s="233">
        <v>2.6750294970000001</v>
      </c>
      <c r="K132" s="233">
        <v>0</v>
      </c>
      <c r="L132" s="233">
        <v>0</v>
      </c>
      <c r="M132" s="233">
        <v>0</v>
      </c>
      <c r="N132" s="233">
        <v>0</v>
      </c>
      <c r="V132" s="140"/>
      <c r="W132" s="140"/>
      <c r="X132" s="140"/>
      <c r="Y132" s="140"/>
      <c r="Z132" s="141"/>
      <c r="AA132" s="140"/>
    </row>
    <row r="133" spans="1:27" x14ac:dyDescent="0.2">
      <c r="A133" s="233" t="s">
        <v>29</v>
      </c>
      <c r="B133" s="233" t="s">
        <v>10369</v>
      </c>
      <c r="C133" s="233" t="s">
        <v>2</v>
      </c>
      <c r="D133" s="233">
        <v>6</v>
      </c>
      <c r="E133" s="233">
        <v>1.35</v>
      </c>
      <c r="F133" s="233" t="s">
        <v>6369</v>
      </c>
      <c r="G133" s="233">
        <v>1.0000000000000001E-5</v>
      </c>
      <c r="H133" s="233">
        <v>1.0000000000000001E-5</v>
      </c>
      <c r="I133" s="233">
        <v>0.34948878900000002</v>
      </c>
      <c r="J133" s="233">
        <v>3.025306574</v>
      </c>
      <c r="K133" s="233">
        <v>0</v>
      </c>
      <c r="L133" s="233">
        <v>0</v>
      </c>
      <c r="M133" s="233">
        <v>0</v>
      </c>
      <c r="N133" s="233">
        <v>0</v>
      </c>
      <c r="V133" s="140"/>
      <c r="W133" s="140"/>
      <c r="X133" s="140"/>
      <c r="Y133" s="140"/>
      <c r="Z133" s="141"/>
      <c r="AA133" s="140"/>
    </row>
    <row r="134" spans="1:27" x14ac:dyDescent="0.2">
      <c r="A134" s="233" t="s">
        <v>29</v>
      </c>
      <c r="B134" s="233" t="s">
        <v>10369</v>
      </c>
      <c r="C134" s="233" t="s">
        <v>2</v>
      </c>
      <c r="D134" s="233">
        <v>6</v>
      </c>
      <c r="E134" s="233">
        <v>1.35</v>
      </c>
      <c r="F134" s="233" t="s">
        <v>6369</v>
      </c>
      <c r="G134" s="233">
        <v>1E-4</v>
      </c>
      <c r="H134" s="233">
        <v>1E-4</v>
      </c>
      <c r="I134" s="233">
        <v>736.92979869999999</v>
      </c>
      <c r="J134" s="233">
        <v>137.4006493</v>
      </c>
      <c r="K134" s="233">
        <v>0</v>
      </c>
      <c r="L134" s="233">
        <v>0</v>
      </c>
      <c r="M134" s="233">
        <v>0</v>
      </c>
      <c r="N134" s="233">
        <v>0</v>
      </c>
      <c r="V134" s="140"/>
      <c r="W134" s="140"/>
      <c r="X134" s="140"/>
      <c r="Y134" s="140"/>
      <c r="Z134" s="141"/>
      <c r="AA134" s="140"/>
    </row>
    <row r="135" spans="1:27" x14ac:dyDescent="0.2">
      <c r="A135" s="233" t="s">
        <v>29</v>
      </c>
      <c r="B135" s="233" t="s">
        <v>10369</v>
      </c>
      <c r="C135" s="233" t="s">
        <v>2</v>
      </c>
      <c r="D135" s="233">
        <v>6</v>
      </c>
      <c r="E135" s="233">
        <v>1.35</v>
      </c>
      <c r="F135" s="233" t="s">
        <v>6369</v>
      </c>
      <c r="G135" s="233">
        <v>1E-3</v>
      </c>
      <c r="H135" s="233">
        <v>1E-3</v>
      </c>
      <c r="I135" s="233">
        <v>964615.17819999997</v>
      </c>
      <c r="J135" s="233">
        <v>5046.3687110000001</v>
      </c>
      <c r="K135" s="233">
        <v>0</v>
      </c>
      <c r="L135" s="233">
        <v>0</v>
      </c>
      <c r="M135" s="233">
        <v>0</v>
      </c>
      <c r="N135" s="233">
        <v>0</v>
      </c>
      <c r="V135" s="140"/>
      <c r="W135" s="140"/>
      <c r="X135" s="140"/>
      <c r="Y135" s="140"/>
      <c r="Z135" s="141"/>
      <c r="AA135" s="141"/>
    </row>
    <row r="136" spans="1:27" x14ac:dyDescent="0.2">
      <c r="A136" s="233" t="s">
        <v>29</v>
      </c>
      <c r="B136" s="233" t="s">
        <v>10369</v>
      </c>
      <c r="C136" s="233" t="s">
        <v>2</v>
      </c>
      <c r="D136" s="233">
        <v>6</v>
      </c>
      <c r="E136" s="233">
        <v>1.35</v>
      </c>
      <c r="F136" s="233" t="s">
        <v>6369</v>
      </c>
      <c r="G136" s="233">
        <v>5.0000000000000001E-3</v>
      </c>
      <c r="H136" s="233">
        <v>5.0000000000000001E-3</v>
      </c>
      <c r="I136" s="233">
        <v>15004501.49</v>
      </c>
      <c r="J136" s="233">
        <v>19902.723190000001</v>
      </c>
      <c r="K136" s="233">
        <v>0</v>
      </c>
      <c r="L136" s="233">
        <v>0</v>
      </c>
      <c r="M136" s="233">
        <v>0</v>
      </c>
      <c r="N136" s="233">
        <v>0</v>
      </c>
      <c r="V136" s="140"/>
      <c r="W136" s="140"/>
      <c r="X136" s="140"/>
      <c r="Y136" s="140"/>
      <c r="Z136" s="141"/>
      <c r="AA136" s="141"/>
    </row>
    <row r="137" spans="1:27" x14ac:dyDescent="0.2">
      <c r="A137" s="233" t="s">
        <v>29</v>
      </c>
      <c r="B137" s="233" t="s">
        <v>10369</v>
      </c>
      <c r="C137" s="233" t="s">
        <v>3</v>
      </c>
      <c r="D137" s="233">
        <v>2</v>
      </c>
      <c r="E137" s="233">
        <v>0.88</v>
      </c>
      <c r="F137" s="233" t="s">
        <v>6370</v>
      </c>
      <c r="G137" s="233">
        <v>5.0000000000000002E-5</v>
      </c>
      <c r="H137" s="233">
        <v>9.9999999999999995E-7</v>
      </c>
      <c r="I137" s="233">
        <v>0.34763895900000003</v>
      </c>
      <c r="J137" s="233">
        <v>2.8510682589999998</v>
      </c>
      <c r="K137" s="233">
        <v>0</v>
      </c>
      <c r="L137" s="233">
        <v>0</v>
      </c>
      <c r="M137" s="233">
        <v>0</v>
      </c>
      <c r="N137" s="233">
        <v>0</v>
      </c>
      <c r="V137" s="140"/>
      <c r="W137" s="140"/>
      <c r="X137" s="140"/>
      <c r="Y137" s="140"/>
      <c r="Z137" s="141"/>
      <c r="AA137" s="140"/>
    </row>
    <row r="138" spans="1:27" x14ac:dyDescent="0.2">
      <c r="A138" s="233" t="s">
        <v>29</v>
      </c>
      <c r="B138" s="233" t="s">
        <v>10369</v>
      </c>
      <c r="C138" s="233" t="s">
        <v>3</v>
      </c>
      <c r="D138" s="233">
        <v>2</v>
      </c>
      <c r="E138" s="233">
        <v>0.88</v>
      </c>
      <c r="F138" s="233" t="s">
        <v>6370</v>
      </c>
      <c r="G138" s="233">
        <v>1E-4</v>
      </c>
      <c r="H138" s="233">
        <v>1.0000000000000001E-5</v>
      </c>
      <c r="I138" s="233">
        <v>0.97490958000000005</v>
      </c>
      <c r="J138" s="233">
        <v>7.7117727250000003</v>
      </c>
      <c r="K138" s="233">
        <v>0</v>
      </c>
      <c r="L138" s="233">
        <v>0</v>
      </c>
      <c r="M138" s="233">
        <v>0</v>
      </c>
      <c r="N138" s="233">
        <v>0</v>
      </c>
      <c r="V138" s="140"/>
      <c r="W138" s="140"/>
      <c r="X138" s="140"/>
      <c r="Y138" s="140"/>
      <c r="Z138" s="141"/>
      <c r="AA138" s="140"/>
    </row>
    <row r="139" spans="1:27" x14ac:dyDescent="0.2">
      <c r="A139" s="233" t="s">
        <v>29</v>
      </c>
      <c r="B139" s="233" t="s">
        <v>10369</v>
      </c>
      <c r="C139" s="233" t="s">
        <v>3</v>
      </c>
      <c r="D139" s="233">
        <v>2</v>
      </c>
      <c r="E139" s="233">
        <v>0.88</v>
      </c>
      <c r="F139" s="233" t="s">
        <v>6370</v>
      </c>
      <c r="G139" s="233">
        <v>1E-3</v>
      </c>
      <c r="H139" s="233">
        <v>1E-4</v>
      </c>
      <c r="I139" s="233">
        <v>0.187148758</v>
      </c>
      <c r="J139" s="233">
        <v>6.1687255160000003</v>
      </c>
      <c r="K139" s="233">
        <v>0</v>
      </c>
      <c r="L139" s="233">
        <v>0</v>
      </c>
      <c r="M139" s="233">
        <v>0</v>
      </c>
      <c r="N139" s="233">
        <v>0</v>
      </c>
      <c r="V139" s="140"/>
      <c r="W139" s="140"/>
      <c r="X139" s="140"/>
      <c r="Y139" s="140"/>
      <c r="Z139" s="141"/>
      <c r="AA139" s="141"/>
    </row>
    <row r="140" spans="1:27" x14ac:dyDescent="0.2">
      <c r="A140" s="233" t="s">
        <v>29</v>
      </c>
      <c r="B140" s="233" t="s">
        <v>10369</v>
      </c>
      <c r="C140" s="233" t="s">
        <v>3</v>
      </c>
      <c r="D140" s="233">
        <v>2</v>
      </c>
      <c r="E140" s="233">
        <v>0.88</v>
      </c>
      <c r="F140" s="233" t="s">
        <v>6370</v>
      </c>
      <c r="G140" s="233">
        <v>5.0000000000000001E-3</v>
      </c>
      <c r="H140" s="233">
        <v>1E-3</v>
      </c>
      <c r="I140" s="233">
        <v>0.15047569799999999</v>
      </c>
      <c r="J140" s="233">
        <v>2.3167309839999999</v>
      </c>
      <c r="K140" s="233">
        <v>0</v>
      </c>
      <c r="L140" s="233">
        <v>0</v>
      </c>
      <c r="M140" s="233">
        <v>0</v>
      </c>
      <c r="N140" s="233">
        <v>0</v>
      </c>
      <c r="V140" s="140"/>
      <c r="W140" s="140"/>
      <c r="X140" s="140"/>
      <c r="Y140" s="140"/>
      <c r="Z140" s="141"/>
      <c r="AA140" s="141"/>
    </row>
    <row r="141" spans="1:27" x14ac:dyDescent="0.2">
      <c r="A141" s="233" t="s">
        <v>29</v>
      </c>
      <c r="B141" s="233" t="s">
        <v>10369</v>
      </c>
      <c r="C141" s="233" t="s">
        <v>3</v>
      </c>
      <c r="D141" s="233">
        <v>2</v>
      </c>
      <c r="E141" s="233">
        <v>0.88</v>
      </c>
      <c r="F141" s="233" t="s">
        <v>6370</v>
      </c>
      <c r="G141" s="233">
        <v>2.5000000000000001E-2</v>
      </c>
      <c r="H141" s="233">
        <v>5.0000000000000001E-3</v>
      </c>
      <c r="I141" s="233">
        <v>0.160193803</v>
      </c>
      <c r="J141" s="233">
        <v>2.5564237109999999</v>
      </c>
      <c r="K141" s="233">
        <v>0</v>
      </c>
      <c r="L141" s="233">
        <v>2.2684309999999999E-2</v>
      </c>
      <c r="M141" s="233">
        <v>0</v>
      </c>
      <c r="N141" s="233">
        <v>5.5824773780000001</v>
      </c>
      <c r="V141" s="140"/>
      <c r="W141" s="140"/>
      <c r="X141" s="140"/>
      <c r="Y141" s="140"/>
      <c r="Z141" s="141"/>
      <c r="AA141" s="140"/>
    </row>
    <row r="142" spans="1:27" x14ac:dyDescent="0.2">
      <c r="A142" s="233" t="s">
        <v>29</v>
      </c>
      <c r="B142" s="233" t="s">
        <v>10369</v>
      </c>
      <c r="C142" s="233" t="s">
        <v>3</v>
      </c>
      <c r="D142" s="233">
        <v>2</v>
      </c>
      <c r="E142" s="233">
        <v>0.88</v>
      </c>
      <c r="F142" s="233" t="s">
        <v>6371</v>
      </c>
      <c r="G142" s="233">
        <v>9.9999999999999995E-7</v>
      </c>
      <c r="H142" s="233">
        <v>9.9999999999999995E-7</v>
      </c>
      <c r="I142" s="233">
        <v>0.45978390899999999</v>
      </c>
      <c r="J142" s="233">
        <v>2.9778039359999999</v>
      </c>
      <c r="K142" s="233">
        <v>0</v>
      </c>
      <c r="L142" s="233">
        <v>0</v>
      </c>
      <c r="M142" s="233">
        <v>0</v>
      </c>
      <c r="N142" s="233">
        <v>0</v>
      </c>
    </row>
    <row r="143" spans="1:27" x14ac:dyDescent="0.2">
      <c r="A143" s="233" t="s">
        <v>29</v>
      </c>
      <c r="B143" s="233" t="s">
        <v>10369</v>
      </c>
      <c r="C143" s="233" t="s">
        <v>3</v>
      </c>
      <c r="D143" s="233">
        <v>2</v>
      </c>
      <c r="E143" s="233">
        <v>0.88</v>
      </c>
      <c r="F143" s="233" t="s">
        <v>6371</v>
      </c>
      <c r="G143" s="233">
        <v>1.0000000000000001E-5</v>
      </c>
      <c r="H143" s="233">
        <v>1.0000000000000001E-5</v>
      </c>
      <c r="I143" s="233">
        <v>0.74514806899999997</v>
      </c>
      <c r="J143" s="233">
        <v>13.643190089999999</v>
      </c>
      <c r="K143" s="233">
        <v>0</v>
      </c>
      <c r="L143" s="233">
        <v>0</v>
      </c>
      <c r="M143" s="233">
        <v>0</v>
      </c>
      <c r="N143" s="233">
        <v>0</v>
      </c>
    </row>
    <row r="144" spans="1:27" x14ac:dyDescent="0.2">
      <c r="A144" s="233" t="s">
        <v>29</v>
      </c>
      <c r="B144" s="233" t="s">
        <v>10369</v>
      </c>
      <c r="C144" s="233" t="s">
        <v>3</v>
      </c>
      <c r="D144" s="233">
        <v>2</v>
      </c>
      <c r="E144" s="233">
        <v>0.88</v>
      </c>
      <c r="F144" s="233" t="s">
        <v>6371</v>
      </c>
      <c r="G144" s="233">
        <v>1E-4</v>
      </c>
      <c r="H144" s="233">
        <v>1E-4</v>
      </c>
      <c r="I144" s="233">
        <v>0.14096381899999999</v>
      </c>
      <c r="J144" s="233">
        <v>4.4338754859999998</v>
      </c>
      <c r="K144" s="233">
        <v>0</v>
      </c>
      <c r="L144" s="233">
        <v>0</v>
      </c>
      <c r="M144" s="233">
        <v>0</v>
      </c>
      <c r="N144" s="233">
        <v>0</v>
      </c>
    </row>
    <row r="145" spans="1:14" x14ac:dyDescent="0.2">
      <c r="A145" s="233" t="s">
        <v>29</v>
      </c>
      <c r="B145" s="233" t="s">
        <v>10369</v>
      </c>
      <c r="C145" s="233" t="s">
        <v>3</v>
      </c>
      <c r="D145" s="233">
        <v>2</v>
      </c>
      <c r="E145" s="233">
        <v>0.88</v>
      </c>
      <c r="F145" s="233" t="s">
        <v>6369</v>
      </c>
      <c r="G145" s="233">
        <v>9.9999999999999995E-7</v>
      </c>
      <c r="H145" s="233">
        <v>9.9999999999999995E-7</v>
      </c>
      <c r="I145" s="233">
        <v>0.168075319</v>
      </c>
      <c r="J145" s="233">
        <v>2.2818808659999998</v>
      </c>
      <c r="K145" s="233">
        <v>0</v>
      </c>
      <c r="L145" s="233">
        <v>0</v>
      </c>
      <c r="M145" s="233">
        <v>0</v>
      </c>
      <c r="N145" s="233">
        <v>0</v>
      </c>
    </row>
    <row r="146" spans="1:14" x14ac:dyDescent="0.2">
      <c r="A146" s="233" t="s">
        <v>29</v>
      </c>
      <c r="B146" s="233" t="s">
        <v>10369</v>
      </c>
      <c r="C146" s="233" t="s">
        <v>3</v>
      </c>
      <c r="D146" s="233">
        <v>2</v>
      </c>
      <c r="E146" s="233">
        <v>0.88</v>
      </c>
      <c r="F146" s="233" t="s">
        <v>6369</v>
      </c>
      <c r="G146" s="233">
        <v>1.0000000000000001E-5</v>
      </c>
      <c r="H146" s="233">
        <v>1.0000000000000001E-5</v>
      </c>
      <c r="I146" s="233">
        <v>0.24512281</v>
      </c>
      <c r="J146" s="233">
        <v>2.7286603340000002</v>
      </c>
      <c r="K146" s="233">
        <v>0</v>
      </c>
      <c r="L146" s="233">
        <v>0</v>
      </c>
      <c r="M146" s="233">
        <v>0</v>
      </c>
      <c r="N146" s="233">
        <v>0</v>
      </c>
    </row>
    <row r="147" spans="1:14" x14ac:dyDescent="0.2">
      <c r="A147" s="233" t="s">
        <v>29</v>
      </c>
      <c r="B147" s="233" t="s">
        <v>10369</v>
      </c>
      <c r="C147" s="233" t="s">
        <v>3</v>
      </c>
      <c r="D147" s="233">
        <v>2</v>
      </c>
      <c r="E147" s="233">
        <v>0.88</v>
      </c>
      <c r="F147" s="233" t="s">
        <v>6369</v>
      </c>
      <c r="G147" s="233">
        <v>1E-4</v>
      </c>
      <c r="H147" s="233">
        <v>1E-4</v>
      </c>
      <c r="I147" s="233">
        <v>0.25872873099999999</v>
      </c>
      <c r="J147" s="233">
        <v>5.2778723950000002</v>
      </c>
      <c r="K147" s="233">
        <v>0</v>
      </c>
      <c r="L147" s="233">
        <v>0</v>
      </c>
      <c r="M147" s="233">
        <v>0</v>
      </c>
      <c r="N147" s="233">
        <v>0</v>
      </c>
    </row>
    <row r="148" spans="1:14" x14ac:dyDescent="0.2">
      <c r="A148" s="233" t="s">
        <v>29</v>
      </c>
      <c r="B148" s="233" t="s">
        <v>10369</v>
      </c>
      <c r="C148" s="233" t="s">
        <v>3</v>
      </c>
      <c r="D148" s="233">
        <v>2</v>
      </c>
      <c r="E148" s="233">
        <v>0.88</v>
      </c>
      <c r="F148" s="233" t="s">
        <v>6369</v>
      </c>
      <c r="G148" s="233">
        <v>1E-3</v>
      </c>
      <c r="H148" s="233">
        <v>1E-3</v>
      </c>
      <c r="I148" s="233">
        <v>0.119414586</v>
      </c>
      <c r="J148" s="233">
        <v>2.930631092</v>
      </c>
      <c r="K148" s="233">
        <v>0</v>
      </c>
      <c r="L148" s="233">
        <v>0</v>
      </c>
      <c r="M148" s="233">
        <v>0</v>
      </c>
      <c r="N148" s="233">
        <v>0</v>
      </c>
    </row>
    <row r="149" spans="1:14" x14ac:dyDescent="0.2">
      <c r="A149" s="233" t="s">
        <v>29</v>
      </c>
      <c r="B149" s="233" t="s">
        <v>10369</v>
      </c>
      <c r="C149" s="233" t="s">
        <v>3</v>
      </c>
      <c r="D149" s="233">
        <v>2</v>
      </c>
      <c r="E149" s="233">
        <v>0.88</v>
      </c>
      <c r="F149" s="233" t="s">
        <v>6369</v>
      </c>
      <c r="G149" s="233">
        <v>5.0000000000000001E-3</v>
      </c>
      <c r="H149" s="233">
        <v>5.0000000000000001E-3</v>
      </c>
      <c r="I149" s="233">
        <v>0.153165883</v>
      </c>
      <c r="J149" s="233">
        <v>2.1847824930000002</v>
      </c>
      <c r="K149" s="233">
        <v>1.6853933000000001E-2</v>
      </c>
      <c r="L149" s="233">
        <v>0</v>
      </c>
      <c r="M149" s="233">
        <v>9.7336723E-2</v>
      </c>
      <c r="N149" s="233">
        <v>12.85006226</v>
      </c>
    </row>
    <row r="150" spans="1:14" x14ac:dyDescent="0.2">
      <c r="A150" s="233" t="s">
        <v>29</v>
      </c>
      <c r="B150" s="233" t="s">
        <v>10369</v>
      </c>
      <c r="C150" s="233" t="s">
        <v>23</v>
      </c>
      <c r="D150" s="233">
        <v>5</v>
      </c>
      <c r="E150" s="233">
        <v>1.06</v>
      </c>
      <c r="F150" s="233" t="s">
        <v>6370</v>
      </c>
      <c r="G150" s="233">
        <v>5.0000000000000002E-5</v>
      </c>
      <c r="H150" s="233">
        <v>9.9999999999999995E-7</v>
      </c>
      <c r="I150" s="233">
        <v>0.32587312899999998</v>
      </c>
      <c r="J150" s="233">
        <v>2.8464625180000001</v>
      </c>
      <c r="K150" s="233">
        <v>0</v>
      </c>
      <c r="L150" s="233">
        <v>0</v>
      </c>
      <c r="M150" s="233">
        <v>0</v>
      </c>
      <c r="N150" s="233">
        <v>0</v>
      </c>
    </row>
    <row r="151" spans="1:14" x14ac:dyDescent="0.2">
      <c r="A151" s="233" t="s">
        <v>29</v>
      </c>
      <c r="B151" s="233" t="s">
        <v>10369</v>
      </c>
      <c r="C151" s="233" t="s">
        <v>23</v>
      </c>
      <c r="D151" s="233">
        <v>5</v>
      </c>
      <c r="E151" s="233">
        <v>1.06</v>
      </c>
      <c r="F151" s="233" t="s">
        <v>6370</v>
      </c>
      <c r="G151" s="233">
        <v>1E-4</v>
      </c>
      <c r="H151" s="233">
        <v>1.0000000000000001E-5</v>
      </c>
      <c r="I151" s="233">
        <v>3.0214833169999999</v>
      </c>
      <c r="J151" s="233">
        <v>9.4140336779999991</v>
      </c>
      <c r="K151" s="233">
        <v>0</v>
      </c>
      <c r="L151" s="233">
        <v>0</v>
      </c>
      <c r="M151" s="233">
        <v>0</v>
      </c>
      <c r="N151" s="233">
        <v>0</v>
      </c>
    </row>
    <row r="152" spans="1:14" x14ac:dyDescent="0.2">
      <c r="A152" s="233" t="s">
        <v>29</v>
      </c>
      <c r="B152" s="233" t="s">
        <v>10369</v>
      </c>
      <c r="C152" s="233" t="s">
        <v>23</v>
      </c>
      <c r="D152" s="233">
        <v>5</v>
      </c>
      <c r="E152" s="233">
        <v>1.06</v>
      </c>
      <c r="F152" s="233" t="s">
        <v>6370</v>
      </c>
      <c r="G152" s="233">
        <v>1E-3</v>
      </c>
      <c r="H152" s="233">
        <v>1E-4</v>
      </c>
      <c r="I152" s="233">
        <v>168.261259</v>
      </c>
      <c r="J152" s="233">
        <v>68.486609790000003</v>
      </c>
      <c r="K152" s="233">
        <v>0</v>
      </c>
      <c r="L152" s="233">
        <v>0</v>
      </c>
      <c r="M152" s="233">
        <v>0</v>
      </c>
      <c r="N152" s="233">
        <v>0</v>
      </c>
    </row>
    <row r="153" spans="1:14" x14ac:dyDescent="0.2">
      <c r="A153" s="233" t="s">
        <v>29</v>
      </c>
      <c r="B153" s="233" t="s">
        <v>10369</v>
      </c>
      <c r="C153" s="233" t="s">
        <v>23</v>
      </c>
      <c r="D153" s="233">
        <v>5</v>
      </c>
      <c r="E153" s="233">
        <v>1.06</v>
      </c>
      <c r="F153" s="233" t="s">
        <v>6370</v>
      </c>
      <c r="G153" s="233">
        <v>5.0000000000000001E-3</v>
      </c>
      <c r="H153" s="233">
        <v>1E-3</v>
      </c>
      <c r="I153" s="233">
        <v>66926.098060000004</v>
      </c>
      <c r="J153" s="233">
        <v>1329.2286939999999</v>
      </c>
      <c r="K153" s="233">
        <v>0</v>
      </c>
      <c r="L153" s="233">
        <v>0</v>
      </c>
      <c r="M153" s="233">
        <v>0</v>
      </c>
      <c r="N153" s="233">
        <v>0</v>
      </c>
    </row>
    <row r="154" spans="1:14" x14ac:dyDescent="0.2">
      <c r="A154" s="233" t="s">
        <v>29</v>
      </c>
      <c r="B154" s="233" t="s">
        <v>10369</v>
      </c>
      <c r="C154" s="233" t="s">
        <v>23</v>
      </c>
      <c r="D154" s="233">
        <v>5</v>
      </c>
      <c r="E154" s="233">
        <v>1.06</v>
      </c>
      <c r="F154" s="233" t="s">
        <v>6370</v>
      </c>
      <c r="G154" s="233">
        <v>2.5000000000000001E-2</v>
      </c>
      <c r="H154" s="233">
        <v>5.0000000000000001E-3</v>
      </c>
      <c r="I154" s="233">
        <v>542640.55299999996</v>
      </c>
      <c r="J154" s="233">
        <v>3784.9318899999998</v>
      </c>
      <c r="K154" s="233">
        <v>0</v>
      </c>
      <c r="L154" s="233">
        <v>0</v>
      </c>
      <c r="M154" s="233">
        <v>0</v>
      </c>
      <c r="N154" s="233">
        <v>0</v>
      </c>
    </row>
    <row r="155" spans="1:14" x14ac:dyDescent="0.2">
      <c r="A155" s="233" t="s">
        <v>29</v>
      </c>
      <c r="B155" s="233" t="s">
        <v>10369</v>
      </c>
      <c r="C155" s="233" t="s">
        <v>23</v>
      </c>
      <c r="D155" s="233">
        <v>5</v>
      </c>
      <c r="E155" s="233">
        <v>1.06</v>
      </c>
      <c r="F155" s="233" t="s">
        <v>6371</v>
      </c>
      <c r="G155" s="233">
        <v>9.9999999999999995E-7</v>
      </c>
      <c r="H155" s="233">
        <v>9.9999999999999995E-7</v>
      </c>
      <c r="I155" s="233">
        <v>0.50543079599999996</v>
      </c>
      <c r="J155" s="233">
        <v>3.253494152</v>
      </c>
      <c r="K155" s="233">
        <v>0</v>
      </c>
      <c r="L155" s="233">
        <v>0</v>
      </c>
      <c r="M155" s="233">
        <v>0</v>
      </c>
      <c r="N155" s="233">
        <v>0</v>
      </c>
    </row>
    <row r="156" spans="1:14" x14ac:dyDescent="0.2">
      <c r="A156" s="233" t="s">
        <v>29</v>
      </c>
      <c r="B156" s="233" t="s">
        <v>10369</v>
      </c>
      <c r="C156" s="233" t="s">
        <v>23</v>
      </c>
      <c r="D156" s="233">
        <v>5</v>
      </c>
      <c r="E156" s="233">
        <v>1.06</v>
      </c>
      <c r="F156" s="233" t="s">
        <v>6371</v>
      </c>
      <c r="G156" s="233">
        <v>1.0000000000000001E-5</v>
      </c>
      <c r="H156" s="233">
        <v>1.0000000000000001E-5</v>
      </c>
      <c r="I156" s="233">
        <v>29.35963894</v>
      </c>
      <c r="J156" s="233">
        <v>31.427973519999998</v>
      </c>
      <c r="K156" s="233">
        <v>0</v>
      </c>
      <c r="L156" s="233">
        <v>0</v>
      </c>
      <c r="M156" s="233">
        <v>0</v>
      </c>
      <c r="N156" s="233">
        <v>0</v>
      </c>
    </row>
    <row r="157" spans="1:14" x14ac:dyDescent="0.2">
      <c r="A157" s="233" t="s">
        <v>29</v>
      </c>
      <c r="B157" s="233" t="s">
        <v>10369</v>
      </c>
      <c r="C157" s="233" t="s">
        <v>23</v>
      </c>
      <c r="D157" s="233">
        <v>5</v>
      </c>
      <c r="E157" s="233">
        <v>1.06</v>
      </c>
      <c r="F157" s="233" t="s">
        <v>6371</v>
      </c>
      <c r="G157" s="233">
        <v>1E-4</v>
      </c>
      <c r="H157" s="233">
        <v>1E-4</v>
      </c>
      <c r="I157" s="233">
        <v>9021.0698159999993</v>
      </c>
      <c r="J157" s="233">
        <v>488.0125377</v>
      </c>
      <c r="K157" s="233">
        <v>0</v>
      </c>
      <c r="L157" s="233">
        <v>0</v>
      </c>
      <c r="M157" s="233">
        <v>0</v>
      </c>
      <c r="N157" s="233">
        <v>0</v>
      </c>
    </row>
    <row r="158" spans="1:14" x14ac:dyDescent="0.2">
      <c r="A158" s="233" t="s">
        <v>29</v>
      </c>
      <c r="B158" s="233" t="s">
        <v>10369</v>
      </c>
      <c r="C158" s="233" t="s">
        <v>23</v>
      </c>
      <c r="D158" s="233">
        <v>5</v>
      </c>
      <c r="E158" s="233">
        <v>1.06</v>
      </c>
      <c r="F158" s="233" t="s">
        <v>6369</v>
      </c>
      <c r="G158" s="233">
        <v>9.9999999999999995E-7</v>
      </c>
      <c r="H158" s="233">
        <v>9.9999999999999995E-7</v>
      </c>
      <c r="I158" s="233">
        <v>0.144429114</v>
      </c>
      <c r="J158" s="233">
        <v>2.4145695969999998</v>
      </c>
      <c r="K158" s="233">
        <v>0</v>
      </c>
      <c r="L158" s="233">
        <v>0</v>
      </c>
      <c r="M158" s="233">
        <v>0</v>
      </c>
      <c r="N158" s="233">
        <v>0</v>
      </c>
    </row>
    <row r="159" spans="1:14" x14ac:dyDescent="0.2">
      <c r="A159" s="233" t="s">
        <v>29</v>
      </c>
      <c r="B159" s="233" t="s">
        <v>10369</v>
      </c>
      <c r="C159" s="233" t="s">
        <v>23</v>
      </c>
      <c r="D159" s="233">
        <v>5</v>
      </c>
      <c r="E159" s="233">
        <v>1.06</v>
      </c>
      <c r="F159" s="233" t="s">
        <v>6369</v>
      </c>
      <c r="G159" s="233">
        <v>1.0000000000000001E-5</v>
      </c>
      <c r="H159" s="233">
        <v>1.0000000000000001E-5</v>
      </c>
      <c r="I159" s="233">
        <v>0.31356843499999998</v>
      </c>
      <c r="J159" s="233">
        <v>3.0200696109999998</v>
      </c>
      <c r="K159" s="233">
        <v>0</v>
      </c>
      <c r="L159" s="233">
        <v>0</v>
      </c>
      <c r="M159" s="233">
        <v>0</v>
      </c>
      <c r="N159" s="233">
        <v>0</v>
      </c>
    </row>
    <row r="160" spans="1:14" x14ac:dyDescent="0.2">
      <c r="A160" s="233" t="s">
        <v>29</v>
      </c>
      <c r="B160" s="233" t="s">
        <v>10369</v>
      </c>
      <c r="C160" s="233" t="s">
        <v>23</v>
      </c>
      <c r="D160" s="233">
        <v>5</v>
      </c>
      <c r="E160" s="233">
        <v>1.06</v>
      </c>
      <c r="F160" s="233" t="s">
        <v>6369</v>
      </c>
      <c r="G160" s="233">
        <v>1E-4</v>
      </c>
      <c r="H160" s="233">
        <v>1E-4</v>
      </c>
      <c r="I160" s="233">
        <v>10.59004444</v>
      </c>
      <c r="J160" s="233">
        <v>15.636428779999999</v>
      </c>
      <c r="K160" s="233">
        <v>0</v>
      </c>
      <c r="L160" s="233">
        <v>0</v>
      </c>
      <c r="M160" s="233">
        <v>0</v>
      </c>
      <c r="N160" s="233">
        <v>0</v>
      </c>
    </row>
    <row r="161" spans="1:14" x14ac:dyDescent="0.2">
      <c r="A161" s="233" t="s">
        <v>29</v>
      </c>
      <c r="B161" s="233" t="s">
        <v>10369</v>
      </c>
      <c r="C161" s="233" t="s">
        <v>23</v>
      </c>
      <c r="D161" s="233">
        <v>5</v>
      </c>
      <c r="E161" s="233">
        <v>1.06</v>
      </c>
      <c r="F161" s="233" t="s">
        <v>6369</v>
      </c>
      <c r="G161" s="233">
        <v>1E-3</v>
      </c>
      <c r="H161" s="233">
        <v>1E-3</v>
      </c>
      <c r="I161" s="233">
        <v>35264.72741</v>
      </c>
      <c r="J161" s="233">
        <v>964.87759730000005</v>
      </c>
      <c r="K161" s="233">
        <v>0</v>
      </c>
      <c r="L161" s="233">
        <v>0</v>
      </c>
      <c r="M161" s="233">
        <v>0</v>
      </c>
      <c r="N161" s="233">
        <v>0</v>
      </c>
    </row>
    <row r="162" spans="1:14" x14ac:dyDescent="0.2">
      <c r="A162" s="233" t="s">
        <v>29</v>
      </c>
      <c r="B162" s="233" t="s">
        <v>10369</v>
      </c>
      <c r="C162" s="233" t="s">
        <v>23</v>
      </c>
      <c r="D162" s="233">
        <v>5</v>
      </c>
      <c r="E162" s="233">
        <v>1.06</v>
      </c>
      <c r="F162" s="233" t="s">
        <v>6369</v>
      </c>
      <c r="G162" s="233">
        <v>5.0000000000000001E-3</v>
      </c>
      <c r="H162" s="233">
        <v>5.0000000000000001E-3</v>
      </c>
      <c r="I162" s="233">
        <v>1153466.7479999999</v>
      </c>
      <c r="J162" s="233">
        <v>5518.288697</v>
      </c>
      <c r="K162" s="233">
        <v>0</v>
      </c>
      <c r="L162" s="233">
        <v>0</v>
      </c>
      <c r="M162" s="233">
        <v>0</v>
      </c>
      <c r="N162" s="233">
        <v>0</v>
      </c>
    </row>
    <row r="163" spans="1:14" x14ac:dyDescent="0.2">
      <c r="A163" s="233" t="s">
        <v>30</v>
      </c>
      <c r="B163" s="233" t="s">
        <v>10351</v>
      </c>
      <c r="C163" s="233" t="s">
        <v>5</v>
      </c>
      <c r="D163" s="233">
        <v>1</v>
      </c>
      <c r="E163" s="233">
        <v>0.03</v>
      </c>
      <c r="F163" s="233" t="s">
        <v>6370</v>
      </c>
      <c r="G163" s="233">
        <v>5.0000000000000002E-5</v>
      </c>
      <c r="H163" s="233">
        <v>9.9999999999999995E-7</v>
      </c>
      <c r="I163" s="233">
        <v>0.27811344235571689</v>
      </c>
      <c r="J163" s="233">
        <v>1.8855662752522691</v>
      </c>
      <c r="K163" s="233">
        <v>0.12060301499999999</v>
      </c>
      <c r="L163" s="233">
        <v>4.5801527000000002E-2</v>
      </c>
      <c r="M163" s="233">
        <v>0.67644338100000001</v>
      </c>
      <c r="N163" s="233">
        <v>0.89587159000000005</v>
      </c>
    </row>
    <row r="164" spans="1:14" x14ac:dyDescent="0.2">
      <c r="A164" s="233" t="s">
        <v>30</v>
      </c>
      <c r="B164" s="233" t="s">
        <v>10351</v>
      </c>
      <c r="C164" s="233" t="s">
        <v>5</v>
      </c>
      <c r="D164" s="233">
        <v>1</v>
      </c>
      <c r="E164" s="233">
        <v>0.03</v>
      </c>
      <c r="F164" s="233" t="s">
        <v>6370</v>
      </c>
      <c r="G164" s="233">
        <v>1E-4</v>
      </c>
      <c r="H164" s="233">
        <v>1.0000000000000001E-5</v>
      </c>
      <c r="I164" s="233">
        <v>0.32583670099274048</v>
      </c>
      <c r="J164" s="233">
        <v>6.9898999322232296</v>
      </c>
      <c r="K164" s="233">
        <v>0</v>
      </c>
      <c r="L164" s="233">
        <v>0</v>
      </c>
      <c r="M164" s="233">
        <v>0</v>
      </c>
      <c r="N164" s="233">
        <v>0</v>
      </c>
    </row>
    <row r="165" spans="1:14" x14ac:dyDescent="0.2">
      <c r="A165" s="233" t="s">
        <v>30</v>
      </c>
      <c r="B165" s="233" t="s">
        <v>10351</v>
      </c>
      <c r="C165" s="233" t="s">
        <v>5</v>
      </c>
      <c r="D165" s="233">
        <v>1</v>
      </c>
      <c r="E165" s="233">
        <v>0.03</v>
      </c>
      <c r="F165" s="233" t="s">
        <v>6370</v>
      </c>
      <c r="G165" s="233">
        <v>1E-3</v>
      </c>
      <c r="H165" s="233">
        <v>1E-4</v>
      </c>
      <c r="I165" s="233">
        <v>6.0136419729582571E-2</v>
      </c>
      <c r="J165" s="233">
        <v>3.6027434293829401</v>
      </c>
      <c r="K165" s="233">
        <v>0</v>
      </c>
      <c r="L165" s="233">
        <v>9.4488189E-2</v>
      </c>
      <c r="M165" s="233">
        <v>0</v>
      </c>
      <c r="N165" s="233">
        <v>9.1430882610000008</v>
      </c>
    </row>
    <row r="166" spans="1:14" x14ac:dyDescent="0.2">
      <c r="A166" s="233" t="s">
        <v>30</v>
      </c>
      <c r="B166" s="233" t="s">
        <v>10351</v>
      </c>
      <c r="C166" s="233" t="s">
        <v>5</v>
      </c>
      <c r="D166" s="233">
        <v>1</v>
      </c>
      <c r="E166" s="233">
        <v>0.03</v>
      </c>
      <c r="F166" s="233" t="s">
        <v>6370</v>
      </c>
      <c r="G166" s="233">
        <v>5.0000000000000001E-3</v>
      </c>
      <c r="H166" s="233">
        <v>1E-3</v>
      </c>
      <c r="I166" s="233">
        <v>4.6465262934664249E-2</v>
      </c>
      <c r="J166" s="233">
        <v>1.3200721591887481</v>
      </c>
      <c r="K166" s="233">
        <v>8.4421522813067154E-3</v>
      </c>
      <c r="L166" s="233">
        <v>3.7329907422867507E-2</v>
      </c>
      <c r="M166" s="233">
        <v>0.15587139828675139</v>
      </c>
      <c r="N166" s="233">
        <v>76.690647214301279</v>
      </c>
    </row>
    <row r="167" spans="1:14" x14ac:dyDescent="0.2">
      <c r="A167" s="233" t="s">
        <v>30</v>
      </c>
      <c r="B167" s="233" t="s">
        <v>10351</v>
      </c>
      <c r="C167" s="233" t="s">
        <v>5</v>
      </c>
      <c r="D167" s="233">
        <v>1</v>
      </c>
      <c r="E167" s="233">
        <v>0.03</v>
      </c>
      <c r="F167" s="233" t="s">
        <v>6370</v>
      </c>
      <c r="G167" s="233">
        <v>2.5000000000000001E-2</v>
      </c>
      <c r="H167" s="233">
        <v>5.0000000000000001E-3</v>
      </c>
      <c r="I167" s="233">
        <v>5.3597267039927413E-2</v>
      </c>
      <c r="J167" s="233">
        <v>1.137264434693285</v>
      </c>
      <c r="K167" s="233">
        <v>3.5362200000000003E-2</v>
      </c>
      <c r="L167" s="233">
        <v>3.6036036E-2</v>
      </c>
      <c r="M167" s="233">
        <v>7.4321860000000003E-2</v>
      </c>
      <c r="N167" s="233">
        <v>0.59577502500000001</v>
      </c>
    </row>
    <row r="168" spans="1:14" x14ac:dyDescent="0.2">
      <c r="A168" s="233" t="s">
        <v>30</v>
      </c>
      <c r="B168" s="233" t="s">
        <v>10351</v>
      </c>
      <c r="C168" s="233" t="s">
        <v>5</v>
      </c>
      <c r="D168" s="233">
        <v>1</v>
      </c>
      <c r="E168" s="233">
        <v>0.03</v>
      </c>
      <c r="F168" s="233" t="s">
        <v>6371</v>
      </c>
      <c r="G168" s="233">
        <v>9.9999999999999995E-7</v>
      </c>
      <c r="H168" s="233">
        <v>9.9999999999999995E-7</v>
      </c>
      <c r="I168" s="233">
        <v>0.26710467610526312</v>
      </c>
      <c r="J168" s="233">
        <v>2.0618507936225039</v>
      </c>
      <c r="K168" s="233">
        <v>0.124352332</v>
      </c>
      <c r="L168" s="233">
        <v>6.4908722000000002E-2</v>
      </c>
      <c r="M168" s="233">
        <v>0.62560441200000005</v>
      </c>
      <c r="N168" s="233">
        <v>1.3285211809999999</v>
      </c>
    </row>
    <row r="169" spans="1:14" x14ac:dyDescent="0.2">
      <c r="A169" s="233" t="s">
        <v>30</v>
      </c>
      <c r="B169" s="233" t="s">
        <v>10351</v>
      </c>
      <c r="C169" s="233" t="s">
        <v>5</v>
      </c>
      <c r="D169" s="233">
        <v>1</v>
      </c>
      <c r="E169" s="233">
        <v>0.03</v>
      </c>
      <c r="F169" s="233" t="s">
        <v>6371</v>
      </c>
      <c r="G169" s="233">
        <v>1.0000000000000001E-5</v>
      </c>
      <c r="H169" s="233">
        <v>1.0000000000000001E-5</v>
      </c>
      <c r="I169" s="233">
        <v>0.1273494438076225</v>
      </c>
      <c r="J169" s="233">
        <v>6.1642861805353899</v>
      </c>
      <c r="K169" s="233">
        <v>0</v>
      </c>
      <c r="L169" s="233">
        <v>0.188976378</v>
      </c>
      <c r="M169" s="233">
        <v>0</v>
      </c>
      <c r="N169" s="233">
        <v>41.900782470000003</v>
      </c>
    </row>
    <row r="170" spans="1:14" x14ac:dyDescent="0.2">
      <c r="A170" s="233" t="s">
        <v>30</v>
      </c>
      <c r="B170" s="233" t="s">
        <v>10351</v>
      </c>
      <c r="C170" s="233" t="s">
        <v>5</v>
      </c>
      <c r="D170" s="233">
        <v>1</v>
      </c>
      <c r="E170" s="233">
        <v>0.03</v>
      </c>
      <c r="F170" s="233" t="s">
        <v>6371</v>
      </c>
      <c r="G170" s="233">
        <v>1E-4</v>
      </c>
      <c r="H170" s="233">
        <v>1E-4</v>
      </c>
      <c r="I170" s="233">
        <v>3.2136438602540833E-2</v>
      </c>
      <c r="J170" s="233">
        <v>2.0314773815825768</v>
      </c>
      <c r="K170" s="233">
        <v>2.4318131E-2</v>
      </c>
      <c r="L170" s="233">
        <v>6.0190590999999988E-2</v>
      </c>
      <c r="M170" s="233">
        <v>0.30768069199999998</v>
      </c>
      <c r="N170" s="233">
        <v>100.6539026</v>
      </c>
    </row>
    <row r="171" spans="1:14" x14ac:dyDescent="0.2">
      <c r="A171" s="233" t="s">
        <v>30</v>
      </c>
      <c r="B171" s="233" t="s">
        <v>10351</v>
      </c>
      <c r="C171" s="233" t="s">
        <v>5</v>
      </c>
      <c r="D171" s="233">
        <v>1</v>
      </c>
      <c r="E171" s="233">
        <v>0.03</v>
      </c>
      <c r="F171" s="233" t="s">
        <v>6369</v>
      </c>
      <c r="G171" s="233">
        <v>9.9999999999999995E-7</v>
      </c>
      <c r="H171" s="233">
        <v>9.9999999999999995E-7</v>
      </c>
      <c r="I171" s="233">
        <v>5.9063781794918342E-2</v>
      </c>
      <c r="J171" s="233">
        <v>1.043341747517242</v>
      </c>
      <c r="K171" s="233">
        <v>8.0978368911070776E-3</v>
      </c>
      <c r="L171" s="233">
        <v>5.0632911000000003E-2</v>
      </c>
      <c r="M171" s="233">
        <v>0.55262665356624319</v>
      </c>
      <c r="N171" s="233">
        <v>0.51770739362613427</v>
      </c>
    </row>
    <row r="172" spans="1:14" x14ac:dyDescent="0.2">
      <c r="A172" s="233" t="s">
        <v>30</v>
      </c>
      <c r="B172" s="233" t="s">
        <v>10351</v>
      </c>
      <c r="C172" s="233" t="s">
        <v>5</v>
      </c>
      <c r="D172" s="233">
        <v>1</v>
      </c>
      <c r="E172" s="233">
        <v>0.03</v>
      </c>
      <c r="F172" s="233" t="s">
        <v>6369</v>
      </c>
      <c r="G172" s="233">
        <v>1.0000000000000001E-5</v>
      </c>
      <c r="H172" s="233">
        <v>1.0000000000000001E-5</v>
      </c>
      <c r="I172" s="233">
        <v>0.1484516067041742</v>
      </c>
      <c r="J172" s="233">
        <v>1.5323789725825769</v>
      </c>
      <c r="K172" s="233">
        <v>0.127659574</v>
      </c>
      <c r="L172" s="233">
        <v>3.1069059E-2</v>
      </c>
      <c r="M172" s="233">
        <v>1.154039552</v>
      </c>
      <c r="N172" s="233">
        <v>0.78792927800000001</v>
      </c>
    </row>
    <row r="173" spans="1:14" x14ac:dyDescent="0.2">
      <c r="A173" s="233" t="s">
        <v>30</v>
      </c>
      <c r="B173" s="233" t="s">
        <v>10351</v>
      </c>
      <c r="C173" s="233" t="s">
        <v>5</v>
      </c>
      <c r="D173" s="233">
        <v>1</v>
      </c>
      <c r="E173" s="233">
        <v>0.03</v>
      </c>
      <c r="F173" s="233" t="s">
        <v>6369</v>
      </c>
      <c r="G173" s="233">
        <v>1E-4</v>
      </c>
      <c r="H173" s="233">
        <v>1E-4</v>
      </c>
      <c r="I173" s="233">
        <v>8.7636740860254081E-2</v>
      </c>
      <c r="J173" s="233">
        <v>4.1147818089382939</v>
      </c>
      <c r="K173" s="233">
        <v>0</v>
      </c>
      <c r="L173" s="233">
        <v>0.12752613199999999</v>
      </c>
      <c r="M173" s="233">
        <v>0</v>
      </c>
      <c r="N173" s="233">
        <v>33.754199159999999</v>
      </c>
    </row>
    <row r="174" spans="1:14" x14ac:dyDescent="0.2">
      <c r="A174" s="233" t="s">
        <v>30</v>
      </c>
      <c r="B174" s="233" t="s">
        <v>10351</v>
      </c>
      <c r="C174" s="233" t="s">
        <v>5</v>
      </c>
      <c r="D174" s="233">
        <v>1</v>
      </c>
      <c r="E174" s="233">
        <v>0.03</v>
      </c>
      <c r="F174" s="233" t="s">
        <v>6369</v>
      </c>
      <c r="G174" s="233">
        <v>1E-3</v>
      </c>
      <c r="H174" s="233">
        <v>1E-3</v>
      </c>
      <c r="I174" s="233">
        <v>3.2104739889292203E-2</v>
      </c>
      <c r="J174" s="233">
        <v>1.584577181079855</v>
      </c>
      <c r="K174" s="233">
        <v>2.2716644000000001E-2</v>
      </c>
      <c r="L174" s="233">
        <v>1.6959220811252271E-2</v>
      </c>
      <c r="M174" s="233">
        <v>0.144329398</v>
      </c>
      <c r="N174" s="233">
        <v>96.063370252450085</v>
      </c>
    </row>
    <row r="175" spans="1:14" x14ac:dyDescent="0.2">
      <c r="A175" s="233" t="s">
        <v>30</v>
      </c>
      <c r="B175" s="233" t="s">
        <v>10351</v>
      </c>
      <c r="C175" s="233" t="s">
        <v>5</v>
      </c>
      <c r="D175" s="233">
        <v>1</v>
      </c>
      <c r="E175" s="233">
        <v>0.03</v>
      </c>
      <c r="F175" s="233" t="s">
        <v>6369</v>
      </c>
      <c r="G175" s="233">
        <v>5.0000000000000001E-3</v>
      </c>
      <c r="H175" s="233">
        <v>5.0000000000000001E-3</v>
      </c>
      <c r="I175" s="233">
        <v>2.8412149611615239E-2</v>
      </c>
      <c r="J175" s="233">
        <v>0.90516932252087112</v>
      </c>
      <c r="K175" s="233">
        <v>5.5683182232304897E-3</v>
      </c>
      <c r="L175" s="233">
        <v>1.1969747764065329E-2</v>
      </c>
      <c r="M175" s="233">
        <v>0.1405146332486388</v>
      </c>
      <c r="N175" s="233">
        <v>43.30888622044283</v>
      </c>
    </row>
    <row r="176" spans="1:14" x14ac:dyDescent="0.2">
      <c r="A176" s="233" t="s">
        <v>30</v>
      </c>
      <c r="B176" s="233" t="s">
        <v>10351</v>
      </c>
      <c r="C176" s="233" t="s">
        <v>0</v>
      </c>
      <c r="D176" s="233">
        <v>4</v>
      </c>
      <c r="E176" s="233">
        <v>0.95299999999999996</v>
      </c>
      <c r="F176" s="233" t="s">
        <v>6370</v>
      </c>
      <c r="G176" s="233">
        <v>5.0000000000000002E-5</v>
      </c>
      <c r="H176" s="233">
        <v>9.9999999999999995E-7</v>
      </c>
      <c r="I176" s="233">
        <v>0.30339097813430133</v>
      </c>
      <c r="J176" s="233">
        <v>1.758645032395644</v>
      </c>
      <c r="K176" s="233">
        <v>0.120913706</v>
      </c>
      <c r="L176" s="233">
        <v>7.1216616999999996E-2</v>
      </c>
      <c r="M176" s="233">
        <v>0.74235740500000003</v>
      </c>
      <c r="N176" s="233">
        <v>0.925108131</v>
      </c>
    </row>
    <row r="177" spans="1:14" x14ac:dyDescent="0.2">
      <c r="A177" s="233" t="s">
        <v>30</v>
      </c>
      <c r="B177" s="233" t="s">
        <v>10351</v>
      </c>
      <c r="C177" s="233" t="s">
        <v>0</v>
      </c>
      <c r="D177" s="233">
        <v>4</v>
      </c>
      <c r="E177" s="233">
        <v>0.95299999999999996</v>
      </c>
      <c r="F177" s="233" t="s">
        <v>6370</v>
      </c>
      <c r="G177" s="233">
        <v>1E-4</v>
      </c>
      <c r="H177" s="233">
        <v>1.0000000000000001E-5</v>
      </c>
      <c r="I177" s="233">
        <v>1.310675389264973</v>
      </c>
      <c r="J177" s="233">
        <v>10.361339328402901</v>
      </c>
      <c r="K177" s="233">
        <v>0</v>
      </c>
      <c r="L177" s="233">
        <v>0</v>
      </c>
      <c r="M177" s="233">
        <v>0</v>
      </c>
      <c r="N177" s="233">
        <v>0</v>
      </c>
    </row>
    <row r="178" spans="1:14" x14ac:dyDescent="0.2">
      <c r="A178" s="233" t="s">
        <v>30</v>
      </c>
      <c r="B178" s="233" t="s">
        <v>10351</v>
      </c>
      <c r="C178" s="233" t="s">
        <v>0</v>
      </c>
      <c r="D178" s="233">
        <v>4</v>
      </c>
      <c r="E178" s="233">
        <v>0.95299999999999996</v>
      </c>
      <c r="F178" s="233" t="s">
        <v>6370</v>
      </c>
      <c r="G178" s="233">
        <v>1E-3</v>
      </c>
      <c r="H178" s="233">
        <v>1E-4</v>
      </c>
      <c r="I178" s="233">
        <v>0.37381112172595282</v>
      </c>
      <c r="J178" s="233">
        <v>16.234104257531762</v>
      </c>
      <c r="K178" s="233">
        <v>0</v>
      </c>
      <c r="L178" s="233">
        <v>0</v>
      </c>
      <c r="M178" s="233">
        <v>0</v>
      </c>
      <c r="N178" s="233">
        <v>0</v>
      </c>
    </row>
    <row r="179" spans="1:14" x14ac:dyDescent="0.2">
      <c r="A179" s="233" t="s">
        <v>30</v>
      </c>
      <c r="B179" s="233" t="s">
        <v>10351</v>
      </c>
      <c r="C179" s="233" t="s">
        <v>0</v>
      </c>
      <c r="D179" s="233">
        <v>4</v>
      </c>
      <c r="E179" s="233">
        <v>0.95299999999999996</v>
      </c>
      <c r="F179" s="233" t="s">
        <v>6370</v>
      </c>
      <c r="G179" s="233">
        <v>5.0000000000000001E-3</v>
      </c>
      <c r="H179" s="233">
        <v>1E-3</v>
      </c>
      <c r="I179" s="233">
        <v>5.24358895154265E-2</v>
      </c>
      <c r="J179" s="233">
        <v>3.7242580165607988</v>
      </c>
      <c r="K179" s="233">
        <v>0</v>
      </c>
      <c r="L179" s="233">
        <v>0.175182482</v>
      </c>
      <c r="M179" s="233">
        <v>0</v>
      </c>
      <c r="N179" s="233">
        <v>7.6963686329999996</v>
      </c>
    </row>
    <row r="180" spans="1:14" x14ac:dyDescent="0.2">
      <c r="A180" s="233" t="s">
        <v>30</v>
      </c>
      <c r="B180" s="233" t="s">
        <v>10351</v>
      </c>
      <c r="C180" s="233" t="s">
        <v>0</v>
      </c>
      <c r="D180" s="233">
        <v>4</v>
      </c>
      <c r="E180" s="233">
        <v>0.95299999999999996</v>
      </c>
      <c r="F180" s="233" t="s">
        <v>6370</v>
      </c>
      <c r="G180" s="233">
        <v>2.5000000000000001E-2</v>
      </c>
      <c r="H180" s="233">
        <v>5.0000000000000001E-3</v>
      </c>
      <c r="I180" s="233">
        <v>3.3663534629764069E-2</v>
      </c>
      <c r="J180" s="233">
        <v>1.4563334546261339</v>
      </c>
      <c r="K180" s="233">
        <v>1.148689463157895E-2</v>
      </c>
      <c r="L180" s="233">
        <v>3.0396834604355719E-2</v>
      </c>
      <c r="M180" s="233">
        <v>0.4588742291397459</v>
      </c>
      <c r="N180" s="233">
        <v>102.12578831442831</v>
      </c>
    </row>
    <row r="181" spans="1:14" x14ac:dyDescent="0.2">
      <c r="A181" s="233" t="s">
        <v>30</v>
      </c>
      <c r="B181" s="233" t="s">
        <v>10351</v>
      </c>
      <c r="C181" s="233" t="s">
        <v>0</v>
      </c>
      <c r="D181" s="233">
        <v>4</v>
      </c>
      <c r="E181" s="233">
        <v>0.95299999999999996</v>
      </c>
      <c r="F181" s="233" t="s">
        <v>6371</v>
      </c>
      <c r="G181" s="233">
        <v>9.9999999999999995E-7</v>
      </c>
      <c r="H181" s="233">
        <v>9.9999999999999995E-7</v>
      </c>
      <c r="I181" s="233">
        <v>0.35777234965517241</v>
      </c>
      <c r="J181" s="233">
        <v>2.0757031989473682</v>
      </c>
      <c r="K181" s="233">
        <v>0</v>
      </c>
      <c r="L181" s="233">
        <v>7.8688524999999995E-2</v>
      </c>
      <c r="M181" s="233">
        <v>0</v>
      </c>
      <c r="N181" s="233">
        <v>1.271730027</v>
      </c>
    </row>
    <row r="182" spans="1:14" x14ac:dyDescent="0.2">
      <c r="A182" s="233" t="s">
        <v>30</v>
      </c>
      <c r="B182" s="233" t="s">
        <v>10351</v>
      </c>
      <c r="C182" s="233" t="s">
        <v>0</v>
      </c>
      <c r="D182" s="233">
        <v>4</v>
      </c>
      <c r="E182" s="233">
        <v>0.95299999999999996</v>
      </c>
      <c r="F182" s="233" t="s">
        <v>6371</v>
      </c>
      <c r="G182" s="233">
        <v>1.0000000000000001E-5</v>
      </c>
      <c r="H182" s="233">
        <v>1.0000000000000001E-5</v>
      </c>
      <c r="I182" s="233">
        <v>1.4728486909745919</v>
      </c>
      <c r="J182" s="233">
        <v>24.563238298330312</v>
      </c>
      <c r="K182" s="233">
        <v>0</v>
      </c>
      <c r="L182" s="233">
        <v>0</v>
      </c>
      <c r="M182" s="233">
        <v>0</v>
      </c>
      <c r="N182" s="233">
        <v>0</v>
      </c>
    </row>
    <row r="183" spans="1:14" x14ac:dyDescent="0.2">
      <c r="A183" s="233" t="s">
        <v>30</v>
      </c>
      <c r="B183" s="233" t="s">
        <v>10351</v>
      </c>
      <c r="C183" s="233" t="s">
        <v>0</v>
      </c>
      <c r="D183" s="233">
        <v>4</v>
      </c>
      <c r="E183" s="233">
        <v>0.95299999999999996</v>
      </c>
      <c r="F183" s="233" t="s">
        <v>6371</v>
      </c>
      <c r="G183" s="233">
        <v>1E-4</v>
      </c>
      <c r="H183" s="233">
        <v>1E-4</v>
      </c>
      <c r="I183" s="233">
        <v>0.23380366904900179</v>
      </c>
      <c r="J183" s="233">
        <v>14.699577832758621</v>
      </c>
      <c r="K183" s="233">
        <v>0</v>
      </c>
      <c r="L183" s="233">
        <v>0</v>
      </c>
      <c r="M183" s="233">
        <v>0</v>
      </c>
      <c r="N183" s="233">
        <v>0</v>
      </c>
    </row>
    <row r="184" spans="1:14" x14ac:dyDescent="0.2">
      <c r="A184" s="233" t="s">
        <v>30</v>
      </c>
      <c r="B184" s="233" t="s">
        <v>10351</v>
      </c>
      <c r="C184" s="233" t="s">
        <v>0</v>
      </c>
      <c r="D184" s="233">
        <v>4</v>
      </c>
      <c r="E184" s="233">
        <v>0.95299999999999996</v>
      </c>
      <c r="F184" s="233" t="s">
        <v>6369</v>
      </c>
      <c r="G184" s="233">
        <v>9.9999999999999995E-7</v>
      </c>
      <c r="H184" s="233">
        <v>9.9999999999999995E-7</v>
      </c>
      <c r="I184" s="233">
        <v>4.7770227502722321E-2</v>
      </c>
      <c r="J184" s="233">
        <v>0.99170523495644292</v>
      </c>
      <c r="K184" s="233">
        <v>3.0771094999999998E-2</v>
      </c>
      <c r="L184" s="233">
        <v>4.3956044E-2</v>
      </c>
      <c r="M184" s="233">
        <v>7.8848046000000005E-2</v>
      </c>
      <c r="N184" s="233">
        <v>0.51293093400000001</v>
      </c>
    </row>
    <row r="185" spans="1:14" x14ac:dyDescent="0.2">
      <c r="A185" s="233" t="s">
        <v>30</v>
      </c>
      <c r="B185" s="233" t="s">
        <v>10351</v>
      </c>
      <c r="C185" s="233" t="s">
        <v>0</v>
      </c>
      <c r="D185" s="233">
        <v>4</v>
      </c>
      <c r="E185" s="233">
        <v>0.95299999999999996</v>
      </c>
      <c r="F185" s="233" t="s">
        <v>6369</v>
      </c>
      <c r="G185" s="233">
        <v>1.0000000000000001E-5</v>
      </c>
      <c r="H185" s="233">
        <v>1.0000000000000001E-5</v>
      </c>
      <c r="I185" s="233">
        <v>0.2267715613865699</v>
      </c>
      <c r="J185" s="233">
        <v>1.616259197577133</v>
      </c>
      <c r="K185" s="233">
        <v>0.11970149300000001</v>
      </c>
      <c r="L185" s="233">
        <v>4.3638672000000003E-2</v>
      </c>
      <c r="M185" s="233">
        <v>1.211092311</v>
      </c>
      <c r="N185" s="233">
        <v>0.79383083300000001</v>
      </c>
    </row>
    <row r="186" spans="1:14" x14ac:dyDescent="0.2">
      <c r="A186" s="233" t="s">
        <v>30</v>
      </c>
      <c r="B186" s="233" t="s">
        <v>10351</v>
      </c>
      <c r="C186" s="233" t="s">
        <v>0</v>
      </c>
      <c r="D186" s="233">
        <v>4</v>
      </c>
      <c r="E186" s="233">
        <v>0.95299999999999996</v>
      </c>
      <c r="F186" s="233" t="s">
        <v>6369</v>
      </c>
      <c r="G186" s="233">
        <v>1E-4</v>
      </c>
      <c r="H186" s="233">
        <v>1E-4</v>
      </c>
      <c r="I186" s="233">
        <v>0.48636540146279489</v>
      </c>
      <c r="J186" s="233">
        <v>10.495723701324859</v>
      </c>
      <c r="K186" s="233">
        <v>0</v>
      </c>
      <c r="L186" s="233">
        <v>0</v>
      </c>
      <c r="M186" s="233">
        <v>0</v>
      </c>
      <c r="N186" s="233">
        <v>0</v>
      </c>
    </row>
    <row r="187" spans="1:14" x14ac:dyDescent="0.2">
      <c r="A187" s="233" t="s">
        <v>30</v>
      </c>
      <c r="B187" s="233" t="s">
        <v>10351</v>
      </c>
      <c r="C187" s="233" t="s">
        <v>0</v>
      </c>
      <c r="D187" s="233">
        <v>4</v>
      </c>
      <c r="E187" s="233">
        <v>0.95299999999999996</v>
      </c>
      <c r="F187" s="233" t="s">
        <v>6369</v>
      </c>
      <c r="G187" s="233">
        <v>1E-3</v>
      </c>
      <c r="H187" s="233">
        <v>1E-3</v>
      </c>
      <c r="I187" s="233">
        <v>9.1536589952813066E-2</v>
      </c>
      <c r="J187" s="233">
        <v>5.0418805170054446</v>
      </c>
      <c r="K187" s="233">
        <v>0</v>
      </c>
      <c r="L187" s="233">
        <v>0</v>
      </c>
      <c r="M187" s="233">
        <v>0</v>
      </c>
      <c r="N187" s="233">
        <v>0</v>
      </c>
    </row>
    <row r="188" spans="1:14" x14ac:dyDescent="0.2">
      <c r="A188" s="233" t="s">
        <v>30</v>
      </c>
      <c r="B188" s="233" t="s">
        <v>10351</v>
      </c>
      <c r="C188" s="233" t="s">
        <v>0</v>
      </c>
      <c r="D188" s="233">
        <v>4</v>
      </c>
      <c r="E188" s="233">
        <v>0.95299999999999996</v>
      </c>
      <c r="F188" s="233" t="s">
        <v>6369</v>
      </c>
      <c r="G188" s="233">
        <v>5.0000000000000001E-3</v>
      </c>
      <c r="H188" s="233">
        <v>5.0000000000000001E-3</v>
      </c>
      <c r="I188" s="233">
        <v>3.0240529533575321E-2</v>
      </c>
      <c r="J188" s="233">
        <v>2.3061593832940108</v>
      </c>
      <c r="K188" s="233">
        <v>2.6343806000000001E-2</v>
      </c>
      <c r="L188" s="233">
        <v>4.6260772999999998E-2</v>
      </c>
      <c r="M188" s="233">
        <v>0.28210386500000001</v>
      </c>
      <c r="N188" s="233">
        <v>253.691542</v>
      </c>
    </row>
    <row r="189" spans="1:14" x14ac:dyDescent="0.2">
      <c r="A189" s="233" t="s">
        <v>30</v>
      </c>
      <c r="B189" s="233" t="s">
        <v>10351</v>
      </c>
      <c r="C189" s="233" t="s">
        <v>1</v>
      </c>
      <c r="D189" s="233">
        <v>3</v>
      </c>
      <c r="E189" s="233">
        <v>0.91500000000000004</v>
      </c>
      <c r="F189" s="233" t="s">
        <v>6370</v>
      </c>
      <c r="G189" s="233">
        <v>5.0000000000000002E-5</v>
      </c>
      <c r="H189" s="233">
        <v>9.9999999999999995E-7</v>
      </c>
      <c r="I189" s="233">
        <v>0.2736843949473684</v>
      </c>
      <c r="J189" s="233">
        <v>1.8112746380272231</v>
      </c>
      <c r="K189" s="233">
        <v>7.0175439000000006E-2</v>
      </c>
      <c r="L189" s="233">
        <v>3.9152856999999999E-2</v>
      </c>
      <c r="M189" s="233">
        <v>0.25481746399999999</v>
      </c>
      <c r="N189" s="233">
        <v>0.84888480499999996</v>
      </c>
    </row>
    <row r="190" spans="1:14" x14ac:dyDescent="0.2">
      <c r="A190" s="233" t="s">
        <v>30</v>
      </c>
      <c r="B190" s="233" t="s">
        <v>10351</v>
      </c>
      <c r="C190" s="233" t="s">
        <v>1</v>
      </c>
      <c r="D190" s="233">
        <v>3</v>
      </c>
      <c r="E190" s="233">
        <v>0.91500000000000004</v>
      </c>
      <c r="F190" s="233" t="s">
        <v>6370</v>
      </c>
      <c r="G190" s="233">
        <v>1E-4</v>
      </c>
      <c r="H190" s="233">
        <v>1.0000000000000001E-5</v>
      </c>
      <c r="I190" s="233">
        <v>1.0857192253139749</v>
      </c>
      <c r="J190" s="233">
        <v>10.15005132163339</v>
      </c>
      <c r="K190" s="233">
        <v>0</v>
      </c>
      <c r="L190" s="233">
        <v>0</v>
      </c>
      <c r="M190" s="233">
        <v>0</v>
      </c>
      <c r="N190" s="233">
        <v>0</v>
      </c>
    </row>
    <row r="191" spans="1:14" x14ac:dyDescent="0.2">
      <c r="A191" s="233" t="s">
        <v>30</v>
      </c>
      <c r="B191" s="233" t="s">
        <v>10351</v>
      </c>
      <c r="C191" s="233" t="s">
        <v>1</v>
      </c>
      <c r="D191" s="233">
        <v>3</v>
      </c>
      <c r="E191" s="233">
        <v>0.91500000000000004</v>
      </c>
      <c r="F191" s="233" t="s">
        <v>6370</v>
      </c>
      <c r="G191" s="233">
        <v>1E-3</v>
      </c>
      <c r="H191" s="233">
        <v>1E-4</v>
      </c>
      <c r="I191" s="233">
        <v>0.26500858294373858</v>
      </c>
      <c r="J191" s="233">
        <v>12.91035526985481</v>
      </c>
      <c r="K191" s="233">
        <v>0</v>
      </c>
      <c r="L191" s="233">
        <v>0</v>
      </c>
      <c r="M191" s="233">
        <v>0</v>
      </c>
      <c r="N191" s="233">
        <v>0</v>
      </c>
    </row>
    <row r="192" spans="1:14" x14ac:dyDescent="0.2">
      <c r="A192" s="233" t="s">
        <v>30</v>
      </c>
      <c r="B192" s="233" t="s">
        <v>10351</v>
      </c>
      <c r="C192" s="233" t="s">
        <v>1</v>
      </c>
      <c r="D192" s="233">
        <v>3</v>
      </c>
      <c r="E192" s="233">
        <v>0.91500000000000004</v>
      </c>
      <c r="F192" s="233" t="s">
        <v>6370</v>
      </c>
      <c r="G192" s="233">
        <v>5.0000000000000001E-3</v>
      </c>
      <c r="H192" s="233">
        <v>1E-3</v>
      </c>
      <c r="I192" s="233">
        <v>4.7335570667876581E-2</v>
      </c>
      <c r="J192" s="233">
        <v>3.3055506880562611</v>
      </c>
      <c r="K192" s="233">
        <v>0</v>
      </c>
      <c r="L192" s="233">
        <v>6.8091167999999994E-2</v>
      </c>
      <c r="M192" s="233">
        <v>0</v>
      </c>
      <c r="N192" s="233">
        <v>59.427331780000003</v>
      </c>
    </row>
    <row r="193" spans="1:14" x14ac:dyDescent="0.2">
      <c r="A193" s="233" t="s">
        <v>30</v>
      </c>
      <c r="B193" s="233" t="s">
        <v>10351</v>
      </c>
      <c r="C193" s="233" t="s">
        <v>1</v>
      </c>
      <c r="D193" s="233">
        <v>3</v>
      </c>
      <c r="E193" s="233">
        <v>0.91500000000000004</v>
      </c>
      <c r="F193" s="233" t="s">
        <v>6370</v>
      </c>
      <c r="G193" s="233">
        <v>2.5000000000000001E-2</v>
      </c>
      <c r="H193" s="233">
        <v>5.0000000000000001E-3</v>
      </c>
      <c r="I193" s="233">
        <v>3.3881748789473677E-2</v>
      </c>
      <c r="J193" s="233">
        <v>1.4274118453883851</v>
      </c>
      <c r="K193" s="233">
        <v>8.4600698729582566E-3</v>
      </c>
      <c r="L193" s="233">
        <v>3.7601051778584388E-2</v>
      </c>
      <c r="M193" s="233">
        <v>0.35887392649909261</v>
      </c>
      <c r="N193" s="233">
        <v>134.2181325534664</v>
      </c>
    </row>
    <row r="194" spans="1:14" x14ac:dyDescent="0.2">
      <c r="A194" s="233" t="s">
        <v>30</v>
      </c>
      <c r="B194" s="233" t="s">
        <v>10351</v>
      </c>
      <c r="C194" s="233" t="s">
        <v>1</v>
      </c>
      <c r="D194" s="233">
        <v>3</v>
      </c>
      <c r="E194" s="233">
        <v>0.91500000000000004</v>
      </c>
      <c r="F194" s="233" t="s">
        <v>6371</v>
      </c>
      <c r="G194" s="233">
        <v>9.9999999999999995E-7</v>
      </c>
      <c r="H194" s="233">
        <v>9.9999999999999995E-7</v>
      </c>
      <c r="I194" s="233">
        <v>0.4249829868892922</v>
      </c>
      <c r="J194" s="233">
        <v>2.0769785731996371</v>
      </c>
      <c r="K194" s="233">
        <v>0</v>
      </c>
      <c r="L194" s="233">
        <v>7.7589988999999998E-2</v>
      </c>
      <c r="M194" s="233">
        <v>0</v>
      </c>
      <c r="N194" s="233">
        <v>1.394831739</v>
      </c>
    </row>
    <row r="195" spans="1:14" x14ac:dyDescent="0.2">
      <c r="A195" s="233" t="s">
        <v>30</v>
      </c>
      <c r="B195" s="233" t="s">
        <v>10351</v>
      </c>
      <c r="C195" s="233" t="s">
        <v>1</v>
      </c>
      <c r="D195" s="233">
        <v>3</v>
      </c>
      <c r="E195" s="233">
        <v>0.91500000000000004</v>
      </c>
      <c r="F195" s="233" t="s">
        <v>6371</v>
      </c>
      <c r="G195" s="233">
        <v>1.0000000000000001E-5</v>
      </c>
      <c r="H195" s="233">
        <v>1.0000000000000001E-5</v>
      </c>
      <c r="I195" s="233">
        <v>0.9419533391197823</v>
      </c>
      <c r="J195" s="233">
        <v>21.772651808203271</v>
      </c>
      <c r="K195" s="233">
        <v>0</v>
      </c>
      <c r="L195" s="233">
        <v>0</v>
      </c>
      <c r="M195" s="233">
        <v>0</v>
      </c>
      <c r="N195" s="233">
        <v>0</v>
      </c>
    </row>
    <row r="196" spans="1:14" x14ac:dyDescent="0.2">
      <c r="A196" s="233" t="s">
        <v>30</v>
      </c>
      <c r="B196" s="233" t="s">
        <v>10351</v>
      </c>
      <c r="C196" s="233" t="s">
        <v>1</v>
      </c>
      <c r="D196" s="233">
        <v>3</v>
      </c>
      <c r="E196" s="233">
        <v>0.91500000000000004</v>
      </c>
      <c r="F196" s="233" t="s">
        <v>6371</v>
      </c>
      <c r="G196" s="233">
        <v>1E-4</v>
      </c>
      <c r="H196" s="233">
        <v>1E-4</v>
      </c>
      <c r="I196" s="233">
        <v>0.14116261291833029</v>
      </c>
      <c r="J196" s="233">
        <v>9.0647613484301282</v>
      </c>
      <c r="K196" s="233">
        <v>0.126984127</v>
      </c>
      <c r="L196" s="233">
        <v>3.2142857139999998</v>
      </c>
      <c r="M196" s="233">
        <v>69.525276030000001</v>
      </c>
      <c r="N196" s="233">
        <v>175.04475249999999</v>
      </c>
    </row>
    <row r="197" spans="1:14" x14ac:dyDescent="0.2">
      <c r="A197" s="233" t="s">
        <v>30</v>
      </c>
      <c r="B197" s="233" t="s">
        <v>10351</v>
      </c>
      <c r="C197" s="233" t="s">
        <v>1</v>
      </c>
      <c r="D197" s="233">
        <v>3</v>
      </c>
      <c r="E197" s="233">
        <v>0.91500000000000004</v>
      </c>
      <c r="F197" s="233" t="s">
        <v>6369</v>
      </c>
      <c r="G197" s="233">
        <v>9.9999999999999995E-7</v>
      </c>
      <c r="H197" s="233">
        <v>9.9999999999999995E-7</v>
      </c>
      <c r="I197" s="233">
        <v>6.0014909637023599E-2</v>
      </c>
      <c r="J197" s="233">
        <v>1.1795532968475499</v>
      </c>
      <c r="K197" s="233">
        <v>7.8564648166969137E-3</v>
      </c>
      <c r="L197" s="233">
        <v>6.5495440000000002E-2</v>
      </c>
      <c r="M197" s="233">
        <v>0.36928774894736838</v>
      </c>
      <c r="N197" s="233">
        <v>0.56680029083121597</v>
      </c>
    </row>
    <row r="198" spans="1:14" x14ac:dyDescent="0.2">
      <c r="A198" s="233" t="s">
        <v>30</v>
      </c>
      <c r="B198" s="233" t="s">
        <v>10351</v>
      </c>
      <c r="C198" s="233" t="s">
        <v>1</v>
      </c>
      <c r="D198" s="233">
        <v>3</v>
      </c>
      <c r="E198" s="233">
        <v>0.91500000000000004</v>
      </c>
      <c r="F198" s="233" t="s">
        <v>6369</v>
      </c>
      <c r="G198" s="233">
        <v>1.0000000000000001E-5</v>
      </c>
      <c r="H198" s="233">
        <v>1.0000000000000001E-5</v>
      </c>
      <c r="I198" s="233">
        <v>0.1831088754519056</v>
      </c>
      <c r="J198" s="233">
        <v>1.580628342054446</v>
      </c>
      <c r="K198" s="233">
        <v>0.12371134</v>
      </c>
      <c r="L198" s="233">
        <v>4.0394350000000002E-2</v>
      </c>
      <c r="M198" s="233">
        <v>0.62059035399999996</v>
      </c>
      <c r="N198" s="233">
        <v>0.74280378899999999</v>
      </c>
    </row>
    <row r="199" spans="1:14" x14ac:dyDescent="0.2">
      <c r="A199" s="233" t="s">
        <v>30</v>
      </c>
      <c r="B199" s="233" t="s">
        <v>10351</v>
      </c>
      <c r="C199" s="233" t="s">
        <v>1</v>
      </c>
      <c r="D199" s="233">
        <v>3</v>
      </c>
      <c r="E199" s="233">
        <v>0.91500000000000004</v>
      </c>
      <c r="F199" s="233" t="s">
        <v>6369</v>
      </c>
      <c r="G199" s="233">
        <v>1E-4</v>
      </c>
      <c r="H199" s="233">
        <v>1E-4</v>
      </c>
      <c r="I199" s="233">
        <v>0.34448478967332119</v>
      </c>
      <c r="J199" s="233">
        <v>9.2979682173049003</v>
      </c>
      <c r="K199" s="233">
        <v>0</v>
      </c>
      <c r="L199" s="233">
        <v>0</v>
      </c>
      <c r="M199" s="233">
        <v>0</v>
      </c>
      <c r="N199" s="233">
        <v>0</v>
      </c>
    </row>
    <row r="200" spans="1:14" x14ac:dyDescent="0.2">
      <c r="A200" s="233" t="s">
        <v>30</v>
      </c>
      <c r="B200" s="233" t="s">
        <v>10351</v>
      </c>
      <c r="C200" s="233" t="s">
        <v>1</v>
      </c>
      <c r="D200" s="233">
        <v>3</v>
      </c>
      <c r="E200" s="233">
        <v>0.91500000000000004</v>
      </c>
      <c r="F200" s="233" t="s">
        <v>6369</v>
      </c>
      <c r="G200" s="233">
        <v>1E-3</v>
      </c>
      <c r="H200" s="233">
        <v>1E-3</v>
      </c>
      <c r="I200" s="233">
        <v>5.7312459606170603E-2</v>
      </c>
      <c r="J200" s="233">
        <v>3.8245645564337569</v>
      </c>
      <c r="K200" s="233">
        <v>0</v>
      </c>
      <c r="L200" s="233">
        <v>6.2036253E-2</v>
      </c>
      <c r="M200" s="233">
        <v>0</v>
      </c>
      <c r="N200" s="233">
        <v>107.2668311</v>
      </c>
    </row>
    <row r="201" spans="1:14" x14ac:dyDescent="0.2">
      <c r="A201" s="233" t="s">
        <v>30</v>
      </c>
      <c r="B201" s="233" t="s">
        <v>10351</v>
      </c>
      <c r="C201" s="233" t="s">
        <v>1</v>
      </c>
      <c r="D201" s="233">
        <v>3</v>
      </c>
      <c r="E201" s="233">
        <v>0.91500000000000004</v>
      </c>
      <c r="F201" s="233" t="s">
        <v>6369</v>
      </c>
      <c r="G201" s="233">
        <v>5.0000000000000001E-3</v>
      </c>
      <c r="H201" s="233">
        <v>5.0000000000000001E-3</v>
      </c>
      <c r="I201" s="233">
        <v>2.4383515522686031E-2</v>
      </c>
      <c r="J201" s="233">
        <v>1.658063301132487</v>
      </c>
      <c r="K201" s="233">
        <v>2.0887791999999999E-2</v>
      </c>
      <c r="L201" s="233">
        <v>2.4510239876588021E-2</v>
      </c>
      <c r="M201" s="233">
        <v>0.19373309899999999</v>
      </c>
      <c r="N201" s="233">
        <v>121.3232118310345</v>
      </c>
    </row>
    <row r="202" spans="1:14" x14ac:dyDescent="0.2">
      <c r="A202" s="233" t="s">
        <v>30</v>
      </c>
      <c r="B202" s="233" t="s">
        <v>10351</v>
      </c>
      <c r="C202" s="233" t="s">
        <v>2</v>
      </c>
      <c r="D202" s="233">
        <v>6</v>
      </c>
      <c r="E202" s="233">
        <v>1.35</v>
      </c>
      <c r="F202" s="233" t="s">
        <v>6370</v>
      </c>
      <c r="G202" s="233">
        <v>5.0000000000000002E-5</v>
      </c>
      <c r="H202" s="233">
        <v>9.9999999999999995E-7</v>
      </c>
      <c r="I202" s="233">
        <v>8.0436128437386567E-2</v>
      </c>
      <c r="J202" s="233">
        <v>1.03328644384392</v>
      </c>
      <c r="K202" s="233">
        <v>3.0618739999999998E-2</v>
      </c>
      <c r="L202" s="233">
        <v>0.16</v>
      </c>
      <c r="M202" s="233">
        <v>0.110191235</v>
      </c>
      <c r="N202" s="233">
        <v>0.32774998999999999</v>
      </c>
    </row>
    <row r="203" spans="1:14" x14ac:dyDescent="0.2">
      <c r="A203" s="233" t="s">
        <v>30</v>
      </c>
      <c r="B203" s="233" t="s">
        <v>10351</v>
      </c>
      <c r="C203" s="233" t="s">
        <v>2</v>
      </c>
      <c r="D203" s="233">
        <v>6</v>
      </c>
      <c r="E203" s="233">
        <v>1.35</v>
      </c>
      <c r="F203" s="233" t="s">
        <v>6370</v>
      </c>
      <c r="G203" s="233">
        <v>1E-4</v>
      </c>
      <c r="H203" s="233">
        <v>1.0000000000000001E-5</v>
      </c>
      <c r="I203" s="233">
        <v>3.4757831318221419</v>
      </c>
      <c r="J203" s="233">
        <v>5.298956369326679</v>
      </c>
      <c r="K203" s="233">
        <v>0</v>
      </c>
      <c r="L203" s="233">
        <v>6.2176165999999998E-2</v>
      </c>
      <c r="M203" s="233">
        <v>0</v>
      </c>
      <c r="N203" s="233">
        <v>4.4374058529999996</v>
      </c>
    </row>
    <row r="204" spans="1:14" x14ac:dyDescent="0.2">
      <c r="A204" s="233" t="s">
        <v>30</v>
      </c>
      <c r="B204" s="233" t="s">
        <v>10351</v>
      </c>
      <c r="C204" s="233" t="s">
        <v>2</v>
      </c>
      <c r="D204" s="233">
        <v>6</v>
      </c>
      <c r="E204" s="233">
        <v>1.35</v>
      </c>
      <c r="F204" s="233" t="s">
        <v>6370</v>
      </c>
      <c r="G204" s="233">
        <v>1E-3</v>
      </c>
      <c r="H204" s="233">
        <v>1E-4</v>
      </c>
      <c r="I204" s="233">
        <v>6214.987492646098</v>
      </c>
      <c r="J204" s="233">
        <v>411.59566690598911</v>
      </c>
      <c r="K204" s="233">
        <v>0</v>
      </c>
      <c r="L204" s="233">
        <v>0</v>
      </c>
      <c r="M204" s="233">
        <v>0</v>
      </c>
      <c r="N204" s="233">
        <v>0</v>
      </c>
    </row>
    <row r="205" spans="1:14" x14ac:dyDescent="0.2">
      <c r="A205" s="233" t="s">
        <v>30</v>
      </c>
      <c r="B205" s="233" t="s">
        <v>10351</v>
      </c>
      <c r="C205" s="233" t="s">
        <v>2</v>
      </c>
      <c r="D205" s="233">
        <v>6</v>
      </c>
      <c r="E205" s="233">
        <v>1.35</v>
      </c>
      <c r="F205" s="233" t="s">
        <v>6370</v>
      </c>
      <c r="G205" s="233">
        <v>5.0000000000000001E-3</v>
      </c>
      <c r="H205" s="233">
        <v>1E-3</v>
      </c>
      <c r="I205" s="233">
        <v>782003.8446696914</v>
      </c>
      <c r="J205" s="233">
        <v>4617.4459184156094</v>
      </c>
      <c r="K205" s="233">
        <v>0</v>
      </c>
      <c r="L205" s="233">
        <v>0</v>
      </c>
      <c r="M205" s="233">
        <v>0</v>
      </c>
      <c r="N205" s="233">
        <v>0</v>
      </c>
    </row>
    <row r="206" spans="1:14" x14ac:dyDescent="0.2">
      <c r="A206" s="233" t="s">
        <v>30</v>
      </c>
      <c r="B206" s="233" t="s">
        <v>10351</v>
      </c>
      <c r="C206" s="233" t="s">
        <v>2</v>
      </c>
      <c r="D206" s="233">
        <v>6</v>
      </c>
      <c r="E206" s="233">
        <v>1.35</v>
      </c>
      <c r="F206" s="233" t="s">
        <v>6370</v>
      </c>
      <c r="G206" s="233">
        <v>2.5000000000000001E-2</v>
      </c>
      <c r="H206" s="233">
        <v>5.0000000000000001E-3</v>
      </c>
      <c r="I206" s="233">
        <v>4576580.449043557</v>
      </c>
      <c r="J206" s="233">
        <v>11170.362681488201</v>
      </c>
      <c r="K206" s="233">
        <v>0</v>
      </c>
      <c r="L206" s="233">
        <v>0</v>
      </c>
      <c r="M206" s="233">
        <v>0</v>
      </c>
      <c r="N206" s="233">
        <v>0</v>
      </c>
    </row>
    <row r="207" spans="1:14" x14ac:dyDescent="0.2">
      <c r="A207" s="233" t="s">
        <v>30</v>
      </c>
      <c r="B207" s="233" t="s">
        <v>10351</v>
      </c>
      <c r="C207" s="233" t="s">
        <v>2</v>
      </c>
      <c r="D207" s="233">
        <v>6</v>
      </c>
      <c r="E207" s="233">
        <v>1.35</v>
      </c>
      <c r="F207" s="233" t="s">
        <v>6371</v>
      </c>
      <c r="G207" s="233">
        <v>9.9999999999999995E-7</v>
      </c>
      <c r="H207" s="233">
        <v>9.9999999999999995E-7</v>
      </c>
      <c r="I207" s="233">
        <v>0.53840016599818508</v>
      </c>
      <c r="J207" s="233">
        <v>2.298955329849365</v>
      </c>
      <c r="K207" s="233">
        <v>0</v>
      </c>
      <c r="L207" s="233">
        <v>8.6924629000000003E-2</v>
      </c>
      <c r="M207" s="233">
        <v>0</v>
      </c>
      <c r="N207" s="233">
        <v>1.4671260859999999</v>
      </c>
    </row>
    <row r="208" spans="1:14" x14ac:dyDescent="0.2">
      <c r="A208" s="233" t="s">
        <v>30</v>
      </c>
      <c r="B208" s="233" t="s">
        <v>10351</v>
      </c>
      <c r="C208" s="233" t="s">
        <v>2</v>
      </c>
      <c r="D208" s="233">
        <v>6</v>
      </c>
      <c r="E208" s="233">
        <v>1.35</v>
      </c>
      <c r="F208" s="233" t="s">
        <v>6371</v>
      </c>
      <c r="G208" s="233">
        <v>1.0000000000000001E-5</v>
      </c>
      <c r="H208" s="233">
        <v>1.0000000000000001E-5</v>
      </c>
      <c r="I208" s="233">
        <v>937.33749122286758</v>
      </c>
      <c r="J208" s="233">
        <v>157.37692946769511</v>
      </c>
      <c r="K208" s="233">
        <v>0</v>
      </c>
      <c r="L208" s="233">
        <v>0</v>
      </c>
      <c r="M208" s="233">
        <v>0</v>
      </c>
      <c r="N208" s="233">
        <v>0</v>
      </c>
    </row>
    <row r="209" spans="1:14" x14ac:dyDescent="0.2">
      <c r="A209" s="233" t="s">
        <v>30</v>
      </c>
      <c r="B209" s="233" t="s">
        <v>10351</v>
      </c>
      <c r="C209" s="233" t="s">
        <v>2</v>
      </c>
      <c r="D209" s="233">
        <v>6</v>
      </c>
      <c r="E209" s="233">
        <v>1.35</v>
      </c>
      <c r="F209" s="233" t="s">
        <v>6371</v>
      </c>
      <c r="G209" s="233">
        <v>1E-4</v>
      </c>
      <c r="H209" s="233">
        <v>1E-4</v>
      </c>
      <c r="I209" s="233">
        <v>157915.66200475499</v>
      </c>
      <c r="J209" s="233">
        <v>2074.976939555354</v>
      </c>
      <c r="K209" s="233">
        <v>0</v>
      </c>
      <c r="L209" s="233">
        <v>0</v>
      </c>
      <c r="M209" s="233">
        <v>0</v>
      </c>
      <c r="N209" s="233">
        <v>0</v>
      </c>
    </row>
    <row r="210" spans="1:14" x14ac:dyDescent="0.2">
      <c r="A210" s="233" t="s">
        <v>30</v>
      </c>
      <c r="B210" s="233" t="s">
        <v>10351</v>
      </c>
      <c r="C210" s="233" t="s">
        <v>2</v>
      </c>
      <c r="D210" s="233">
        <v>6</v>
      </c>
      <c r="E210" s="233">
        <v>1.35</v>
      </c>
      <c r="F210" s="233" t="s">
        <v>6369</v>
      </c>
      <c r="G210" s="233">
        <v>9.9999999999999995E-7</v>
      </c>
      <c r="H210" s="233">
        <v>9.9999999999999995E-7</v>
      </c>
      <c r="I210" s="233">
        <v>5.8700245139745921E-2</v>
      </c>
      <c r="J210" s="233">
        <v>1.0880428613230491</v>
      </c>
      <c r="K210" s="233">
        <v>1.6449623E-2</v>
      </c>
      <c r="L210" s="233">
        <v>2.357573E-2</v>
      </c>
      <c r="M210" s="233">
        <v>6.2935118999999998E-2</v>
      </c>
      <c r="N210" s="233">
        <v>0.35827552899999998</v>
      </c>
    </row>
    <row r="211" spans="1:14" x14ac:dyDescent="0.2">
      <c r="A211" s="233" t="s">
        <v>30</v>
      </c>
      <c r="B211" s="233" t="s">
        <v>10351</v>
      </c>
      <c r="C211" s="233" t="s">
        <v>2</v>
      </c>
      <c r="D211" s="233">
        <v>6</v>
      </c>
      <c r="E211" s="233">
        <v>1.35</v>
      </c>
      <c r="F211" s="233" t="s">
        <v>6369</v>
      </c>
      <c r="G211" s="233">
        <v>1.0000000000000001E-5</v>
      </c>
      <c r="H211" s="233">
        <v>1.0000000000000001E-5</v>
      </c>
      <c r="I211" s="233">
        <v>0.37232932825226861</v>
      </c>
      <c r="J211" s="233">
        <v>1.874779864784029</v>
      </c>
      <c r="K211" s="233">
        <v>0.117647059</v>
      </c>
      <c r="L211" s="233">
        <v>2.5978674E-2</v>
      </c>
      <c r="M211" s="233">
        <v>1.091805691</v>
      </c>
      <c r="N211" s="233">
        <v>0.89632002799999999</v>
      </c>
    </row>
    <row r="212" spans="1:14" x14ac:dyDescent="0.2">
      <c r="A212" s="233" t="s">
        <v>30</v>
      </c>
      <c r="B212" s="233" t="s">
        <v>10351</v>
      </c>
      <c r="C212" s="233" t="s">
        <v>2</v>
      </c>
      <c r="D212" s="233">
        <v>6</v>
      </c>
      <c r="E212" s="233">
        <v>1.35</v>
      </c>
      <c r="F212" s="233" t="s">
        <v>6369</v>
      </c>
      <c r="G212" s="233">
        <v>1E-4</v>
      </c>
      <c r="H212" s="233">
        <v>1E-4</v>
      </c>
      <c r="I212" s="233">
        <v>754.17829039891103</v>
      </c>
      <c r="J212" s="233">
        <v>140.7255692972777</v>
      </c>
      <c r="K212" s="233">
        <v>0</v>
      </c>
      <c r="L212" s="233">
        <v>0</v>
      </c>
      <c r="M212" s="233">
        <v>0</v>
      </c>
      <c r="N212" s="233">
        <v>0</v>
      </c>
    </row>
    <row r="213" spans="1:14" x14ac:dyDescent="0.2">
      <c r="A213" s="233" t="s">
        <v>30</v>
      </c>
      <c r="B213" s="233" t="s">
        <v>10351</v>
      </c>
      <c r="C213" s="233" t="s">
        <v>2</v>
      </c>
      <c r="D213" s="233">
        <v>6</v>
      </c>
      <c r="E213" s="233">
        <v>1.35</v>
      </c>
      <c r="F213" s="233" t="s">
        <v>6369</v>
      </c>
      <c r="G213" s="233">
        <v>1E-3</v>
      </c>
      <c r="H213" s="233">
        <v>1E-3</v>
      </c>
      <c r="I213" s="233">
        <v>960375.58945009077</v>
      </c>
      <c r="J213" s="233">
        <v>5117.0165670362994</v>
      </c>
      <c r="K213" s="233">
        <v>0</v>
      </c>
      <c r="L213" s="233">
        <v>0</v>
      </c>
      <c r="M213" s="233">
        <v>0</v>
      </c>
      <c r="N213" s="233">
        <v>0</v>
      </c>
    </row>
    <row r="214" spans="1:14" x14ac:dyDescent="0.2">
      <c r="A214" s="233" t="s">
        <v>30</v>
      </c>
      <c r="B214" s="233" t="s">
        <v>10351</v>
      </c>
      <c r="C214" s="233" t="s">
        <v>2</v>
      </c>
      <c r="D214" s="233">
        <v>6</v>
      </c>
      <c r="E214" s="233">
        <v>1.35</v>
      </c>
      <c r="F214" s="233" t="s">
        <v>6369</v>
      </c>
      <c r="G214" s="233">
        <v>5.0000000000000001E-3</v>
      </c>
      <c r="H214" s="233">
        <v>5.0000000000000001E-3</v>
      </c>
      <c r="I214" s="233">
        <v>14845554.533963701</v>
      </c>
      <c r="J214" s="233">
        <v>20118.42872001815</v>
      </c>
      <c r="K214" s="233">
        <v>0</v>
      </c>
      <c r="L214" s="233">
        <v>0</v>
      </c>
      <c r="M214" s="233">
        <v>0</v>
      </c>
      <c r="N214" s="233">
        <v>0</v>
      </c>
    </row>
    <row r="215" spans="1:14" x14ac:dyDescent="0.2">
      <c r="A215" s="233" t="s">
        <v>30</v>
      </c>
      <c r="B215" s="233" t="s">
        <v>10351</v>
      </c>
      <c r="C215" s="233" t="s">
        <v>3</v>
      </c>
      <c r="D215" s="233">
        <v>2</v>
      </c>
      <c r="E215" s="233">
        <v>0.88</v>
      </c>
      <c r="F215" s="233" t="s">
        <v>6370</v>
      </c>
      <c r="G215" s="233">
        <v>5.0000000000000002E-5</v>
      </c>
      <c r="H215" s="233">
        <v>9.9999999999999995E-7</v>
      </c>
      <c r="I215" s="233">
        <v>0.25871519464609799</v>
      </c>
      <c r="J215" s="233">
        <v>1.6592165066823961</v>
      </c>
      <c r="K215" s="233">
        <v>2.0997374999999999E-2</v>
      </c>
      <c r="L215" s="233">
        <v>4.9092367999999997E-2</v>
      </c>
      <c r="M215" s="233">
        <v>0.74634834500000002</v>
      </c>
      <c r="N215" s="233">
        <v>0.87016155699999997</v>
      </c>
    </row>
    <row r="216" spans="1:14" x14ac:dyDescent="0.2">
      <c r="A216" s="233" t="s">
        <v>30</v>
      </c>
      <c r="B216" s="233" t="s">
        <v>10351</v>
      </c>
      <c r="C216" s="233" t="s">
        <v>3</v>
      </c>
      <c r="D216" s="233">
        <v>2</v>
      </c>
      <c r="E216" s="233">
        <v>0.88</v>
      </c>
      <c r="F216" s="233" t="s">
        <v>6370</v>
      </c>
      <c r="G216" s="233">
        <v>1E-4</v>
      </c>
      <c r="H216" s="233">
        <v>1.0000000000000001E-5</v>
      </c>
      <c r="I216" s="233">
        <v>0.93055108696914712</v>
      </c>
      <c r="J216" s="233">
        <v>10.008380525943741</v>
      </c>
      <c r="K216" s="233">
        <v>0</v>
      </c>
      <c r="L216" s="233">
        <v>0</v>
      </c>
      <c r="M216" s="233">
        <v>0</v>
      </c>
      <c r="N216" s="233">
        <v>0</v>
      </c>
    </row>
    <row r="217" spans="1:14" x14ac:dyDescent="0.2">
      <c r="A217" s="233" t="s">
        <v>30</v>
      </c>
      <c r="B217" s="233" t="s">
        <v>10351</v>
      </c>
      <c r="C217" s="233" t="s">
        <v>3</v>
      </c>
      <c r="D217" s="233">
        <v>2</v>
      </c>
      <c r="E217" s="233">
        <v>0.88</v>
      </c>
      <c r="F217" s="233" t="s">
        <v>6370</v>
      </c>
      <c r="G217" s="233">
        <v>1E-3</v>
      </c>
      <c r="H217" s="233">
        <v>1E-4</v>
      </c>
      <c r="I217" s="233">
        <v>0.20046424838294011</v>
      </c>
      <c r="J217" s="233">
        <v>11.037771749745909</v>
      </c>
      <c r="K217" s="233">
        <v>0</v>
      </c>
      <c r="L217" s="233">
        <v>0</v>
      </c>
      <c r="M217" s="233">
        <v>0</v>
      </c>
      <c r="N217" s="233">
        <v>0</v>
      </c>
    </row>
    <row r="218" spans="1:14" x14ac:dyDescent="0.2">
      <c r="A218" s="233" t="s">
        <v>30</v>
      </c>
      <c r="B218" s="233" t="s">
        <v>10351</v>
      </c>
      <c r="C218" s="233" t="s">
        <v>3</v>
      </c>
      <c r="D218" s="233">
        <v>2</v>
      </c>
      <c r="E218" s="233">
        <v>0.88</v>
      </c>
      <c r="F218" s="233" t="s">
        <v>6370</v>
      </c>
      <c r="G218" s="233">
        <v>5.0000000000000001E-3</v>
      </c>
      <c r="H218" s="233">
        <v>1E-3</v>
      </c>
      <c r="I218" s="233">
        <v>3.6346058638838483E-2</v>
      </c>
      <c r="J218" s="233">
        <v>2.6826655570617062</v>
      </c>
      <c r="K218" s="233">
        <v>2.3952191000000001E-2</v>
      </c>
      <c r="L218" s="233">
        <v>3.7354107999999997E-2</v>
      </c>
      <c r="M218" s="233">
        <v>2.590214697</v>
      </c>
      <c r="N218" s="233">
        <v>148.7490598</v>
      </c>
    </row>
    <row r="219" spans="1:14" x14ac:dyDescent="0.2">
      <c r="A219" s="233" t="s">
        <v>30</v>
      </c>
      <c r="B219" s="233" t="s">
        <v>10351</v>
      </c>
      <c r="C219" s="233" t="s">
        <v>3</v>
      </c>
      <c r="D219" s="233">
        <v>2</v>
      </c>
      <c r="E219" s="233">
        <v>0.88</v>
      </c>
      <c r="F219" s="233" t="s">
        <v>6370</v>
      </c>
      <c r="G219" s="233">
        <v>2.5000000000000001E-2</v>
      </c>
      <c r="H219" s="233">
        <v>5.0000000000000001E-3</v>
      </c>
      <c r="I219" s="233">
        <v>3.5623282931034478E-2</v>
      </c>
      <c r="J219" s="233">
        <v>1.3506241776279491</v>
      </c>
      <c r="K219" s="233">
        <v>7.153815613430127E-3</v>
      </c>
      <c r="L219" s="233">
        <v>3.0055075740471868E-2</v>
      </c>
      <c r="M219" s="233">
        <v>0.17634163179854809</v>
      </c>
      <c r="N219" s="233">
        <v>49.786651359274053</v>
      </c>
    </row>
    <row r="220" spans="1:14" x14ac:dyDescent="0.2">
      <c r="A220" s="233" t="s">
        <v>30</v>
      </c>
      <c r="B220" s="233" t="s">
        <v>10351</v>
      </c>
      <c r="C220" s="233" t="s">
        <v>3</v>
      </c>
      <c r="D220" s="233">
        <v>2</v>
      </c>
      <c r="E220" s="233">
        <v>0.88</v>
      </c>
      <c r="F220" s="233" t="s">
        <v>6371</v>
      </c>
      <c r="G220" s="233">
        <v>9.9999999999999995E-7</v>
      </c>
      <c r="H220" s="233">
        <v>9.9999999999999995E-7</v>
      </c>
      <c r="I220" s="233">
        <v>0.39408513574591653</v>
      </c>
      <c r="J220" s="233">
        <v>2.109108363039927</v>
      </c>
      <c r="K220" s="233">
        <v>0</v>
      </c>
      <c r="L220" s="233">
        <v>0.12972972999999999</v>
      </c>
      <c r="M220" s="233">
        <v>0</v>
      </c>
      <c r="N220" s="233">
        <v>1.354667745</v>
      </c>
    </row>
    <row r="221" spans="1:14" x14ac:dyDescent="0.2">
      <c r="A221" s="233" t="s">
        <v>30</v>
      </c>
      <c r="B221" s="233" t="s">
        <v>10351</v>
      </c>
      <c r="C221" s="233" t="s">
        <v>3</v>
      </c>
      <c r="D221" s="233">
        <v>2</v>
      </c>
      <c r="E221" s="233">
        <v>0.88</v>
      </c>
      <c r="F221" s="233" t="s">
        <v>6371</v>
      </c>
      <c r="G221" s="233">
        <v>1.0000000000000001E-5</v>
      </c>
      <c r="H221" s="233">
        <v>1.0000000000000001E-5</v>
      </c>
      <c r="I221" s="233">
        <v>0.78631497842286746</v>
      </c>
      <c r="J221" s="233">
        <v>19.333447087350269</v>
      </c>
      <c r="K221" s="233">
        <v>0</v>
      </c>
      <c r="L221" s="233">
        <v>0</v>
      </c>
      <c r="M221" s="233">
        <v>0</v>
      </c>
      <c r="N221" s="233">
        <v>0</v>
      </c>
    </row>
    <row r="222" spans="1:14" x14ac:dyDescent="0.2">
      <c r="A222" s="233" t="s">
        <v>30</v>
      </c>
      <c r="B222" s="233" t="s">
        <v>10351</v>
      </c>
      <c r="C222" s="233" t="s">
        <v>3</v>
      </c>
      <c r="D222" s="233">
        <v>2</v>
      </c>
      <c r="E222" s="233">
        <v>0.88</v>
      </c>
      <c r="F222" s="233" t="s">
        <v>6371</v>
      </c>
      <c r="G222" s="233">
        <v>1E-4</v>
      </c>
      <c r="H222" s="233">
        <v>1E-4</v>
      </c>
      <c r="I222" s="233">
        <v>0.1091075082214156</v>
      </c>
      <c r="J222" s="233">
        <v>6.8500412287568064</v>
      </c>
      <c r="K222" s="233">
        <v>0</v>
      </c>
      <c r="L222" s="233">
        <v>0</v>
      </c>
      <c r="M222" s="233">
        <v>0</v>
      </c>
      <c r="N222" s="233">
        <v>0</v>
      </c>
    </row>
    <row r="223" spans="1:14" x14ac:dyDescent="0.2">
      <c r="A223" s="233" t="s">
        <v>30</v>
      </c>
      <c r="B223" s="233" t="s">
        <v>10351</v>
      </c>
      <c r="C223" s="233" t="s">
        <v>3</v>
      </c>
      <c r="D223" s="233">
        <v>2</v>
      </c>
      <c r="E223" s="233">
        <v>0.88</v>
      </c>
      <c r="F223" s="233" t="s">
        <v>6369</v>
      </c>
      <c r="G223" s="233">
        <v>9.9999999999999995E-7</v>
      </c>
      <c r="H223" s="233">
        <v>9.9999999999999995E-7</v>
      </c>
      <c r="I223" s="233">
        <v>4.3159355952813061E-2</v>
      </c>
      <c r="J223" s="233">
        <v>0.92720683777858437</v>
      </c>
      <c r="K223" s="233">
        <v>1.5686275E-2</v>
      </c>
      <c r="L223" s="233">
        <v>2.34375E-2</v>
      </c>
      <c r="M223" s="233">
        <v>8.0037674000000003E-2</v>
      </c>
      <c r="N223" s="233">
        <v>0.44054448800000001</v>
      </c>
    </row>
    <row r="224" spans="1:14" x14ac:dyDescent="0.2">
      <c r="A224" s="233" t="s">
        <v>30</v>
      </c>
      <c r="B224" s="233" t="s">
        <v>10351</v>
      </c>
      <c r="C224" s="233" t="s">
        <v>3</v>
      </c>
      <c r="D224" s="233">
        <v>2</v>
      </c>
      <c r="E224" s="233">
        <v>0.88</v>
      </c>
      <c r="F224" s="233" t="s">
        <v>6369</v>
      </c>
      <c r="G224" s="233">
        <v>1.0000000000000001E-5</v>
      </c>
      <c r="H224" s="233">
        <v>1.0000000000000001E-5</v>
      </c>
      <c r="I224" s="233">
        <v>0.16969328975862069</v>
      </c>
      <c r="J224" s="233">
        <v>1.6679872335045369</v>
      </c>
      <c r="K224" s="233">
        <v>0.113744076</v>
      </c>
      <c r="L224" s="233">
        <v>4.3087971000000003E-2</v>
      </c>
      <c r="M224" s="233">
        <v>2.3275584020000002</v>
      </c>
      <c r="N224" s="233">
        <v>0.77376530399999999</v>
      </c>
    </row>
    <row r="225" spans="1:14" x14ac:dyDescent="0.2">
      <c r="A225" s="233" t="s">
        <v>30</v>
      </c>
      <c r="B225" s="233" t="s">
        <v>10351</v>
      </c>
      <c r="C225" s="233" t="s">
        <v>3</v>
      </c>
      <c r="D225" s="233">
        <v>2</v>
      </c>
      <c r="E225" s="233">
        <v>0.88</v>
      </c>
      <c r="F225" s="233" t="s">
        <v>6369</v>
      </c>
      <c r="G225" s="233">
        <v>1E-4</v>
      </c>
      <c r="H225" s="233">
        <v>1E-4</v>
      </c>
      <c r="I225" s="233">
        <v>0.27951787092921959</v>
      </c>
      <c r="J225" s="233">
        <v>8.0972547981034477</v>
      </c>
      <c r="K225" s="233">
        <v>0</v>
      </c>
      <c r="L225" s="233">
        <v>0</v>
      </c>
      <c r="M225" s="233">
        <v>0</v>
      </c>
      <c r="N225" s="233">
        <v>0</v>
      </c>
    </row>
    <row r="226" spans="1:14" x14ac:dyDescent="0.2">
      <c r="A226" s="233" t="s">
        <v>30</v>
      </c>
      <c r="B226" s="233" t="s">
        <v>10351</v>
      </c>
      <c r="C226" s="233" t="s">
        <v>3</v>
      </c>
      <c r="D226" s="233">
        <v>2</v>
      </c>
      <c r="E226" s="233">
        <v>0.88</v>
      </c>
      <c r="F226" s="233" t="s">
        <v>6369</v>
      </c>
      <c r="G226" s="233">
        <v>1E-3</v>
      </c>
      <c r="H226" s="233">
        <v>1E-3</v>
      </c>
      <c r="I226" s="233">
        <v>5.2562753729582593E-2</v>
      </c>
      <c r="J226" s="233">
        <v>3.083311685571688</v>
      </c>
      <c r="K226" s="233">
        <v>0</v>
      </c>
      <c r="L226" s="233">
        <v>0.101265823</v>
      </c>
      <c r="M226" s="233">
        <v>0</v>
      </c>
      <c r="N226" s="233">
        <v>57.852089929999998</v>
      </c>
    </row>
    <row r="227" spans="1:14" x14ac:dyDescent="0.2">
      <c r="A227" s="233" t="s">
        <v>30</v>
      </c>
      <c r="B227" s="233" t="s">
        <v>10351</v>
      </c>
      <c r="C227" s="233" t="s">
        <v>3</v>
      </c>
      <c r="D227" s="233">
        <v>2</v>
      </c>
      <c r="E227" s="233">
        <v>0.88</v>
      </c>
      <c r="F227" s="233" t="s">
        <v>6369</v>
      </c>
      <c r="G227" s="233">
        <v>5.0000000000000001E-3</v>
      </c>
      <c r="H227" s="233">
        <v>5.0000000000000001E-3</v>
      </c>
      <c r="I227" s="233">
        <v>2.3671047382940111E-2</v>
      </c>
      <c r="J227" s="233">
        <v>1.598205317157894</v>
      </c>
      <c r="K227" s="233">
        <v>9.0903655099818514E-3</v>
      </c>
      <c r="L227" s="233">
        <v>3.550309733575318E-2</v>
      </c>
      <c r="M227" s="233">
        <v>0.40381409523411982</v>
      </c>
      <c r="N227" s="233">
        <v>153.226926291833</v>
      </c>
    </row>
    <row r="228" spans="1:14" x14ac:dyDescent="0.2">
      <c r="A228" s="233" t="s">
        <v>30</v>
      </c>
      <c r="B228" s="233" t="s">
        <v>10351</v>
      </c>
      <c r="C228" s="233" t="s">
        <v>23</v>
      </c>
      <c r="D228" s="233">
        <v>5</v>
      </c>
      <c r="E228" s="233">
        <v>1.06</v>
      </c>
      <c r="F228" s="233" t="s">
        <v>6370</v>
      </c>
      <c r="G228" s="233">
        <v>5.0000000000000002E-5</v>
      </c>
      <c r="H228" s="233">
        <v>9.9999999999999995E-7</v>
      </c>
      <c r="I228" s="233">
        <v>0.30426577237749541</v>
      </c>
      <c r="J228" s="233">
        <v>1.7848544512032669</v>
      </c>
      <c r="K228" s="233">
        <v>0</v>
      </c>
      <c r="L228" s="233">
        <v>4.7524752000000003E-2</v>
      </c>
      <c r="M228" s="233">
        <v>0</v>
      </c>
      <c r="N228" s="233">
        <v>0.9505316399999999</v>
      </c>
    </row>
    <row r="229" spans="1:14" x14ac:dyDescent="0.2">
      <c r="A229" s="233" t="s">
        <v>30</v>
      </c>
      <c r="B229" s="233" t="s">
        <v>10351</v>
      </c>
      <c r="C229" s="233" t="s">
        <v>23</v>
      </c>
      <c r="D229" s="233">
        <v>5</v>
      </c>
      <c r="E229" s="233">
        <v>1.06</v>
      </c>
      <c r="F229" s="233" t="s">
        <v>6370</v>
      </c>
      <c r="G229" s="233">
        <v>1E-4</v>
      </c>
      <c r="H229" s="233">
        <v>1.0000000000000001E-5</v>
      </c>
      <c r="I229" s="233">
        <v>2.999089010963703</v>
      </c>
      <c r="J229" s="233">
        <v>11.232096514482761</v>
      </c>
      <c r="K229" s="233">
        <v>0</v>
      </c>
      <c r="L229" s="233">
        <v>0</v>
      </c>
      <c r="M229" s="233">
        <v>0</v>
      </c>
      <c r="N229" s="233">
        <v>0</v>
      </c>
    </row>
    <row r="230" spans="1:14" x14ac:dyDescent="0.2">
      <c r="A230" s="233" t="s">
        <v>30</v>
      </c>
      <c r="B230" s="233" t="s">
        <v>10351</v>
      </c>
      <c r="C230" s="233" t="s">
        <v>23</v>
      </c>
      <c r="D230" s="233">
        <v>5</v>
      </c>
      <c r="E230" s="233">
        <v>1.06</v>
      </c>
      <c r="F230" s="233" t="s">
        <v>6370</v>
      </c>
      <c r="G230" s="233">
        <v>1E-3</v>
      </c>
      <c r="H230" s="233">
        <v>1E-4</v>
      </c>
      <c r="I230" s="233">
        <v>201.26384457749549</v>
      </c>
      <c r="J230" s="233">
        <v>79.81112940072596</v>
      </c>
      <c r="K230" s="233">
        <v>0</v>
      </c>
      <c r="L230" s="233">
        <v>0</v>
      </c>
      <c r="M230" s="233">
        <v>0</v>
      </c>
      <c r="N230" s="233">
        <v>0</v>
      </c>
    </row>
    <row r="231" spans="1:14" x14ac:dyDescent="0.2">
      <c r="A231" s="233" t="s">
        <v>30</v>
      </c>
      <c r="B231" s="233" t="s">
        <v>10351</v>
      </c>
      <c r="C231" s="233" t="s">
        <v>23</v>
      </c>
      <c r="D231" s="233">
        <v>5</v>
      </c>
      <c r="E231" s="233">
        <v>1.06</v>
      </c>
      <c r="F231" s="233" t="s">
        <v>6370</v>
      </c>
      <c r="G231" s="233">
        <v>5.0000000000000001E-3</v>
      </c>
      <c r="H231" s="233">
        <v>1E-3</v>
      </c>
      <c r="I231" s="233">
        <v>56028.750122068966</v>
      </c>
      <c r="J231" s="233">
        <v>1236.0566093303089</v>
      </c>
      <c r="K231" s="233">
        <v>0</v>
      </c>
      <c r="L231" s="233">
        <v>0</v>
      </c>
      <c r="M231" s="233">
        <v>0</v>
      </c>
      <c r="N231" s="233">
        <v>0</v>
      </c>
    </row>
    <row r="232" spans="1:14" x14ac:dyDescent="0.2">
      <c r="A232" s="233" t="s">
        <v>30</v>
      </c>
      <c r="B232" s="233" t="s">
        <v>10351</v>
      </c>
      <c r="C232" s="233" t="s">
        <v>23</v>
      </c>
      <c r="D232" s="233">
        <v>5</v>
      </c>
      <c r="E232" s="233">
        <v>1.06</v>
      </c>
      <c r="F232" s="233" t="s">
        <v>6370</v>
      </c>
      <c r="G232" s="233">
        <v>2.5000000000000001E-2</v>
      </c>
      <c r="H232" s="233">
        <v>5.0000000000000001E-3</v>
      </c>
      <c r="I232" s="233">
        <v>603372.25408257707</v>
      </c>
      <c r="J232" s="233">
        <v>4055.9227308348459</v>
      </c>
      <c r="K232" s="233">
        <v>0</v>
      </c>
      <c r="L232" s="233">
        <v>0</v>
      </c>
      <c r="M232" s="233">
        <v>0</v>
      </c>
      <c r="N232" s="233">
        <v>0</v>
      </c>
    </row>
    <row r="233" spans="1:14" x14ac:dyDescent="0.2">
      <c r="A233" s="233" t="s">
        <v>30</v>
      </c>
      <c r="B233" s="233" t="s">
        <v>10351</v>
      </c>
      <c r="C233" s="233" t="s">
        <v>23</v>
      </c>
      <c r="D233" s="233">
        <v>5</v>
      </c>
      <c r="E233" s="233">
        <v>1.06</v>
      </c>
      <c r="F233" s="233" t="s">
        <v>6371</v>
      </c>
      <c r="G233" s="233">
        <v>9.9999999999999995E-7</v>
      </c>
      <c r="H233" s="233">
        <v>9.9999999999999995E-7</v>
      </c>
      <c r="I233" s="233">
        <v>0.46389166896551731</v>
      </c>
      <c r="J233" s="233">
        <v>2.1671549898130671</v>
      </c>
      <c r="K233" s="233">
        <v>0</v>
      </c>
      <c r="L233" s="233">
        <v>8.1449524999999995E-2</v>
      </c>
      <c r="M233" s="233">
        <v>0</v>
      </c>
      <c r="N233" s="233">
        <v>1.3087224589999999</v>
      </c>
    </row>
    <row r="234" spans="1:14" x14ac:dyDescent="0.2">
      <c r="A234" s="233" t="s">
        <v>30</v>
      </c>
      <c r="B234" s="233" t="s">
        <v>10351</v>
      </c>
      <c r="C234" s="233" t="s">
        <v>23</v>
      </c>
      <c r="D234" s="233">
        <v>5</v>
      </c>
      <c r="E234" s="233">
        <v>1.06</v>
      </c>
      <c r="F234" s="233" t="s">
        <v>6371</v>
      </c>
      <c r="G234" s="233">
        <v>1.0000000000000001E-5</v>
      </c>
      <c r="H234" s="233">
        <v>1.0000000000000001E-5</v>
      </c>
      <c r="I234" s="233">
        <v>32.81433740166969</v>
      </c>
      <c r="J234" s="233">
        <v>40.021538344900179</v>
      </c>
      <c r="K234" s="233">
        <v>0</v>
      </c>
      <c r="L234" s="233">
        <v>0</v>
      </c>
      <c r="M234" s="233">
        <v>0</v>
      </c>
      <c r="N234" s="233">
        <v>0</v>
      </c>
    </row>
    <row r="235" spans="1:14" x14ac:dyDescent="0.2">
      <c r="A235" s="233" t="s">
        <v>30</v>
      </c>
      <c r="B235" s="233" t="s">
        <v>10351</v>
      </c>
      <c r="C235" s="233" t="s">
        <v>23</v>
      </c>
      <c r="D235" s="233">
        <v>5</v>
      </c>
      <c r="E235" s="233">
        <v>1.06</v>
      </c>
      <c r="F235" s="233" t="s">
        <v>6371</v>
      </c>
      <c r="G235" s="233">
        <v>1E-4</v>
      </c>
      <c r="H235" s="233">
        <v>1E-4</v>
      </c>
      <c r="I235" s="233">
        <v>10602.55836446098</v>
      </c>
      <c r="J235" s="233">
        <v>537.30017829782219</v>
      </c>
      <c r="K235" s="233">
        <v>0</v>
      </c>
      <c r="L235" s="233">
        <v>0</v>
      </c>
      <c r="M235" s="233">
        <v>0</v>
      </c>
      <c r="N235" s="233">
        <v>0</v>
      </c>
    </row>
    <row r="236" spans="1:14" x14ac:dyDescent="0.2">
      <c r="A236" s="233" t="s">
        <v>30</v>
      </c>
      <c r="B236" s="233" t="s">
        <v>10351</v>
      </c>
      <c r="C236" s="233" t="s">
        <v>23</v>
      </c>
      <c r="D236" s="233">
        <v>5</v>
      </c>
      <c r="E236" s="233">
        <v>1.06</v>
      </c>
      <c r="F236" s="233" t="s">
        <v>6369</v>
      </c>
      <c r="G236" s="233">
        <v>9.9999999999999995E-7</v>
      </c>
      <c r="H236" s="233">
        <v>9.9999999999999995E-7</v>
      </c>
      <c r="I236" s="233">
        <v>3.8113448774954629E-2</v>
      </c>
      <c r="J236" s="233">
        <v>1.1284767741197821</v>
      </c>
      <c r="K236" s="233">
        <v>1.7241379000000001E-2</v>
      </c>
      <c r="L236" s="233">
        <v>2.835901966061706E-2</v>
      </c>
      <c r="M236" s="233">
        <v>9.7930043999999994E-2</v>
      </c>
      <c r="N236" s="233">
        <v>0.174494483600726</v>
      </c>
    </row>
    <row r="237" spans="1:14" x14ac:dyDescent="0.2">
      <c r="A237" s="233" t="s">
        <v>30</v>
      </c>
      <c r="B237" s="233" t="s">
        <v>10351</v>
      </c>
      <c r="C237" s="233" t="s">
        <v>23</v>
      </c>
      <c r="D237" s="233">
        <v>5</v>
      </c>
      <c r="E237" s="233">
        <v>1.06</v>
      </c>
      <c r="F237" s="233" t="s">
        <v>6369</v>
      </c>
      <c r="G237" s="233">
        <v>1.0000000000000001E-5</v>
      </c>
      <c r="H237" s="233">
        <v>1.0000000000000001E-5</v>
      </c>
      <c r="I237" s="233">
        <v>0.24337916983847549</v>
      </c>
      <c r="J237" s="233">
        <v>1.656883246990926</v>
      </c>
      <c r="K237" s="233">
        <v>0.105029838</v>
      </c>
      <c r="L237" s="233">
        <v>3.3755274000000002E-2</v>
      </c>
      <c r="M237" s="233">
        <v>0.83166019000000002</v>
      </c>
      <c r="N237" s="233">
        <v>0.79695338100000002</v>
      </c>
    </row>
    <row r="238" spans="1:14" x14ac:dyDescent="0.2">
      <c r="A238" s="233" t="s">
        <v>30</v>
      </c>
      <c r="B238" s="233" t="s">
        <v>10351</v>
      </c>
      <c r="C238" s="233" t="s">
        <v>23</v>
      </c>
      <c r="D238" s="233">
        <v>5</v>
      </c>
      <c r="E238" s="233">
        <v>1.06</v>
      </c>
      <c r="F238" s="233" t="s">
        <v>6369</v>
      </c>
      <c r="G238" s="233">
        <v>1E-4</v>
      </c>
      <c r="H238" s="233">
        <v>1E-4</v>
      </c>
      <c r="I238" s="233">
        <v>285.43739443468962</v>
      </c>
      <c r="J238" s="233">
        <v>425.99653394871137</v>
      </c>
      <c r="K238" s="233">
        <v>0</v>
      </c>
      <c r="L238" s="233">
        <v>0</v>
      </c>
      <c r="M238" s="233">
        <v>0</v>
      </c>
      <c r="N238" s="233">
        <v>0</v>
      </c>
    </row>
    <row r="239" spans="1:14" x14ac:dyDescent="0.2">
      <c r="A239" s="233" t="s">
        <v>30</v>
      </c>
      <c r="B239" s="233" t="s">
        <v>10351</v>
      </c>
      <c r="C239" s="233" t="s">
        <v>23</v>
      </c>
      <c r="D239" s="233">
        <v>5</v>
      </c>
      <c r="E239" s="233">
        <v>1.06</v>
      </c>
      <c r="F239" s="233" t="s">
        <v>6369</v>
      </c>
      <c r="G239" s="233">
        <v>1E-3</v>
      </c>
      <c r="H239" s="233">
        <v>1E-3</v>
      </c>
      <c r="I239" s="233">
        <v>42490.158124228677</v>
      </c>
      <c r="J239" s="233">
        <v>1076.3841775208709</v>
      </c>
      <c r="K239" s="233">
        <v>0</v>
      </c>
      <c r="L239" s="233">
        <v>0</v>
      </c>
      <c r="M239" s="233">
        <v>0</v>
      </c>
      <c r="N239" s="233">
        <v>0</v>
      </c>
    </row>
    <row r="240" spans="1:14" x14ac:dyDescent="0.2">
      <c r="A240" s="233" t="s">
        <v>30</v>
      </c>
      <c r="B240" s="233" t="s">
        <v>10351</v>
      </c>
      <c r="C240" s="233" t="s">
        <v>23</v>
      </c>
      <c r="D240" s="233">
        <v>5</v>
      </c>
      <c r="E240" s="233">
        <v>1.06</v>
      </c>
      <c r="F240" s="233" t="s">
        <v>6369</v>
      </c>
      <c r="G240" s="233">
        <v>5.0000000000000001E-3</v>
      </c>
      <c r="H240" s="233">
        <v>5.0000000000000001E-3</v>
      </c>
      <c r="I240" s="233">
        <v>1322558.3699226859</v>
      </c>
      <c r="J240" s="233">
        <v>6004.8768422867524</v>
      </c>
      <c r="K240" s="233">
        <v>0</v>
      </c>
      <c r="L240" s="233">
        <v>0</v>
      </c>
      <c r="M240" s="233">
        <v>0</v>
      </c>
      <c r="N240" s="233">
        <v>0</v>
      </c>
    </row>
    <row r="241" spans="1:14" x14ac:dyDescent="0.2">
      <c r="A241" s="233" t="s">
        <v>22</v>
      </c>
      <c r="B241" s="233" t="s">
        <v>22</v>
      </c>
      <c r="C241" s="233" t="s">
        <v>5</v>
      </c>
      <c r="D241" s="233">
        <v>1</v>
      </c>
      <c r="E241" s="233">
        <v>0.03</v>
      </c>
      <c r="F241" s="233" t="s">
        <v>6370</v>
      </c>
      <c r="G241" s="233">
        <v>5.0000000000000002E-5</v>
      </c>
      <c r="H241" s="233">
        <v>9.9999999999999995E-7</v>
      </c>
      <c r="I241" s="233">
        <v>0.122819055</v>
      </c>
      <c r="J241" s="233">
        <v>3.540260446</v>
      </c>
      <c r="K241" s="233">
        <v>0</v>
      </c>
      <c r="L241" s="233">
        <v>2.1818181820000002</v>
      </c>
      <c r="M241" s="233">
        <v>0.69317098099999996</v>
      </c>
      <c r="N241" s="233">
        <v>148.1794688</v>
      </c>
    </row>
    <row r="242" spans="1:14" x14ac:dyDescent="0.2">
      <c r="A242" s="233" t="s">
        <v>22</v>
      </c>
      <c r="B242" s="233" t="s">
        <v>22</v>
      </c>
      <c r="C242" s="233" t="s">
        <v>5</v>
      </c>
      <c r="D242" s="233">
        <v>1</v>
      </c>
      <c r="E242" s="233">
        <v>0.03</v>
      </c>
      <c r="F242" s="233" t="s">
        <v>6370</v>
      </c>
      <c r="G242" s="233">
        <v>1E-4</v>
      </c>
      <c r="H242" s="233">
        <v>1.0000000000000001E-5</v>
      </c>
      <c r="I242" s="233">
        <v>0.14856728899999999</v>
      </c>
      <c r="J242" s="233">
        <v>3.8536171129999999</v>
      </c>
      <c r="K242" s="233">
        <v>0</v>
      </c>
      <c r="L242" s="233">
        <v>0</v>
      </c>
      <c r="M242" s="233">
        <v>0.69317098099999996</v>
      </c>
      <c r="N242" s="233">
        <v>148.23580519999999</v>
      </c>
    </row>
    <row r="243" spans="1:14" x14ac:dyDescent="0.2">
      <c r="A243" s="233" t="s">
        <v>22</v>
      </c>
      <c r="B243" s="233" t="s">
        <v>22</v>
      </c>
      <c r="C243" s="233" t="s">
        <v>5</v>
      </c>
      <c r="D243" s="233">
        <v>1</v>
      </c>
      <c r="E243" s="233">
        <v>0.03</v>
      </c>
      <c r="F243" s="233" t="s">
        <v>6370</v>
      </c>
      <c r="G243" s="233">
        <v>1E-3</v>
      </c>
      <c r="H243" s="233">
        <v>1E-4</v>
      </c>
      <c r="I243" s="233">
        <v>4.1202532E-2</v>
      </c>
      <c r="J243" s="233">
        <v>14.16617482</v>
      </c>
      <c r="K243" s="233">
        <v>0</v>
      </c>
      <c r="L243" s="233">
        <v>0</v>
      </c>
      <c r="M243" s="233">
        <v>0.68934068199999998</v>
      </c>
      <c r="N243" s="233">
        <v>151.09784640000001</v>
      </c>
    </row>
    <row r="244" spans="1:14" x14ac:dyDescent="0.2">
      <c r="A244" s="233" t="s">
        <v>22</v>
      </c>
      <c r="B244" s="233" t="s">
        <v>22</v>
      </c>
      <c r="C244" s="233" t="s">
        <v>5</v>
      </c>
      <c r="D244" s="233">
        <v>1</v>
      </c>
      <c r="E244" s="233">
        <v>0.03</v>
      </c>
      <c r="F244" s="233" t="s">
        <v>6370</v>
      </c>
      <c r="G244" s="233">
        <v>5.0000000000000001E-3</v>
      </c>
      <c r="H244" s="233">
        <v>1E-3</v>
      </c>
      <c r="I244" s="233">
        <v>6.4702279000000001E-2</v>
      </c>
      <c r="J244" s="233">
        <v>1.4762273850000001</v>
      </c>
      <c r="K244" s="233">
        <v>3.0264816999999999E-2</v>
      </c>
      <c r="L244" s="233">
        <v>4.6153845999999998E-2</v>
      </c>
      <c r="M244" s="233">
        <v>0.12800905900000001</v>
      </c>
      <c r="N244" s="233">
        <v>61.903222900000003</v>
      </c>
    </row>
    <row r="245" spans="1:14" x14ac:dyDescent="0.2">
      <c r="A245" s="233" t="s">
        <v>22</v>
      </c>
      <c r="B245" s="233" t="s">
        <v>22</v>
      </c>
      <c r="C245" s="233" t="s">
        <v>5</v>
      </c>
      <c r="D245" s="233">
        <v>1</v>
      </c>
      <c r="E245" s="233">
        <v>0.03</v>
      </c>
      <c r="F245" s="233" t="s">
        <v>6370</v>
      </c>
      <c r="G245" s="233">
        <v>2.5000000000000001E-2</v>
      </c>
      <c r="H245" s="233">
        <v>5.0000000000000001E-3</v>
      </c>
      <c r="I245" s="233">
        <v>0.100130078</v>
      </c>
      <c r="J245" s="233">
        <v>3.3662950060000001</v>
      </c>
      <c r="K245" s="233">
        <v>0</v>
      </c>
      <c r="L245" s="233">
        <v>2.1818181820000002</v>
      </c>
      <c r="M245" s="233">
        <v>0.69317098099999996</v>
      </c>
      <c r="N245" s="233">
        <v>148.1794688</v>
      </c>
    </row>
    <row r="246" spans="1:14" x14ac:dyDescent="0.2">
      <c r="A246" s="233" t="s">
        <v>22</v>
      </c>
      <c r="B246" s="233" t="s">
        <v>22</v>
      </c>
      <c r="C246" s="233" t="s">
        <v>5</v>
      </c>
      <c r="D246" s="233">
        <v>1</v>
      </c>
      <c r="E246" s="233">
        <v>0.03</v>
      </c>
      <c r="F246" s="233" t="s">
        <v>6371</v>
      </c>
      <c r="G246" s="233">
        <v>9.9999999999999995E-7</v>
      </c>
      <c r="H246" s="233">
        <v>9.9999999999999995E-7</v>
      </c>
      <c r="I246" s="233">
        <v>0.105833759</v>
      </c>
      <c r="J246" s="233">
        <v>1.780238531</v>
      </c>
      <c r="K246" s="233">
        <v>0</v>
      </c>
      <c r="L246" s="233">
        <v>5.2887666999999999E-2</v>
      </c>
      <c r="M246" s="233">
        <v>1.7933282420000001</v>
      </c>
      <c r="N246" s="233">
        <v>30.67998407</v>
      </c>
    </row>
    <row r="247" spans="1:14" x14ac:dyDescent="0.2">
      <c r="A247" s="233" t="s">
        <v>22</v>
      </c>
      <c r="B247" s="233" t="s">
        <v>22</v>
      </c>
      <c r="C247" s="233" t="s">
        <v>5</v>
      </c>
      <c r="D247" s="233">
        <v>1</v>
      </c>
      <c r="E247" s="233">
        <v>0.03</v>
      </c>
      <c r="F247" s="233" t="s">
        <v>6371</v>
      </c>
      <c r="G247" s="233">
        <v>1.0000000000000001E-5</v>
      </c>
      <c r="H247" s="233">
        <v>1.0000000000000001E-5</v>
      </c>
      <c r="I247" s="233">
        <v>0.10588544599999999</v>
      </c>
      <c r="J247" s="233">
        <v>17.951625620000002</v>
      </c>
      <c r="K247" s="233">
        <v>0</v>
      </c>
      <c r="L247" s="233">
        <v>0</v>
      </c>
      <c r="M247" s="233">
        <v>1.813638386</v>
      </c>
      <c r="N247" s="233">
        <v>33.778833929999998</v>
      </c>
    </row>
    <row r="248" spans="1:14" x14ac:dyDescent="0.2">
      <c r="A248" s="233" t="s">
        <v>22</v>
      </c>
      <c r="B248" s="233" t="s">
        <v>22</v>
      </c>
      <c r="C248" s="233" t="s">
        <v>5</v>
      </c>
      <c r="D248" s="233">
        <v>1</v>
      </c>
      <c r="E248" s="233">
        <v>0.03</v>
      </c>
      <c r="F248" s="233" t="s">
        <v>6371</v>
      </c>
      <c r="G248" s="233">
        <v>1E-4</v>
      </c>
      <c r="H248" s="233">
        <v>1E-4</v>
      </c>
      <c r="I248" s="233">
        <v>8.0297827000000002E-2</v>
      </c>
      <c r="J248" s="233">
        <v>1.7176730650000001</v>
      </c>
      <c r="K248" s="233">
        <v>2.9520696999999999E-2</v>
      </c>
      <c r="L248" s="233">
        <v>0.100282634</v>
      </c>
      <c r="M248" s="233">
        <v>0.41196127599999999</v>
      </c>
      <c r="N248" s="233">
        <v>281.82103549999999</v>
      </c>
    </row>
    <row r="249" spans="1:14" x14ac:dyDescent="0.2">
      <c r="A249" s="233" t="s">
        <v>22</v>
      </c>
      <c r="B249" s="233" t="s">
        <v>22</v>
      </c>
      <c r="C249" s="233" t="s">
        <v>5</v>
      </c>
      <c r="D249" s="233">
        <v>1</v>
      </c>
      <c r="E249" s="233">
        <v>0.03</v>
      </c>
      <c r="F249" s="233" t="s">
        <v>6369</v>
      </c>
      <c r="G249" s="233">
        <v>9.9999999999999995E-7</v>
      </c>
      <c r="H249" s="233">
        <v>9.9999999999999995E-7</v>
      </c>
      <c r="I249" s="233">
        <v>6.6358353999999994E-2</v>
      </c>
      <c r="J249" s="233">
        <v>1.5226737880000001</v>
      </c>
      <c r="K249" s="233">
        <v>0</v>
      </c>
      <c r="L249" s="233">
        <v>5.9366206999999997E-2</v>
      </c>
      <c r="M249" s="233">
        <v>1.1384675879999999</v>
      </c>
      <c r="N249" s="233">
        <v>38.50705439</v>
      </c>
    </row>
    <row r="250" spans="1:14" x14ac:dyDescent="0.2">
      <c r="A250" s="233" t="s">
        <v>22</v>
      </c>
      <c r="B250" s="233" t="s">
        <v>22</v>
      </c>
      <c r="C250" s="233" t="s">
        <v>5</v>
      </c>
      <c r="D250" s="233">
        <v>1</v>
      </c>
      <c r="E250" s="233">
        <v>0.03</v>
      </c>
      <c r="F250" s="233" t="s">
        <v>6369</v>
      </c>
      <c r="G250" s="233">
        <v>1.0000000000000001E-5</v>
      </c>
      <c r="H250" s="233">
        <v>1.0000000000000001E-5</v>
      </c>
      <c r="I250" s="233">
        <v>8.0396828000000004E-2</v>
      </c>
      <c r="J250" s="233">
        <v>1.5459322799999999</v>
      </c>
      <c r="K250" s="233">
        <v>0</v>
      </c>
      <c r="L250" s="233">
        <v>4.511278199999999E-2</v>
      </c>
      <c r="M250" s="233">
        <v>1.1388895880000001</v>
      </c>
      <c r="N250" s="233">
        <v>39.54460486</v>
      </c>
    </row>
    <row r="251" spans="1:14" x14ac:dyDescent="0.2">
      <c r="A251" s="233" t="s">
        <v>22</v>
      </c>
      <c r="B251" s="233" t="s">
        <v>22</v>
      </c>
      <c r="C251" s="233" t="s">
        <v>5</v>
      </c>
      <c r="D251" s="233">
        <v>1</v>
      </c>
      <c r="E251" s="233">
        <v>0.03</v>
      </c>
      <c r="F251" s="233" t="s">
        <v>6369</v>
      </c>
      <c r="G251" s="233">
        <v>1E-4</v>
      </c>
      <c r="H251" s="233">
        <v>1E-4</v>
      </c>
      <c r="I251" s="233">
        <v>6.5485728000000007E-2</v>
      </c>
      <c r="J251" s="233">
        <v>13.649157089999999</v>
      </c>
      <c r="K251" s="233">
        <v>0</v>
      </c>
      <c r="L251" s="233">
        <v>0</v>
      </c>
      <c r="M251" s="233">
        <v>1.1412571629999999</v>
      </c>
      <c r="N251" s="233">
        <v>41.007595670000001</v>
      </c>
    </row>
    <row r="252" spans="1:14" x14ac:dyDescent="0.2">
      <c r="A252" s="233" t="s">
        <v>22</v>
      </c>
      <c r="B252" s="233" t="s">
        <v>22</v>
      </c>
      <c r="C252" s="233" t="s">
        <v>5</v>
      </c>
      <c r="D252" s="233">
        <v>1</v>
      </c>
      <c r="E252" s="233">
        <v>0.03</v>
      </c>
      <c r="F252" s="233" t="s">
        <v>6369</v>
      </c>
      <c r="G252" s="233">
        <v>1E-3</v>
      </c>
      <c r="H252" s="233">
        <v>1E-3</v>
      </c>
      <c r="I252" s="233">
        <v>7.2866684000000001E-2</v>
      </c>
      <c r="J252" s="233">
        <v>1.348085357</v>
      </c>
      <c r="K252" s="233">
        <v>2.8846321000000001E-2</v>
      </c>
      <c r="L252" s="233">
        <v>8.1355932000000006E-2</v>
      </c>
      <c r="M252" s="233">
        <v>0.184585154</v>
      </c>
      <c r="N252" s="233">
        <v>287.36663249999998</v>
      </c>
    </row>
    <row r="253" spans="1:14" x14ac:dyDescent="0.2">
      <c r="A253" s="233" t="s">
        <v>22</v>
      </c>
      <c r="B253" s="233" t="s">
        <v>22</v>
      </c>
      <c r="C253" s="233" t="s">
        <v>5</v>
      </c>
      <c r="D253" s="233">
        <v>1</v>
      </c>
      <c r="E253" s="233">
        <v>0.03</v>
      </c>
      <c r="F253" s="233" t="s">
        <v>6369</v>
      </c>
      <c r="G253" s="233">
        <v>5.0000000000000001E-3</v>
      </c>
      <c r="H253" s="233">
        <v>5.0000000000000001E-3</v>
      </c>
      <c r="I253" s="233">
        <v>5.7684107000000012E-2</v>
      </c>
      <c r="J253" s="233">
        <v>1.336151345</v>
      </c>
      <c r="K253" s="233">
        <v>2.2922636E-2</v>
      </c>
      <c r="L253" s="233">
        <v>0</v>
      </c>
      <c r="M253" s="233">
        <v>0.114465477</v>
      </c>
      <c r="N253" s="233">
        <v>10.54695764</v>
      </c>
    </row>
    <row r="254" spans="1:14" x14ac:dyDescent="0.2">
      <c r="A254" s="233" t="s">
        <v>22</v>
      </c>
      <c r="B254" s="233" t="s">
        <v>22</v>
      </c>
      <c r="C254" s="233" t="s">
        <v>0</v>
      </c>
      <c r="D254" s="233">
        <v>4</v>
      </c>
      <c r="E254" s="233">
        <v>0.95299999999999996</v>
      </c>
      <c r="F254" s="233" t="s">
        <v>6370</v>
      </c>
      <c r="G254" s="233">
        <v>5.0000000000000002E-5</v>
      </c>
      <c r="H254" s="233">
        <v>9.9999999999999995E-7</v>
      </c>
      <c r="I254" s="233">
        <v>0.193715995</v>
      </c>
      <c r="J254" s="233">
        <v>3.8691824420000001</v>
      </c>
      <c r="K254" s="233">
        <v>0</v>
      </c>
      <c r="L254" s="233">
        <v>0</v>
      </c>
      <c r="M254" s="233">
        <v>4.7020411490000003</v>
      </c>
      <c r="N254" s="233">
        <v>61.032378139999999</v>
      </c>
    </row>
    <row r="255" spans="1:14" x14ac:dyDescent="0.2">
      <c r="A255" s="233" t="s">
        <v>22</v>
      </c>
      <c r="B255" s="233" t="s">
        <v>22</v>
      </c>
      <c r="C255" s="233" t="s">
        <v>0</v>
      </c>
      <c r="D255" s="233">
        <v>4</v>
      </c>
      <c r="E255" s="233">
        <v>0.95299999999999996</v>
      </c>
      <c r="F255" s="233" t="s">
        <v>6370</v>
      </c>
      <c r="G255" s="233">
        <v>1E-4</v>
      </c>
      <c r="H255" s="233">
        <v>1.0000000000000001E-5</v>
      </c>
      <c r="I255" s="233">
        <v>0.27916253600000002</v>
      </c>
      <c r="J255" s="233">
        <v>4.2344055689999998</v>
      </c>
      <c r="K255" s="233">
        <v>0</v>
      </c>
      <c r="L255" s="233">
        <v>0</v>
      </c>
      <c r="M255" s="233">
        <v>4.725310715</v>
      </c>
      <c r="N255" s="233">
        <v>60.940311770000001</v>
      </c>
    </row>
    <row r="256" spans="1:14" x14ac:dyDescent="0.2">
      <c r="A256" s="233" t="s">
        <v>22</v>
      </c>
      <c r="B256" s="233" t="s">
        <v>22</v>
      </c>
      <c r="C256" s="233" t="s">
        <v>0</v>
      </c>
      <c r="D256" s="233">
        <v>4</v>
      </c>
      <c r="E256" s="233">
        <v>0.95299999999999996</v>
      </c>
      <c r="F256" s="233" t="s">
        <v>6370</v>
      </c>
      <c r="G256" s="233">
        <v>1E-3</v>
      </c>
      <c r="H256" s="233">
        <v>1E-4</v>
      </c>
      <c r="I256" s="233">
        <v>0.33969228600000001</v>
      </c>
      <c r="J256" s="233">
        <v>37.293825910000002</v>
      </c>
      <c r="K256" s="233">
        <v>0</v>
      </c>
      <c r="L256" s="233">
        <v>0</v>
      </c>
      <c r="M256" s="233">
        <v>4.8163370140000001</v>
      </c>
      <c r="N256" s="233">
        <v>62.9056906</v>
      </c>
    </row>
    <row r="257" spans="1:14" x14ac:dyDescent="0.2">
      <c r="A257" s="233" t="s">
        <v>22</v>
      </c>
      <c r="B257" s="233" t="s">
        <v>22</v>
      </c>
      <c r="C257" s="233" t="s">
        <v>0</v>
      </c>
      <c r="D257" s="233">
        <v>4</v>
      </c>
      <c r="E257" s="233">
        <v>0.95299999999999996</v>
      </c>
      <c r="F257" s="233" t="s">
        <v>6370</v>
      </c>
      <c r="G257" s="233">
        <v>5.0000000000000001E-3</v>
      </c>
      <c r="H257" s="233">
        <v>1E-3</v>
      </c>
      <c r="I257" s="233">
        <v>4.5770139000000001E-2</v>
      </c>
      <c r="J257" s="233">
        <v>13.75522076</v>
      </c>
      <c r="K257" s="233">
        <v>0</v>
      </c>
      <c r="L257" s="233">
        <v>0</v>
      </c>
      <c r="M257" s="233">
        <v>0.62234743400000003</v>
      </c>
      <c r="N257" s="233">
        <v>426.42763760000008</v>
      </c>
    </row>
    <row r="258" spans="1:14" x14ac:dyDescent="0.2">
      <c r="A258" s="233" t="s">
        <v>22</v>
      </c>
      <c r="B258" s="233" t="s">
        <v>22</v>
      </c>
      <c r="C258" s="233" t="s">
        <v>0</v>
      </c>
      <c r="D258" s="233">
        <v>4</v>
      </c>
      <c r="E258" s="233">
        <v>0.95299999999999996</v>
      </c>
      <c r="F258" s="233" t="s">
        <v>6370</v>
      </c>
      <c r="G258" s="233">
        <v>2.5000000000000001E-2</v>
      </c>
      <c r="H258" s="233">
        <v>5.0000000000000001E-3</v>
      </c>
      <c r="I258" s="233">
        <v>0.102026379</v>
      </c>
      <c r="J258" s="233">
        <v>2.4121411240000001</v>
      </c>
      <c r="K258" s="233">
        <v>2.8268550999999999E-2</v>
      </c>
      <c r="L258" s="233">
        <v>0.14462554899999999</v>
      </c>
      <c r="M258" s="233">
        <v>0.17994649700000001</v>
      </c>
      <c r="N258" s="233">
        <v>555.3046018</v>
      </c>
    </row>
    <row r="259" spans="1:14" x14ac:dyDescent="0.2">
      <c r="A259" s="233" t="s">
        <v>22</v>
      </c>
      <c r="B259" s="233" t="s">
        <v>22</v>
      </c>
      <c r="C259" s="233" t="s">
        <v>0</v>
      </c>
      <c r="D259" s="233">
        <v>4</v>
      </c>
      <c r="E259" s="233">
        <v>0.95299999999999996</v>
      </c>
      <c r="F259" s="233" t="s">
        <v>6371</v>
      </c>
      <c r="G259" s="233">
        <v>9.9999999999999995E-7</v>
      </c>
      <c r="H259" s="233">
        <v>9.9999999999999995E-7</v>
      </c>
      <c r="I259" s="233">
        <v>0.14557810099999999</v>
      </c>
      <c r="J259" s="233">
        <v>1.7531312489999999</v>
      </c>
      <c r="K259" s="233">
        <v>0</v>
      </c>
      <c r="L259" s="233">
        <v>4.4340771000000001E-2</v>
      </c>
      <c r="M259" s="233">
        <v>12.0530612</v>
      </c>
      <c r="N259" s="233">
        <v>61.361581330000007</v>
      </c>
    </row>
    <row r="260" spans="1:14" x14ac:dyDescent="0.2">
      <c r="A260" s="233" t="s">
        <v>22</v>
      </c>
      <c r="B260" s="233" t="s">
        <v>22</v>
      </c>
      <c r="C260" s="233" t="s">
        <v>0</v>
      </c>
      <c r="D260" s="233">
        <v>4</v>
      </c>
      <c r="E260" s="233">
        <v>0.95299999999999996</v>
      </c>
      <c r="F260" s="233" t="s">
        <v>6371</v>
      </c>
      <c r="G260" s="233">
        <v>1.0000000000000001E-5</v>
      </c>
      <c r="H260" s="233">
        <v>1.0000000000000001E-5</v>
      </c>
      <c r="I260" s="233">
        <v>1.3066536280000001</v>
      </c>
      <c r="J260" s="233">
        <v>39.177656910000003</v>
      </c>
      <c r="K260" s="233">
        <v>0</v>
      </c>
      <c r="L260" s="233">
        <v>0</v>
      </c>
      <c r="M260" s="233">
        <v>12.2389633</v>
      </c>
      <c r="N260" s="233">
        <v>61.814824340000001</v>
      </c>
    </row>
    <row r="261" spans="1:14" x14ac:dyDescent="0.2">
      <c r="A261" s="233" t="s">
        <v>22</v>
      </c>
      <c r="B261" s="233" t="s">
        <v>22</v>
      </c>
      <c r="C261" s="233" t="s">
        <v>0</v>
      </c>
      <c r="D261" s="233">
        <v>4</v>
      </c>
      <c r="E261" s="233">
        <v>0.95299999999999996</v>
      </c>
      <c r="F261" s="233" t="s">
        <v>6371</v>
      </c>
      <c r="G261" s="233">
        <v>1E-4</v>
      </c>
      <c r="H261" s="233">
        <v>1E-4</v>
      </c>
      <c r="I261" s="233">
        <v>0.27400466299999998</v>
      </c>
      <c r="J261" s="233">
        <v>83.480408609999998</v>
      </c>
      <c r="K261" s="233">
        <v>0</v>
      </c>
      <c r="L261" s="233">
        <v>0</v>
      </c>
      <c r="M261" s="233">
        <v>2.808399097000001</v>
      </c>
      <c r="N261" s="233">
        <v>154.4592567</v>
      </c>
    </row>
    <row r="262" spans="1:14" x14ac:dyDescent="0.2">
      <c r="A262" s="233" t="s">
        <v>22</v>
      </c>
      <c r="B262" s="233" t="s">
        <v>22</v>
      </c>
      <c r="C262" s="233" t="s">
        <v>0</v>
      </c>
      <c r="D262" s="233">
        <v>4</v>
      </c>
      <c r="E262" s="233">
        <v>0.95299999999999996</v>
      </c>
      <c r="F262" s="233" t="s">
        <v>6369</v>
      </c>
      <c r="G262" s="233">
        <v>9.9999999999999995E-7</v>
      </c>
      <c r="H262" s="233">
        <v>9.9999999999999995E-7</v>
      </c>
      <c r="I262" s="233">
        <v>0.100207001</v>
      </c>
      <c r="J262" s="233">
        <v>1.613001184</v>
      </c>
      <c r="K262" s="233">
        <v>0</v>
      </c>
      <c r="L262" s="233">
        <v>5.406540700000001E-2</v>
      </c>
      <c r="M262" s="233">
        <v>1.1869769999999999</v>
      </c>
      <c r="N262" s="233">
        <v>0.96122881500000001</v>
      </c>
    </row>
    <row r="263" spans="1:14" x14ac:dyDescent="0.2">
      <c r="A263" s="233" t="s">
        <v>22</v>
      </c>
      <c r="B263" s="233" t="s">
        <v>22</v>
      </c>
      <c r="C263" s="233" t="s">
        <v>0</v>
      </c>
      <c r="D263" s="233">
        <v>4</v>
      </c>
      <c r="E263" s="233">
        <v>0.95299999999999996</v>
      </c>
      <c r="F263" s="233" t="s">
        <v>6369</v>
      </c>
      <c r="G263" s="233">
        <v>1.0000000000000001E-5</v>
      </c>
      <c r="H263" s="233">
        <v>1.0000000000000001E-5</v>
      </c>
      <c r="I263" s="233">
        <v>0.12894638999999999</v>
      </c>
      <c r="J263" s="233">
        <v>1.636663684</v>
      </c>
      <c r="K263" s="233">
        <v>0</v>
      </c>
      <c r="L263" s="233">
        <v>5.406540700000001E-2</v>
      </c>
      <c r="M263" s="233">
        <v>4.8582883050000003</v>
      </c>
      <c r="N263" s="233">
        <v>0.96172139499999998</v>
      </c>
    </row>
    <row r="264" spans="1:14" x14ac:dyDescent="0.2">
      <c r="A264" s="233" t="s">
        <v>22</v>
      </c>
      <c r="B264" s="233" t="s">
        <v>22</v>
      </c>
      <c r="C264" s="233" t="s">
        <v>0</v>
      </c>
      <c r="D264" s="233">
        <v>4</v>
      </c>
      <c r="E264" s="233">
        <v>0.95299999999999996</v>
      </c>
      <c r="F264" s="233" t="s">
        <v>6369</v>
      </c>
      <c r="G264" s="233">
        <v>1E-4</v>
      </c>
      <c r="H264" s="233">
        <v>1E-4</v>
      </c>
      <c r="I264" s="233">
        <v>0.40489758299999989</v>
      </c>
      <c r="J264" s="233">
        <v>23.463443059999999</v>
      </c>
      <c r="K264" s="233">
        <v>0</v>
      </c>
      <c r="L264" s="233">
        <v>0</v>
      </c>
      <c r="M264" s="233">
        <v>5.0133561029999996</v>
      </c>
      <c r="N264" s="233">
        <v>41.189226320000003</v>
      </c>
    </row>
    <row r="265" spans="1:14" x14ac:dyDescent="0.2">
      <c r="A265" s="233" t="s">
        <v>22</v>
      </c>
      <c r="B265" s="233" t="s">
        <v>22</v>
      </c>
      <c r="C265" s="233" t="s">
        <v>0</v>
      </c>
      <c r="D265" s="233">
        <v>4</v>
      </c>
      <c r="E265" s="233">
        <v>0.95299999999999996</v>
      </c>
      <c r="F265" s="233" t="s">
        <v>6369</v>
      </c>
      <c r="G265" s="233">
        <v>1E-3</v>
      </c>
      <c r="H265" s="233">
        <v>1E-3</v>
      </c>
      <c r="I265" s="233">
        <v>6.582085E-2</v>
      </c>
      <c r="J265" s="233">
        <v>25.866396399999999</v>
      </c>
      <c r="K265" s="233">
        <v>0</v>
      </c>
      <c r="L265" s="233">
        <v>0</v>
      </c>
      <c r="M265" s="233">
        <v>0.94825211099999995</v>
      </c>
      <c r="N265" s="233">
        <v>232.8276769</v>
      </c>
    </row>
    <row r="266" spans="1:14" x14ac:dyDescent="0.2">
      <c r="A266" s="233" t="s">
        <v>22</v>
      </c>
      <c r="B266" s="233" t="s">
        <v>22</v>
      </c>
      <c r="C266" s="233" t="s">
        <v>0</v>
      </c>
      <c r="D266" s="233">
        <v>4</v>
      </c>
      <c r="E266" s="233">
        <v>0.95299999999999996</v>
      </c>
      <c r="F266" s="233" t="s">
        <v>6369</v>
      </c>
      <c r="G266" s="233">
        <v>5.0000000000000001E-3</v>
      </c>
      <c r="H266" s="233">
        <v>5.0000000000000001E-3</v>
      </c>
      <c r="I266" s="233">
        <v>9.3259539000000002E-2</v>
      </c>
      <c r="J266" s="233">
        <v>1.5564876430000001</v>
      </c>
      <c r="K266" s="233">
        <v>2.8285455000000001E-2</v>
      </c>
      <c r="L266" s="233">
        <v>6.4000000000000001E-2</v>
      </c>
      <c r="M266" s="233">
        <v>0.35221372699999998</v>
      </c>
      <c r="N266" s="233">
        <v>739.09965420000003</v>
      </c>
    </row>
    <row r="267" spans="1:14" x14ac:dyDescent="0.2">
      <c r="A267" s="233" t="s">
        <v>22</v>
      </c>
      <c r="B267" s="233" t="s">
        <v>22</v>
      </c>
      <c r="C267" s="233" t="s">
        <v>1</v>
      </c>
      <c r="D267" s="233">
        <v>3</v>
      </c>
      <c r="E267" s="233">
        <v>0.91500000000000004</v>
      </c>
      <c r="F267" s="233" t="s">
        <v>6370</v>
      </c>
      <c r="G267" s="233">
        <v>5.0000000000000002E-5</v>
      </c>
      <c r="H267" s="233">
        <v>9.9999999999999995E-7</v>
      </c>
      <c r="I267" s="233">
        <v>0.20587594100000001</v>
      </c>
      <c r="J267" s="233">
        <v>3.8783545080000001</v>
      </c>
      <c r="K267" s="233">
        <v>0</v>
      </c>
      <c r="L267" s="233">
        <v>0.34968210700000002</v>
      </c>
      <c r="M267" s="233">
        <v>2.751442371</v>
      </c>
      <c r="N267" s="233">
        <v>3.9329661520000001</v>
      </c>
    </row>
    <row r="268" spans="1:14" x14ac:dyDescent="0.2">
      <c r="A268" s="233" t="s">
        <v>22</v>
      </c>
      <c r="B268" s="233" t="s">
        <v>22</v>
      </c>
      <c r="C268" s="233" t="s">
        <v>1</v>
      </c>
      <c r="D268" s="233">
        <v>3</v>
      </c>
      <c r="E268" s="233">
        <v>0.91500000000000004</v>
      </c>
      <c r="F268" s="233" t="s">
        <v>6370</v>
      </c>
      <c r="G268" s="233">
        <v>1E-4</v>
      </c>
      <c r="H268" s="233">
        <v>1.0000000000000001E-5</v>
      </c>
      <c r="I268" s="233">
        <v>0.26908745899999997</v>
      </c>
      <c r="J268" s="233">
        <v>4.227341054</v>
      </c>
      <c r="K268" s="233">
        <v>0</v>
      </c>
      <c r="L268" s="233">
        <v>0</v>
      </c>
      <c r="M268" s="233">
        <v>2.751442371</v>
      </c>
      <c r="N268" s="233">
        <v>4.2600402659999999</v>
      </c>
    </row>
    <row r="269" spans="1:14" x14ac:dyDescent="0.2">
      <c r="A269" s="233" t="s">
        <v>22</v>
      </c>
      <c r="B269" s="233" t="s">
        <v>22</v>
      </c>
      <c r="C269" s="233" t="s">
        <v>1</v>
      </c>
      <c r="D269" s="233">
        <v>3</v>
      </c>
      <c r="E269" s="233">
        <v>0.91500000000000004</v>
      </c>
      <c r="F269" s="233" t="s">
        <v>6370</v>
      </c>
      <c r="G269" s="233">
        <v>1E-3</v>
      </c>
      <c r="H269" s="233">
        <v>1E-4</v>
      </c>
      <c r="I269" s="233">
        <v>0.24673373000000001</v>
      </c>
      <c r="J269" s="233">
        <v>34.691438339999998</v>
      </c>
      <c r="K269" s="233">
        <v>0</v>
      </c>
      <c r="L269" s="233">
        <v>0</v>
      </c>
      <c r="M269" s="233">
        <v>3.4115834340000002</v>
      </c>
      <c r="N269" s="233">
        <v>69.680104189999994</v>
      </c>
    </row>
    <row r="270" spans="1:14" x14ac:dyDescent="0.2">
      <c r="A270" s="233" t="s">
        <v>22</v>
      </c>
      <c r="B270" s="233" t="s">
        <v>22</v>
      </c>
      <c r="C270" s="233" t="s">
        <v>1</v>
      </c>
      <c r="D270" s="233">
        <v>3</v>
      </c>
      <c r="E270" s="233">
        <v>0.91500000000000004</v>
      </c>
      <c r="F270" s="233" t="s">
        <v>6370</v>
      </c>
      <c r="G270" s="233">
        <v>5.0000000000000001E-3</v>
      </c>
      <c r="H270" s="233">
        <v>1E-3</v>
      </c>
      <c r="I270" s="233">
        <v>4.5444511000000007E-2</v>
      </c>
      <c r="J270" s="233">
        <v>4.2280411469999999</v>
      </c>
      <c r="K270" s="233">
        <v>3.1250053E-2</v>
      </c>
      <c r="L270" s="233">
        <v>0.16551724100000001</v>
      </c>
      <c r="M270" s="233">
        <v>2.642318983</v>
      </c>
      <c r="N270" s="233">
        <v>468.31873610000002</v>
      </c>
    </row>
    <row r="271" spans="1:14" x14ac:dyDescent="0.2">
      <c r="A271" s="233" t="s">
        <v>22</v>
      </c>
      <c r="B271" s="233" t="s">
        <v>22</v>
      </c>
      <c r="C271" s="233" t="s">
        <v>1</v>
      </c>
      <c r="D271" s="233">
        <v>3</v>
      </c>
      <c r="E271" s="233">
        <v>0.91500000000000004</v>
      </c>
      <c r="F271" s="233" t="s">
        <v>6370</v>
      </c>
      <c r="G271" s="233">
        <v>2.5000000000000001E-2</v>
      </c>
      <c r="H271" s="233">
        <v>5.0000000000000001E-3</v>
      </c>
      <c r="I271" s="233">
        <v>0.137729041</v>
      </c>
      <c r="J271" s="233">
        <v>3.5252995290000002</v>
      </c>
      <c r="K271" s="233">
        <v>2.739726E-2</v>
      </c>
      <c r="L271" s="233">
        <v>7.9470199000000005E-2</v>
      </c>
      <c r="M271" s="233">
        <v>0.11400306</v>
      </c>
      <c r="N271" s="233">
        <v>112.9280847</v>
      </c>
    </row>
    <row r="272" spans="1:14" x14ac:dyDescent="0.2">
      <c r="A272" s="233" t="s">
        <v>22</v>
      </c>
      <c r="B272" s="233" t="s">
        <v>22</v>
      </c>
      <c r="C272" s="233" t="s">
        <v>1</v>
      </c>
      <c r="D272" s="233">
        <v>3</v>
      </c>
      <c r="E272" s="233">
        <v>0.91500000000000004</v>
      </c>
      <c r="F272" s="233" t="s">
        <v>6371</v>
      </c>
      <c r="G272" s="233">
        <v>9.9999999999999995E-7</v>
      </c>
      <c r="H272" s="233">
        <v>9.9999999999999995E-7</v>
      </c>
      <c r="I272" s="233">
        <v>0.13934206199999999</v>
      </c>
      <c r="J272" s="233">
        <v>1.784469901</v>
      </c>
      <c r="K272" s="233">
        <v>0</v>
      </c>
      <c r="L272" s="233">
        <v>3.7267081000000001E-2</v>
      </c>
      <c r="M272" s="233">
        <v>9.6620174169999995</v>
      </c>
      <c r="N272" s="233">
        <v>57.675720179999999</v>
      </c>
    </row>
    <row r="273" spans="1:14" x14ac:dyDescent="0.2">
      <c r="A273" s="233" t="s">
        <v>22</v>
      </c>
      <c r="B273" s="233" t="s">
        <v>22</v>
      </c>
      <c r="C273" s="233" t="s">
        <v>1</v>
      </c>
      <c r="D273" s="233">
        <v>3</v>
      </c>
      <c r="E273" s="233">
        <v>0.91500000000000004</v>
      </c>
      <c r="F273" s="233" t="s">
        <v>6371</v>
      </c>
      <c r="G273" s="233">
        <v>1.0000000000000001E-5</v>
      </c>
      <c r="H273" s="233">
        <v>1.0000000000000001E-5</v>
      </c>
      <c r="I273" s="233">
        <v>0.91558254299999997</v>
      </c>
      <c r="J273" s="233">
        <v>37.429099039999997</v>
      </c>
      <c r="K273" s="233">
        <v>0</v>
      </c>
      <c r="L273" s="233">
        <v>0</v>
      </c>
      <c r="M273" s="233">
        <v>9.7765264930000004</v>
      </c>
      <c r="N273" s="233">
        <v>58.623373229999999</v>
      </c>
    </row>
    <row r="274" spans="1:14" x14ac:dyDescent="0.2">
      <c r="A274" s="233" t="s">
        <v>22</v>
      </c>
      <c r="B274" s="233" t="s">
        <v>22</v>
      </c>
      <c r="C274" s="233" t="s">
        <v>1</v>
      </c>
      <c r="D274" s="233">
        <v>3</v>
      </c>
      <c r="E274" s="233">
        <v>0.91500000000000004</v>
      </c>
      <c r="F274" s="233" t="s">
        <v>6371</v>
      </c>
      <c r="G274" s="233">
        <v>1E-4</v>
      </c>
      <c r="H274" s="233">
        <v>1E-4</v>
      </c>
      <c r="I274" s="233">
        <v>0.169221069</v>
      </c>
      <c r="J274" s="233">
        <v>74.957281890000004</v>
      </c>
      <c r="K274" s="233">
        <v>0</v>
      </c>
      <c r="L274" s="233">
        <v>0</v>
      </c>
      <c r="M274" s="233">
        <v>1.851116953</v>
      </c>
      <c r="N274" s="233">
        <v>184.27002440000001</v>
      </c>
    </row>
    <row r="275" spans="1:14" x14ac:dyDescent="0.2">
      <c r="A275" s="233" t="s">
        <v>22</v>
      </c>
      <c r="B275" s="233" t="s">
        <v>22</v>
      </c>
      <c r="C275" s="233" t="s">
        <v>1</v>
      </c>
      <c r="D275" s="233">
        <v>3</v>
      </c>
      <c r="E275" s="233">
        <v>0.91500000000000004</v>
      </c>
      <c r="F275" s="233" t="s">
        <v>6369</v>
      </c>
      <c r="G275" s="233">
        <v>9.9999999999999995E-7</v>
      </c>
      <c r="H275" s="233">
        <v>9.9999999999999995E-7</v>
      </c>
      <c r="I275" s="233">
        <v>0.101999953</v>
      </c>
      <c r="J275" s="233">
        <v>1.7303081010000001</v>
      </c>
      <c r="K275" s="233">
        <v>0</v>
      </c>
      <c r="L275" s="233">
        <v>4.0589874999999997E-2</v>
      </c>
      <c r="M275" s="233">
        <v>2.6900104709999999</v>
      </c>
      <c r="N275" s="233">
        <v>1.0056128989999999</v>
      </c>
    </row>
    <row r="276" spans="1:14" x14ac:dyDescent="0.2">
      <c r="A276" s="233" t="s">
        <v>22</v>
      </c>
      <c r="B276" s="233" t="s">
        <v>22</v>
      </c>
      <c r="C276" s="233" t="s">
        <v>1</v>
      </c>
      <c r="D276" s="233">
        <v>3</v>
      </c>
      <c r="E276" s="233">
        <v>0.91500000000000004</v>
      </c>
      <c r="F276" s="233" t="s">
        <v>6369</v>
      </c>
      <c r="G276" s="233">
        <v>1.0000000000000001E-5</v>
      </c>
      <c r="H276" s="233">
        <v>1.0000000000000001E-5</v>
      </c>
      <c r="I276" s="233">
        <v>0.120797312</v>
      </c>
      <c r="J276" s="233">
        <v>1.6347049229999999</v>
      </c>
      <c r="K276" s="233">
        <v>0</v>
      </c>
      <c r="L276" s="233">
        <v>3.5560551000000003E-2</v>
      </c>
      <c r="M276" s="233">
        <v>4.205540654</v>
      </c>
      <c r="N276" s="233">
        <v>1.2989465680000001</v>
      </c>
    </row>
    <row r="277" spans="1:14" x14ac:dyDescent="0.2">
      <c r="A277" s="233" t="s">
        <v>22</v>
      </c>
      <c r="B277" s="233" t="s">
        <v>22</v>
      </c>
      <c r="C277" s="233" t="s">
        <v>1</v>
      </c>
      <c r="D277" s="233">
        <v>3</v>
      </c>
      <c r="E277" s="233">
        <v>0.91500000000000004</v>
      </c>
      <c r="F277" s="233" t="s">
        <v>6369</v>
      </c>
      <c r="G277" s="233">
        <v>1E-4</v>
      </c>
      <c r="H277" s="233">
        <v>1E-4</v>
      </c>
      <c r="I277" s="233">
        <v>0.29516189900000001</v>
      </c>
      <c r="J277" s="233">
        <v>21.84384318</v>
      </c>
      <c r="K277" s="233">
        <v>0</v>
      </c>
      <c r="L277" s="233">
        <v>0</v>
      </c>
      <c r="M277" s="233">
        <v>4.3983869870000003</v>
      </c>
      <c r="N277" s="233">
        <v>39.653566830000003</v>
      </c>
    </row>
    <row r="278" spans="1:14" x14ac:dyDescent="0.2">
      <c r="A278" s="233" t="s">
        <v>22</v>
      </c>
      <c r="B278" s="233" t="s">
        <v>22</v>
      </c>
      <c r="C278" s="233" t="s">
        <v>1</v>
      </c>
      <c r="D278" s="233">
        <v>3</v>
      </c>
      <c r="E278" s="233">
        <v>0.91500000000000004</v>
      </c>
      <c r="F278" s="233" t="s">
        <v>6369</v>
      </c>
      <c r="G278" s="233">
        <v>1E-3</v>
      </c>
      <c r="H278" s="233">
        <v>1E-3</v>
      </c>
      <c r="I278" s="233">
        <v>4.6627492999999999E-2</v>
      </c>
      <c r="J278" s="233">
        <v>19.095020869999999</v>
      </c>
      <c r="K278" s="233">
        <v>0</v>
      </c>
      <c r="L278" s="233">
        <v>0</v>
      </c>
      <c r="M278" s="233">
        <v>0.656595445</v>
      </c>
      <c r="N278" s="233">
        <v>208.34946959999999</v>
      </c>
    </row>
    <row r="279" spans="1:14" x14ac:dyDescent="0.2">
      <c r="A279" s="233" t="s">
        <v>22</v>
      </c>
      <c r="B279" s="233" t="s">
        <v>22</v>
      </c>
      <c r="C279" s="233" t="s">
        <v>1</v>
      </c>
      <c r="D279" s="233">
        <v>3</v>
      </c>
      <c r="E279" s="233">
        <v>0.91500000000000004</v>
      </c>
      <c r="F279" s="233" t="s">
        <v>6369</v>
      </c>
      <c r="G279" s="233">
        <v>5.0000000000000001E-3</v>
      </c>
      <c r="H279" s="233">
        <v>5.0000000000000001E-3</v>
      </c>
      <c r="I279" s="233">
        <v>9.590011100000001E-2</v>
      </c>
      <c r="J279" s="233">
        <v>1.6460202900000001</v>
      </c>
      <c r="K279" s="233">
        <v>2.8222216000000001E-2</v>
      </c>
      <c r="L279" s="233">
        <v>5.4090109999999997E-2</v>
      </c>
      <c r="M279" s="233">
        <v>0.20048565700000001</v>
      </c>
      <c r="N279" s="233">
        <v>485.55420579999992</v>
      </c>
    </row>
    <row r="280" spans="1:14" x14ac:dyDescent="0.2">
      <c r="A280" s="233" t="s">
        <v>22</v>
      </c>
      <c r="B280" s="233" t="s">
        <v>22</v>
      </c>
      <c r="C280" s="233" t="s">
        <v>2</v>
      </c>
      <c r="D280" s="233">
        <v>6</v>
      </c>
      <c r="E280" s="233">
        <v>1.35</v>
      </c>
      <c r="F280" s="233" t="s">
        <v>6370</v>
      </c>
      <c r="G280" s="233">
        <v>5.0000000000000002E-5</v>
      </c>
      <c r="H280" s="233">
        <v>9.9999999999999995E-7</v>
      </c>
      <c r="I280" s="233">
        <v>0.38572231000000001</v>
      </c>
      <c r="J280" s="233">
        <v>4.0777915089999999</v>
      </c>
      <c r="K280" s="233">
        <v>0</v>
      </c>
      <c r="L280" s="233">
        <v>6.6852367999999995E-2</v>
      </c>
      <c r="M280" s="233">
        <v>402.61651749999999</v>
      </c>
      <c r="N280" s="233">
        <v>397.52270390000012</v>
      </c>
    </row>
    <row r="281" spans="1:14" x14ac:dyDescent="0.2">
      <c r="A281" s="233" t="s">
        <v>22</v>
      </c>
      <c r="B281" s="233" t="s">
        <v>22</v>
      </c>
      <c r="C281" s="233" t="s">
        <v>2</v>
      </c>
      <c r="D281" s="233">
        <v>6</v>
      </c>
      <c r="E281" s="233">
        <v>1.35</v>
      </c>
      <c r="F281" s="233" t="s">
        <v>6370</v>
      </c>
      <c r="G281" s="233">
        <v>1E-4</v>
      </c>
      <c r="H281" s="233">
        <v>1.0000000000000001E-5</v>
      </c>
      <c r="I281" s="233">
        <v>0.62492389400000004</v>
      </c>
      <c r="J281" s="233">
        <v>4.5359511000000001</v>
      </c>
      <c r="K281" s="233">
        <v>0</v>
      </c>
      <c r="L281" s="233">
        <v>6.5256422999999994E-2</v>
      </c>
      <c r="M281" s="233">
        <v>404.42887510000003</v>
      </c>
      <c r="N281" s="233">
        <v>397.63199540000011</v>
      </c>
    </row>
    <row r="282" spans="1:14" x14ac:dyDescent="0.2">
      <c r="A282" s="233" t="s">
        <v>22</v>
      </c>
      <c r="B282" s="233" t="s">
        <v>22</v>
      </c>
      <c r="C282" s="233" t="s">
        <v>2</v>
      </c>
      <c r="D282" s="233">
        <v>6</v>
      </c>
      <c r="E282" s="233">
        <v>1.35</v>
      </c>
      <c r="F282" s="233" t="s">
        <v>6370</v>
      </c>
      <c r="G282" s="233">
        <v>1E-3</v>
      </c>
      <c r="H282" s="233">
        <v>1E-4</v>
      </c>
      <c r="I282" s="233">
        <v>1172.25864</v>
      </c>
      <c r="J282" s="233">
        <v>402.8908308</v>
      </c>
      <c r="K282" s="233">
        <v>0</v>
      </c>
      <c r="L282" s="233">
        <v>0</v>
      </c>
      <c r="M282" s="233">
        <v>409.92524420000001</v>
      </c>
      <c r="N282" s="233">
        <v>398.98482969999998</v>
      </c>
    </row>
    <row r="283" spans="1:14" x14ac:dyDescent="0.2">
      <c r="A283" s="233" t="s">
        <v>22</v>
      </c>
      <c r="B283" s="233" t="s">
        <v>22</v>
      </c>
      <c r="C283" s="233" t="s">
        <v>2</v>
      </c>
      <c r="D283" s="233">
        <v>6</v>
      </c>
      <c r="E283" s="233">
        <v>1.35</v>
      </c>
      <c r="F283" s="233" t="s">
        <v>6370</v>
      </c>
      <c r="G283" s="233">
        <v>5.0000000000000001E-3</v>
      </c>
      <c r="H283" s="233">
        <v>1E-3</v>
      </c>
      <c r="I283" s="233">
        <v>148862.83259999999</v>
      </c>
      <c r="J283" s="233">
        <v>4552.1100779999997</v>
      </c>
      <c r="K283" s="233">
        <v>0</v>
      </c>
      <c r="L283" s="233">
        <v>0</v>
      </c>
      <c r="M283" s="233">
        <v>4606.3168310000001</v>
      </c>
      <c r="N283" s="233">
        <v>4551.7984159999996</v>
      </c>
    </row>
    <row r="284" spans="1:14" x14ac:dyDescent="0.2">
      <c r="A284" s="233" t="s">
        <v>22</v>
      </c>
      <c r="B284" s="233" t="s">
        <v>22</v>
      </c>
      <c r="C284" s="233" t="s">
        <v>2</v>
      </c>
      <c r="D284" s="233">
        <v>6</v>
      </c>
      <c r="E284" s="233">
        <v>1.35</v>
      </c>
      <c r="F284" s="233" t="s">
        <v>6370</v>
      </c>
      <c r="G284" s="233">
        <v>2.5000000000000001E-2</v>
      </c>
      <c r="H284" s="233">
        <v>5.0000000000000001E-3</v>
      </c>
      <c r="I284" s="233">
        <v>876372.82629999984</v>
      </c>
      <c r="J284" s="233">
        <v>11044.95757</v>
      </c>
      <c r="K284" s="233">
        <v>0</v>
      </c>
      <c r="L284" s="233">
        <v>0</v>
      </c>
      <c r="M284" s="233">
        <v>11181.932419999999</v>
      </c>
      <c r="N284" s="233">
        <v>0</v>
      </c>
    </row>
    <row r="285" spans="1:14" x14ac:dyDescent="0.2">
      <c r="A285" s="233" t="s">
        <v>22</v>
      </c>
      <c r="B285" s="233" t="s">
        <v>22</v>
      </c>
      <c r="C285" s="233" t="s">
        <v>2</v>
      </c>
      <c r="D285" s="233">
        <v>6</v>
      </c>
      <c r="E285" s="233">
        <v>1.35</v>
      </c>
      <c r="F285" s="233" t="s">
        <v>6371</v>
      </c>
      <c r="G285" s="233">
        <v>9.9999999999999995E-7</v>
      </c>
      <c r="H285" s="233">
        <v>9.9999999999999995E-7</v>
      </c>
      <c r="I285" s="233">
        <v>0.17390276599999999</v>
      </c>
      <c r="J285" s="233">
        <v>1.837421424</v>
      </c>
      <c r="K285" s="233">
        <v>0</v>
      </c>
      <c r="L285" s="233">
        <v>3.3103448000000001E-2</v>
      </c>
      <c r="M285" s="233">
        <v>155.46367570000001</v>
      </c>
      <c r="N285" s="233">
        <v>1.682424827</v>
      </c>
    </row>
    <row r="286" spans="1:14" x14ac:dyDescent="0.2">
      <c r="A286" s="233" t="s">
        <v>22</v>
      </c>
      <c r="B286" s="233" t="s">
        <v>22</v>
      </c>
      <c r="C286" s="233" t="s">
        <v>2</v>
      </c>
      <c r="D286" s="233">
        <v>6</v>
      </c>
      <c r="E286" s="233">
        <v>1.35</v>
      </c>
      <c r="F286" s="233" t="s">
        <v>6371</v>
      </c>
      <c r="G286" s="233">
        <v>1.0000000000000001E-5</v>
      </c>
      <c r="H286" s="233">
        <v>1.0000000000000001E-5</v>
      </c>
      <c r="I286" s="233">
        <v>174.82568319999999</v>
      </c>
      <c r="J286" s="233">
        <v>150.4422127</v>
      </c>
      <c r="K286" s="233">
        <v>0</v>
      </c>
      <c r="L286" s="233">
        <v>0</v>
      </c>
      <c r="M286" s="233">
        <v>158.00149400000001</v>
      </c>
      <c r="N286" s="233">
        <v>142.2634999</v>
      </c>
    </row>
    <row r="287" spans="1:14" x14ac:dyDescent="0.2">
      <c r="A287" s="233" t="s">
        <v>22</v>
      </c>
      <c r="B287" s="233" t="s">
        <v>22</v>
      </c>
      <c r="C287" s="233" t="s">
        <v>2</v>
      </c>
      <c r="D287" s="233">
        <v>6</v>
      </c>
      <c r="E287" s="233">
        <v>1.35</v>
      </c>
      <c r="F287" s="233" t="s">
        <v>6371</v>
      </c>
      <c r="G287" s="233">
        <v>1E-4</v>
      </c>
      <c r="H287" s="233">
        <v>1E-4</v>
      </c>
      <c r="I287" s="233">
        <v>30043.580440000002</v>
      </c>
      <c r="J287" s="233">
        <v>2044.919885</v>
      </c>
      <c r="K287" s="233">
        <v>0</v>
      </c>
      <c r="L287" s="233">
        <v>0</v>
      </c>
      <c r="M287" s="233">
        <v>2072.3016210000001</v>
      </c>
      <c r="N287" s="233">
        <v>2041.9977590000001</v>
      </c>
    </row>
    <row r="288" spans="1:14" x14ac:dyDescent="0.2">
      <c r="A288" s="233" t="s">
        <v>22</v>
      </c>
      <c r="B288" s="233" t="s">
        <v>22</v>
      </c>
      <c r="C288" s="233" t="s">
        <v>2</v>
      </c>
      <c r="D288" s="233">
        <v>6</v>
      </c>
      <c r="E288" s="233">
        <v>1.35</v>
      </c>
      <c r="F288" s="233" t="s">
        <v>6369</v>
      </c>
      <c r="G288" s="233">
        <v>9.9999999999999995E-7</v>
      </c>
      <c r="H288" s="233">
        <v>9.9999999999999995E-7</v>
      </c>
      <c r="I288" s="233">
        <v>0.10849792699999999</v>
      </c>
      <c r="J288" s="233">
        <v>1.627588619</v>
      </c>
      <c r="K288" s="233">
        <v>0</v>
      </c>
      <c r="L288" s="233">
        <v>0.13298950100000001</v>
      </c>
      <c r="M288" s="233">
        <v>137.91142959999999</v>
      </c>
      <c r="N288" s="233">
        <v>131.20183180000001</v>
      </c>
    </row>
    <row r="289" spans="1:14" x14ac:dyDescent="0.2">
      <c r="A289" s="233" t="s">
        <v>22</v>
      </c>
      <c r="B289" s="233" t="s">
        <v>22</v>
      </c>
      <c r="C289" s="233" t="s">
        <v>2</v>
      </c>
      <c r="D289" s="233">
        <v>6</v>
      </c>
      <c r="E289" s="233">
        <v>1.35</v>
      </c>
      <c r="F289" s="233" t="s">
        <v>6369</v>
      </c>
      <c r="G289" s="233">
        <v>1.0000000000000001E-5</v>
      </c>
      <c r="H289" s="233">
        <v>1.0000000000000001E-5</v>
      </c>
      <c r="I289" s="233">
        <v>0.14383859700000001</v>
      </c>
      <c r="J289" s="233">
        <v>1.689493422</v>
      </c>
      <c r="K289" s="233">
        <v>0</v>
      </c>
      <c r="L289" s="233">
        <v>0.13114754100000001</v>
      </c>
      <c r="M289" s="233">
        <v>137.91142959999999</v>
      </c>
      <c r="N289" s="233">
        <v>131.2279049</v>
      </c>
    </row>
    <row r="290" spans="1:14" x14ac:dyDescent="0.2">
      <c r="A290" s="233" t="s">
        <v>22</v>
      </c>
      <c r="B290" s="233" t="s">
        <v>22</v>
      </c>
      <c r="C290" s="233" t="s">
        <v>2</v>
      </c>
      <c r="D290" s="233">
        <v>6</v>
      </c>
      <c r="E290" s="233">
        <v>1.35</v>
      </c>
      <c r="F290" s="233" t="s">
        <v>6369</v>
      </c>
      <c r="G290" s="233">
        <v>1E-4</v>
      </c>
      <c r="H290" s="233">
        <v>1E-4</v>
      </c>
      <c r="I290" s="233">
        <v>143.52839169999999</v>
      </c>
      <c r="J290" s="233">
        <v>135.1029609</v>
      </c>
      <c r="K290" s="233">
        <v>0</v>
      </c>
      <c r="L290" s="233">
        <v>0</v>
      </c>
      <c r="M290" s="233">
        <v>138.57167419999999</v>
      </c>
      <c r="N290" s="233">
        <v>132.36942289999999</v>
      </c>
    </row>
    <row r="291" spans="1:14" x14ac:dyDescent="0.2">
      <c r="A291" s="233" t="s">
        <v>22</v>
      </c>
      <c r="B291" s="233" t="s">
        <v>22</v>
      </c>
      <c r="C291" s="233" t="s">
        <v>2</v>
      </c>
      <c r="D291" s="233">
        <v>6</v>
      </c>
      <c r="E291" s="233">
        <v>1.35</v>
      </c>
      <c r="F291" s="233" t="s">
        <v>6369</v>
      </c>
      <c r="G291" s="233">
        <v>1E-3</v>
      </c>
      <c r="H291" s="233">
        <v>1E-3</v>
      </c>
      <c r="I291" s="233">
        <v>181886.58040000001</v>
      </c>
      <c r="J291" s="233">
        <v>5031.7602809999998</v>
      </c>
      <c r="K291" s="233">
        <v>0</v>
      </c>
      <c r="L291" s="233">
        <v>0</v>
      </c>
      <c r="M291" s="233">
        <v>5086.9626470000003</v>
      </c>
      <c r="N291" s="233">
        <v>5032.3504800000001</v>
      </c>
    </row>
    <row r="292" spans="1:14" x14ac:dyDescent="0.2">
      <c r="A292" s="233" t="s">
        <v>22</v>
      </c>
      <c r="B292" s="233" t="s">
        <v>22</v>
      </c>
      <c r="C292" s="233" t="s">
        <v>2</v>
      </c>
      <c r="D292" s="233">
        <v>6</v>
      </c>
      <c r="E292" s="233">
        <v>1.35</v>
      </c>
      <c r="F292" s="233" t="s">
        <v>6369</v>
      </c>
      <c r="G292" s="233">
        <v>5.0000000000000001E-3</v>
      </c>
      <c r="H292" s="233">
        <v>5.0000000000000001E-3</v>
      </c>
      <c r="I292" s="233">
        <v>2833270.196</v>
      </c>
      <c r="J292" s="233">
        <v>19859.282810000001</v>
      </c>
      <c r="K292" s="233">
        <v>0</v>
      </c>
      <c r="L292" s="233">
        <v>0</v>
      </c>
      <c r="M292" s="233">
        <v>20099.565579999999</v>
      </c>
      <c r="N292" s="233">
        <v>0</v>
      </c>
    </row>
    <row r="293" spans="1:14" x14ac:dyDescent="0.2">
      <c r="A293" s="233" t="s">
        <v>22</v>
      </c>
      <c r="B293" s="233" t="s">
        <v>22</v>
      </c>
      <c r="C293" s="233" t="s">
        <v>3</v>
      </c>
      <c r="D293" s="233">
        <v>2</v>
      </c>
      <c r="E293" s="233">
        <v>0.88</v>
      </c>
      <c r="F293" s="233" t="s">
        <v>6370</v>
      </c>
      <c r="G293" s="233">
        <v>5.0000000000000002E-5</v>
      </c>
      <c r="H293" s="233">
        <v>9.9999999999999995E-7</v>
      </c>
      <c r="I293" s="233">
        <v>0.180730526</v>
      </c>
      <c r="J293" s="233">
        <v>3.9807440879999998</v>
      </c>
      <c r="K293" s="233">
        <v>0</v>
      </c>
      <c r="L293" s="233">
        <v>0</v>
      </c>
      <c r="M293" s="233">
        <v>2.66507081</v>
      </c>
      <c r="N293" s="233">
        <v>4.136367398</v>
      </c>
    </row>
    <row r="294" spans="1:14" x14ac:dyDescent="0.2">
      <c r="A294" s="233" t="s">
        <v>22</v>
      </c>
      <c r="B294" s="233" t="s">
        <v>22</v>
      </c>
      <c r="C294" s="233" t="s">
        <v>3</v>
      </c>
      <c r="D294" s="233">
        <v>2</v>
      </c>
      <c r="E294" s="233">
        <v>0.88</v>
      </c>
      <c r="F294" s="233" t="s">
        <v>6370</v>
      </c>
      <c r="G294" s="233">
        <v>1E-4</v>
      </c>
      <c r="H294" s="233">
        <v>1.0000000000000001E-5</v>
      </c>
      <c r="I294" s="233">
        <v>0.249353347</v>
      </c>
      <c r="J294" s="233">
        <v>4.2186205149999996</v>
      </c>
      <c r="K294" s="233">
        <v>0</v>
      </c>
      <c r="L294" s="233">
        <v>7.8175895999999995E-2</v>
      </c>
      <c r="M294" s="233">
        <v>2.8596630599999999</v>
      </c>
      <c r="N294" s="233">
        <v>4.156385523</v>
      </c>
    </row>
    <row r="295" spans="1:14" x14ac:dyDescent="0.2">
      <c r="A295" s="233" t="s">
        <v>22</v>
      </c>
      <c r="B295" s="233" t="s">
        <v>22</v>
      </c>
      <c r="C295" s="233" t="s">
        <v>3</v>
      </c>
      <c r="D295" s="233">
        <v>2</v>
      </c>
      <c r="E295" s="233">
        <v>0.88</v>
      </c>
      <c r="F295" s="233" t="s">
        <v>6370</v>
      </c>
      <c r="G295" s="233">
        <v>1E-3</v>
      </c>
      <c r="H295" s="233">
        <v>1E-4</v>
      </c>
      <c r="I295" s="233">
        <v>0.18211735500000001</v>
      </c>
      <c r="J295" s="233">
        <v>31.286190569999999</v>
      </c>
      <c r="K295" s="233">
        <v>0</v>
      </c>
      <c r="L295" s="233">
        <v>0</v>
      </c>
      <c r="M295" s="233">
        <v>3.0134949679999998</v>
      </c>
      <c r="N295" s="233">
        <v>59.268976160000001</v>
      </c>
    </row>
    <row r="296" spans="1:14" x14ac:dyDescent="0.2">
      <c r="A296" s="233" t="s">
        <v>22</v>
      </c>
      <c r="B296" s="233" t="s">
        <v>22</v>
      </c>
      <c r="C296" s="233" t="s">
        <v>3</v>
      </c>
      <c r="D296" s="233">
        <v>2</v>
      </c>
      <c r="E296" s="233">
        <v>0.88</v>
      </c>
      <c r="F296" s="233" t="s">
        <v>6370</v>
      </c>
      <c r="G296" s="233">
        <v>5.0000000000000001E-3</v>
      </c>
      <c r="H296" s="233">
        <v>1E-3</v>
      </c>
      <c r="I296" s="233">
        <v>8.8848203000000001E-2</v>
      </c>
      <c r="J296" s="233">
        <v>1.720553217</v>
      </c>
      <c r="K296" s="233">
        <v>2.9887919999999998E-2</v>
      </c>
      <c r="L296" s="233">
        <v>7.5235109999999994E-2</v>
      </c>
      <c r="M296" s="233">
        <v>1.086352405</v>
      </c>
      <c r="N296" s="233">
        <v>458.99419719999992</v>
      </c>
    </row>
    <row r="297" spans="1:14" x14ac:dyDescent="0.2">
      <c r="A297" s="233" t="s">
        <v>22</v>
      </c>
      <c r="B297" s="233" t="s">
        <v>22</v>
      </c>
      <c r="C297" s="233" t="s">
        <v>3</v>
      </c>
      <c r="D297" s="233">
        <v>2</v>
      </c>
      <c r="E297" s="233">
        <v>0.88</v>
      </c>
      <c r="F297" s="233" t="s">
        <v>6370</v>
      </c>
      <c r="G297" s="233">
        <v>2.5000000000000001E-2</v>
      </c>
      <c r="H297" s="233">
        <v>5.0000000000000001E-3</v>
      </c>
      <c r="I297" s="233">
        <v>0.15054615599999999</v>
      </c>
      <c r="J297" s="233">
        <v>3.557313894</v>
      </c>
      <c r="K297" s="233">
        <v>2.6951159999999998E-2</v>
      </c>
      <c r="L297" s="233">
        <v>6.7241379000000004E-2</v>
      </c>
      <c r="M297" s="233">
        <v>9.2461022000000004E-2</v>
      </c>
      <c r="N297" s="233">
        <v>90.843648040000019</v>
      </c>
    </row>
    <row r="298" spans="1:14" x14ac:dyDescent="0.2">
      <c r="A298" s="233" t="s">
        <v>22</v>
      </c>
      <c r="B298" s="233" t="s">
        <v>22</v>
      </c>
      <c r="C298" s="233" t="s">
        <v>3</v>
      </c>
      <c r="D298" s="233">
        <v>2</v>
      </c>
      <c r="E298" s="233">
        <v>0.88</v>
      </c>
      <c r="F298" s="233" t="s">
        <v>6371</v>
      </c>
      <c r="G298" s="233">
        <v>9.9999999999999995E-7</v>
      </c>
      <c r="H298" s="233">
        <v>9.9999999999999995E-7</v>
      </c>
      <c r="I298" s="233">
        <v>0.12856547600000001</v>
      </c>
      <c r="J298" s="233">
        <v>1.773910321</v>
      </c>
      <c r="K298" s="233">
        <v>0</v>
      </c>
      <c r="L298" s="233">
        <v>3.0651340999999999E-2</v>
      </c>
      <c r="M298" s="233">
        <v>8.2822361820000001</v>
      </c>
      <c r="N298" s="233">
        <v>53.836268709999999</v>
      </c>
    </row>
    <row r="299" spans="1:14" x14ac:dyDescent="0.2">
      <c r="A299" s="233" t="s">
        <v>22</v>
      </c>
      <c r="B299" s="233" t="s">
        <v>22</v>
      </c>
      <c r="C299" s="233" t="s">
        <v>3</v>
      </c>
      <c r="D299" s="233">
        <v>2</v>
      </c>
      <c r="E299" s="233">
        <v>0.88</v>
      </c>
      <c r="F299" s="233" t="s">
        <v>6371</v>
      </c>
      <c r="G299" s="233">
        <v>1.0000000000000001E-5</v>
      </c>
      <c r="H299" s="233">
        <v>1.0000000000000001E-5</v>
      </c>
      <c r="I299" s="233">
        <v>0.73127492000000005</v>
      </c>
      <c r="J299" s="233">
        <v>36.79248613</v>
      </c>
      <c r="K299" s="233">
        <v>0</v>
      </c>
      <c r="L299" s="233">
        <v>0</v>
      </c>
      <c r="M299" s="233">
        <v>8.2981284310000003</v>
      </c>
      <c r="N299" s="233">
        <v>55.553066719999997</v>
      </c>
    </row>
    <row r="300" spans="1:14" x14ac:dyDescent="0.2">
      <c r="A300" s="233" t="s">
        <v>22</v>
      </c>
      <c r="B300" s="233" t="s">
        <v>22</v>
      </c>
      <c r="C300" s="233" t="s">
        <v>3</v>
      </c>
      <c r="D300" s="233">
        <v>2</v>
      </c>
      <c r="E300" s="233">
        <v>0.88</v>
      </c>
      <c r="F300" s="233" t="s">
        <v>6371</v>
      </c>
      <c r="G300" s="233">
        <v>1E-4</v>
      </c>
      <c r="H300" s="233">
        <v>1E-4</v>
      </c>
      <c r="I300" s="233">
        <v>0.111614546</v>
      </c>
      <c r="J300" s="233">
        <v>56.772082879999992</v>
      </c>
      <c r="K300" s="233">
        <v>0</v>
      </c>
      <c r="L300" s="233">
        <v>0</v>
      </c>
      <c r="M300" s="233">
        <v>1.4210942449999999</v>
      </c>
      <c r="N300" s="233">
        <v>186.88740799999999</v>
      </c>
    </row>
    <row r="301" spans="1:14" x14ac:dyDescent="0.2">
      <c r="A301" s="233" t="s">
        <v>22</v>
      </c>
      <c r="B301" s="233" t="s">
        <v>22</v>
      </c>
      <c r="C301" s="233" t="s">
        <v>3</v>
      </c>
      <c r="D301" s="233">
        <v>2</v>
      </c>
      <c r="E301" s="233">
        <v>0.88</v>
      </c>
      <c r="F301" s="233" t="s">
        <v>6369</v>
      </c>
      <c r="G301" s="233">
        <v>9.9999999999999995E-7</v>
      </c>
      <c r="H301" s="233">
        <v>9.9999999999999995E-7</v>
      </c>
      <c r="I301" s="233">
        <v>0.1003589</v>
      </c>
      <c r="J301" s="233">
        <v>1.649068312</v>
      </c>
      <c r="K301" s="233">
        <v>0</v>
      </c>
      <c r="L301" s="233">
        <v>4.6555052999999999E-2</v>
      </c>
      <c r="M301" s="233">
        <v>1.0542398909999999</v>
      </c>
      <c r="N301" s="233">
        <v>0.78007117100000012</v>
      </c>
    </row>
    <row r="302" spans="1:14" x14ac:dyDescent="0.2">
      <c r="A302" s="233" t="s">
        <v>22</v>
      </c>
      <c r="B302" s="233" t="s">
        <v>22</v>
      </c>
      <c r="C302" s="233" t="s">
        <v>3</v>
      </c>
      <c r="D302" s="233">
        <v>2</v>
      </c>
      <c r="E302" s="233">
        <v>0.88</v>
      </c>
      <c r="F302" s="233" t="s">
        <v>6369</v>
      </c>
      <c r="G302" s="233">
        <v>1.0000000000000001E-5</v>
      </c>
      <c r="H302" s="233">
        <v>1.0000000000000001E-5</v>
      </c>
      <c r="I302" s="233">
        <v>0.114531882</v>
      </c>
      <c r="J302" s="233">
        <v>1.6453109020000001</v>
      </c>
      <c r="K302" s="233">
        <v>0</v>
      </c>
      <c r="L302" s="233">
        <v>3.8034865000000001E-2</v>
      </c>
      <c r="M302" s="233">
        <v>3.543572159</v>
      </c>
      <c r="N302" s="233">
        <v>1.094272897</v>
      </c>
    </row>
    <row r="303" spans="1:14" x14ac:dyDescent="0.2">
      <c r="A303" s="233" t="s">
        <v>22</v>
      </c>
      <c r="B303" s="233" t="s">
        <v>22</v>
      </c>
      <c r="C303" s="233" t="s">
        <v>3</v>
      </c>
      <c r="D303" s="233">
        <v>2</v>
      </c>
      <c r="E303" s="233">
        <v>0.88</v>
      </c>
      <c r="F303" s="233" t="s">
        <v>6369</v>
      </c>
      <c r="G303" s="233">
        <v>1E-4</v>
      </c>
      <c r="H303" s="233">
        <v>1E-4</v>
      </c>
      <c r="I303" s="233">
        <v>0.23435888999999999</v>
      </c>
      <c r="J303" s="233">
        <v>20.930394790000001</v>
      </c>
      <c r="K303" s="233">
        <v>0</v>
      </c>
      <c r="L303" s="233">
        <v>0</v>
      </c>
      <c r="M303" s="233">
        <v>3.713180581</v>
      </c>
      <c r="N303" s="233">
        <v>40.066742849999997</v>
      </c>
    </row>
    <row r="304" spans="1:14" x14ac:dyDescent="0.2">
      <c r="A304" s="233" t="s">
        <v>22</v>
      </c>
      <c r="B304" s="233" t="s">
        <v>22</v>
      </c>
      <c r="C304" s="233" t="s">
        <v>3</v>
      </c>
      <c r="D304" s="233">
        <v>2</v>
      </c>
      <c r="E304" s="233">
        <v>0.88</v>
      </c>
      <c r="F304" s="233" t="s">
        <v>6369</v>
      </c>
      <c r="G304" s="233">
        <v>1E-3</v>
      </c>
      <c r="H304" s="233">
        <v>1E-3</v>
      </c>
      <c r="I304" s="233">
        <v>3.5805429E-2</v>
      </c>
      <c r="J304" s="233">
        <v>13.001790980000001</v>
      </c>
      <c r="K304" s="233">
        <v>0</v>
      </c>
      <c r="L304" s="233">
        <v>0.82758620699999996</v>
      </c>
      <c r="M304" s="233">
        <v>0.52117966900000001</v>
      </c>
      <c r="N304" s="233">
        <v>491.99154900000002</v>
      </c>
    </row>
    <row r="305" spans="1:14" x14ac:dyDescent="0.2">
      <c r="A305" s="233" t="s">
        <v>22</v>
      </c>
      <c r="B305" s="233" t="s">
        <v>22</v>
      </c>
      <c r="C305" s="233" t="s">
        <v>3</v>
      </c>
      <c r="D305" s="233">
        <v>2</v>
      </c>
      <c r="E305" s="233">
        <v>0.88</v>
      </c>
      <c r="F305" s="233" t="s">
        <v>6369</v>
      </c>
      <c r="G305" s="233">
        <v>5.0000000000000001E-3</v>
      </c>
      <c r="H305" s="233">
        <v>5.0000000000000001E-3</v>
      </c>
      <c r="I305" s="233">
        <v>9.3447811000000006E-2</v>
      </c>
      <c r="J305" s="233">
        <v>1.6212721269999999</v>
      </c>
      <c r="K305" s="233">
        <v>2.8915663000000001E-2</v>
      </c>
      <c r="L305" s="233">
        <v>4.3073459000000001E-2</v>
      </c>
      <c r="M305" s="233">
        <v>0.144963696</v>
      </c>
      <c r="N305" s="233">
        <v>282.87324949999999</v>
      </c>
    </row>
    <row r="306" spans="1:14" x14ac:dyDescent="0.2">
      <c r="A306" s="233" t="s">
        <v>22</v>
      </c>
      <c r="B306" s="233" t="s">
        <v>22</v>
      </c>
      <c r="C306" s="233" t="s">
        <v>23</v>
      </c>
      <c r="D306" s="233">
        <v>5</v>
      </c>
      <c r="E306" s="233">
        <v>1.06</v>
      </c>
      <c r="F306" s="233" t="s">
        <v>6370</v>
      </c>
      <c r="G306" s="233">
        <v>5.0000000000000002E-5</v>
      </c>
      <c r="H306" s="233">
        <v>9.9999999999999995E-7</v>
      </c>
      <c r="I306" s="233">
        <v>0.24372303200000001</v>
      </c>
      <c r="J306" s="233">
        <v>3.9603988800000001</v>
      </c>
      <c r="K306" s="233">
        <v>0</v>
      </c>
      <c r="L306" s="233">
        <v>0</v>
      </c>
      <c r="M306" s="233">
        <v>3.3133398029999999</v>
      </c>
      <c r="N306" s="233">
        <v>4.1647143849999999</v>
      </c>
    </row>
    <row r="307" spans="1:14" x14ac:dyDescent="0.2">
      <c r="A307" s="233" t="s">
        <v>22</v>
      </c>
      <c r="B307" s="233" t="s">
        <v>22</v>
      </c>
      <c r="C307" s="233" t="s">
        <v>23</v>
      </c>
      <c r="D307" s="233">
        <v>5</v>
      </c>
      <c r="E307" s="233">
        <v>1.06</v>
      </c>
      <c r="F307" s="233" t="s">
        <v>6370</v>
      </c>
      <c r="G307" s="233">
        <v>1E-4</v>
      </c>
      <c r="H307" s="233">
        <v>1.0000000000000001E-5</v>
      </c>
      <c r="I307" s="233">
        <v>0.33799963599999999</v>
      </c>
      <c r="J307" s="233">
        <v>4.3397568639999999</v>
      </c>
      <c r="K307" s="233">
        <v>0</v>
      </c>
      <c r="L307" s="233">
        <v>6.5573770000000003E-2</v>
      </c>
      <c r="M307" s="233">
        <v>3.3353654480000001</v>
      </c>
      <c r="N307" s="233">
        <v>4.2258605649999996</v>
      </c>
    </row>
    <row r="308" spans="1:14" x14ac:dyDescent="0.2">
      <c r="A308" s="233" t="s">
        <v>22</v>
      </c>
      <c r="B308" s="233" t="s">
        <v>22</v>
      </c>
      <c r="C308" s="233" t="s">
        <v>23</v>
      </c>
      <c r="D308" s="233">
        <v>5</v>
      </c>
      <c r="E308" s="233">
        <v>1.06</v>
      </c>
      <c r="F308" s="233" t="s">
        <v>6370</v>
      </c>
      <c r="G308" s="233">
        <v>1E-3</v>
      </c>
      <c r="H308" s="233">
        <v>1E-4</v>
      </c>
      <c r="I308" s="233">
        <v>27.935352640000001</v>
      </c>
      <c r="J308" s="233">
        <v>74.529159440000001</v>
      </c>
      <c r="K308" s="233">
        <v>0</v>
      </c>
      <c r="L308" s="233">
        <v>0</v>
      </c>
      <c r="M308" s="233">
        <v>0</v>
      </c>
      <c r="N308" s="233">
        <v>0</v>
      </c>
    </row>
    <row r="309" spans="1:14" x14ac:dyDescent="0.2">
      <c r="A309" s="233" t="s">
        <v>22</v>
      </c>
      <c r="B309" s="233" t="s">
        <v>22</v>
      </c>
      <c r="C309" s="233" t="s">
        <v>23</v>
      </c>
      <c r="D309" s="233">
        <v>5</v>
      </c>
      <c r="E309" s="233">
        <v>1.06</v>
      </c>
      <c r="F309" s="233" t="s">
        <v>6370</v>
      </c>
      <c r="G309" s="233">
        <v>5.0000000000000001E-3</v>
      </c>
      <c r="H309" s="233">
        <v>1E-3</v>
      </c>
      <c r="I309" s="233">
        <v>8786.2916349999996</v>
      </c>
      <c r="J309" s="233">
        <v>1107.7307719999999</v>
      </c>
      <c r="K309" s="233">
        <v>0</v>
      </c>
      <c r="L309" s="233">
        <v>0</v>
      </c>
      <c r="M309" s="233">
        <v>1124.1779289999999</v>
      </c>
      <c r="N309" s="233">
        <v>1118.0163600000001</v>
      </c>
    </row>
    <row r="310" spans="1:14" x14ac:dyDescent="0.2">
      <c r="A310" s="233" t="s">
        <v>22</v>
      </c>
      <c r="B310" s="233" t="s">
        <v>22</v>
      </c>
      <c r="C310" s="233" t="s">
        <v>23</v>
      </c>
      <c r="D310" s="233">
        <v>5</v>
      </c>
      <c r="E310" s="233">
        <v>1.06</v>
      </c>
      <c r="F310" s="233" t="s">
        <v>6370</v>
      </c>
      <c r="G310" s="233">
        <v>2.5000000000000001E-2</v>
      </c>
      <c r="H310" s="233">
        <v>5.0000000000000001E-3</v>
      </c>
      <c r="I310" s="233">
        <v>99817.208970000022</v>
      </c>
      <c r="J310" s="233">
        <v>3727.5400399999999</v>
      </c>
      <c r="K310" s="233">
        <v>0</v>
      </c>
      <c r="L310" s="233">
        <v>0</v>
      </c>
      <c r="M310" s="233">
        <v>3772.300491</v>
      </c>
      <c r="N310" s="233">
        <v>3729.4568340000001</v>
      </c>
    </row>
    <row r="311" spans="1:14" x14ac:dyDescent="0.2">
      <c r="A311" s="233" t="s">
        <v>22</v>
      </c>
      <c r="B311" s="233" t="s">
        <v>22</v>
      </c>
      <c r="C311" s="233" t="s">
        <v>23</v>
      </c>
      <c r="D311" s="233">
        <v>5</v>
      </c>
      <c r="E311" s="233">
        <v>1.06</v>
      </c>
      <c r="F311" s="233" t="s">
        <v>6371</v>
      </c>
      <c r="G311" s="233">
        <v>9.9999999999999995E-7</v>
      </c>
      <c r="H311" s="233">
        <v>9.9999999999999995E-7</v>
      </c>
      <c r="I311" s="233">
        <v>0.14153650300000001</v>
      </c>
      <c r="J311" s="233">
        <v>1.757572414</v>
      </c>
      <c r="K311" s="233">
        <v>0</v>
      </c>
      <c r="L311" s="233">
        <v>3.0173149999999999E-2</v>
      </c>
      <c r="M311" s="233">
        <v>32.435027249999997</v>
      </c>
      <c r="N311" s="233">
        <v>64.387675569999999</v>
      </c>
    </row>
    <row r="312" spans="1:14" x14ac:dyDescent="0.2">
      <c r="A312" s="233" t="s">
        <v>22</v>
      </c>
      <c r="B312" s="233" t="s">
        <v>22</v>
      </c>
      <c r="C312" s="233" t="s">
        <v>23</v>
      </c>
      <c r="D312" s="233">
        <v>5</v>
      </c>
      <c r="E312" s="233">
        <v>1.06</v>
      </c>
      <c r="F312" s="233" t="s">
        <v>6371</v>
      </c>
      <c r="G312" s="233">
        <v>1.0000000000000001E-5</v>
      </c>
      <c r="H312" s="233">
        <v>1.0000000000000001E-5</v>
      </c>
      <c r="I312" s="233">
        <v>7.613718177</v>
      </c>
      <c r="J312" s="233">
        <v>49.90725303</v>
      </c>
      <c r="K312" s="233">
        <v>0</v>
      </c>
      <c r="L312" s="233">
        <v>0</v>
      </c>
      <c r="M312" s="233">
        <v>33.37663268</v>
      </c>
      <c r="N312" s="233">
        <v>65.177109979999997</v>
      </c>
    </row>
    <row r="313" spans="1:14" x14ac:dyDescent="0.2">
      <c r="A313" s="233" t="s">
        <v>22</v>
      </c>
      <c r="B313" s="233" t="s">
        <v>22</v>
      </c>
      <c r="C313" s="233" t="s">
        <v>23</v>
      </c>
      <c r="D313" s="233">
        <v>5</v>
      </c>
      <c r="E313" s="233">
        <v>1.06</v>
      </c>
      <c r="F313" s="233" t="s">
        <v>6371</v>
      </c>
      <c r="G313" s="233">
        <v>1E-4</v>
      </c>
      <c r="H313" s="233">
        <v>1E-4</v>
      </c>
      <c r="I313" s="233">
        <v>1645.141987</v>
      </c>
      <c r="J313" s="233">
        <v>485.58904430000013</v>
      </c>
      <c r="K313" s="233">
        <v>0</v>
      </c>
      <c r="L313" s="233">
        <v>0</v>
      </c>
      <c r="M313" s="233">
        <v>481.37062809999998</v>
      </c>
      <c r="N313" s="233">
        <v>512.09177880000004</v>
      </c>
    </row>
    <row r="314" spans="1:14" x14ac:dyDescent="0.2">
      <c r="A314" s="233" t="s">
        <v>22</v>
      </c>
      <c r="B314" s="233" t="s">
        <v>22</v>
      </c>
      <c r="C314" s="233" t="s">
        <v>23</v>
      </c>
      <c r="D314" s="233">
        <v>5</v>
      </c>
      <c r="E314" s="233">
        <v>1.06</v>
      </c>
      <c r="F314" s="233" t="s">
        <v>6369</v>
      </c>
      <c r="G314" s="233">
        <v>9.9999999999999995E-7</v>
      </c>
      <c r="H314" s="233">
        <v>9.9999999999999995E-7</v>
      </c>
      <c r="I314" s="233">
        <v>9.1225248999999994E-2</v>
      </c>
      <c r="J314" s="233">
        <v>1.5511147649999999</v>
      </c>
      <c r="K314" s="233">
        <v>0</v>
      </c>
      <c r="L314" s="233">
        <v>3.4833090999999997E-2</v>
      </c>
      <c r="M314" s="233">
        <v>20.525580489999999</v>
      </c>
      <c r="N314" s="233">
        <v>42.437031500000003</v>
      </c>
    </row>
    <row r="315" spans="1:14" x14ac:dyDescent="0.2">
      <c r="A315" s="233" t="s">
        <v>22</v>
      </c>
      <c r="B315" s="233" t="s">
        <v>22</v>
      </c>
      <c r="C315" s="233" t="s">
        <v>23</v>
      </c>
      <c r="D315" s="233">
        <v>5</v>
      </c>
      <c r="E315" s="233">
        <v>1.06</v>
      </c>
      <c r="F315" s="233" t="s">
        <v>6369</v>
      </c>
      <c r="G315" s="233">
        <v>1.0000000000000001E-5</v>
      </c>
      <c r="H315" s="233">
        <v>1.0000000000000001E-5</v>
      </c>
      <c r="I315" s="233">
        <v>0.113234852</v>
      </c>
      <c r="J315" s="233">
        <v>1.6332443000000001</v>
      </c>
      <c r="K315" s="233">
        <v>0</v>
      </c>
      <c r="L315" s="233">
        <v>3.5137696000000003E-2</v>
      </c>
      <c r="M315" s="233">
        <v>20.526768140000001</v>
      </c>
      <c r="N315" s="233">
        <v>43.193191300000002</v>
      </c>
    </row>
    <row r="316" spans="1:14" x14ac:dyDescent="0.2">
      <c r="A316" s="233" t="s">
        <v>22</v>
      </c>
      <c r="B316" s="233" t="s">
        <v>22</v>
      </c>
      <c r="C316" s="233" t="s">
        <v>23</v>
      </c>
      <c r="D316" s="233">
        <v>5</v>
      </c>
      <c r="E316" s="233">
        <v>1.06</v>
      </c>
      <c r="F316" s="233" t="s">
        <v>6369</v>
      </c>
      <c r="G316" s="233">
        <v>1E-4</v>
      </c>
      <c r="H316" s="233">
        <v>1E-4</v>
      </c>
      <c r="I316" s="233">
        <v>3.4539638400000001</v>
      </c>
      <c r="J316" s="233">
        <v>30.46718194</v>
      </c>
      <c r="K316" s="233">
        <v>0</v>
      </c>
      <c r="L316" s="233">
        <v>0</v>
      </c>
      <c r="M316" s="233">
        <v>20.705065650000002</v>
      </c>
      <c r="N316" s="233">
        <v>43.532877200000001</v>
      </c>
    </row>
    <row r="317" spans="1:14" x14ac:dyDescent="0.2">
      <c r="A317" s="233" t="s">
        <v>22</v>
      </c>
      <c r="B317" s="233" t="s">
        <v>22</v>
      </c>
      <c r="C317" s="233" t="s">
        <v>23</v>
      </c>
      <c r="D317" s="233">
        <v>5</v>
      </c>
      <c r="E317" s="233">
        <v>1.06</v>
      </c>
      <c r="F317" s="233" t="s">
        <v>6369</v>
      </c>
      <c r="G317" s="233">
        <v>1E-3</v>
      </c>
      <c r="H317" s="233">
        <v>1E-3</v>
      </c>
      <c r="I317" s="233">
        <v>6374.5274249999993</v>
      </c>
      <c r="J317" s="233">
        <v>944.08827229999997</v>
      </c>
      <c r="K317" s="233">
        <v>0</v>
      </c>
      <c r="L317" s="233">
        <v>0</v>
      </c>
      <c r="M317" s="233">
        <v>953.55612029999998</v>
      </c>
      <c r="N317" s="233">
        <v>956.13100299999996</v>
      </c>
    </row>
    <row r="318" spans="1:14" x14ac:dyDescent="0.2">
      <c r="A318" s="233" t="s">
        <v>22</v>
      </c>
      <c r="B318" s="233" t="s">
        <v>22</v>
      </c>
      <c r="C318" s="233" t="s">
        <v>23</v>
      </c>
      <c r="D318" s="233">
        <v>5</v>
      </c>
      <c r="E318" s="233">
        <v>1.06</v>
      </c>
      <c r="F318" s="233" t="s">
        <v>6369</v>
      </c>
      <c r="G318" s="233">
        <v>5.0000000000000001E-3</v>
      </c>
      <c r="H318" s="233">
        <v>5.0000000000000001E-3</v>
      </c>
      <c r="I318" s="233">
        <v>210850.52309999999</v>
      </c>
      <c r="J318" s="233">
        <v>5417.60023</v>
      </c>
      <c r="K318" s="233">
        <v>0</v>
      </c>
      <c r="L318" s="233">
        <v>0</v>
      </c>
      <c r="M318" s="233">
        <v>5483.3057779999999</v>
      </c>
      <c r="N318" s="233">
        <v>5414.7467809999998</v>
      </c>
    </row>
    <row r="319" spans="1:14" x14ac:dyDescent="0.2">
      <c r="A319" s="233" t="s">
        <v>21</v>
      </c>
      <c r="B319" s="233" t="s">
        <v>10352</v>
      </c>
      <c r="C319" s="233" t="s">
        <v>5</v>
      </c>
      <c r="D319" s="233">
        <v>1</v>
      </c>
      <c r="E319" s="233">
        <v>0.03</v>
      </c>
      <c r="F319" s="233" t="s">
        <v>6370</v>
      </c>
      <c r="G319" s="233">
        <v>5.0000000000000002E-5</v>
      </c>
      <c r="H319" s="233">
        <v>9.9999999999999995E-7</v>
      </c>
      <c r="I319" s="233">
        <v>3.7621735028194797E-2</v>
      </c>
      <c r="J319" s="233">
        <v>1.1525924675584029</v>
      </c>
      <c r="K319" s="233">
        <v>0</v>
      </c>
      <c r="L319" s="233">
        <v>0</v>
      </c>
      <c r="M319" s="233">
        <v>2.377958096</v>
      </c>
      <c r="N319" s="233">
        <v>4.136280234</v>
      </c>
    </row>
    <row r="320" spans="1:14" x14ac:dyDescent="0.2">
      <c r="A320" s="233" t="s">
        <v>21</v>
      </c>
      <c r="B320" s="233" t="s">
        <v>10352</v>
      </c>
      <c r="C320" s="233" t="s">
        <v>5</v>
      </c>
      <c r="D320" s="233">
        <v>1</v>
      </c>
      <c r="E320" s="233">
        <v>0.03</v>
      </c>
      <c r="F320" s="233" t="s">
        <v>6370</v>
      </c>
      <c r="G320" s="233">
        <v>1E-4</v>
      </c>
      <c r="H320" s="233">
        <v>1.0000000000000001E-5</v>
      </c>
      <c r="I320" s="233">
        <v>0.18811141774588061</v>
      </c>
      <c r="J320" s="233">
        <v>3.480215202754668</v>
      </c>
      <c r="K320" s="233">
        <v>0</v>
      </c>
      <c r="L320" s="233">
        <v>0</v>
      </c>
      <c r="M320" s="233">
        <v>2.56586136</v>
      </c>
      <c r="N320" s="233">
        <v>4.1409068949999996</v>
      </c>
    </row>
    <row r="321" spans="1:14" x14ac:dyDescent="0.2">
      <c r="A321" s="233" t="s">
        <v>21</v>
      </c>
      <c r="B321" s="233" t="s">
        <v>10353</v>
      </c>
      <c r="C321" s="233" t="s">
        <v>5</v>
      </c>
      <c r="D321" s="233">
        <v>1</v>
      </c>
      <c r="E321" s="233">
        <v>0.03</v>
      </c>
      <c r="F321" s="233" t="s">
        <v>6370</v>
      </c>
      <c r="G321" s="233">
        <v>1E-3</v>
      </c>
      <c r="H321" s="233">
        <v>1E-4</v>
      </c>
      <c r="I321" s="233">
        <v>4.7257742999999998E-2</v>
      </c>
      <c r="J321" s="233">
        <v>3.25234143</v>
      </c>
      <c r="K321" s="233">
        <v>0</v>
      </c>
      <c r="L321" s="233">
        <v>0</v>
      </c>
      <c r="M321" s="233">
        <v>1.200000958</v>
      </c>
      <c r="N321" s="233">
        <v>79.158090619999996</v>
      </c>
    </row>
    <row r="322" spans="1:14" x14ac:dyDescent="0.2">
      <c r="A322" s="233" t="s">
        <v>21</v>
      </c>
      <c r="B322" s="233" t="s">
        <v>10352</v>
      </c>
      <c r="C322" s="233" t="s">
        <v>5</v>
      </c>
      <c r="D322" s="233">
        <v>1</v>
      </c>
      <c r="E322" s="233">
        <v>0.03</v>
      </c>
      <c r="F322" s="233" t="s">
        <v>6370</v>
      </c>
      <c r="G322" s="233">
        <v>5.0000000000000001E-3</v>
      </c>
      <c r="H322" s="233">
        <v>1E-3</v>
      </c>
      <c r="I322" s="233">
        <v>2.7765158169534971E-2</v>
      </c>
      <c r="J322" s="233">
        <v>1.090121226850238</v>
      </c>
      <c r="K322" s="233">
        <v>0</v>
      </c>
      <c r="L322" s="233">
        <v>4.3243243000000001E-2</v>
      </c>
      <c r="M322" s="233">
        <v>0.12769582600000001</v>
      </c>
      <c r="N322" s="233">
        <v>85.037957138722064</v>
      </c>
    </row>
    <row r="323" spans="1:14" x14ac:dyDescent="0.2">
      <c r="A323" s="233" t="s">
        <v>21</v>
      </c>
      <c r="B323" s="233" t="s">
        <v>10352</v>
      </c>
      <c r="C323" s="233" t="s">
        <v>5</v>
      </c>
      <c r="D323" s="233">
        <v>1</v>
      </c>
      <c r="E323" s="233">
        <v>0.03</v>
      </c>
      <c r="F323" s="233" t="s">
        <v>6370</v>
      </c>
      <c r="G323" s="233">
        <v>2.5000000000000001E-2</v>
      </c>
      <c r="H323" s="233">
        <v>5.0000000000000001E-3</v>
      </c>
      <c r="I323" s="233">
        <v>3.027962718454779E-2</v>
      </c>
      <c r="J323" s="233">
        <v>1.0774888683943611</v>
      </c>
      <c r="K323" s="233">
        <v>0</v>
      </c>
      <c r="L323" s="233">
        <v>0</v>
      </c>
      <c r="M323" s="233">
        <v>1.223941621</v>
      </c>
      <c r="N323" s="233">
        <v>4.0655327249999997</v>
      </c>
    </row>
    <row r="324" spans="1:14" x14ac:dyDescent="0.2">
      <c r="A324" s="233" t="s">
        <v>21</v>
      </c>
      <c r="B324" s="233" t="s">
        <v>10352</v>
      </c>
      <c r="C324" s="233" t="s">
        <v>5</v>
      </c>
      <c r="D324" s="233">
        <v>1</v>
      </c>
      <c r="E324" s="233">
        <v>0.03</v>
      </c>
      <c r="F324" s="233" t="s">
        <v>6371</v>
      </c>
      <c r="G324" s="233">
        <v>9.9999999999999995E-7</v>
      </c>
      <c r="H324" s="233">
        <v>9.9999999999999995E-7</v>
      </c>
      <c r="I324" s="233">
        <v>0.17860169651519589</v>
      </c>
      <c r="J324" s="233">
        <v>1.7790386976711829</v>
      </c>
      <c r="K324" s="233">
        <v>0</v>
      </c>
      <c r="L324" s="233">
        <v>0</v>
      </c>
      <c r="M324" s="233">
        <v>1.916911942</v>
      </c>
      <c r="N324" s="233">
        <v>1.599530364</v>
      </c>
    </row>
    <row r="325" spans="1:14" x14ac:dyDescent="0.2">
      <c r="A325" s="233" t="s">
        <v>21</v>
      </c>
      <c r="B325" s="233" t="s">
        <v>10353</v>
      </c>
      <c r="C325" s="233" t="s">
        <v>5</v>
      </c>
      <c r="D325" s="233">
        <v>1</v>
      </c>
      <c r="E325" s="233">
        <v>0.03</v>
      </c>
      <c r="F325" s="233" t="s">
        <v>6371</v>
      </c>
      <c r="G325" s="233">
        <v>1.0000000000000001E-5</v>
      </c>
      <c r="H325" s="233">
        <v>1.0000000000000001E-5</v>
      </c>
      <c r="I325" s="233">
        <v>0.111822481</v>
      </c>
      <c r="J325" s="233">
        <v>7.1688981189999996</v>
      </c>
      <c r="K325" s="233">
        <v>0</v>
      </c>
      <c r="L325" s="233">
        <v>0</v>
      </c>
      <c r="M325" s="233">
        <v>2.9986020529999999</v>
      </c>
      <c r="N325" s="233">
        <v>56.352125660000013</v>
      </c>
    </row>
    <row r="326" spans="1:14" x14ac:dyDescent="0.2">
      <c r="A326" s="233" t="s">
        <v>21</v>
      </c>
      <c r="B326" s="233" t="s">
        <v>10352</v>
      </c>
      <c r="C326" s="233" t="s">
        <v>5</v>
      </c>
      <c r="D326" s="233">
        <v>1</v>
      </c>
      <c r="E326" s="233">
        <v>0.03</v>
      </c>
      <c r="F326" s="233" t="s">
        <v>6371</v>
      </c>
      <c r="G326" s="233">
        <v>1E-4</v>
      </c>
      <c r="H326" s="233">
        <v>1E-4</v>
      </c>
      <c r="I326" s="233">
        <v>2.2387684883192972E-2</v>
      </c>
      <c r="J326" s="233">
        <v>6.1346144363712929</v>
      </c>
      <c r="K326" s="233">
        <v>0</v>
      </c>
      <c r="L326" s="233">
        <v>0</v>
      </c>
      <c r="M326" s="233">
        <v>0.37445875499999998</v>
      </c>
      <c r="N326" s="233">
        <v>202.34023429999999</v>
      </c>
    </row>
    <row r="327" spans="1:14" x14ac:dyDescent="0.2">
      <c r="A327" s="233" t="s">
        <v>21</v>
      </c>
      <c r="B327" s="233" t="s">
        <v>10352</v>
      </c>
      <c r="C327" s="233" t="s">
        <v>5</v>
      </c>
      <c r="D327" s="233">
        <v>1</v>
      </c>
      <c r="E327" s="233">
        <v>0.03</v>
      </c>
      <c r="F327" s="233" t="s">
        <v>6369</v>
      </c>
      <c r="G327" s="233">
        <v>9.9999999999999995E-7</v>
      </c>
      <c r="H327" s="233">
        <v>9.9999999999999995E-7</v>
      </c>
      <c r="I327" s="233">
        <v>3.4232411032588797E-2</v>
      </c>
      <c r="J327" s="233">
        <v>1.0058388378319301</v>
      </c>
      <c r="K327" s="233">
        <v>0</v>
      </c>
      <c r="L327" s="233">
        <v>0</v>
      </c>
      <c r="M327" s="233">
        <v>1.4003167860000001</v>
      </c>
      <c r="N327" s="233">
        <v>1.149650786</v>
      </c>
    </row>
    <row r="328" spans="1:14" x14ac:dyDescent="0.2">
      <c r="A328" s="233" t="s">
        <v>21</v>
      </c>
      <c r="B328" s="233" t="s">
        <v>10352</v>
      </c>
      <c r="C328" s="233" t="s">
        <v>5</v>
      </c>
      <c r="D328" s="233">
        <v>1</v>
      </c>
      <c r="E328" s="233">
        <v>0.03</v>
      </c>
      <c r="F328" s="233" t="s">
        <v>6369</v>
      </c>
      <c r="G328" s="233">
        <v>1.0000000000000001E-5</v>
      </c>
      <c r="H328" s="233">
        <v>1.0000000000000001E-5</v>
      </c>
      <c r="I328" s="233">
        <v>0.13236018622922011</v>
      </c>
      <c r="J328" s="233">
        <v>1.480850522131087</v>
      </c>
      <c r="K328" s="233">
        <v>0</v>
      </c>
      <c r="L328" s="233">
        <v>0</v>
      </c>
      <c r="M328" s="233">
        <v>1.8880028900000001</v>
      </c>
      <c r="N328" s="233">
        <v>43.010230610000001</v>
      </c>
    </row>
    <row r="329" spans="1:14" x14ac:dyDescent="0.2">
      <c r="A329" s="233" t="s">
        <v>21</v>
      </c>
      <c r="B329" s="233" t="s">
        <v>10353</v>
      </c>
      <c r="C329" s="233" t="s">
        <v>5</v>
      </c>
      <c r="D329" s="233">
        <v>1</v>
      </c>
      <c r="E329" s="233">
        <v>0.03</v>
      </c>
      <c r="F329" s="233" t="s">
        <v>6369</v>
      </c>
      <c r="G329" s="233">
        <v>1E-4</v>
      </c>
      <c r="H329" s="233">
        <v>1E-4</v>
      </c>
      <c r="I329" s="233">
        <v>7.1620095999999994E-2</v>
      </c>
      <c r="J329" s="233">
        <v>4.4684112330000003</v>
      </c>
      <c r="K329" s="233">
        <v>0</v>
      </c>
      <c r="L329" s="233">
        <v>0</v>
      </c>
      <c r="M329" s="233">
        <v>1.9145176740000001</v>
      </c>
      <c r="N329" s="233">
        <v>47.280192489999997</v>
      </c>
    </row>
    <row r="330" spans="1:14" x14ac:dyDescent="0.2">
      <c r="A330" s="233" t="s">
        <v>21</v>
      </c>
      <c r="B330" s="233" t="s">
        <v>10352</v>
      </c>
      <c r="C330" s="233" t="s">
        <v>5</v>
      </c>
      <c r="D330" s="233">
        <v>1</v>
      </c>
      <c r="E330" s="233">
        <v>0.03</v>
      </c>
      <c r="F330" s="233" t="s">
        <v>6369</v>
      </c>
      <c r="G330" s="233">
        <v>1E-3</v>
      </c>
      <c r="H330" s="233">
        <v>1E-3</v>
      </c>
      <c r="I330" s="233">
        <v>2.8540950548883191E-2</v>
      </c>
      <c r="J330" s="233">
        <v>1.3981000774470891</v>
      </c>
      <c r="K330" s="233">
        <v>0</v>
      </c>
      <c r="L330" s="233">
        <v>0</v>
      </c>
      <c r="M330" s="233">
        <v>0.22444881</v>
      </c>
      <c r="N330" s="233">
        <v>291.19760830000001</v>
      </c>
    </row>
    <row r="331" spans="1:14" x14ac:dyDescent="0.2">
      <c r="A331" s="233" t="s">
        <v>21</v>
      </c>
      <c r="B331" s="233" t="s">
        <v>10352</v>
      </c>
      <c r="C331" s="233" t="s">
        <v>5</v>
      </c>
      <c r="D331" s="233">
        <v>1</v>
      </c>
      <c r="E331" s="233">
        <v>0.03</v>
      </c>
      <c r="F331" s="233" t="s">
        <v>6369</v>
      </c>
      <c r="G331" s="233">
        <v>5.0000000000000001E-3</v>
      </c>
      <c r="H331" s="233">
        <v>5.0000000000000001E-3</v>
      </c>
      <c r="I331" s="233">
        <v>3.1579664006224827E-2</v>
      </c>
      <c r="J331" s="233">
        <v>0.96054420791651396</v>
      </c>
      <c r="K331" s="233">
        <v>0</v>
      </c>
      <c r="L331" s="233">
        <v>0</v>
      </c>
      <c r="M331" s="233">
        <v>0.13148879799999999</v>
      </c>
      <c r="N331" s="233">
        <v>0.32017360299999997</v>
      </c>
    </row>
    <row r="332" spans="1:14" x14ac:dyDescent="0.2">
      <c r="A332" s="233" t="s">
        <v>21</v>
      </c>
      <c r="B332" s="233" t="s">
        <v>10352</v>
      </c>
      <c r="C332" s="233" t="s">
        <v>0</v>
      </c>
      <c r="D332" s="233">
        <v>4</v>
      </c>
      <c r="E332" s="233">
        <v>0.95299999999999996</v>
      </c>
      <c r="F332" s="233" t="s">
        <v>6370</v>
      </c>
      <c r="G332" s="233">
        <v>5.0000000000000002E-5</v>
      </c>
      <c r="H332" s="233">
        <v>9.9999999999999995E-7</v>
      </c>
      <c r="I332" s="233">
        <v>4.1978735483705613E-2</v>
      </c>
      <c r="J332" s="233">
        <v>1.1508875843387041</v>
      </c>
      <c r="K332" s="233">
        <v>0</v>
      </c>
      <c r="L332" s="233">
        <v>0</v>
      </c>
      <c r="M332" s="233">
        <v>3.4492295629999998</v>
      </c>
      <c r="N332" s="233">
        <v>4.1746735990000001</v>
      </c>
    </row>
    <row r="333" spans="1:14" x14ac:dyDescent="0.2">
      <c r="A333" s="233" t="s">
        <v>21</v>
      </c>
      <c r="B333" s="233" t="s">
        <v>10352</v>
      </c>
      <c r="C333" s="233" t="s">
        <v>0</v>
      </c>
      <c r="D333" s="233">
        <v>4</v>
      </c>
      <c r="E333" s="233">
        <v>0.95299999999999996</v>
      </c>
      <c r="F333" s="233" t="s">
        <v>6370</v>
      </c>
      <c r="G333" s="233">
        <v>1E-4</v>
      </c>
      <c r="H333" s="233">
        <v>1.0000000000000001E-5</v>
      </c>
      <c r="I333" s="233">
        <v>0.47716668577737081</v>
      </c>
      <c r="J333" s="233">
        <v>3.982127098990845</v>
      </c>
      <c r="K333" s="233">
        <v>0</v>
      </c>
      <c r="L333" s="233">
        <v>0</v>
      </c>
      <c r="M333" s="233">
        <v>3.5672522770000001</v>
      </c>
      <c r="N333" s="233">
        <v>4.2121641580000002</v>
      </c>
    </row>
    <row r="334" spans="1:14" x14ac:dyDescent="0.2">
      <c r="A334" s="233" t="s">
        <v>21</v>
      </c>
      <c r="B334" s="233" t="s">
        <v>10353</v>
      </c>
      <c r="C334" s="233" t="s">
        <v>0</v>
      </c>
      <c r="D334" s="233">
        <v>4</v>
      </c>
      <c r="E334" s="233">
        <v>0.95299999999999996</v>
      </c>
      <c r="F334" s="233" t="s">
        <v>6370</v>
      </c>
      <c r="G334" s="233">
        <v>1E-3</v>
      </c>
      <c r="H334" s="233">
        <v>1E-4</v>
      </c>
      <c r="I334" s="233">
        <v>0.32902244400000002</v>
      </c>
      <c r="J334" s="233">
        <v>21.49147541</v>
      </c>
      <c r="K334" s="233">
        <v>0</v>
      </c>
      <c r="L334" s="233">
        <v>0</v>
      </c>
      <c r="M334" s="233">
        <v>7.6504771160000002</v>
      </c>
      <c r="N334" s="233">
        <v>116.5188728</v>
      </c>
    </row>
    <row r="335" spans="1:14" x14ac:dyDescent="0.2">
      <c r="A335" s="233" t="s">
        <v>21</v>
      </c>
      <c r="B335" s="233" t="s">
        <v>10352</v>
      </c>
      <c r="C335" s="233" t="s">
        <v>0</v>
      </c>
      <c r="D335" s="233">
        <v>4</v>
      </c>
      <c r="E335" s="233">
        <v>0.95299999999999996</v>
      </c>
      <c r="F335" s="233" t="s">
        <v>6370</v>
      </c>
      <c r="G335" s="233">
        <v>5.0000000000000001E-3</v>
      </c>
      <c r="H335" s="233">
        <v>1E-3</v>
      </c>
      <c r="I335" s="233">
        <v>5.5235125162211643E-2</v>
      </c>
      <c r="J335" s="233">
        <v>17.173848057277549</v>
      </c>
      <c r="K335" s="233">
        <v>0</v>
      </c>
      <c r="L335" s="233">
        <v>0</v>
      </c>
      <c r="M335" s="233">
        <v>1.0804476329999999</v>
      </c>
      <c r="N335" s="233">
        <v>223.4852927</v>
      </c>
    </row>
    <row r="336" spans="1:14" x14ac:dyDescent="0.2">
      <c r="A336" s="233" t="s">
        <v>21</v>
      </c>
      <c r="B336" s="233" t="s">
        <v>10352</v>
      </c>
      <c r="C336" s="233" t="s">
        <v>0</v>
      </c>
      <c r="D336" s="233">
        <v>4</v>
      </c>
      <c r="E336" s="233">
        <v>0.95299999999999996</v>
      </c>
      <c r="F336" s="233" t="s">
        <v>6370</v>
      </c>
      <c r="G336" s="233">
        <v>2.5000000000000001E-2</v>
      </c>
      <c r="H336" s="233">
        <v>5.0000000000000001E-3</v>
      </c>
      <c r="I336" s="233">
        <v>3.1773638305382643E-2</v>
      </c>
      <c r="J336" s="233">
        <v>1.706754192076162</v>
      </c>
      <c r="K336" s="233">
        <v>0</v>
      </c>
      <c r="L336" s="233">
        <v>0</v>
      </c>
      <c r="M336" s="233">
        <v>0.21939704700000001</v>
      </c>
      <c r="N336" s="233">
        <v>498.92957799999999</v>
      </c>
    </row>
    <row r="337" spans="1:14" x14ac:dyDescent="0.2">
      <c r="A337" s="233" t="s">
        <v>21</v>
      </c>
      <c r="B337" s="233" t="s">
        <v>10352</v>
      </c>
      <c r="C337" s="233" t="s">
        <v>0</v>
      </c>
      <c r="D337" s="233">
        <v>4</v>
      </c>
      <c r="E337" s="233">
        <v>0.95299999999999996</v>
      </c>
      <c r="F337" s="233" t="s">
        <v>6371</v>
      </c>
      <c r="G337" s="233">
        <v>9.9999999999999995E-7</v>
      </c>
      <c r="H337" s="233">
        <v>9.9999999999999995E-7</v>
      </c>
      <c r="I337" s="233">
        <v>0.21967133178542661</v>
      </c>
      <c r="J337" s="233">
        <v>1.8655562669890151</v>
      </c>
      <c r="K337" s="233">
        <v>0</v>
      </c>
      <c r="L337" s="233">
        <v>0</v>
      </c>
      <c r="M337" s="233">
        <v>2.0774620810000002</v>
      </c>
      <c r="N337" s="233">
        <v>1.5389091880000001</v>
      </c>
    </row>
    <row r="338" spans="1:14" x14ac:dyDescent="0.2">
      <c r="A338" s="233" t="s">
        <v>21</v>
      </c>
      <c r="B338" s="233" t="s">
        <v>10353</v>
      </c>
      <c r="C338" s="233" t="s">
        <v>0</v>
      </c>
      <c r="D338" s="233">
        <v>4</v>
      </c>
      <c r="E338" s="233">
        <v>0.95299999999999996</v>
      </c>
      <c r="F338" s="233" t="s">
        <v>6371</v>
      </c>
      <c r="G338" s="233">
        <v>1.0000000000000001E-5</v>
      </c>
      <c r="H338" s="233">
        <v>1.0000000000000001E-5</v>
      </c>
      <c r="I338" s="233">
        <v>1.3407609519999999</v>
      </c>
      <c r="J338" s="233">
        <v>27.342050069999999</v>
      </c>
      <c r="K338" s="233">
        <v>0</v>
      </c>
      <c r="L338" s="233">
        <v>0</v>
      </c>
      <c r="M338" s="233">
        <v>17.025722429999998</v>
      </c>
      <c r="N338" s="233">
        <v>73.584477590000006</v>
      </c>
    </row>
    <row r="339" spans="1:14" x14ac:dyDescent="0.2">
      <c r="A339" s="233" t="s">
        <v>21</v>
      </c>
      <c r="B339" s="233" t="s">
        <v>10353</v>
      </c>
      <c r="C339" s="233" t="s">
        <v>0</v>
      </c>
      <c r="D339" s="233">
        <v>4</v>
      </c>
      <c r="E339" s="233">
        <v>0.95299999999999996</v>
      </c>
      <c r="F339" s="233" t="s">
        <v>6371</v>
      </c>
      <c r="G339" s="233">
        <v>1E-4</v>
      </c>
      <c r="H339" s="233">
        <v>1E-4</v>
      </c>
      <c r="I339" s="233">
        <v>0.20208289800000001</v>
      </c>
      <c r="J339" s="233">
        <v>24.35469325</v>
      </c>
      <c r="K339" s="233">
        <v>0</v>
      </c>
      <c r="L339" s="233">
        <v>0</v>
      </c>
      <c r="M339" s="233">
        <v>4.7356244869999999</v>
      </c>
      <c r="N339" s="233">
        <v>303.1817709</v>
      </c>
    </row>
    <row r="340" spans="1:14" x14ac:dyDescent="0.2">
      <c r="A340" s="233" t="s">
        <v>21</v>
      </c>
      <c r="B340" s="233" t="s">
        <v>10352</v>
      </c>
      <c r="C340" s="233" t="s">
        <v>0</v>
      </c>
      <c r="D340" s="233">
        <v>4</v>
      </c>
      <c r="E340" s="233">
        <v>0.95299999999999996</v>
      </c>
      <c r="F340" s="233" t="s">
        <v>6369</v>
      </c>
      <c r="G340" s="233">
        <v>9.9999999999999995E-7</v>
      </c>
      <c r="H340" s="233">
        <v>9.9999999999999995E-7</v>
      </c>
      <c r="I340" s="233">
        <v>3.6811059327718783E-2</v>
      </c>
      <c r="J340" s="233">
        <v>1.1342352737656529</v>
      </c>
      <c r="K340" s="233">
        <v>0</v>
      </c>
      <c r="L340" s="233">
        <v>0</v>
      </c>
      <c r="M340" s="233">
        <v>7.4198404450000002</v>
      </c>
      <c r="N340" s="233">
        <v>41.31303054</v>
      </c>
    </row>
    <row r="341" spans="1:14" x14ac:dyDescent="0.2">
      <c r="A341" s="233" t="s">
        <v>21</v>
      </c>
      <c r="B341" s="233" t="s">
        <v>10352</v>
      </c>
      <c r="C341" s="233" t="s">
        <v>0</v>
      </c>
      <c r="D341" s="233">
        <v>4</v>
      </c>
      <c r="E341" s="233">
        <v>0.95299999999999996</v>
      </c>
      <c r="F341" s="233" t="s">
        <v>6369</v>
      </c>
      <c r="G341" s="233">
        <v>1.0000000000000001E-5</v>
      </c>
      <c r="H341" s="233">
        <v>1.0000000000000001E-5</v>
      </c>
      <c r="I341" s="233">
        <v>0.16375043700988651</v>
      </c>
      <c r="J341" s="233">
        <v>1.497381664608934</v>
      </c>
      <c r="K341" s="233">
        <v>0</v>
      </c>
      <c r="L341" s="233">
        <v>0</v>
      </c>
      <c r="M341" s="233">
        <v>7.4047151480000002</v>
      </c>
      <c r="N341" s="233">
        <v>55.223360220000004</v>
      </c>
    </row>
    <row r="342" spans="1:14" x14ac:dyDescent="0.2">
      <c r="A342" s="233" t="s">
        <v>21</v>
      </c>
      <c r="B342" s="233" t="s">
        <v>10353</v>
      </c>
      <c r="C342" s="233" t="s">
        <v>0</v>
      </c>
      <c r="D342" s="233">
        <v>4</v>
      </c>
      <c r="E342" s="233">
        <v>0.95299999999999996</v>
      </c>
      <c r="F342" s="233" t="s">
        <v>6369</v>
      </c>
      <c r="G342" s="233">
        <v>1E-4</v>
      </c>
      <c r="H342" s="233">
        <v>1E-4</v>
      </c>
      <c r="I342" s="233">
        <v>0.42955499000000003</v>
      </c>
      <c r="J342" s="233">
        <v>13.83853673</v>
      </c>
      <c r="K342" s="233">
        <v>0</v>
      </c>
      <c r="L342" s="233">
        <v>0</v>
      </c>
      <c r="M342" s="233">
        <v>7.8962585449999994</v>
      </c>
      <c r="N342" s="233">
        <v>60.057641830000009</v>
      </c>
    </row>
    <row r="343" spans="1:14" x14ac:dyDescent="0.2">
      <c r="A343" s="233" t="s">
        <v>21</v>
      </c>
      <c r="B343" s="233" t="s">
        <v>10353</v>
      </c>
      <c r="C343" s="233" t="s">
        <v>0</v>
      </c>
      <c r="D343" s="233">
        <v>4</v>
      </c>
      <c r="E343" s="233">
        <v>0.95299999999999996</v>
      </c>
      <c r="F343" s="233" t="s">
        <v>6369</v>
      </c>
      <c r="G343" s="233">
        <v>1E-3</v>
      </c>
      <c r="H343" s="233">
        <v>1E-3</v>
      </c>
      <c r="I343" s="233">
        <v>6.9625032000000003E-2</v>
      </c>
      <c r="J343" s="233">
        <v>4.9606921020000003</v>
      </c>
      <c r="K343" s="233">
        <v>0</v>
      </c>
      <c r="L343" s="233">
        <v>0</v>
      </c>
      <c r="M343" s="233">
        <v>1.6384648470000001</v>
      </c>
      <c r="N343" s="233">
        <v>260.49870540000001</v>
      </c>
    </row>
    <row r="344" spans="1:14" x14ac:dyDescent="0.2">
      <c r="A344" s="233" t="s">
        <v>21</v>
      </c>
      <c r="B344" s="233" t="s">
        <v>10352</v>
      </c>
      <c r="C344" s="233" t="s">
        <v>0</v>
      </c>
      <c r="D344" s="233">
        <v>4</v>
      </c>
      <c r="E344" s="233">
        <v>0.95299999999999996</v>
      </c>
      <c r="F344" s="233" t="s">
        <v>6369</v>
      </c>
      <c r="G344" s="233">
        <v>5.0000000000000001E-3</v>
      </c>
      <c r="H344" s="233">
        <v>5.0000000000000001E-3</v>
      </c>
      <c r="I344" s="233">
        <v>2.6790466852801169E-2</v>
      </c>
      <c r="J344" s="233">
        <v>37.122598683150848</v>
      </c>
      <c r="K344" s="233">
        <v>0</v>
      </c>
      <c r="L344" s="233">
        <v>0</v>
      </c>
      <c r="M344" s="233">
        <v>0.33715812699999997</v>
      </c>
      <c r="N344" s="233">
        <v>606.80950729999995</v>
      </c>
    </row>
    <row r="345" spans="1:14" x14ac:dyDescent="0.2">
      <c r="A345" s="233" t="s">
        <v>21</v>
      </c>
      <c r="B345" s="233" t="s">
        <v>10352</v>
      </c>
      <c r="C345" s="233" t="s">
        <v>1</v>
      </c>
      <c r="D345" s="233">
        <v>3</v>
      </c>
      <c r="E345" s="233">
        <v>0.91500000000000004</v>
      </c>
      <c r="F345" s="233" t="s">
        <v>6370</v>
      </c>
      <c r="G345" s="233">
        <v>5.0000000000000002E-5</v>
      </c>
      <c r="H345" s="233">
        <v>9.9999999999999995E-7</v>
      </c>
      <c r="I345" s="233">
        <v>3.7048029044306111E-2</v>
      </c>
      <c r="J345" s="233">
        <v>1.0878738833288171</v>
      </c>
      <c r="K345" s="233">
        <v>0</v>
      </c>
      <c r="L345" s="233">
        <v>0</v>
      </c>
      <c r="M345" s="233">
        <v>3.4555868329999999</v>
      </c>
      <c r="N345" s="233">
        <v>4.1410665480000004</v>
      </c>
    </row>
    <row r="346" spans="1:14" x14ac:dyDescent="0.2">
      <c r="A346" s="233" t="s">
        <v>21</v>
      </c>
      <c r="B346" s="233" t="s">
        <v>10352</v>
      </c>
      <c r="C346" s="233" t="s">
        <v>1</v>
      </c>
      <c r="D346" s="233">
        <v>3</v>
      </c>
      <c r="E346" s="233">
        <v>0.91500000000000004</v>
      </c>
      <c r="F346" s="233" t="s">
        <v>6370</v>
      </c>
      <c r="G346" s="233">
        <v>1E-4</v>
      </c>
      <c r="H346" s="233">
        <v>1.0000000000000001E-5</v>
      </c>
      <c r="I346" s="233">
        <v>0.42194203339436098</v>
      </c>
      <c r="J346" s="233">
        <v>3.9728742501124121</v>
      </c>
      <c r="K346" s="233">
        <v>0</v>
      </c>
      <c r="L346" s="233">
        <v>0</v>
      </c>
      <c r="M346" s="233">
        <v>3.3992165810000001</v>
      </c>
      <c r="N346" s="233">
        <v>4.17550066</v>
      </c>
    </row>
    <row r="347" spans="1:14" x14ac:dyDescent="0.2">
      <c r="A347" s="233" t="s">
        <v>21</v>
      </c>
      <c r="B347" s="233" t="s">
        <v>10353</v>
      </c>
      <c r="C347" s="233" t="s">
        <v>1</v>
      </c>
      <c r="D347" s="233">
        <v>3</v>
      </c>
      <c r="E347" s="233">
        <v>0.91500000000000004</v>
      </c>
      <c r="F347" s="233" t="s">
        <v>6370</v>
      </c>
      <c r="G347" s="233">
        <v>1E-3</v>
      </c>
      <c r="H347" s="233">
        <v>1E-4</v>
      </c>
      <c r="I347" s="233">
        <v>0.22570997700000001</v>
      </c>
      <c r="J347" s="233">
        <v>17.42396548</v>
      </c>
      <c r="K347" s="233">
        <v>0</v>
      </c>
      <c r="L347" s="233">
        <v>0</v>
      </c>
      <c r="M347" s="233">
        <v>5.7597542830000004</v>
      </c>
      <c r="N347" s="233">
        <v>115.8454358</v>
      </c>
    </row>
    <row r="348" spans="1:14" x14ac:dyDescent="0.2">
      <c r="A348" s="233" t="s">
        <v>21</v>
      </c>
      <c r="B348" s="233" t="s">
        <v>10352</v>
      </c>
      <c r="C348" s="233" t="s">
        <v>1</v>
      </c>
      <c r="D348" s="233">
        <v>3</v>
      </c>
      <c r="E348" s="233">
        <v>0.91500000000000004</v>
      </c>
      <c r="F348" s="233" t="s">
        <v>6370</v>
      </c>
      <c r="G348" s="233">
        <v>5.0000000000000001E-3</v>
      </c>
      <c r="H348" s="233">
        <v>1E-3</v>
      </c>
      <c r="I348" s="233">
        <v>3.5081910340168443E-2</v>
      </c>
      <c r="J348" s="233">
        <v>10.78251416223544</v>
      </c>
      <c r="K348" s="233">
        <v>0</v>
      </c>
      <c r="L348" s="233">
        <v>0</v>
      </c>
      <c r="M348" s="233">
        <v>0.74283288599999997</v>
      </c>
      <c r="N348" s="233">
        <v>228.2301301</v>
      </c>
    </row>
    <row r="349" spans="1:14" x14ac:dyDescent="0.2">
      <c r="A349" s="233" t="s">
        <v>21</v>
      </c>
      <c r="B349" s="233" t="s">
        <v>10352</v>
      </c>
      <c r="C349" s="233" t="s">
        <v>1</v>
      </c>
      <c r="D349" s="233">
        <v>3</v>
      </c>
      <c r="E349" s="233">
        <v>0.91500000000000004</v>
      </c>
      <c r="F349" s="233" t="s">
        <v>6370</v>
      </c>
      <c r="G349" s="233">
        <v>2.5000000000000001E-2</v>
      </c>
      <c r="H349" s="233">
        <v>5.0000000000000001E-3</v>
      </c>
      <c r="I349" s="233">
        <v>2.844317206151593E-2</v>
      </c>
      <c r="J349" s="233">
        <v>1.3963239730966679</v>
      </c>
      <c r="K349" s="233">
        <v>0</v>
      </c>
      <c r="L349" s="233">
        <v>0</v>
      </c>
      <c r="M349" s="233">
        <v>0.15001393499999999</v>
      </c>
      <c r="N349" s="233">
        <v>452.99310339999988</v>
      </c>
    </row>
    <row r="350" spans="1:14" x14ac:dyDescent="0.2">
      <c r="A350" s="233" t="s">
        <v>21</v>
      </c>
      <c r="B350" s="233" t="s">
        <v>10352</v>
      </c>
      <c r="C350" s="233" t="s">
        <v>1</v>
      </c>
      <c r="D350" s="233">
        <v>3</v>
      </c>
      <c r="E350" s="233">
        <v>0.91500000000000004</v>
      </c>
      <c r="F350" s="233" t="s">
        <v>6371</v>
      </c>
      <c r="G350" s="233">
        <v>9.9999999999999995E-7</v>
      </c>
      <c r="H350" s="233">
        <v>9.9999999999999995E-7</v>
      </c>
      <c r="I350" s="233">
        <v>0.22610639483998529</v>
      </c>
      <c r="J350" s="233">
        <v>1.89276027439729</v>
      </c>
      <c r="K350" s="233">
        <v>0</v>
      </c>
      <c r="L350" s="233">
        <v>0</v>
      </c>
      <c r="M350" s="233">
        <v>2.307011245</v>
      </c>
      <c r="N350" s="233">
        <v>1.591818943</v>
      </c>
    </row>
    <row r="351" spans="1:14" x14ac:dyDescent="0.2">
      <c r="A351" s="233" t="s">
        <v>21</v>
      </c>
      <c r="B351" s="233" t="s">
        <v>10353</v>
      </c>
      <c r="C351" s="233" t="s">
        <v>1</v>
      </c>
      <c r="D351" s="233">
        <v>3</v>
      </c>
      <c r="E351" s="233">
        <v>0.91500000000000004</v>
      </c>
      <c r="F351" s="233" t="s">
        <v>6371</v>
      </c>
      <c r="G351" s="233">
        <v>1.0000000000000001E-5</v>
      </c>
      <c r="H351" s="233">
        <v>1.0000000000000001E-5</v>
      </c>
      <c r="I351" s="233">
        <v>0.91812023899999995</v>
      </c>
      <c r="J351" s="233">
        <v>24.321737859999999</v>
      </c>
      <c r="K351" s="233">
        <v>0</v>
      </c>
      <c r="L351" s="233">
        <v>0</v>
      </c>
      <c r="M351" s="233">
        <v>14.163821970000001</v>
      </c>
      <c r="N351" s="233">
        <v>71.619518589999998</v>
      </c>
    </row>
    <row r="352" spans="1:14" x14ac:dyDescent="0.2">
      <c r="A352" s="233" t="s">
        <v>21</v>
      </c>
      <c r="B352" s="233" t="s">
        <v>10353</v>
      </c>
      <c r="C352" s="233" t="s">
        <v>1</v>
      </c>
      <c r="D352" s="233">
        <v>3</v>
      </c>
      <c r="E352" s="233">
        <v>0.91500000000000004</v>
      </c>
      <c r="F352" s="233" t="s">
        <v>6371</v>
      </c>
      <c r="G352" s="233">
        <v>1E-4</v>
      </c>
      <c r="H352" s="233">
        <v>1E-4</v>
      </c>
      <c r="I352" s="233">
        <v>0.12852493000000001</v>
      </c>
      <c r="J352" s="233">
        <v>11.93843088</v>
      </c>
      <c r="K352" s="233">
        <v>0</v>
      </c>
      <c r="L352" s="233">
        <v>0</v>
      </c>
      <c r="M352" s="233">
        <v>3.1988867999999999</v>
      </c>
      <c r="N352" s="233">
        <v>291.41491059999998</v>
      </c>
    </row>
    <row r="353" spans="1:14" x14ac:dyDescent="0.2">
      <c r="A353" s="233" t="s">
        <v>21</v>
      </c>
      <c r="B353" s="233" t="s">
        <v>10352</v>
      </c>
      <c r="C353" s="233" t="s">
        <v>1</v>
      </c>
      <c r="D353" s="233">
        <v>3</v>
      </c>
      <c r="E353" s="233">
        <v>0.91500000000000004</v>
      </c>
      <c r="F353" s="233" t="s">
        <v>6369</v>
      </c>
      <c r="G353" s="233">
        <v>9.9999999999999995E-7</v>
      </c>
      <c r="H353" s="233">
        <v>9.9999999999999995E-7</v>
      </c>
      <c r="I353" s="233">
        <v>3.9657490652874397E-2</v>
      </c>
      <c r="J353" s="233">
        <v>1.019159949149762</v>
      </c>
      <c r="K353" s="233">
        <v>0</v>
      </c>
      <c r="L353" s="233">
        <v>0</v>
      </c>
      <c r="M353" s="233">
        <v>6.2863441900000003</v>
      </c>
      <c r="N353" s="233">
        <v>54.306322270000003</v>
      </c>
    </row>
    <row r="354" spans="1:14" x14ac:dyDescent="0.2">
      <c r="A354" s="233" t="s">
        <v>21</v>
      </c>
      <c r="B354" s="233" t="s">
        <v>10352</v>
      </c>
      <c r="C354" s="233" t="s">
        <v>1</v>
      </c>
      <c r="D354" s="233">
        <v>3</v>
      </c>
      <c r="E354" s="233">
        <v>0.91500000000000004</v>
      </c>
      <c r="F354" s="233" t="s">
        <v>6369</v>
      </c>
      <c r="G354" s="233">
        <v>1.0000000000000001E-5</v>
      </c>
      <c r="H354" s="233">
        <v>1.0000000000000001E-5</v>
      </c>
      <c r="I354" s="233">
        <v>0.17023947612083479</v>
      </c>
      <c r="J354" s="233">
        <v>1.5105253729421459</v>
      </c>
      <c r="K354" s="233">
        <v>0</v>
      </c>
      <c r="L354" s="233">
        <v>0</v>
      </c>
      <c r="M354" s="233">
        <v>6.2092685230000004</v>
      </c>
      <c r="N354" s="233">
        <v>59.571007510000001</v>
      </c>
    </row>
    <row r="355" spans="1:14" x14ac:dyDescent="0.2">
      <c r="A355" s="233" t="s">
        <v>21</v>
      </c>
      <c r="B355" s="233" t="s">
        <v>10353</v>
      </c>
      <c r="C355" s="233" t="s">
        <v>1</v>
      </c>
      <c r="D355" s="233">
        <v>3</v>
      </c>
      <c r="E355" s="233">
        <v>0.91500000000000004</v>
      </c>
      <c r="F355" s="233" t="s">
        <v>6369</v>
      </c>
      <c r="G355" s="233">
        <v>1E-4</v>
      </c>
      <c r="H355" s="233">
        <v>1E-4</v>
      </c>
      <c r="I355" s="233">
        <v>0.324956625</v>
      </c>
      <c r="J355" s="233">
        <v>13.369318249999999</v>
      </c>
      <c r="K355" s="233">
        <v>0</v>
      </c>
      <c r="L355" s="233">
        <v>0</v>
      </c>
      <c r="M355" s="233">
        <v>6.4751240680000004</v>
      </c>
      <c r="N355" s="233">
        <v>60.673360150000001</v>
      </c>
    </row>
    <row r="356" spans="1:14" x14ac:dyDescent="0.2">
      <c r="A356" s="233" t="s">
        <v>21</v>
      </c>
      <c r="B356" s="233" t="s">
        <v>10353</v>
      </c>
      <c r="C356" s="233" t="s">
        <v>1</v>
      </c>
      <c r="D356" s="233">
        <v>3</v>
      </c>
      <c r="E356" s="233">
        <v>0.91500000000000004</v>
      </c>
      <c r="F356" s="233" t="s">
        <v>6369</v>
      </c>
      <c r="G356" s="233">
        <v>1E-3</v>
      </c>
      <c r="H356" s="233">
        <v>1E-3</v>
      </c>
      <c r="I356" s="233">
        <v>4.8059579999999998E-2</v>
      </c>
      <c r="J356" s="233">
        <v>3.1582588399999998</v>
      </c>
      <c r="K356" s="233">
        <v>0</v>
      </c>
      <c r="L356" s="233">
        <v>0</v>
      </c>
      <c r="M356" s="233">
        <v>1.143237259</v>
      </c>
      <c r="N356" s="233">
        <v>222.96126409999999</v>
      </c>
    </row>
    <row r="357" spans="1:14" x14ac:dyDescent="0.2">
      <c r="A357" s="233" t="s">
        <v>21</v>
      </c>
      <c r="B357" s="233" t="s">
        <v>10352</v>
      </c>
      <c r="C357" s="233" t="s">
        <v>1</v>
      </c>
      <c r="D357" s="233">
        <v>3</v>
      </c>
      <c r="E357" s="233">
        <v>0.91500000000000004</v>
      </c>
      <c r="F357" s="233" t="s">
        <v>6369</v>
      </c>
      <c r="G357" s="233">
        <v>5.0000000000000001E-3</v>
      </c>
      <c r="H357" s="233">
        <v>5.0000000000000001E-3</v>
      </c>
      <c r="I357" s="233">
        <v>3.2740421004760163E-2</v>
      </c>
      <c r="J357" s="233">
        <v>22.350203251622119</v>
      </c>
      <c r="K357" s="233">
        <v>0</v>
      </c>
      <c r="L357" s="233">
        <v>0</v>
      </c>
      <c r="M357" s="233">
        <v>0.23313266499999999</v>
      </c>
      <c r="N357" s="233">
        <v>628.04499380000004</v>
      </c>
    </row>
    <row r="358" spans="1:14" x14ac:dyDescent="0.2">
      <c r="A358" s="233" t="s">
        <v>21</v>
      </c>
      <c r="B358" s="233" t="s">
        <v>10352</v>
      </c>
      <c r="C358" s="233" t="s">
        <v>2</v>
      </c>
      <c r="D358" s="233">
        <v>6</v>
      </c>
      <c r="E358" s="233">
        <v>1.35</v>
      </c>
      <c r="F358" s="233" t="s">
        <v>6370</v>
      </c>
      <c r="G358" s="233">
        <v>5.0000000000000002E-5</v>
      </c>
      <c r="H358" s="233">
        <v>9.9999999999999995E-7</v>
      </c>
      <c r="I358" s="233">
        <v>3.6130525209080923E-2</v>
      </c>
      <c r="J358" s="233">
        <v>1.0758640051772239</v>
      </c>
      <c r="K358" s="233">
        <v>0</v>
      </c>
      <c r="L358" s="233">
        <v>0</v>
      </c>
      <c r="M358" s="233">
        <v>5.1059197789999997</v>
      </c>
      <c r="N358" s="233">
        <v>4.2528733010000002</v>
      </c>
    </row>
    <row r="359" spans="1:14" x14ac:dyDescent="0.2">
      <c r="A359" s="233" t="s">
        <v>21</v>
      </c>
      <c r="B359" s="233" t="s">
        <v>10352</v>
      </c>
      <c r="C359" s="233" t="s">
        <v>2</v>
      </c>
      <c r="D359" s="233">
        <v>6</v>
      </c>
      <c r="E359" s="233">
        <v>1.35</v>
      </c>
      <c r="F359" s="233" t="s">
        <v>6370</v>
      </c>
      <c r="G359" s="233">
        <v>1E-4</v>
      </c>
      <c r="H359" s="233">
        <v>1.0000000000000001E-5</v>
      </c>
      <c r="I359" s="233">
        <v>1.553055178586598</v>
      </c>
      <c r="J359" s="233">
        <v>5.0213272563449278</v>
      </c>
      <c r="K359" s="233">
        <v>0</v>
      </c>
      <c r="L359" s="233">
        <v>0</v>
      </c>
      <c r="M359" s="233">
        <v>4.9163146930000003</v>
      </c>
      <c r="N359" s="233">
        <v>4.2030308999999999</v>
      </c>
    </row>
    <row r="360" spans="1:14" x14ac:dyDescent="0.2">
      <c r="A360" s="233" t="s">
        <v>21</v>
      </c>
      <c r="B360" s="233" t="s">
        <v>10353</v>
      </c>
      <c r="C360" s="233" t="s">
        <v>2</v>
      </c>
      <c r="D360" s="233">
        <v>6</v>
      </c>
      <c r="E360" s="233">
        <v>1.35</v>
      </c>
      <c r="F360" s="233" t="s">
        <v>6370</v>
      </c>
      <c r="G360" s="233">
        <v>1E-3</v>
      </c>
      <c r="H360" s="233">
        <v>1E-4</v>
      </c>
      <c r="I360" s="233">
        <v>3013.4003969999999</v>
      </c>
      <c r="J360" s="233">
        <v>406.11420939999999</v>
      </c>
      <c r="K360" s="233">
        <v>0</v>
      </c>
      <c r="L360" s="233">
        <v>0</v>
      </c>
      <c r="M360" s="233">
        <v>406.6087508</v>
      </c>
      <c r="N360" s="233">
        <v>393.14104429999998</v>
      </c>
    </row>
    <row r="361" spans="1:14" x14ac:dyDescent="0.2">
      <c r="A361" s="233" t="s">
        <v>21</v>
      </c>
      <c r="B361" s="233" t="s">
        <v>10353</v>
      </c>
      <c r="C361" s="233" t="s">
        <v>2</v>
      </c>
      <c r="D361" s="233">
        <v>6</v>
      </c>
      <c r="E361" s="233">
        <v>1.35</v>
      </c>
      <c r="F361" s="233" t="s">
        <v>6370</v>
      </c>
      <c r="G361" s="233">
        <v>5.0000000000000001E-3</v>
      </c>
      <c r="H361" s="233">
        <v>1E-3</v>
      </c>
      <c r="I361" s="233">
        <v>378989.79440000007</v>
      </c>
      <c r="J361" s="233">
        <v>4573.8643819999998</v>
      </c>
      <c r="K361" s="233">
        <v>0</v>
      </c>
      <c r="L361" s="233">
        <v>0</v>
      </c>
      <c r="M361" s="233">
        <v>700.02650670000003</v>
      </c>
      <c r="N361" s="233">
        <v>4541.3136679999998</v>
      </c>
    </row>
    <row r="362" spans="1:14" x14ac:dyDescent="0.2">
      <c r="A362" s="233" t="s">
        <v>21</v>
      </c>
      <c r="B362" s="233" t="s">
        <v>10353</v>
      </c>
      <c r="C362" s="233" t="s">
        <v>2</v>
      </c>
      <c r="D362" s="233">
        <v>6</v>
      </c>
      <c r="E362" s="233">
        <v>1.35</v>
      </c>
      <c r="F362" s="233" t="s">
        <v>6370</v>
      </c>
      <c r="G362" s="233">
        <v>2.5000000000000001E-2</v>
      </c>
      <c r="H362" s="233">
        <v>5.0000000000000001E-3</v>
      </c>
      <c r="I362" s="233">
        <v>2226782.6379999998</v>
      </c>
      <c r="J362" s="233">
        <v>11086.85514</v>
      </c>
      <c r="K362" s="233">
        <v>0</v>
      </c>
      <c r="L362" s="233">
        <v>0</v>
      </c>
      <c r="M362" s="233">
        <v>701.07821269999999</v>
      </c>
      <c r="N362" s="233">
        <v>11025.18571</v>
      </c>
    </row>
    <row r="363" spans="1:14" x14ac:dyDescent="0.2">
      <c r="A363" s="233" t="s">
        <v>21</v>
      </c>
      <c r="B363" s="233" t="s">
        <v>10352</v>
      </c>
      <c r="C363" s="233" t="s">
        <v>2</v>
      </c>
      <c r="D363" s="233">
        <v>6</v>
      </c>
      <c r="E363" s="233">
        <v>1.35</v>
      </c>
      <c r="F363" s="233" t="s">
        <v>6371</v>
      </c>
      <c r="G363" s="233">
        <v>9.9999999999999995E-7</v>
      </c>
      <c r="H363" s="233">
        <v>9.9999999999999995E-7</v>
      </c>
      <c r="I363" s="233">
        <v>0.27158853578176501</v>
      </c>
      <c r="J363" s="233">
        <v>1.9505141572878071</v>
      </c>
      <c r="K363" s="233">
        <v>0</v>
      </c>
      <c r="L363" s="233">
        <v>0</v>
      </c>
      <c r="M363" s="233">
        <v>2.0199866630000001</v>
      </c>
      <c r="N363" s="233">
        <v>1.495009566</v>
      </c>
    </row>
    <row r="364" spans="1:14" x14ac:dyDescent="0.2">
      <c r="A364" s="233" t="s">
        <v>21</v>
      </c>
      <c r="B364" s="233" t="s">
        <v>10353</v>
      </c>
      <c r="C364" s="233" t="s">
        <v>2</v>
      </c>
      <c r="D364" s="233">
        <v>6</v>
      </c>
      <c r="E364" s="233">
        <v>1.35</v>
      </c>
      <c r="F364" s="233" t="s">
        <v>6371</v>
      </c>
      <c r="G364" s="233">
        <v>1.0000000000000001E-5</v>
      </c>
      <c r="H364" s="233">
        <v>1.0000000000000001E-5</v>
      </c>
      <c r="I364" s="233">
        <v>449.72430689999999</v>
      </c>
      <c r="J364" s="233">
        <v>154.41762059999999</v>
      </c>
      <c r="K364" s="233">
        <v>0</v>
      </c>
      <c r="L364" s="233">
        <v>0</v>
      </c>
      <c r="M364" s="233">
        <v>155.2555136</v>
      </c>
      <c r="N364" s="233">
        <v>131.37568099999999</v>
      </c>
    </row>
    <row r="365" spans="1:14" x14ac:dyDescent="0.2">
      <c r="A365" s="233" t="s">
        <v>21</v>
      </c>
      <c r="B365" s="233" t="s">
        <v>10353</v>
      </c>
      <c r="C365" s="233" t="s">
        <v>2</v>
      </c>
      <c r="D365" s="233">
        <v>6</v>
      </c>
      <c r="E365" s="233">
        <v>1.35</v>
      </c>
      <c r="F365" s="233" t="s">
        <v>6371</v>
      </c>
      <c r="G365" s="233">
        <v>1E-4</v>
      </c>
      <c r="H365" s="233">
        <v>1E-4</v>
      </c>
      <c r="I365" s="233">
        <v>76516.355939999994</v>
      </c>
      <c r="J365" s="233">
        <v>2055.1648709999999</v>
      </c>
      <c r="K365" s="233">
        <v>0</v>
      </c>
      <c r="L365" s="233">
        <v>0</v>
      </c>
      <c r="M365" s="233">
        <v>2054.9820159999999</v>
      </c>
      <c r="N365" s="233">
        <v>2035.715549</v>
      </c>
    </row>
    <row r="366" spans="1:14" x14ac:dyDescent="0.2">
      <c r="A366" s="233" t="s">
        <v>21</v>
      </c>
      <c r="B366" s="233" t="s">
        <v>10352</v>
      </c>
      <c r="C366" s="233" t="s">
        <v>2</v>
      </c>
      <c r="D366" s="233">
        <v>6</v>
      </c>
      <c r="E366" s="233">
        <v>1.35</v>
      </c>
      <c r="F366" s="233" t="s">
        <v>6369</v>
      </c>
      <c r="G366" s="233">
        <v>9.9999999999999995E-7</v>
      </c>
      <c r="H366" s="233">
        <v>9.9999999999999995E-7</v>
      </c>
      <c r="I366" s="233">
        <v>3.5422505241303547E-2</v>
      </c>
      <c r="J366" s="233">
        <v>1.09334521764665</v>
      </c>
      <c r="K366" s="233">
        <v>0</v>
      </c>
      <c r="L366" s="233">
        <v>0</v>
      </c>
      <c r="M366" s="233">
        <v>1.740113781</v>
      </c>
      <c r="N366" s="233">
        <v>1.128723814</v>
      </c>
    </row>
    <row r="367" spans="1:14" x14ac:dyDescent="0.2">
      <c r="A367" s="233" t="s">
        <v>21</v>
      </c>
      <c r="B367" s="233" t="s">
        <v>10352</v>
      </c>
      <c r="C367" s="233" t="s">
        <v>2</v>
      </c>
      <c r="D367" s="233">
        <v>6</v>
      </c>
      <c r="E367" s="233">
        <v>1.35</v>
      </c>
      <c r="F367" s="233" t="s">
        <v>6369</v>
      </c>
      <c r="G367" s="233">
        <v>1.0000000000000001E-5</v>
      </c>
      <c r="H367" s="233">
        <v>1.0000000000000001E-5</v>
      </c>
      <c r="I367" s="233">
        <v>0.16134087126876601</v>
      </c>
      <c r="J367" s="233">
        <v>1.540017290520322</v>
      </c>
      <c r="K367" s="233">
        <v>0</v>
      </c>
      <c r="L367" s="233">
        <v>0</v>
      </c>
      <c r="M367" s="233">
        <v>1.904970177</v>
      </c>
      <c r="N367" s="233">
        <v>1.1466658329999999</v>
      </c>
    </row>
    <row r="368" spans="1:14" x14ac:dyDescent="0.2">
      <c r="A368" s="233" t="s">
        <v>21</v>
      </c>
      <c r="B368" s="233" t="s">
        <v>10353</v>
      </c>
      <c r="C368" s="233" t="s">
        <v>2</v>
      </c>
      <c r="D368" s="233">
        <v>6</v>
      </c>
      <c r="E368" s="233">
        <v>1.35</v>
      </c>
      <c r="F368" s="233" t="s">
        <v>6369</v>
      </c>
      <c r="G368" s="233">
        <v>1E-4</v>
      </c>
      <c r="H368" s="233">
        <v>1E-4</v>
      </c>
      <c r="I368" s="233">
        <v>354.10385159999998</v>
      </c>
      <c r="J368" s="233">
        <v>137.9157515</v>
      </c>
      <c r="K368" s="233">
        <v>0</v>
      </c>
      <c r="L368" s="233">
        <v>0</v>
      </c>
      <c r="M368" s="233">
        <v>137.49646250000001</v>
      </c>
      <c r="N368" s="233">
        <v>123.0661599</v>
      </c>
    </row>
    <row r="369" spans="1:14" x14ac:dyDescent="0.2">
      <c r="A369" s="233" t="s">
        <v>21</v>
      </c>
      <c r="B369" s="233" t="s">
        <v>10353</v>
      </c>
      <c r="C369" s="233" t="s">
        <v>2</v>
      </c>
      <c r="D369" s="233">
        <v>6</v>
      </c>
      <c r="E369" s="233">
        <v>1.35</v>
      </c>
      <c r="F369" s="233" t="s">
        <v>6369</v>
      </c>
      <c r="G369" s="233">
        <v>1E-3</v>
      </c>
      <c r="H369" s="233">
        <v>1E-3</v>
      </c>
      <c r="I369" s="233">
        <v>463824.68060000002</v>
      </c>
      <c r="J369" s="233">
        <v>5059.9526180000003</v>
      </c>
      <c r="K369" s="233">
        <v>0</v>
      </c>
      <c r="L369" s="233">
        <v>0</v>
      </c>
      <c r="M369" s="233">
        <v>700.19598199999996</v>
      </c>
      <c r="N369" s="233">
        <v>5017.5696889999999</v>
      </c>
    </row>
    <row r="370" spans="1:14" x14ac:dyDescent="0.2">
      <c r="A370" s="233" t="s">
        <v>21</v>
      </c>
      <c r="B370" s="233" t="s">
        <v>10353</v>
      </c>
      <c r="C370" s="233" t="s">
        <v>2</v>
      </c>
      <c r="D370" s="233">
        <v>6</v>
      </c>
      <c r="E370" s="233">
        <v>1.35</v>
      </c>
      <c r="F370" s="233" t="s">
        <v>6369</v>
      </c>
      <c r="G370" s="233">
        <v>5.0000000000000001E-3</v>
      </c>
      <c r="H370" s="233">
        <v>5.0000000000000001E-3</v>
      </c>
      <c r="I370" s="233">
        <v>7206835.8760000002</v>
      </c>
      <c r="J370" s="233">
        <v>19945.35457</v>
      </c>
      <c r="K370" s="233">
        <v>0</v>
      </c>
      <c r="L370" s="233">
        <v>0</v>
      </c>
      <c r="M370" s="233">
        <v>701.40581359999999</v>
      </c>
      <c r="N370" s="233">
        <v>19817.685560000002</v>
      </c>
    </row>
    <row r="371" spans="1:14" x14ac:dyDescent="0.2">
      <c r="A371" s="233" t="s">
        <v>21</v>
      </c>
      <c r="B371" s="233" t="s">
        <v>10352</v>
      </c>
      <c r="C371" s="233" t="s">
        <v>3</v>
      </c>
      <c r="D371" s="233">
        <v>2</v>
      </c>
      <c r="E371" s="233">
        <v>0.88</v>
      </c>
      <c r="F371" s="233" t="s">
        <v>6370</v>
      </c>
      <c r="G371" s="233">
        <v>5.0000000000000002E-5</v>
      </c>
      <c r="H371" s="233">
        <v>9.9999999999999995E-7</v>
      </c>
      <c r="I371" s="233">
        <v>3.6567369508604897E-2</v>
      </c>
      <c r="J371" s="233">
        <v>1.099255687976199</v>
      </c>
      <c r="K371" s="233">
        <v>0</v>
      </c>
      <c r="L371" s="233">
        <v>0</v>
      </c>
      <c r="M371" s="233">
        <v>3.4374725289999999</v>
      </c>
      <c r="N371" s="233">
        <v>4.2690931729999999</v>
      </c>
    </row>
    <row r="372" spans="1:14" x14ac:dyDescent="0.2">
      <c r="A372" s="233" t="s">
        <v>21</v>
      </c>
      <c r="B372" s="233" t="s">
        <v>10352</v>
      </c>
      <c r="C372" s="233" t="s">
        <v>3</v>
      </c>
      <c r="D372" s="233">
        <v>2</v>
      </c>
      <c r="E372" s="233">
        <v>0.88</v>
      </c>
      <c r="F372" s="233" t="s">
        <v>6370</v>
      </c>
      <c r="G372" s="233">
        <v>1E-4</v>
      </c>
      <c r="H372" s="233">
        <v>1.0000000000000001E-5</v>
      </c>
      <c r="I372" s="233">
        <v>0.39487520402087151</v>
      </c>
      <c r="J372" s="233">
        <v>3.9578151858560959</v>
      </c>
      <c r="K372" s="233">
        <v>0</v>
      </c>
      <c r="L372" s="233">
        <v>0</v>
      </c>
      <c r="M372" s="233">
        <v>3.3667159949999999</v>
      </c>
      <c r="N372" s="233">
        <v>4.2122899079999998</v>
      </c>
    </row>
    <row r="373" spans="1:14" x14ac:dyDescent="0.2">
      <c r="A373" s="233" t="s">
        <v>21</v>
      </c>
      <c r="B373" s="233" t="s">
        <v>10353</v>
      </c>
      <c r="C373" s="233" t="s">
        <v>3</v>
      </c>
      <c r="D373" s="233">
        <v>2</v>
      </c>
      <c r="E373" s="233">
        <v>0.88</v>
      </c>
      <c r="F373" s="233" t="s">
        <v>6370</v>
      </c>
      <c r="G373" s="233">
        <v>1E-3</v>
      </c>
      <c r="H373" s="233">
        <v>1E-4</v>
      </c>
      <c r="I373" s="233">
        <v>0.18188321199999999</v>
      </c>
      <c r="J373" s="233">
        <v>16.676415299999999</v>
      </c>
      <c r="K373" s="233">
        <v>0</v>
      </c>
      <c r="L373" s="233">
        <v>0</v>
      </c>
      <c r="M373" s="233">
        <v>4.7337103999999997</v>
      </c>
      <c r="N373" s="233">
        <v>115.8037918</v>
      </c>
    </row>
    <row r="374" spans="1:14" x14ac:dyDescent="0.2">
      <c r="A374" s="233" t="s">
        <v>21</v>
      </c>
      <c r="B374" s="233" t="s">
        <v>10352</v>
      </c>
      <c r="C374" s="233" t="s">
        <v>3</v>
      </c>
      <c r="D374" s="233">
        <v>2</v>
      </c>
      <c r="E374" s="233">
        <v>0.88</v>
      </c>
      <c r="F374" s="233" t="s">
        <v>6370</v>
      </c>
      <c r="G374" s="233">
        <v>5.0000000000000001E-3</v>
      </c>
      <c r="H374" s="233">
        <v>1E-3</v>
      </c>
      <c r="I374" s="233">
        <v>2.6084983236543381E-2</v>
      </c>
      <c r="J374" s="233">
        <v>15.02207801746979</v>
      </c>
      <c r="K374" s="233">
        <v>0</v>
      </c>
      <c r="L374" s="233">
        <v>0</v>
      </c>
      <c r="M374" s="233">
        <v>0.583443029</v>
      </c>
      <c r="N374" s="233">
        <v>276.98164250000002</v>
      </c>
    </row>
    <row r="375" spans="1:14" x14ac:dyDescent="0.2">
      <c r="A375" s="233" t="s">
        <v>21</v>
      </c>
      <c r="B375" s="233" t="s">
        <v>10352</v>
      </c>
      <c r="C375" s="233" t="s">
        <v>3</v>
      </c>
      <c r="D375" s="233">
        <v>2</v>
      </c>
      <c r="E375" s="233">
        <v>0.88</v>
      </c>
      <c r="F375" s="233" t="s">
        <v>6370</v>
      </c>
      <c r="G375" s="233">
        <v>2.5000000000000001E-2</v>
      </c>
      <c r="H375" s="233">
        <v>5.0000000000000001E-3</v>
      </c>
      <c r="I375" s="233">
        <v>2.7002516573416329E-2</v>
      </c>
      <c r="J375" s="233">
        <v>1.1494804666492131</v>
      </c>
      <c r="K375" s="233">
        <v>0</v>
      </c>
      <c r="L375" s="233">
        <v>0</v>
      </c>
      <c r="M375" s="233">
        <v>0.117624302</v>
      </c>
      <c r="N375" s="233">
        <v>375.22941909999997</v>
      </c>
    </row>
    <row r="376" spans="1:14" x14ac:dyDescent="0.2">
      <c r="A376" s="233" t="s">
        <v>21</v>
      </c>
      <c r="B376" s="233" t="s">
        <v>10352</v>
      </c>
      <c r="C376" s="233" t="s">
        <v>3</v>
      </c>
      <c r="D376" s="233">
        <v>2</v>
      </c>
      <c r="E376" s="233">
        <v>0.88</v>
      </c>
      <c r="F376" s="233" t="s">
        <v>6371</v>
      </c>
      <c r="G376" s="233">
        <v>9.9999999999999995E-7</v>
      </c>
      <c r="H376" s="233">
        <v>9.9999999999999995E-7</v>
      </c>
      <c r="I376" s="233">
        <v>0.21075876588722081</v>
      </c>
      <c r="J376" s="233">
        <v>1.92672710702197</v>
      </c>
      <c r="K376" s="233">
        <v>0</v>
      </c>
      <c r="L376" s="233">
        <v>0</v>
      </c>
      <c r="M376" s="233">
        <v>2.001139808</v>
      </c>
      <c r="N376" s="233">
        <v>1.654637403</v>
      </c>
    </row>
    <row r="377" spans="1:14" x14ac:dyDescent="0.2">
      <c r="A377" s="233" t="s">
        <v>21</v>
      </c>
      <c r="B377" s="233" t="s">
        <v>10353</v>
      </c>
      <c r="C377" s="233" t="s">
        <v>3</v>
      </c>
      <c r="D377" s="233">
        <v>2</v>
      </c>
      <c r="E377" s="233">
        <v>0.88</v>
      </c>
      <c r="F377" s="233" t="s">
        <v>6371</v>
      </c>
      <c r="G377" s="233">
        <v>1.0000000000000001E-5</v>
      </c>
      <c r="H377" s="233">
        <v>1.0000000000000001E-5</v>
      </c>
      <c r="I377" s="233">
        <v>0.71017862399999998</v>
      </c>
      <c r="J377" s="233">
        <v>22.3931316</v>
      </c>
      <c r="K377" s="233">
        <v>0</v>
      </c>
      <c r="L377" s="233">
        <v>0</v>
      </c>
      <c r="M377" s="233">
        <v>12.29233112</v>
      </c>
      <c r="N377" s="233">
        <v>69.509433619999996</v>
      </c>
    </row>
    <row r="378" spans="1:14" x14ac:dyDescent="0.2">
      <c r="A378" s="233" t="s">
        <v>21</v>
      </c>
      <c r="B378" s="233" t="s">
        <v>10353</v>
      </c>
      <c r="C378" s="233" t="s">
        <v>3</v>
      </c>
      <c r="D378" s="233">
        <v>2</v>
      </c>
      <c r="E378" s="233">
        <v>0.88</v>
      </c>
      <c r="F378" s="233" t="s">
        <v>6371</v>
      </c>
      <c r="G378" s="233">
        <v>1E-4</v>
      </c>
      <c r="H378" s="233">
        <v>1E-4</v>
      </c>
      <c r="I378" s="233">
        <v>9.2926888999999999E-2</v>
      </c>
      <c r="J378" s="233">
        <v>7.8787159850000004</v>
      </c>
      <c r="K378" s="233">
        <v>0</v>
      </c>
      <c r="L378" s="233">
        <v>0</v>
      </c>
      <c r="M378" s="233">
        <v>2.462650912</v>
      </c>
      <c r="N378" s="233">
        <v>275.89711130000001</v>
      </c>
    </row>
    <row r="379" spans="1:14" x14ac:dyDescent="0.2">
      <c r="A379" s="233" t="s">
        <v>21</v>
      </c>
      <c r="B379" s="233" t="s">
        <v>10352</v>
      </c>
      <c r="C379" s="233" t="s">
        <v>3</v>
      </c>
      <c r="D379" s="233">
        <v>2</v>
      </c>
      <c r="E379" s="233">
        <v>0.88</v>
      </c>
      <c r="F379" s="233" t="s">
        <v>6369</v>
      </c>
      <c r="G379" s="233">
        <v>9.9999999999999995E-7</v>
      </c>
      <c r="H379" s="233">
        <v>9.9999999999999995E-7</v>
      </c>
      <c r="I379" s="233">
        <v>3.9985203132552168E-2</v>
      </c>
      <c r="J379" s="233">
        <v>1.07780221297803</v>
      </c>
      <c r="K379" s="233">
        <v>0</v>
      </c>
      <c r="L379" s="233">
        <v>0</v>
      </c>
      <c r="M379" s="233">
        <v>1.7038802120000001</v>
      </c>
      <c r="N379" s="233">
        <v>1.1420894079999999</v>
      </c>
    </row>
    <row r="380" spans="1:14" x14ac:dyDescent="0.2">
      <c r="A380" s="233" t="s">
        <v>21</v>
      </c>
      <c r="B380" s="233" t="s">
        <v>10352</v>
      </c>
      <c r="C380" s="233" t="s">
        <v>3</v>
      </c>
      <c r="D380" s="233">
        <v>2</v>
      </c>
      <c r="E380" s="233">
        <v>0.88</v>
      </c>
      <c r="F380" s="233" t="s">
        <v>6369</v>
      </c>
      <c r="G380" s="233">
        <v>1.0000000000000001E-5</v>
      </c>
      <c r="H380" s="233">
        <v>1.0000000000000001E-5</v>
      </c>
      <c r="I380" s="233">
        <v>0.14236696215159281</v>
      </c>
      <c r="J380" s="233">
        <v>1.5460711346528739</v>
      </c>
      <c r="K380" s="233">
        <v>0</v>
      </c>
      <c r="L380" s="233">
        <v>0</v>
      </c>
      <c r="M380" s="233">
        <v>5.3288495630000003</v>
      </c>
      <c r="N380" s="233">
        <v>56.682953649999988</v>
      </c>
    </row>
    <row r="381" spans="1:14" x14ac:dyDescent="0.2">
      <c r="A381" s="233" t="s">
        <v>21</v>
      </c>
      <c r="B381" s="233" t="s">
        <v>10353</v>
      </c>
      <c r="C381" s="233" t="s">
        <v>3</v>
      </c>
      <c r="D381" s="233">
        <v>2</v>
      </c>
      <c r="E381" s="233">
        <v>0.88</v>
      </c>
      <c r="F381" s="233" t="s">
        <v>6369</v>
      </c>
      <c r="G381" s="233">
        <v>1E-4</v>
      </c>
      <c r="H381" s="233">
        <v>1E-4</v>
      </c>
      <c r="I381" s="233">
        <v>0.24961499300000001</v>
      </c>
      <c r="J381" s="233">
        <v>12.2845192</v>
      </c>
      <c r="K381" s="233">
        <v>0</v>
      </c>
      <c r="L381" s="233">
        <v>0</v>
      </c>
      <c r="M381" s="233">
        <v>5.6333201759999998</v>
      </c>
      <c r="N381" s="233">
        <v>60.020731660000003</v>
      </c>
    </row>
    <row r="382" spans="1:14" x14ac:dyDescent="0.2">
      <c r="A382" s="233" t="s">
        <v>21</v>
      </c>
      <c r="B382" s="233" t="s">
        <v>10352</v>
      </c>
      <c r="C382" s="233" t="s">
        <v>3</v>
      </c>
      <c r="D382" s="233">
        <v>2</v>
      </c>
      <c r="E382" s="233">
        <v>0.88</v>
      </c>
      <c r="F382" s="233" t="s">
        <v>6369</v>
      </c>
      <c r="G382" s="233">
        <v>1E-3</v>
      </c>
      <c r="H382" s="233">
        <v>1E-3</v>
      </c>
      <c r="I382" s="233">
        <v>4.3937060595752468E-2</v>
      </c>
      <c r="J382" s="233">
        <v>3.1172631680556568</v>
      </c>
      <c r="K382" s="233">
        <v>0</v>
      </c>
      <c r="L382" s="233">
        <v>0</v>
      </c>
      <c r="M382" s="233">
        <v>0.90845156399999993</v>
      </c>
      <c r="N382" s="233">
        <v>227.2843809</v>
      </c>
    </row>
    <row r="383" spans="1:14" x14ac:dyDescent="0.2">
      <c r="A383" s="233" t="s">
        <v>21</v>
      </c>
      <c r="B383" s="233" t="s">
        <v>10352</v>
      </c>
      <c r="C383" s="233" t="s">
        <v>3</v>
      </c>
      <c r="D383" s="233">
        <v>2</v>
      </c>
      <c r="E383" s="233">
        <v>0.88</v>
      </c>
      <c r="F383" s="233" t="s">
        <v>6369</v>
      </c>
      <c r="G383" s="233">
        <v>5.0000000000000001E-3</v>
      </c>
      <c r="H383" s="233">
        <v>5.0000000000000001E-3</v>
      </c>
      <c r="I383" s="233">
        <v>3.1014137385939219E-2</v>
      </c>
      <c r="J383" s="233">
        <v>1.3607500405532771</v>
      </c>
      <c r="K383" s="233">
        <v>0</v>
      </c>
      <c r="L383" s="233">
        <v>0</v>
      </c>
      <c r="M383" s="233">
        <v>0.184538067</v>
      </c>
      <c r="N383" s="233">
        <v>587.74160219999999</v>
      </c>
    </row>
    <row r="384" spans="1:14" x14ac:dyDescent="0.2">
      <c r="A384" s="233" t="s">
        <v>21</v>
      </c>
      <c r="B384" s="233" t="s">
        <v>10352</v>
      </c>
      <c r="C384" s="233" t="s">
        <v>23</v>
      </c>
      <c r="D384" s="233">
        <v>5</v>
      </c>
      <c r="E384" s="233">
        <v>1.06</v>
      </c>
      <c r="F384" s="233" t="s">
        <v>6370</v>
      </c>
      <c r="G384" s="233">
        <v>5.0000000000000002E-5</v>
      </c>
      <c r="H384" s="233">
        <v>9.9999999999999995E-7</v>
      </c>
      <c r="I384" s="233">
        <v>3.7338468292932997E-2</v>
      </c>
      <c r="J384" s="233">
        <v>1.09521816733907</v>
      </c>
      <c r="K384" s="233">
        <v>0</v>
      </c>
      <c r="L384" s="233">
        <v>0</v>
      </c>
      <c r="M384" s="233">
        <v>2.6594308340000001</v>
      </c>
      <c r="N384" s="233">
        <v>2.833458136</v>
      </c>
    </row>
    <row r="385" spans="1:14" x14ac:dyDescent="0.2">
      <c r="A385" s="233" t="s">
        <v>21</v>
      </c>
      <c r="B385" s="233" t="s">
        <v>10352</v>
      </c>
      <c r="C385" s="233" t="s">
        <v>23</v>
      </c>
      <c r="D385" s="233">
        <v>5</v>
      </c>
      <c r="E385" s="233">
        <v>1.06</v>
      </c>
      <c r="F385" s="233" t="s">
        <v>6370</v>
      </c>
      <c r="G385" s="233">
        <v>1E-4</v>
      </c>
      <c r="H385" s="233">
        <v>1.0000000000000001E-5</v>
      </c>
      <c r="I385" s="233">
        <v>0.58132267116221148</v>
      </c>
      <c r="J385" s="233">
        <v>4.1198471601669713</v>
      </c>
      <c r="K385" s="233">
        <v>0</v>
      </c>
      <c r="L385" s="233">
        <v>0</v>
      </c>
      <c r="M385" s="233">
        <v>2.7581808429999999</v>
      </c>
      <c r="N385" s="233">
        <v>2.914122087</v>
      </c>
    </row>
    <row r="386" spans="1:14" x14ac:dyDescent="0.2">
      <c r="A386" s="233" t="s">
        <v>21</v>
      </c>
      <c r="B386" s="233" t="s">
        <v>10353</v>
      </c>
      <c r="C386" s="233" t="s">
        <v>23</v>
      </c>
      <c r="D386" s="233">
        <v>5</v>
      </c>
      <c r="E386" s="233">
        <v>1.06</v>
      </c>
      <c r="F386" s="233" t="s">
        <v>6370</v>
      </c>
      <c r="G386" s="233">
        <v>1E-3</v>
      </c>
      <c r="H386" s="233">
        <v>1E-4</v>
      </c>
      <c r="I386" s="233">
        <v>75.037198959999998</v>
      </c>
      <c r="J386" s="233">
        <v>69.775511870000003</v>
      </c>
      <c r="K386" s="233">
        <v>0</v>
      </c>
      <c r="L386" s="233">
        <v>0</v>
      </c>
      <c r="M386" s="233">
        <v>64.995325440000002</v>
      </c>
      <c r="N386" s="233">
        <v>121.06065649999999</v>
      </c>
    </row>
    <row r="387" spans="1:14" x14ac:dyDescent="0.2">
      <c r="A387" s="233" t="s">
        <v>21</v>
      </c>
      <c r="B387" s="233" t="s">
        <v>10353</v>
      </c>
      <c r="C387" s="233" t="s">
        <v>23</v>
      </c>
      <c r="D387" s="233">
        <v>5</v>
      </c>
      <c r="E387" s="233">
        <v>1.06</v>
      </c>
      <c r="F387" s="233" t="s">
        <v>6370</v>
      </c>
      <c r="G387" s="233">
        <v>5.0000000000000001E-3</v>
      </c>
      <c r="H387" s="233">
        <v>1E-3</v>
      </c>
      <c r="I387" s="233">
        <v>23995.576980000002</v>
      </c>
      <c r="J387" s="233">
        <v>1150.893499</v>
      </c>
      <c r="K387" s="233">
        <v>0</v>
      </c>
      <c r="L387" s="233">
        <v>0</v>
      </c>
      <c r="M387" s="233">
        <v>694.37516340000002</v>
      </c>
      <c r="N387" s="233">
        <v>1098.2777000000001</v>
      </c>
    </row>
    <row r="388" spans="1:14" x14ac:dyDescent="0.2">
      <c r="A388" s="233" t="s">
        <v>21</v>
      </c>
      <c r="B388" s="233" t="s">
        <v>10353</v>
      </c>
      <c r="C388" s="233" t="s">
        <v>23</v>
      </c>
      <c r="D388" s="233">
        <v>5</v>
      </c>
      <c r="E388" s="233">
        <v>1.06</v>
      </c>
      <c r="F388" s="233" t="s">
        <v>6370</v>
      </c>
      <c r="G388" s="233">
        <v>2.5000000000000001E-2</v>
      </c>
      <c r="H388" s="233">
        <v>5.0000000000000001E-3</v>
      </c>
      <c r="I388" s="233">
        <v>267119.50199999998</v>
      </c>
      <c r="J388" s="233">
        <v>3839.9212750000002</v>
      </c>
      <c r="K388" s="233">
        <v>0</v>
      </c>
      <c r="L388" s="233">
        <v>0</v>
      </c>
      <c r="M388" s="233">
        <v>699.60268710000003</v>
      </c>
      <c r="N388" s="233">
        <v>3672.445702</v>
      </c>
    </row>
    <row r="389" spans="1:14" x14ac:dyDescent="0.2">
      <c r="A389" s="233" t="s">
        <v>21</v>
      </c>
      <c r="B389" s="233" t="s">
        <v>10352</v>
      </c>
      <c r="C389" s="233" t="s">
        <v>23</v>
      </c>
      <c r="D389" s="233">
        <v>5</v>
      </c>
      <c r="E389" s="233">
        <v>1.06</v>
      </c>
      <c r="F389" s="233" t="s">
        <v>6371</v>
      </c>
      <c r="G389" s="233">
        <v>9.9999999999999995E-7</v>
      </c>
      <c r="H389" s="233">
        <v>9.9999999999999995E-7</v>
      </c>
      <c r="I389" s="233">
        <v>0.2361000582039546</v>
      </c>
      <c r="J389" s="233">
        <v>1.908813379882826</v>
      </c>
      <c r="K389" s="233">
        <v>0</v>
      </c>
      <c r="L389" s="233">
        <v>0</v>
      </c>
      <c r="M389" s="233">
        <v>2.3791416070000002</v>
      </c>
      <c r="N389" s="233">
        <v>1.523996981</v>
      </c>
    </row>
    <row r="390" spans="1:14" x14ac:dyDescent="0.2">
      <c r="A390" s="233" t="s">
        <v>21</v>
      </c>
      <c r="B390" s="233" t="s">
        <v>10353</v>
      </c>
      <c r="C390" s="233" t="s">
        <v>23</v>
      </c>
      <c r="D390" s="233">
        <v>5</v>
      </c>
      <c r="E390" s="233">
        <v>1.06</v>
      </c>
      <c r="F390" s="233" t="s">
        <v>6371</v>
      </c>
      <c r="G390" s="233">
        <v>1.0000000000000001E-5</v>
      </c>
      <c r="H390" s="233">
        <v>1.0000000000000001E-5</v>
      </c>
      <c r="I390" s="233">
        <v>14.92109703</v>
      </c>
      <c r="J390" s="233">
        <v>40.057865880000001</v>
      </c>
      <c r="K390" s="233">
        <v>0</v>
      </c>
      <c r="L390" s="233">
        <v>0</v>
      </c>
      <c r="M390" s="233">
        <v>38.030897809999999</v>
      </c>
      <c r="N390" s="233">
        <v>81.443917400000004</v>
      </c>
    </row>
    <row r="391" spans="1:14" x14ac:dyDescent="0.2">
      <c r="A391" s="233" t="s">
        <v>21</v>
      </c>
      <c r="B391" s="233" t="s">
        <v>10353</v>
      </c>
      <c r="C391" s="233" t="s">
        <v>23</v>
      </c>
      <c r="D391" s="233">
        <v>5</v>
      </c>
      <c r="E391" s="233">
        <v>1.06</v>
      </c>
      <c r="F391" s="233" t="s">
        <v>6371</v>
      </c>
      <c r="G391" s="233">
        <v>1E-4</v>
      </c>
      <c r="H391" s="233">
        <v>1E-4</v>
      </c>
      <c r="I391" s="233">
        <v>4487.8641909999997</v>
      </c>
      <c r="J391" s="233">
        <v>499.42990170000002</v>
      </c>
      <c r="K391" s="233">
        <v>0</v>
      </c>
      <c r="L391" s="233">
        <v>0</v>
      </c>
      <c r="M391" s="233">
        <v>473.83749970000002</v>
      </c>
      <c r="N391" s="233">
        <v>524.30224399999997</v>
      </c>
    </row>
    <row r="392" spans="1:14" x14ac:dyDescent="0.2">
      <c r="A392" s="233" t="s">
        <v>21</v>
      </c>
      <c r="B392" s="233" t="s">
        <v>10352</v>
      </c>
      <c r="C392" s="233" t="s">
        <v>23</v>
      </c>
      <c r="D392" s="233">
        <v>5</v>
      </c>
      <c r="E392" s="233">
        <v>1.06</v>
      </c>
      <c r="F392" s="233" t="s">
        <v>6369</v>
      </c>
      <c r="G392" s="233">
        <v>9.9999999999999995E-7</v>
      </c>
      <c r="H392" s="233">
        <v>9.9999999999999995E-7</v>
      </c>
      <c r="I392" s="233">
        <v>3.9212291785426581E-2</v>
      </c>
      <c r="J392" s="233">
        <v>1.049037697512633</v>
      </c>
      <c r="K392" s="233">
        <v>0</v>
      </c>
      <c r="L392" s="233">
        <v>0</v>
      </c>
      <c r="M392" s="233">
        <v>1.3712372799999999</v>
      </c>
      <c r="N392" s="233">
        <v>1.4286151439999999</v>
      </c>
    </row>
    <row r="393" spans="1:14" x14ac:dyDescent="0.2">
      <c r="A393" s="233" t="s">
        <v>21</v>
      </c>
      <c r="B393" s="233" t="s">
        <v>10352</v>
      </c>
      <c r="C393" s="233" t="s">
        <v>23</v>
      </c>
      <c r="D393" s="233">
        <v>5</v>
      </c>
      <c r="E393" s="233">
        <v>1.06</v>
      </c>
      <c r="F393" s="233" t="s">
        <v>6369</v>
      </c>
      <c r="G393" s="233">
        <v>1.0000000000000001E-5</v>
      </c>
      <c r="H393" s="233">
        <v>1.0000000000000001E-5</v>
      </c>
      <c r="I393" s="233">
        <v>0.14613197047015741</v>
      </c>
      <c r="J393" s="233">
        <v>1.5763870895584029</v>
      </c>
      <c r="K393" s="233">
        <v>0</v>
      </c>
      <c r="L393" s="233">
        <v>0</v>
      </c>
      <c r="M393" s="233">
        <v>21.721663639999999</v>
      </c>
      <c r="N393" s="233">
        <v>56.433350150000003</v>
      </c>
    </row>
    <row r="394" spans="1:14" x14ac:dyDescent="0.2">
      <c r="A394" s="233" t="s">
        <v>21</v>
      </c>
      <c r="B394" s="233" t="s">
        <v>10353</v>
      </c>
      <c r="C394" s="233" t="s">
        <v>23</v>
      </c>
      <c r="D394" s="233">
        <v>5</v>
      </c>
      <c r="E394" s="233">
        <v>1.06</v>
      </c>
      <c r="F394" s="233" t="s">
        <v>6369</v>
      </c>
      <c r="G394" s="233">
        <v>1E-4</v>
      </c>
      <c r="H394" s="233">
        <v>1E-4</v>
      </c>
      <c r="I394" s="233">
        <v>7.8109563709999996</v>
      </c>
      <c r="J394" s="233">
        <v>24.514060659999998</v>
      </c>
      <c r="K394" s="233">
        <v>0</v>
      </c>
      <c r="L394" s="233">
        <v>0</v>
      </c>
      <c r="M394" s="233">
        <v>23.076845599999999</v>
      </c>
      <c r="N394" s="233">
        <v>58.26332609</v>
      </c>
    </row>
    <row r="395" spans="1:14" x14ac:dyDescent="0.2">
      <c r="A395" s="233" t="s">
        <v>21</v>
      </c>
      <c r="B395" s="233" t="s">
        <v>10353</v>
      </c>
      <c r="C395" s="233" t="s">
        <v>23</v>
      </c>
      <c r="D395" s="233">
        <v>5</v>
      </c>
      <c r="E395" s="233">
        <v>1.06</v>
      </c>
      <c r="F395" s="233" t="s">
        <v>6369</v>
      </c>
      <c r="G395" s="233">
        <v>1E-3</v>
      </c>
      <c r="H395" s="233">
        <v>1E-3</v>
      </c>
      <c r="I395" s="233">
        <v>17648.563689999999</v>
      </c>
      <c r="J395" s="233">
        <v>987.01605380000001</v>
      </c>
      <c r="K395" s="233">
        <v>0</v>
      </c>
      <c r="L395" s="233">
        <v>0</v>
      </c>
      <c r="M395" s="233">
        <v>693.04206120000003</v>
      </c>
      <c r="N395" s="233">
        <v>941.81597690000001</v>
      </c>
    </row>
    <row r="396" spans="1:14" x14ac:dyDescent="0.2">
      <c r="A396" s="233" t="s">
        <v>21</v>
      </c>
      <c r="B396" s="233" t="s">
        <v>10353</v>
      </c>
      <c r="C396" s="233" t="s">
        <v>23</v>
      </c>
      <c r="D396" s="233">
        <v>5</v>
      </c>
      <c r="E396" s="233">
        <v>1.06</v>
      </c>
      <c r="F396" s="233" t="s">
        <v>6369</v>
      </c>
      <c r="G396" s="233">
        <v>5.0000000000000001E-3</v>
      </c>
      <c r="H396" s="233">
        <v>5.0000000000000001E-3</v>
      </c>
      <c r="I396" s="233">
        <v>571644.46239999996</v>
      </c>
      <c r="J396" s="233">
        <v>5617.3635850000001</v>
      </c>
      <c r="K396" s="233">
        <v>0</v>
      </c>
      <c r="L396" s="233">
        <v>0</v>
      </c>
      <c r="M396" s="233">
        <v>700.28633390000005</v>
      </c>
      <c r="N396" s="233">
        <v>5320.1297869999999</v>
      </c>
    </row>
    <row r="397" spans="1:14" x14ac:dyDescent="0.2">
      <c r="A397" s="233" t="s">
        <v>94</v>
      </c>
      <c r="B397" s="233" t="s">
        <v>10370</v>
      </c>
      <c r="C397" s="233" t="s">
        <v>5</v>
      </c>
      <c r="D397" s="233">
        <v>1</v>
      </c>
      <c r="E397" s="233">
        <v>0.03</v>
      </c>
      <c r="F397" s="233" t="s">
        <v>6370</v>
      </c>
      <c r="G397" s="233">
        <v>5.0000000000000002E-5</v>
      </c>
      <c r="H397" s="233">
        <v>9.9999999999999995E-7</v>
      </c>
      <c r="I397" s="233">
        <v>7.3484587811094446E-2</v>
      </c>
      <c r="J397" s="233">
        <v>4.2458985057751129</v>
      </c>
      <c r="K397" s="233">
        <v>2.95039136255144E-2</v>
      </c>
      <c r="L397" s="233">
        <v>0.151288056</v>
      </c>
      <c r="M397" s="233">
        <v>6.9261561222222226E-2</v>
      </c>
      <c r="N397" s="233">
        <v>1.167649392302849</v>
      </c>
    </row>
    <row r="398" spans="1:14" x14ac:dyDescent="0.2">
      <c r="A398" s="233" t="s">
        <v>94</v>
      </c>
      <c r="B398" s="233" t="s">
        <v>10370</v>
      </c>
      <c r="C398" s="233" t="s">
        <v>5</v>
      </c>
      <c r="D398" s="233">
        <v>1</v>
      </c>
      <c r="E398" s="233">
        <v>0.03</v>
      </c>
      <c r="F398" s="233" t="s">
        <v>6370</v>
      </c>
      <c r="G398" s="233">
        <v>1E-4</v>
      </c>
      <c r="H398" s="233">
        <v>1.0000000000000001E-5</v>
      </c>
      <c r="I398" s="233">
        <v>0.1962210796866567</v>
      </c>
      <c r="J398" s="233">
        <v>8.2498424005052478</v>
      </c>
      <c r="K398" s="233">
        <v>0</v>
      </c>
      <c r="L398" s="233">
        <v>6.0150375999999992E-2</v>
      </c>
      <c r="M398" s="233">
        <v>0</v>
      </c>
      <c r="N398" s="233">
        <v>6.271372349</v>
      </c>
    </row>
    <row r="399" spans="1:14" x14ac:dyDescent="0.2">
      <c r="A399" s="233" t="s">
        <v>94</v>
      </c>
      <c r="B399" s="233" t="s">
        <v>10370</v>
      </c>
      <c r="C399" s="233" t="s">
        <v>5</v>
      </c>
      <c r="D399" s="233">
        <v>1</v>
      </c>
      <c r="E399" s="233">
        <v>0.03</v>
      </c>
      <c r="F399" s="233" t="s">
        <v>6370</v>
      </c>
      <c r="G399" s="233">
        <v>1E-3</v>
      </c>
      <c r="H399" s="233">
        <v>1E-4</v>
      </c>
      <c r="I399" s="233">
        <v>5.4997096043478258E-2</v>
      </c>
      <c r="J399" s="233">
        <v>8.5685199820689668</v>
      </c>
      <c r="K399" s="233">
        <v>5.6572386967078191E-2</v>
      </c>
      <c r="L399" s="233">
        <v>1.3670182451514239</v>
      </c>
      <c r="M399" s="233">
        <v>3.49554509055144</v>
      </c>
      <c r="N399" s="233">
        <v>66.527001151544226</v>
      </c>
    </row>
    <row r="400" spans="1:14" x14ac:dyDescent="0.2">
      <c r="A400" s="233" t="s">
        <v>94</v>
      </c>
      <c r="B400" s="233" t="s">
        <v>10370</v>
      </c>
      <c r="C400" s="233" t="s">
        <v>5</v>
      </c>
      <c r="D400" s="233">
        <v>1</v>
      </c>
      <c r="E400" s="233">
        <v>0.03</v>
      </c>
      <c r="F400" s="233" t="s">
        <v>6370</v>
      </c>
      <c r="G400" s="233">
        <v>5.0000000000000001E-3</v>
      </c>
      <c r="H400" s="233">
        <v>1E-3</v>
      </c>
      <c r="I400" s="233">
        <v>6.398800431484257E-2</v>
      </c>
      <c r="J400" s="233">
        <v>3.707757066928036</v>
      </c>
      <c r="K400" s="233">
        <v>3.7828503395802099E-2</v>
      </c>
      <c r="L400" s="233">
        <v>0.1034845436641679</v>
      </c>
      <c r="M400" s="233">
        <v>0.14438360606596701</v>
      </c>
      <c r="N400" s="233">
        <v>60.847157612953517</v>
      </c>
    </row>
    <row r="401" spans="1:14" x14ac:dyDescent="0.2">
      <c r="A401" s="233" t="s">
        <v>94</v>
      </c>
      <c r="B401" s="233" t="s">
        <v>10370</v>
      </c>
      <c r="C401" s="233" t="s">
        <v>5</v>
      </c>
      <c r="D401" s="233">
        <v>1</v>
      </c>
      <c r="E401" s="233">
        <v>0.03</v>
      </c>
      <c r="F401" s="233" t="s">
        <v>6370</v>
      </c>
      <c r="G401" s="233">
        <v>2.5000000000000001E-2</v>
      </c>
      <c r="H401" s="233">
        <v>5.0000000000000001E-3</v>
      </c>
      <c r="I401" s="233">
        <v>6.600191541529235E-2</v>
      </c>
      <c r="J401" s="233">
        <v>4.3739173621529241</v>
      </c>
      <c r="K401" s="233">
        <v>5.1049039333333331E-2</v>
      </c>
      <c r="L401" s="233">
        <v>0.117073171</v>
      </c>
      <c r="M401" s="233">
        <v>0.18385887860905351</v>
      </c>
      <c r="N401" s="233">
        <v>0.41594811462668668</v>
      </c>
    </row>
    <row r="402" spans="1:14" x14ac:dyDescent="0.2">
      <c r="A402" s="233" t="s">
        <v>94</v>
      </c>
      <c r="B402" s="233" t="s">
        <v>10370</v>
      </c>
      <c r="C402" s="233" t="s">
        <v>5</v>
      </c>
      <c r="D402" s="233">
        <v>1</v>
      </c>
      <c r="E402" s="233">
        <v>0.03</v>
      </c>
      <c r="F402" s="233" t="s">
        <v>6371</v>
      </c>
      <c r="G402" s="233">
        <v>9.9999999999999995E-7</v>
      </c>
      <c r="H402" s="233">
        <v>9.9999999999999995E-7</v>
      </c>
      <c r="I402" s="233">
        <v>9.0619095442278863E-2</v>
      </c>
      <c r="J402" s="233">
        <v>3.8372556602833581</v>
      </c>
      <c r="K402" s="233">
        <v>6.6666666999999999E-2</v>
      </c>
      <c r="L402" s="233">
        <v>0.242361694245877</v>
      </c>
      <c r="M402" s="233">
        <v>0.98942696200000002</v>
      </c>
      <c r="N402" s="233">
        <v>1.168504173583208</v>
      </c>
    </row>
    <row r="403" spans="1:14" x14ac:dyDescent="0.2">
      <c r="A403" s="233" t="s">
        <v>94</v>
      </c>
      <c r="B403" s="233" t="s">
        <v>10370</v>
      </c>
      <c r="C403" s="233" t="s">
        <v>5</v>
      </c>
      <c r="D403" s="233">
        <v>1</v>
      </c>
      <c r="E403" s="233">
        <v>0.03</v>
      </c>
      <c r="F403" s="233" t="s">
        <v>6371</v>
      </c>
      <c r="G403" s="233">
        <v>1.0000000000000001E-5</v>
      </c>
      <c r="H403" s="233">
        <v>1.0000000000000001E-5</v>
      </c>
      <c r="I403" s="233">
        <v>9.9390848934032994E-2</v>
      </c>
      <c r="J403" s="233">
        <v>13.896902238320839</v>
      </c>
      <c r="K403" s="233">
        <v>7.9734218999999995E-2</v>
      </c>
      <c r="L403" s="233">
        <v>0</v>
      </c>
      <c r="M403" s="233">
        <v>9.7523805380000006</v>
      </c>
      <c r="N403" s="233">
        <v>27.467203399999999</v>
      </c>
    </row>
    <row r="404" spans="1:14" x14ac:dyDescent="0.2">
      <c r="A404" s="233" t="s">
        <v>94</v>
      </c>
      <c r="B404" s="233" t="s">
        <v>10370</v>
      </c>
      <c r="C404" s="233" t="s">
        <v>5</v>
      </c>
      <c r="D404" s="233">
        <v>1</v>
      </c>
      <c r="E404" s="233">
        <v>0.03</v>
      </c>
      <c r="F404" s="233" t="s">
        <v>6371</v>
      </c>
      <c r="G404" s="233">
        <v>1E-4</v>
      </c>
      <c r="H404" s="233">
        <v>1E-4</v>
      </c>
      <c r="I404" s="233">
        <v>5.8565241652173923E-2</v>
      </c>
      <c r="J404" s="233">
        <v>4.4236778984197898</v>
      </c>
      <c r="K404" s="233">
        <v>3.9410224439280363E-2</v>
      </c>
      <c r="L404" s="233">
        <v>0.27438150472563722</v>
      </c>
      <c r="M404" s="233">
        <v>0.46241095526986509</v>
      </c>
      <c r="N404" s="233">
        <v>208.69018552983511</v>
      </c>
    </row>
    <row r="405" spans="1:14" x14ac:dyDescent="0.2">
      <c r="A405" s="233" t="s">
        <v>94</v>
      </c>
      <c r="B405" s="233" t="s">
        <v>10370</v>
      </c>
      <c r="C405" s="233" t="s">
        <v>5</v>
      </c>
      <c r="D405" s="233">
        <v>1</v>
      </c>
      <c r="E405" s="233">
        <v>0.03</v>
      </c>
      <c r="F405" s="233" t="s">
        <v>6369</v>
      </c>
      <c r="G405" s="233">
        <v>9.9999999999999995E-7</v>
      </c>
      <c r="H405" s="233">
        <v>9.9999999999999995E-7</v>
      </c>
      <c r="I405" s="233">
        <v>5.5719282383808091E-2</v>
      </c>
      <c r="J405" s="233">
        <v>4.4461652301109442</v>
      </c>
      <c r="K405" s="233">
        <v>2.4450494802098949E-2</v>
      </c>
      <c r="L405" s="233">
        <v>0.16850442723456791</v>
      </c>
      <c r="M405" s="233">
        <v>2.41595939173913</v>
      </c>
      <c r="N405" s="233">
        <v>0.53245026054572719</v>
      </c>
    </row>
    <row r="406" spans="1:14" x14ac:dyDescent="0.2">
      <c r="A406" s="233" t="s">
        <v>94</v>
      </c>
      <c r="B406" s="233" t="s">
        <v>10370</v>
      </c>
      <c r="C406" s="233" t="s">
        <v>5</v>
      </c>
      <c r="D406" s="233">
        <v>1</v>
      </c>
      <c r="E406" s="233">
        <v>0.03</v>
      </c>
      <c r="F406" s="233" t="s">
        <v>6369</v>
      </c>
      <c r="G406" s="233">
        <v>1.0000000000000001E-5</v>
      </c>
      <c r="H406" s="233">
        <v>1.0000000000000001E-5</v>
      </c>
      <c r="I406" s="233">
        <v>7.2416458488755622E-2</v>
      </c>
      <c r="J406" s="233">
        <v>3.9522003797481249</v>
      </c>
      <c r="K406" s="233">
        <v>5.3654563310344829E-2</v>
      </c>
      <c r="L406" s="233">
        <v>0.15716037301949029</v>
      </c>
      <c r="M406" s="233">
        <v>0.6059852631544228</v>
      </c>
      <c r="N406" s="233">
        <v>0.75380443198200908</v>
      </c>
    </row>
    <row r="407" spans="1:14" x14ac:dyDescent="0.2">
      <c r="A407" s="233" t="s">
        <v>94</v>
      </c>
      <c r="B407" s="233" t="s">
        <v>10370</v>
      </c>
      <c r="C407" s="233" t="s">
        <v>5</v>
      </c>
      <c r="D407" s="233">
        <v>1</v>
      </c>
      <c r="E407" s="233">
        <v>0.03</v>
      </c>
      <c r="F407" s="233" t="s">
        <v>6369</v>
      </c>
      <c r="G407" s="233">
        <v>1E-4</v>
      </c>
      <c r="H407" s="233">
        <v>1E-4</v>
      </c>
      <c r="I407" s="233">
        <v>6.6708543895052472E-2</v>
      </c>
      <c r="J407" s="233">
        <v>9.5821804288635697</v>
      </c>
      <c r="K407" s="233">
        <v>7.9234575185185188E-2</v>
      </c>
      <c r="L407" s="233">
        <v>0.44579533900000001</v>
      </c>
      <c r="M407" s="233">
        <v>10.33664757015638</v>
      </c>
      <c r="N407" s="233">
        <v>30.281738636255142</v>
      </c>
    </row>
    <row r="408" spans="1:14" x14ac:dyDescent="0.2">
      <c r="A408" s="233" t="s">
        <v>94</v>
      </c>
      <c r="B408" s="233" t="s">
        <v>10370</v>
      </c>
      <c r="C408" s="233" t="s">
        <v>5</v>
      </c>
      <c r="D408" s="233">
        <v>1</v>
      </c>
      <c r="E408" s="233">
        <v>0.03</v>
      </c>
      <c r="F408" s="233" t="s">
        <v>6369</v>
      </c>
      <c r="G408" s="233">
        <v>1E-3</v>
      </c>
      <c r="H408" s="233">
        <v>1E-3</v>
      </c>
      <c r="I408" s="233">
        <v>5.7412237952023992E-2</v>
      </c>
      <c r="J408" s="233">
        <v>3.8472673645637179</v>
      </c>
      <c r="K408" s="233">
        <v>3.5104178040479772E-2</v>
      </c>
      <c r="L408" s="233">
        <v>0.22843922169265371</v>
      </c>
      <c r="M408" s="233">
        <v>0.25943535371064469</v>
      </c>
      <c r="N408" s="233">
        <v>255.95162058725629</v>
      </c>
    </row>
    <row r="409" spans="1:14" x14ac:dyDescent="0.2">
      <c r="A409" s="233" t="s">
        <v>94</v>
      </c>
      <c r="B409" s="233" t="s">
        <v>10370</v>
      </c>
      <c r="C409" s="233" t="s">
        <v>5</v>
      </c>
      <c r="D409" s="233">
        <v>1</v>
      </c>
      <c r="E409" s="233">
        <v>0.03</v>
      </c>
      <c r="F409" s="233" t="s">
        <v>6369</v>
      </c>
      <c r="G409" s="233">
        <v>5.0000000000000001E-3</v>
      </c>
      <c r="H409" s="233">
        <v>5.0000000000000001E-3</v>
      </c>
      <c r="I409" s="233">
        <v>6.4882482052473767E-2</v>
      </c>
      <c r="J409" s="233">
        <v>3.7607894123808099</v>
      </c>
      <c r="K409" s="233">
        <v>6.622225444855967E-2</v>
      </c>
      <c r="L409" s="233">
        <v>0.27456564964609048</v>
      </c>
      <c r="M409" s="233">
        <v>2.9717516300411521E-2</v>
      </c>
      <c r="N409" s="233">
        <v>32.116968724773663</v>
      </c>
    </row>
    <row r="410" spans="1:14" x14ac:dyDescent="0.2">
      <c r="A410" s="233" t="s">
        <v>94</v>
      </c>
      <c r="B410" s="233" t="s">
        <v>10370</v>
      </c>
      <c r="C410" s="233" t="s">
        <v>0</v>
      </c>
      <c r="D410" s="233">
        <v>4</v>
      </c>
      <c r="E410" s="233">
        <v>0.95299999999999996</v>
      </c>
      <c r="F410" s="233" t="s">
        <v>6370</v>
      </c>
      <c r="G410" s="233">
        <v>5.0000000000000002E-5</v>
      </c>
      <c r="H410" s="233">
        <v>9.9999999999999995E-7</v>
      </c>
      <c r="I410" s="233">
        <v>7.6709551845577206E-2</v>
      </c>
      <c r="J410" s="233">
        <v>3.4268101113088458</v>
      </c>
      <c r="K410" s="233">
        <v>7.1720051514403291E-2</v>
      </c>
      <c r="L410" s="233">
        <v>0.31481842861333342</v>
      </c>
      <c r="M410" s="233">
        <v>0.38935592319753082</v>
      </c>
      <c r="N410" s="233">
        <v>0.67849276247526236</v>
      </c>
    </row>
    <row r="411" spans="1:14" x14ac:dyDescent="0.2">
      <c r="A411" s="233" t="s">
        <v>94</v>
      </c>
      <c r="B411" s="233" t="s">
        <v>10370</v>
      </c>
      <c r="C411" s="233" t="s">
        <v>0</v>
      </c>
      <c r="D411" s="233">
        <v>4</v>
      </c>
      <c r="E411" s="233">
        <v>0.95299999999999996</v>
      </c>
      <c r="F411" s="233" t="s">
        <v>6370</v>
      </c>
      <c r="G411" s="233">
        <v>1E-4</v>
      </c>
      <c r="H411" s="233">
        <v>1.0000000000000001E-5</v>
      </c>
      <c r="I411" s="233">
        <v>0.43940848980359809</v>
      </c>
      <c r="J411" s="233">
        <v>10.145393617979011</v>
      </c>
      <c r="K411" s="233">
        <v>0</v>
      </c>
      <c r="L411" s="233">
        <v>6.1381074000000008E-2</v>
      </c>
      <c r="M411" s="233">
        <v>0</v>
      </c>
      <c r="N411" s="233">
        <v>4.2945932060000001</v>
      </c>
    </row>
    <row r="412" spans="1:14" x14ac:dyDescent="0.2">
      <c r="A412" s="233" t="s">
        <v>94</v>
      </c>
      <c r="B412" s="233" t="s">
        <v>10370</v>
      </c>
      <c r="C412" s="233" t="s">
        <v>0</v>
      </c>
      <c r="D412" s="233">
        <v>4</v>
      </c>
      <c r="E412" s="233">
        <v>0.95299999999999996</v>
      </c>
      <c r="F412" s="233" t="s">
        <v>6370</v>
      </c>
      <c r="G412" s="233">
        <v>1E-3</v>
      </c>
      <c r="H412" s="233">
        <v>1E-4</v>
      </c>
      <c r="I412" s="233">
        <v>0.39996287827736132</v>
      </c>
      <c r="J412" s="233">
        <v>30.433887932098951</v>
      </c>
      <c r="K412" s="233">
        <v>0</v>
      </c>
      <c r="L412" s="233">
        <v>0</v>
      </c>
      <c r="M412" s="233">
        <v>0</v>
      </c>
      <c r="N412" s="233">
        <v>0</v>
      </c>
    </row>
    <row r="413" spans="1:14" x14ac:dyDescent="0.2">
      <c r="A413" s="233" t="s">
        <v>94</v>
      </c>
      <c r="B413" s="233" t="s">
        <v>10370</v>
      </c>
      <c r="C413" s="233" t="s">
        <v>0</v>
      </c>
      <c r="D413" s="233">
        <v>4</v>
      </c>
      <c r="E413" s="233">
        <v>0.95299999999999996</v>
      </c>
      <c r="F413" s="233" t="s">
        <v>6370</v>
      </c>
      <c r="G413" s="233">
        <v>5.0000000000000001E-3</v>
      </c>
      <c r="H413" s="233">
        <v>1E-3</v>
      </c>
      <c r="I413" s="233">
        <v>6.9704892865067467E-2</v>
      </c>
      <c r="J413" s="233">
        <v>10.143994348009</v>
      </c>
      <c r="K413" s="233">
        <v>4.7095331491754107E-2</v>
      </c>
      <c r="L413" s="233">
        <v>0.90148630460719648</v>
      </c>
      <c r="M413" s="233">
        <v>11.052598565011991</v>
      </c>
      <c r="N413" s="233">
        <v>180.7581996637181</v>
      </c>
    </row>
    <row r="414" spans="1:14" x14ac:dyDescent="0.2">
      <c r="A414" s="233" t="s">
        <v>94</v>
      </c>
      <c r="B414" s="233" t="s">
        <v>10370</v>
      </c>
      <c r="C414" s="233" t="s">
        <v>0</v>
      </c>
      <c r="D414" s="233">
        <v>4</v>
      </c>
      <c r="E414" s="233">
        <v>0.95299999999999996</v>
      </c>
      <c r="F414" s="233" t="s">
        <v>6370</v>
      </c>
      <c r="G414" s="233">
        <v>2.5000000000000001E-2</v>
      </c>
      <c r="H414" s="233">
        <v>5.0000000000000001E-3</v>
      </c>
      <c r="I414" s="233">
        <v>6.0971828962518737E-2</v>
      </c>
      <c r="J414" s="233">
        <v>4.4081539588305851</v>
      </c>
      <c r="K414" s="233">
        <v>3.9868673539730143E-2</v>
      </c>
      <c r="L414" s="233">
        <v>3.4167868736625508E-2</v>
      </c>
      <c r="M414" s="233">
        <v>0.25100349219340329</v>
      </c>
      <c r="N414" s="233">
        <v>412.80293602173907</v>
      </c>
    </row>
    <row r="415" spans="1:14" x14ac:dyDescent="0.2">
      <c r="A415" s="233" t="s">
        <v>94</v>
      </c>
      <c r="B415" s="233" t="s">
        <v>10370</v>
      </c>
      <c r="C415" s="233" t="s">
        <v>0</v>
      </c>
      <c r="D415" s="233">
        <v>4</v>
      </c>
      <c r="E415" s="233">
        <v>0.95299999999999996</v>
      </c>
      <c r="F415" s="233" t="s">
        <v>6371</v>
      </c>
      <c r="G415" s="233">
        <v>9.9999999999999995E-7</v>
      </c>
      <c r="H415" s="233">
        <v>9.9999999999999995E-7</v>
      </c>
      <c r="I415" s="233">
        <v>9.952634151274363E-2</v>
      </c>
      <c r="J415" s="233">
        <v>3.7173792448320842</v>
      </c>
      <c r="K415" s="233">
        <v>4.8582996000000003E-2</v>
      </c>
      <c r="L415" s="233">
        <v>6.5848584898050969E-2</v>
      </c>
      <c r="M415" s="233">
        <v>0.67842239400000004</v>
      </c>
      <c r="N415" s="233">
        <v>1.2520784001334331</v>
      </c>
    </row>
    <row r="416" spans="1:14" x14ac:dyDescent="0.2">
      <c r="A416" s="233" t="s">
        <v>94</v>
      </c>
      <c r="B416" s="233" t="s">
        <v>10370</v>
      </c>
      <c r="C416" s="233" t="s">
        <v>0</v>
      </c>
      <c r="D416" s="233">
        <v>4</v>
      </c>
      <c r="E416" s="233">
        <v>0.95299999999999996</v>
      </c>
      <c r="F416" s="233" t="s">
        <v>6371</v>
      </c>
      <c r="G416" s="233">
        <v>1.0000000000000001E-5</v>
      </c>
      <c r="H416" s="233">
        <v>1.0000000000000001E-5</v>
      </c>
      <c r="I416" s="233">
        <v>1.04215499861919</v>
      </c>
      <c r="J416" s="233">
        <v>28.863253365637171</v>
      </c>
      <c r="K416" s="233">
        <v>0</v>
      </c>
      <c r="L416" s="233">
        <v>0</v>
      </c>
      <c r="M416" s="233">
        <v>0</v>
      </c>
      <c r="N416" s="233">
        <v>0</v>
      </c>
    </row>
    <row r="417" spans="1:14" x14ac:dyDescent="0.2">
      <c r="A417" s="233" t="s">
        <v>94</v>
      </c>
      <c r="B417" s="233" t="s">
        <v>10370</v>
      </c>
      <c r="C417" s="233" t="s">
        <v>0</v>
      </c>
      <c r="D417" s="233">
        <v>4</v>
      </c>
      <c r="E417" s="233">
        <v>0.95299999999999996</v>
      </c>
      <c r="F417" s="233" t="s">
        <v>6371</v>
      </c>
      <c r="G417" s="233">
        <v>1E-4</v>
      </c>
      <c r="H417" s="233">
        <v>1E-4</v>
      </c>
      <c r="I417" s="233">
        <v>0.31725433520689661</v>
      </c>
      <c r="J417" s="233">
        <v>54.874449190614698</v>
      </c>
      <c r="K417" s="233">
        <v>7.7328573999999997E-2</v>
      </c>
      <c r="L417" s="233">
        <v>6.7499999969999998</v>
      </c>
      <c r="M417" s="233">
        <v>6.5066106809999997</v>
      </c>
      <c r="N417" s="233">
        <v>140.87547570000001</v>
      </c>
    </row>
    <row r="418" spans="1:14" x14ac:dyDescent="0.2">
      <c r="A418" s="233" t="s">
        <v>94</v>
      </c>
      <c r="B418" s="233" t="s">
        <v>10370</v>
      </c>
      <c r="C418" s="233" t="s">
        <v>0</v>
      </c>
      <c r="D418" s="233">
        <v>4</v>
      </c>
      <c r="E418" s="233">
        <v>0.95299999999999996</v>
      </c>
      <c r="F418" s="233" t="s">
        <v>6369</v>
      </c>
      <c r="G418" s="233">
        <v>9.9999999999999995E-7</v>
      </c>
      <c r="H418" s="233">
        <v>9.9999999999999995E-7</v>
      </c>
      <c r="I418" s="233">
        <v>5.8522335986506753E-2</v>
      </c>
      <c r="J418" s="233">
        <v>4.281861094025488</v>
      </c>
      <c r="K418" s="233">
        <v>2.4289086983706722E-2</v>
      </c>
      <c r="L418" s="233">
        <v>0.139534884</v>
      </c>
      <c r="M418" s="233">
        <v>0.40346510566191451</v>
      </c>
      <c r="N418" s="233">
        <v>0.39691289697901039</v>
      </c>
    </row>
    <row r="419" spans="1:14" x14ac:dyDescent="0.2">
      <c r="A419" s="233" t="s">
        <v>94</v>
      </c>
      <c r="B419" s="233" t="s">
        <v>10370</v>
      </c>
      <c r="C419" s="233" t="s">
        <v>0</v>
      </c>
      <c r="D419" s="233">
        <v>4</v>
      </c>
      <c r="E419" s="233">
        <v>0.95299999999999996</v>
      </c>
      <c r="F419" s="233" t="s">
        <v>6369</v>
      </c>
      <c r="G419" s="233">
        <v>1.0000000000000001E-5</v>
      </c>
      <c r="H419" s="233">
        <v>1.0000000000000001E-5</v>
      </c>
      <c r="I419" s="233">
        <v>8.0404906835082446E-2</v>
      </c>
      <c r="J419" s="233">
        <v>3.5614948100000001</v>
      </c>
      <c r="K419" s="233">
        <v>5.3569028744855973E-2</v>
      </c>
      <c r="L419" s="233">
        <v>0.30814200794902552</v>
      </c>
      <c r="M419" s="233">
        <v>0.83576950791769555</v>
      </c>
      <c r="N419" s="233">
        <v>0.99002039948275833</v>
      </c>
    </row>
    <row r="420" spans="1:14" x14ac:dyDescent="0.2">
      <c r="A420" s="233" t="s">
        <v>94</v>
      </c>
      <c r="B420" s="233" t="s">
        <v>10370</v>
      </c>
      <c r="C420" s="233" t="s">
        <v>0</v>
      </c>
      <c r="D420" s="233">
        <v>4</v>
      </c>
      <c r="E420" s="233">
        <v>0.95299999999999996</v>
      </c>
      <c r="F420" s="233" t="s">
        <v>6369</v>
      </c>
      <c r="G420" s="233">
        <v>1E-4</v>
      </c>
      <c r="H420" s="233">
        <v>1E-4</v>
      </c>
      <c r="I420" s="233">
        <v>0.36359758503598189</v>
      </c>
      <c r="J420" s="233">
        <v>17.732600922533742</v>
      </c>
      <c r="K420" s="233">
        <v>0</v>
      </c>
      <c r="L420" s="233">
        <v>0</v>
      </c>
      <c r="M420" s="233">
        <v>0</v>
      </c>
      <c r="N420" s="233">
        <v>0</v>
      </c>
    </row>
    <row r="421" spans="1:14" x14ac:dyDescent="0.2">
      <c r="A421" s="233" t="s">
        <v>94</v>
      </c>
      <c r="B421" s="233" t="s">
        <v>10370</v>
      </c>
      <c r="C421" s="233" t="s">
        <v>0</v>
      </c>
      <c r="D421" s="233">
        <v>4</v>
      </c>
      <c r="E421" s="233">
        <v>0.95299999999999996</v>
      </c>
      <c r="F421" s="233" t="s">
        <v>6369</v>
      </c>
      <c r="G421" s="233">
        <v>1E-3</v>
      </c>
      <c r="H421" s="233">
        <v>1E-3</v>
      </c>
      <c r="I421" s="233">
        <v>8.2903527917541228E-2</v>
      </c>
      <c r="J421" s="233">
        <v>22.919253167515741</v>
      </c>
      <c r="K421" s="233">
        <v>7.0965397100449787E-2</v>
      </c>
      <c r="L421" s="233">
        <v>5.3748125921754122</v>
      </c>
      <c r="M421" s="233">
        <v>9.0082558509310342</v>
      </c>
      <c r="N421" s="233">
        <v>161.95490883013491</v>
      </c>
    </row>
    <row r="422" spans="1:14" x14ac:dyDescent="0.2">
      <c r="A422" s="233" t="s">
        <v>94</v>
      </c>
      <c r="B422" s="233" t="s">
        <v>10370</v>
      </c>
      <c r="C422" s="233" t="s">
        <v>0</v>
      </c>
      <c r="D422" s="233">
        <v>4</v>
      </c>
      <c r="E422" s="233">
        <v>0.95299999999999996</v>
      </c>
      <c r="F422" s="233" t="s">
        <v>6369</v>
      </c>
      <c r="G422" s="233">
        <v>5.0000000000000001E-3</v>
      </c>
      <c r="H422" s="233">
        <v>5.0000000000000001E-3</v>
      </c>
      <c r="I422" s="233">
        <v>6.5665987557721142E-2</v>
      </c>
      <c r="J422" s="233">
        <v>3.680745785275862</v>
      </c>
      <c r="K422" s="233">
        <v>4.0592606802098953E-2</v>
      </c>
      <c r="L422" s="233">
        <v>0.36495264554422779</v>
      </c>
      <c r="M422" s="233">
        <v>0.45687746159070458</v>
      </c>
      <c r="N422" s="233">
        <v>528.08293593748135</v>
      </c>
    </row>
    <row r="423" spans="1:14" x14ac:dyDescent="0.2">
      <c r="A423" s="233" t="s">
        <v>94</v>
      </c>
      <c r="B423" s="233" t="s">
        <v>10370</v>
      </c>
      <c r="C423" s="233" t="s">
        <v>1</v>
      </c>
      <c r="D423" s="233">
        <v>3</v>
      </c>
      <c r="E423" s="233">
        <v>0.91500000000000004</v>
      </c>
      <c r="F423" s="233" t="s">
        <v>6370</v>
      </c>
      <c r="G423" s="233">
        <v>5.0000000000000002E-5</v>
      </c>
      <c r="H423" s="233">
        <v>9.9999999999999995E-7</v>
      </c>
      <c r="I423" s="233">
        <v>7.7320775226386806E-2</v>
      </c>
      <c r="J423" s="233">
        <v>3.511581726136431</v>
      </c>
      <c r="K423" s="233">
        <v>2.9877502152263369E-2</v>
      </c>
      <c r="L423" s="233">
        <v>1.2561648047706151</v>
      </c>
      <c r="M423" s="233">
        <v>0.6359402473868313</v>
      </c>
      <c r="N423" s="233">
        <v>1.0914168190314839</v>
      </c>
    </row>
    <row r="424" spans="1:14" x14ac:dyDescent="0.2">
      <c r="A424" s="233" t="s">
        <v>94</v>
      </c>
      <c r="B424" s="233" t="s">
        <v>10370</v>
      </c>
      <c r="C424" s="233" t="s">
        <v>1</v>
      </c>
      <c r="D424" s="233">
        <v>3</v>
      </c>
      <c r="E424" s="233">
        <v>0.91500000000000004</v>
      </c>
      <c r="F424" s="233" t="s">
        <v>6370</v>
      </c>
      <c r="G424" s="233">
        <v>1E-4</v>
      </c>
      <c r="H424" s="233">
        <v>1.0000000000000001E-5</v>
      </c>
      <c r="I424" s="233">
        <v>0.39767769841679163</v>
      </c>
      <c r="J424" s="233">
        <v>9.8798398364602686</v>
      </c>
      <c r="K424" s="233">
        <v>0</v>
      </c>
      <c r="L424" s="233">
        <v>6.2176165999999998E-2</v>
      </c>
      <c r="M424" s="233">
        <v>0</v>
      </c>
      <c r="N424" s="233">
        <v>4.3294785969999996</v>
      </c>
    </row>
    <row r="425" spans="1:14" x14ac:dyDescent="0.2">
      <c r="A425" s="233" t="s">
        <v>94</v>
      </c>
      <c r="B425" s="233" t="s">
        <v>10370</v>
      </c>
      <c r="C425" s="233" t="s">
        <v>1</v>
      </c>
      <c r="D425" s="233">
        <v>3</v>
      </c>
      <c r="E425" s="233">
        <v>0.91500000000000004</v>
      </c>
      <c r="F425" s="233" t="s">
        <v>6370</v>
      </c>
      <c r="G425" s="233">
        <v>1E-3</v>
      </c>
      <c r="H425" s="233">
        <v>1E-4</v>
      </c>
      <c r="I425" s="233">
        <v>0.26938217110344831</v>
      </c>
      <c r="J425" s="233">
        <v>28.141580906176909</v>
      </c>
      <c r="K425" s="233">
        <v>0</v>
      </c>
      <c r="L425" s="233">
        <v>0</v>
      </c>
      <c r="M425" s="233">
        <v>0</v>
      </c>
      <c r="N425" s="233">
        <v>0</v>
      </c>
    </row>
    <row r="426" spans="1:14" x14ac:dyDescent="0.2">
      <c r="A426" s="233" t="s">
        <v>94</v>
      </c>
      <c r="B426" s="233" t="s">
        <v>10370</v>
      </c>
      <c r="C426" s="233" t="s">
        <v>1</v>
      </c>
      <c r="D426" s="233">
        <v>3</v>
      </c>
      <c r="E426" s="233">
        <v>0.91500000000000004</v>
      </c>
      <c r="F426" s="233" t="s">
        <v>6370</v>
      </c>
      <c r="G426" s="233">
        <v>5.0000000000000001E-3</v>
      </c>
      <c r="H426" s="233">
        <v>1E-3</v>
      </c>
      <c r="I426" s="233">
        <v>5.7971207199400313E-2</v>
      </c>
      <c r="J426" s="233">
        <v>5.7045657942158909</v>
      </c>
      <c r="K426" s="233">
        <v>3.7778899067466273E-2</v>
      </c>
      <c r="L426" s="233">
        <v>0.1047885462219959</v>
      </c>
      <c r="M426" s="233">
        <v>5.1346128215727136</v>
      </c>
      <c r="N426" s="233">
        <v>243.26916917331329</v>
      </c>
    </row>
    <row r="427" spans="1:14" x14ac:dyDescent="0.2">
      <c r="A427" s="233" t="s">
        <v>94</v>
      </c>
      <c r="B427" s="233" t="s">
        <v>10370</v>
      </c>
      <c r="C427" s="233" t="s">
        <v>1</v>
      </c>
      <c r="D427" s="233">
        <v>3</v>
      </c>
      <c r="E427" s="233">
        <v>0.91500000000000004</v>
      </c>
      <c r="F427" s="233" t="s">
        <v>6370</v>
      </c>
      <c r="G427" s="233">
        <v>2.5000000000000001E-2</v>
      </c>
      <c r="H427" s="233">
        <v>5.0000000000000001E-3</v>
      </c>
      <c r="I427" s="233">
        <v>5.8434712002998497E-2</v>
      </c>
      <c r="J427" s="233">
        <v>4.4995608159070466</v>
      </c>
      <c r="K427" s="233">
        <v>3.8821973127436293E-2</v>
      </c>
      <c r="L427" s="233">
        <v>0.55813953500000002</v>
      </c>
      <c r="M427" s="233">
        <v>0.16952557238980509</v>
      </c>
      <c r="N427" s="233">
        <v>222.55874261349331</v>
      </c>
    </row>
    <row r="428" spans="1:14" x14ac:dyDescent="0.2">
      <c r="A428" s="233" t="s">
        <v>94</v>
      </c>
      <c r="B428" s="233" t="s">
        <v>10370</v>
      </c>
      <c r="C428" s="233" t="s">
        <v>1</v>
      </c>
      <c r="D428" s="233">
        <v>3</v>
      </c>
      <c r="E428" s="233">
        <v>0.91500000000000004</v>
      </c>
      <c r="F428" s="233" t="s">
        <v>6371</v>
      </c>
      <c r="G428" s="233">
        <v>9.9999999999999995E-7</v>
      </c>
      <c r="H428" s="233">
        <v>9.9999999999999995E-7</v>
      </c>
      <c r="I428" s="233">
        <v>0.10860634420689649</v>
      </c>
      <c r="J428" s="233">
        <v>3.6931676810464769</v>
      </c>
      <c r="K428" s="233">
        <v>5.1508076E-2</v>
      </c>
      <c r="L428" s="233">
        <v>0.15585470398800599</v>
      </c>
      <c r="M428" s="233">
        <v>2.4162496959999999</v>
      </c>
      <c r="N428" s="233">
        <v>1.2236117945757119</v>
      </c>
    </row>
    <row r="429" spans="1:14" x14ac:dyDescent="0.2">
      <c r="A429" s="233" t="s">
        <v>94</v>
      </c>
      <c r="B429" s="233" t="s">
        <v>10370</v>
      </c>
      <c r="C429" s="233" t="s">
        <v>1</v>
      </c>
      <c r="D429" s="233">
        <v>3</v>
      </c>
      <c r="E429" s="233">
        <v>0.91500000000000004</v>
      </c>
      <c r="F429" s="233" t="s">
        <v>6371</v>
      </c>
      <c r="G429" s="233">
        <v>1.0000000000000001E-5</v>
      </c>
      <c r="H429" s="233">
        <v>1.0000000000000001E-5</v>
      </c>
      <c r="I429" s="233">
        <v>0.75487502270764617</v>
      </c>
      <c r="J429" s="233">
        <v>27.327700034497749</v>
      </c>
      <c r="K429" s="233">
        <v>0</v>
      </c>
      <c r="L429" s="233">
        <v>0</v>
      </c>
      <c r="M429" s="233">
        <v>0</v>
      </c>
      <c r="N429" s="233">
        <v>0</v>
      </c>
    </row>
    <row r="430" spans="1:14" x14ac:dyDescent="0.2">
      <c r="A430" s="233" t="s">
        <v>94</v>
      </c>
      <c r="B430" s="233" t="s">
        <v>10370</v>
      </c>
      <c r="C430" s="233" t="s">
        <v>1</v>
      </c>
      <c r="D430" s="233">
        <v>3</v>
      </c>
      <c r="E430" s="233">
        <v>0.91500000000000004</v>
      </c>
      <c r="F430" s="233" t="s">
        <v>6371</v>
      </c>
      <c r="G430" s="233">
        <v>1E-4</v>
      </c>
      <c r="H430" s="233">
        <v>1E-4</v>
      </c>
      <c r="I430" s="233">
        <v>0.1814111392788606</v>
      </c>
      <c r="J430" s="233">
        <v>47.287385359754118</v>
      </c>
      <c r="K430" s="233">
        <v>5.2980131999999999E-2</v>
      </c>
      <c r="L430" s="233">
        <v>0.19672131100000001</v>
      </c>
      <c r="M430" s="233">
        <v>3.93868353</v>
      </c>
      <c r="N430" s="233">
        <v>206.7391854</v>
      </c>
    </row>
    <row r="431" spans="1:14" x14ac:dyDescent="0.2">
      <c r="A431" s="233" t="s">
        <v>94</v>
      </c>
      <c r="B431" s="233" t="s">
        <v>10370</v>
      </c>
      <c r="C431" s="233" t="s">
        <v>1</v>
      </c>
      <c r="D431" s="233">
        <v>3</v>
      </c>
      <c r="E431" s="233">
        <v>0.91500000000000004</v>
      </c>
      <c r="F431" s="233" t="s">
        <v>6369</v>
      </c>
      <c r="G431" s="233">
        <v>9.9999999999999995E-7</v>
      </c>
      <c r="H431" s="233">
        <v>9.9999999999999995E-7</v>
      </c>
      <c r="I431" s="233">
        <v>6.2658275913043487E-2</v>
      </c>
      <c r="J431" s="233">
        <v>3.5161084050734628</v>
      </c>
      <c r="K431" s="233">
        <v>3.6123406014992497E-2</v>
      </c>
      <c r="L431" s="233">
        <v>2.1071115000000001E-2</v>
      </c>
      <c r="M431" s="233">
        <v>0.44174122670914551</v>
      </c>
      <c r="N431" s="233">
        <v>0.75187680084557718</v>
      </c>
    </row>
    <row r="432" spans="1:14" x14ac:dyDescent="0.2">
      <c r="A432" s="233" t="s">
        <v>94</v>
      </c>
      <c r="B432" s="233" t="s">
        <v>10370</v>
      </c>
      <c r="C432" s="233" t="s">
        <v>1</v>
      </c>
      <c r="D432" s="233">
        <v>3</v>
      </c>
      <c r="E432" s="233">
        <v>0.91500000000000004</v>
      </c>
      <c r="F432" s="233" t="s">
        <v>6369</v>
      </c>
      <c r="G432" s="233">
        <v>1.0000000000000001E-5</v>
      </c>
      <c r="H432" s="233">
        <v>1.0000000000000001E-5</v>
      </c>
      <c r="I432" s="233">
        <v>8.476241607346327E-2</v>
      </c>
      <c r="J432" s="233">
        <v>3.9306376626446782</v>
      </c>
      <c r="K432" s="233">
        <v>4.2385510653673159E-2</v>
      </c>
      <c r="L432" s="233">
        <v>0.13490324196</v>
      </c>
      <c r="M432" s="233">
        <v>1.3241375202893551</v>
      </c>
      <c r="N432" s="233">
        <v>0.7461397803703147</v>
      </c>
    </row>
    <row r="433" spans="1:14" x14ac:dyDescent="0.2">
      <c r="A433" s="233" t="s">
        <v>94</v>
      </c>
      <c r="B433" s="233" t="s">
        <v>10370</v>
      </c>
      <c r="C433" s="233" t="s">
        <v>1</v>
      </c>
      <c r="D433" s="233">
        <v>3</v>
      </c>
      <c r="E433" s="233">
        <v>0.91500000000000004</v>
      </c>
      <c r="F433" s="233" t="s">
        <v>6369</v>
      </c>
      <c r="G433" s="233">
        <v>1E-4</v>
      </c>
      <c r="H433" s="233">
        <v>1E-4</v>
      </c>
      <c r="I433" s="233">
        <v>0.27439847306596699</v>
      </c>
      <c r="J433" s="233">
        <v>16.376473311199401</v>
      </c>
      <c r="K433" s="233">
        <v>0</v>
      </c>
      <c r="L433" s="233">
        <v>0</v>
      </c>
      <c r="M433" s="233">
        <v>0</v>
      </c>
      <c r="N433" s="233">
        <v>0</v>
      </c>
    </row>
    <row r="434" spans="1:14" x14ac:dyDescent="0.2">
      <c r="A434" s="233" t="s">
        <v>94</v>
      </c>
      <c r="B434" s="233" t="s">
        <v>10370</v>
      </c>
      <c r="C434" s="233" t="s">
        <v>1</v>
      </c>
      <c r="D434" s="233">
        <v>3</v>
      </c>
      <c r="E434" s="233">
        <v>0.91500000000000004</v>
      </c>
      <c r="F434" s="233" t="s">
        <v>6369</v>
      </c>
      <c r="G434" s="233">
        <v>1E-3</v>
      </c>
      <c r="H434" s="233">
        <v>1E-3</v>
      </c>
      <c r="I434" s="233">
        <v>6.8105668937031474E-2</v>
      </c>
      <c r="J434" s="233">
        <v>7.7354630446686654</v>
      </c>
      <c r="K434" s="233">
        <v>4.8731992140929541E-2</v>
      </c>
      <c r="L434" s="233">
        <v>5.5665602369220393</v>
      </c>
      <c r="M434" s="233">
        <v>8.9466446453613191</v>
      </c>
      <c r="N434" s="233">
        <v>202.54254896341831</v>
      </c>
    </row>
    <row r="435" spans="1:14" x14ac:dyDescent="0.2">
      <c r="A435" s="233" t="s">
        <v>94</v>
      </c>
      <c r="B435" s="233" t="s">
        <v>10370</v>
      </c>
      <c r="C435" s="233" t="s">
        <v>1</v>
      </c>
      <c r="D435" s="233">
        <v>3</v>
      </c>
      <c r="E435" s="233">
        <v>0.91500000000000004</v>
      </c>
      <c r="F435" s="233" t="s">
        <v>6369</v>
      </c>
      <c r="G435" s="233">
        <v>5.0000000000000001E-3</v>
      </c>
      <c r="H435" s="233">
        <v>5.0000000000000001E-3</v>
      </c>
      <c r="I435" s="233">
        <v>6.8002564647676164E-2</v>
      </c>
      <c r="J435" s="233">
        <v>4.0948278308590709</v>
      </c>
      <c r="K435" s="233">
        <v>3.6197598052473759E-2</v>
      </c>
      <c r="L435" s="233">
        <v>0.13019891470370371</v>
      </c>
      <c r="M435" s="233">
        <v>0.28074093211694151</v>
      </c>
      <c r="N435" s="233">
        <v>442.41671565577212</v>
      </c>
    </row>
    <row r="436" spans="1:14" x14ac:dyDescent="0.2">
      <c r="A436" s="233" t="s">
        <v>94</v>
      </c>
      <c r="B436" s="233" t="s">
        <v>10370</v>
      </c>
      <c r="C436" s="233" t="s">
        <v>2</v>
      </c>
      <c r="D436" s="233">
        <v>6</v>
      </c>
      <c r="E436" s="233">
        <v>1.35</v>
      </c>
      <c r="F436" s="233" t="s">
        <v>6370</v>
      </c>
      <c r="G436" s="233">
        <v>5.0000000000000002E-5</v>
      </c>
      <c r="H436" s="233">
        <v>9.9999999999999995E-7</v>
      </c>
      <c r="I436" s="233">
        <v>7.4669117226386805E-2</v>
      </c>
      <c r="J436" s="233">
        <v>3.9862083969430291</v>
      </c>
      <c r="K436" s="233">
        <v>3.4420720526236882E-2</v>
      </c>
      <c r="L436" s="233">
        <v>0</v>
      </c>
      <c r="M436" s="233">
        <v>0.1241063369145427</v>
      </c>
      <c r="N436" s="233">
        <v>0.78687600659970014</v>
      </c>
    </row>
    <row r="437" spans="1:14" x14ac:dyDescent="0.2">
      <c r="A437" s="233" t="s">
        <v>94</v>
      </c>
      <c r="B437" s="233" t="s">
        <v>10370</v>
      </c>
      <c r="C437" s="233" t="s">
        <v>2</v>
      </c>
      <c r="D437" s="233">
        <v>6</v>
      </c>
      <c r="E437" s="233">
        <v>1.35</v>
      </c>
      <c r="F437" s="233" t="s">
        <v>6370</v>
      </c>
      <c r="G437" s="233">
        <v>1E-4</v>
      </c>
      <c r="H437" s="233">
        <v>1.0000000000000001E-5</v>
      </c>
      <c r="I437" s="233">
        <v>0.46688912528035981</v>
      </c>
      <c r="J437" s="233">
        <v>5.9858917801034481</v>
      </c>
      <c r="K437" s="233">
        <v>0</v>
      </c>
      <c r="L437" s="233">
        <v>0</v>
      </c>
      <c r="M437" s="233">
        <v>0</v>
      </c>
      <c r="N437" s="233">
        <v>0</v>
      </c>
    </row>
    <row r="438" spans="1:14" x14ac:dyDescent="0.2">
      <c r="A438" s="233" t="s">
        <v>94</v>
      </c>
      <c r="B438" s="233" t="s">
        <v>10370</v>
      </c>
      <c r="C438" s="233" t="s">
        <v>2</v>
      </c>
      <c r="D438" s="233">
        <v>6</v>
      </c>
      <c r="E438" s="233">
        <v>1.35</v>
      </c>
      <c r="F438" s="233" t="s">
        <v>6370</v>
      </c>
      <c r="G438" s="233">
        <v>1E-3</v>
      </c>
      <c r="H438" s="233">
        <v>1E-4</v>
      </c>
      <c r="I438" s="233">
        <v>853.28906210674654</v>
      </c>
      <c r="J438" s="233">
        <v>405.14506713763109</v>
      </c>
      <c r="K438" s="233">
        <v>0</v>
      </c>
      <c r="L438" s="233">
        <v>0</v>
      </c>
      <c r="M438" s="233">
        <v>0</v>
      </c>
      <c r="N438" s="233">
        <v>0</v>
      </c>
    </row>
    <row r="439" spans="1:14" x14ac:dyDescent="0.2">
      <c r="A439" s="233" t="s">
        <v>94</v>
      </c>
      <c r="B439" s="233" t="s">
        <v>10370</v>
      </c>
      <c r="C439" s="233" t="s">
        <v>2</v>
      </c>
      <c r="D439" s="233">
        <v>6</v>
      </c>
      <c r="E439" s="233">
        <v>1.35</v>
      </c>
      <c r="F439" s="233" t="s">
        <v>6370</v>
      </c>
      <c r="G439" s="233">
        <v>5.0000000000000001E-3</v>
      </c>
      <c r="H439" s="233">
        <v>1E-3</v>
      </c>
      <c r="I439" s="233">
        <v>58743.675274176901</v>
      </c>
      <c r="J439" s="233">
        <v>174946.69584316941</v>
      </c>
      <c r="K439" s="233">
        <v>0</v>
      </c>
      <c r="L439" s="233">
        <v>0</v>
      </c>
      <c r="M439" s="233">
        <v>0</v>
      </c>
      <c r="N439" s="233">
        <v>0</v>
      </c>
    </row>
    <row r="440" spans="1:14" x14ac:dyDescent="0.2">
      <c r="A440" s="233" t="s">
        <v>94</v>
      </c>
      <c r="B440" s="233" t="s">
        <v>10370</v>
      </c>
      <c r="C440" s="233" t="s">
        <v>2</v>
      </c>
      <c r="D440" s="233">
        <v>6</v>
      </c>
      <c r="E440" s="233">
        <v>1.35</v>
      </c>
      <c r="F440" s="233" t="s">
        <v>6370</v>
      </c>
      <c r="G440" s="233">
        <v>2.5000000000000001E-2</v>
      </c>
      <c r="H440" s="233">
        <v>5.0000000000000001E-3</v>
      </c>
      <c r="I440" s="233">
        <v>748829.68343112443</v>
      </c>
      <c r="J440" s="233">
        <v>426527.30883794598</v>
      </c>
      <c r="K440" s="233">
        <v>0</v>
      </c>
      <c r="L440" s="233">
        <v>0</v>
      </c>
      <c r="M440" s="233">
        <v>0</v>
      </c>
      <c r="N440" s="233">
        <v>0</v>
      </c>
    </row>
    <row r="441" spans="1:14" x14ac:dyDescent="0.2">
      <c r="A441" s="233" t="s">
        <v>94</v>
      </c>
      <c r="B441" s="233" t="s">
        <v>10370</v>
      </c>
      <c r="C441" s="233" t="s">
        <v>2</v>
      </c>
      <c r="D441" s="233">
        <v>6</v>
      </c>
      <c r="E441" s="233">
        <v>1.35</v>
      </c>
      <c r="F441" s="233" t="s">
        <v>6371</v>
      </c>
      <c r="G441" s="233">
        <v>9.9999999999999995E-7</v>
      </c>
      <c r="H441" s="233">
        <v>9.9999999999999995E-7</v>
      </c>
      <c r="I441" s="233">
        <v>0.12710247406746619</v>
      </c>
      <c r="J441" s="233">
        <v>3.3396583640839581</v>
      </c>
      <c r="K441" s="233">
        <v>7.5949367000000004E-2</v>
      </c>
      <c r="L441" s="233">
        <v>0.11002714843778109</v>
      </c>
      <c r="M441" s="233">
        <v>0.73048334199999998</v>
      </c>
      <c r="N441" s="233">
        <v>1.32571635805997</v>
      </c>
    </row>
    <row r="442" spans="1:14" x14ac:dyDescent="0.2">
      <c r="A442" s="233" t="s">
        <v>94</v>
      </c>
      <c r="B442" s="233" t="s">
        <v>10370</v>
      </c>
      <c r="C442" s="233" t="s">
        <v>2</v>
      </c>
      <c r="D442" s="233">
        <v>6</v>
      </c>
      <c r="E442" s="233">
        <v>1.35</v>
      </c>
      <c r="F442" s="233" t="s">
        <v>6371</v>
      </c>
      <c r="G442" s="233">
        <v>1.0000000000000001E-5</v>
      </c>
      <c r="H442" s="233">
        <v>1.0000000000000001E-5</v>
      </c>
      <c r="I442" s="233">
        <v>124.8319472213493</v>
      </c>
      <c r="J442" s="233">
        <v>151.972302646027</v>
      </c>
      <c r="K442" s="233">
        <v>0</v>
      </c>
      <c r="L442" s="233">
        <v>0</v>
      </c>
      <c r="M442" s="233">
        <v>0</v>
      </c>
      <c r="N442" s="233">
        <v>0</v>
      </c>
    </row>
    <row r="443" spans="1:14" x14ac:dyDescent="0.2">
      <c r="A443" s="233" t="s">
        <v>94</v>
      </c>
      <c r="B443" s="233" t="s">
        <v>10370</v>
      </c>
      <c r="C443" s="233" t="s">
        <v>2</v>
      </c>
      <c r="D443" s="233">
        <v>6</v>
      </c>
      <c r="E443" s="233">
        <v>1.35</v>
      </c>
      <c r="F443" s="233" t="s">
        <v>6371</v>
      </c>
      <c r="G443" s="233">
        <v>1E-4</v>
      </c>
      <c r="H443" s="233">
        <v>1E-4</v>
      </c>
      <c r="I443" s="233">
        <v>37606.059873433282</v>
      </c>
      <c r="J443" s="233">
        <v>2358.537515326836</v>
      </c>
      <c r="K443" s="233">
        <v>0</v>
      </c>
      <c r="L443" s="233">
        <v>0</v>
      </c>
      <c r="M443" s="233">
        <v>0</v>
      </c>
      <c r="N443" s="233">
        <v>0</v>
      </c>
    </row>
    <row r="444" spans="1:14" x14ac:dyDescent="0.2">
      <c r="A444" s="233" t="s">
        <v>94</v>
      </c>
      <c r="B444" s="233" t="s">
        <v>10370</v>
      </c>
      <c r="C444" s="233" t="s">
        <v>2</v>
      </c>
      <c r="D444" s="233">
        <v>6</v>
      </c>
      <c r="E444" s="233">
        <v>1.35</v>
      </c>
      <c r="F444" s="233" t="s">
        <v>6369</v>
      </c>
      <c r="G444" s="233">
        <v>9.9999999999999995E-7</v>
      </c>
      <c r="H444" s="233">
        <v>9.9999999999999995E-7</v>
      </c>
      <c r="I444" s="233">
        <v>6.6446780938530736E-2</v>
      </c>
      <c r="J444" s="233">
        <v>4.1458744679265367</v>
      </c>
      <c r="K444" s="233">
        <v>3.560177579226069E-2</v>
      </c>
      <c r="L444" s="233">
        <v>3.4808472757201642E-2</v>
      </c>
      <c r="M444" s="233">
        <v>0.3195697709898167</v>
      </c>
      <c r="N444" s="233">
        <v>1.2376655385517239</v>
      </c>
    </row>
    <row r="445" spans="1:14" x14ac:dyDescent="0.2">
      <c r="A445" s="233" t="s">
        <v>94</v>
      </c>
      <c r="B445" s="233" t="s">
        <v>10370</v>
      </c>
      <c r="C445" s="233" t="s">
        <v>2</v>
      </c>
      <c r="D445" s="233">
        <v>6</v>
      </c>
      <c r="E445" s="233">
        <v>1.35</v>
      </c>
      <c r="F445" s="233" t="s">
        <v>6369</v>
      </c>
      <c r="G445" s="233">
        <v>1.0000000000000001E-5</v>
      </c>
      <c r="H445" s="233">
        <v>1.0000000000000001E-5</v>
      </c>
      <c r="I445" s="233">
        <v>9.8934903212893555E-2</v>
      </c>
      <c r="J445" s="233">
        <v>3.4051648589805099</v>
      </c>
      <c r="K445" s="233">
        <v>7.0289284497942389E-2</v>
      </c>
      <c r="L445" s="233">
        <v>8.1522724473763131E-2</v>
      </c>
      <c r="M445" s="233">
        <v>1.6865240862304529</v>
      </c>
      <c r="N445" s="233">
        <v>0.91594583894752624</v>
      </c>
    </row>
    <row r="446" spans="1:14" x14ac:dyDescent="0.2">
      <c r="A446" s="233" t="s">
        <v>94</v>
      </c>
      <c r="B446" s="233" t="s">
        <v>10370</v>
      </c>
      <c r="C446" s="233" t="s">
        <v>2</v>
      </c>
      <c r="D446" s="233">
        <v>6</v>
      </c>
      <c r="E446" s="233">
        <v>1.35</v>
      </c>
      <c r="F446" s="233" t="s">
        <v>6369</v>
      </c>
      <c r="G446" s="233">
        <v>1E-4</v>
      </c>
      <c r="H446" s="233">
        <v>1E-4</v>
      </c>
      <c r="I446" s="233">
        <v>101.82872019358319</v>
      </c>
      <c r="J446" s="233">
        <v>137.77304637616189</v>
      </c>
      <c r="K446" s="233">
        <v>0</v>
      </c>
      <c r="L446" s="233">
        <v>0</v>
      </c>
      <c r="M446" s="233">
        <v>0</v>
      </c>
      <c r="N446" s="233">
        <v>0</v>
      </c>
    </row>
    <row r="447" spans="1:14" x14ac:dyDescent="0.2">
      <c r="A447" s="233" t="s">
        <v>94</v>
      </c>
      <c r="B447" s="233" t="s">
        <v>10370</v>
      </c>
      <c r="C447" s="233" t="s">
        <v>2</v>
      </c>
      <c r="D447" s="233">
        <v>6</v>
      </c>
      <c r="E447" s="233">
        <v>1.35</v>
      </c>
      <c r="F447" s="233" t="s">
        <v>6369</v>
      </c>
      <c r="G447" s="233">
        <v>1E-3</v>
      </c>
      <c r="H447" s="233">
        <v>1E-3</v>
      </c>
      <c r="I447" s="233">
        <v>71757.098559838079</v>
      </c>
      <c r="J447" s="233">
        <v>193299.35611193249</v>
      </c>
      <c r="K447" s="233">
        <v>0</v>
      </c>
      <c r="L447" s="233">
        <v>0</v>
      </c>
      <c r="M447" s="233">
        <v>0</v>
      </c>
      <c r="N447" s="233">
        <v>0</v>
      </c>
    </row>
    <row r="448" spans="1:14" x14ac:dyDescent="0.2">
      <c r="A448" s="233" t="s">
        <v>94</v>
      </c>
      <c r="B448" s="233" t="s">
        <v>10370</v>
      </c>
      <c r="C448" s="233" t="s">
        <v>2</v>
      </c>
      <c r="D448" s="233">
        <v>6</v>
      </c>
      <c r="E448" s="233">
        <v>1.35</v>
      </c>
      <c r="F448" s="233" t="s">
        <v>6369</v>
      </c>
      <c r="G448" s="233">
        <v>5.0000000000000001E-3</v>
      </c>
      <c r="H448" s="233">
        <v>5.0000000000000001E-3</v>
      </c>
      <c r="I448" s="233">
        <v>1072092.9336025191</v>
      </c>
      <c r="J448" s="233">
        <v>763188.91967313341</v>
      </c>
      <c r="K448" s="233">
        <v>0</v>
      </c>
      <c r="L448" s="233">
        <v>0</v>
      </c>
      <c r="M448" s="233">
        <v>0</v>
      </c>
      <c r="N448" s="233">
        <v>0</v>
      </c>
    </row>
    <row r="449" spans="1:14" x14ac:dyDescent="0.2">
      <c r="A449" s="233" t="s">
        <v>94</v>
      </c>
      <c r="B449" s="233" t="s">
        <v>10370</v>
      </c>
      <c r="C449" s="233" t="s">
        <v>3</v>
      </c>
      <c r="D449" s="233">
        <v>2</v>
      </c>
      <c r="E449" s="233">
        <v>0.88</v>
      </c>
      <c r="F449" s="233" t="s">
        <v>6370</v>
      </c>
      <c r="G449" s="233">
        <v>5.0000000000000002E-5</v>
      </c>
      <c r="H449" s="233">
        <v>9.9999999999999995E-7</v>
      </c>
      <c r="I449" s="233">
        <v>7.7465513110944531E-2</v>
      </c>
      <c r="J449" s="233">
        <v>3.4977639661379309</v>
      </c>
      <c r="K449" s="233">
        <v>3.2182457370370371E-2</v>
      </c>
      <c r="L449" s="233">
        <v>5.5813952999999999E-2</v>
      </c>
      <c r="M449" s="233">
        <v>0.1237886746378601</v>
      </c>
      <c r="N449" s="233">
        <v>0.62750362857271358</v>
      </c>
    </row>
    <row r="450" spans="1:14" x14ac:dyDescent="0.2">
      <c r="A450" s="233" t="s">
        <v>94</v>
      </c>
      <c r="B450" s="233" t="s">
        <v>10370</v>
      </c>
      <c r="C450" s="233" t="s">
        <v>3</v>
      </c>
      <c r="D450" s="233">
        <v>2</v>
      </c>
      <c r="E450" s="233">
        <v>0.88</v>
      </c>
      <c r="F450" s="233" t="s">
        <v>6370</v>
      </c>
      <c r="G450" s="233">
        <v>1E-4</v>
      </c>
      <c r="H450" s="233">
        <v>1.0000000000000001E-5</v>
      </c>
      <c r="I450" s="233">
        <v>0.37646938864317842</v>
      </c>
      <c r="J450" s="233">
        <v>9.7532948123913048</v>
      </c>
      <c r="K450" s="233">
        <v>0</v>
      </c>
      <c r="L450" s="233">
        <v>6.5934066E-2</v>
      </c>
      <c r="M450" s="233">
        <v>0</v>
      </c>
      <c r="N450" s="233">
        <v>5.6702704830000004</v>
      </c>
    </row>
    <row r="451" spans="1:14" x14ac:dyDescent="0.2">
      <c r="A451" s="233" t="s">
        <v>94</v>
      </c>
      <c r="B451" s="233" t="s">
        <v>10370</v>
      </c>
      <c r="C451" s="233" t="s">
        <v>3</v>
      </c>
      <c r="D451" s="233">
        <v>2</v>
      </c>
      <c r="E451" s="233">
        <v>0.88</v>
      </c>
      <c r="F451" s="233" t="s">
        <v>6370</v>
      </c>
      <c r="G451" s="233">
        <v>1E-3</v>
      </c>
      <c r="H451" s="233">
        <v>1E-4</v>
      </c>
      <c r="I451" s="233">
        <v>0.20354360143478259</v>
      </c>
      <c r="J451" s="233">
        <v>25.878799617451271</v>
      </c>
      <c r="K451" s="233">
        <v>0</v>
      </c>
      <c r="L451" s="233">
        <v>0</v>
      </c>
      <c r="M451" s="233">
        <v>0</v>
      </c>
      <c r="N451" s="233">
        <v>0</v>
      </c>
    </row>
    <row r="452" spans="1:14" x14ac:dyDescent="0.2">
      <c r="A452" s="233" t="s">
        <v>94</v>
      </c>
      <c r="B452" s="233" t="s">
        <v>10370</v>
      </c>
      <c r="C452" s="233" t="s">
        <v>3</v>
      </c>
      <c r="D452" s="233">
        <v>2</v>
      </c>
      <c r="E452" s="233">
        <v>0.88</v>
      </c>
      <c r="F452" s="233" t="s">
        <v>6370</v>
      </c>
      <c r="G452" s="233">
        <v>5.0000000000000001E-3</v>
      </c>
      <c r="H452" s="233">
        <v>1E-3</v>
      </c>
      <c r="I452" s="233">
        <v>5.7555024034482753E-2</v>
      </c>
      <c r="J452" s="233">
        <v>5.7626758195442278</v>
      </c>
      <c r="K452" s="233">
        <v>4.0953393097451267E-2</v>
      </c>
      <c r="L452" s="233">
        <v>0.1110109974691358</v>
      </c>
      <c r="M452" s="233">
        <v>1.173405533047976</v>
      </c>
      <c r="N452" s="233">
        <v>302.12233854632677</v>
      </c>
    </row>
    <row r="453" spans="1:14" x14ac:dyDescent="0.2">
      <c r="A453" s="233" t="s">
        <v>94</v>
      </c>
      <c r="B453" s="233" t="s">
        <v>10370</v>
      </c>
      <c r="C453" s="233" t="s">
        <v>3</v>
      </c>
      <c r="D453" s="233">
        <v>2</v>
      </c>
      <c r="E453" s="233">
        <v>0.88</v>
      </c>
      <c r="F453" s="233" t="s">
        <v>6370</v>
      </c>
      <c r="G453" s="233">
        <v>2.5000000000000001E-2</v>
      </c>
      <c r="H453" s="233">
        <v>5.0000000000000001E-3</v>
      </c>
      <c r="I453" s="233">
        <v>6.8317354377811085E-2</v>
      </c>
      <c r="J453" s="233">
        <v>4.2605487532548727</v>
      </c>
      <c r="K453" s="233">
        <v>4.2511784743628177E-2</v>
      </c>
      <c r="L453" s="233">
        <v>0.2703799102057613</v>
      </c>
      <c r="M453" s="233">
        <v>0.12297604577361319</v>
      </c>
      <c r="N453" s="233">
        <v>203.17287384305851</v>
      </c>
    </row>
    <row r="454" spans="1:14" x14ac:dyDescent="0.2">
      <c r="A454" s="233" t="s">
        <v>94</v>
      </c>
      <c r="B454" s="233" t="s">
        <v>10370</v>
      </c>
      <c r="C454" s="233" t="s">
        <v>3</v>
      </c>
      <c r="D454" s="233">
        <v>2</v>
      </c>
      <c r="E454" s="233">
        <v>0.88</v>
      </c>
      <c r="F454" s="233" t="s">
        <v>6371</v>
      </c>
      <c r="G454" s="233">
        <v>9.9999999999999995E-7</v>
      </c>
      <c r="H454" s="233">
        <v>9.9999999999999995E-7</v>
      </c>
      <c r="I454" s="233">
        <v>0.1087828438095952</v>
      </c>
      <c r="J454" s="233">
        <v>3.7298880957406291</v>
      </c>
      <c r="K454" s="233">
        <v>6.6153147893004124E-2</v>
      </c>
      <c r="L454" s="233">
        <v>7.4542899683658168E-2</v>
      </c>
      <c r="M454" s="233">
        <v>1.459984926917695</v>
      </c>
      <c r="N454" s="233">
        <v>1.357505230916042</v>
      </c>
    </row>
    <row r="455" spans="1:14" x14ac:dyDescent="0.2">
      <c r="A455" s="233" t="s">
        <v>94</v>
      </c>
      <c r="B455" s="233" t="s">
        <v>10370</v>
      </c>
      <c r="C455" s="233" t="s">
        <v>3</v>
      </c>
      <c r="D455" s="233">
        <v>2</v>
      </c>
      <c r="E455" s="233">
        <v>0.88</v>
      </c>
      <c r="F455" s="233" t="s">
        <v>6371</v>
      </c>
      <c r="G455" s="233">
        <v>1.0000000000000001E-5</v>
      </c>
      <c r="H455" s="233">
        <v>1.0000000000000001E-5</v>
      </c>
      <c r="I455" s="233">
        <v>0.70377449587406293</v>
      </c>
      <c r="J455" s="233">
        <v>28.55486974917541</v>
      </c>
      <c r="K455" s="233">
        <v>0</v>
      </c>
      <c r="L455" s="233">
        <v>0</v>
      </c>
      <c r="M455" s="233">
        <v>0</v>
      </c>
      <c r="N455" s="233">
        <v>0</v>
      </c>
    </row>
    <row r="456" spans="1:14" x14ac:dyDescent="0.2">
      <c r="A456" s="233" t="s">
        <v>94</v>
      </c>
      <c r="B456" s="233" t="s">
        <v>10370</v>
      </c>
      <c r="C456" s="233" t="s">
        <v>3</v>
      </c>
      <c r="D456" s="233">
        <v>2</v>
      </c>
      <c r="E456" s="233">
        <v>0.88</v>
      </c>
      <c r="F456" s="233" t="s">
        <v>6371</v>
      </c>
      <c r="G456" s="233">
        <v>1E-4</v>
      </c>
      <c r="H456" s="233">
        <v>1E-4</v>
      </c>
      <c r="I456" s="233">
        <v>0.16846108847376309</v>
      </c>
      <c r="J456" s="233">
        <v>45.718093570809593</v>
      </c>
      <c r="K456" s="233">
        <v>0</v>
      </c>
      <c r="L456" s="233">
        <v>0</v>
      </c>
      <c r="M456" s="233">
        <v>0</v>
      </c>
      <c r="N456" s="233">
        <v>0</v>
      </c>
    </row>
    <row r="457" spans="1:14" x14ac:dyDescent="0.2">
      <c r="A457" s="233" t="s">
        <v>94</v>
      </c>
      <c r="B457" s="233" t="s">
        <v>10370</v>
      </c>
      <c r="C457" s="233" t="s">
        <v>3</v>
      </c>
      <c r="D457" s="233">
        <v>2</v>
      </c>
      <c r="E457" s="233">
        <v>0.88</v>
      </c>
      <c r="F457" s="233" t="s">
        <v>6369</v>
      </c>
      <c r="G457" s="233">
        <v>9.9999999999999995E-7</v>
      </c>
      <c r="H457" s="233">
        <v>9.9999999999999995E-7</v>
      </c>
      <c r="I457" s="233">
        <v>5.5975222952023992E-2</v>
      </c>
      <c r="J457" s="233">
        <v>4.3245460563763114</v>
      </c>
      <c r="K457" s="233">
        <v>3.9714021120162937E-2</v>
      </c>
      <c r="L457" s="233">
        <v>1.8433389341829091E-2</v>
      </c>
      <c r="M457" s="233">
        <v>0.72042465577393078</v>
      </c>
      <c r="N457" s="233">
        <v>0.31564810146476763</v>
      </c>
    </row>
    <row r="458" spans="1:14" x14ac:dyDescent="0.2">
      <c r="A458" s="233" t="s">
        <v>94</v>
      </c>
      <c r="B458" s="233" t="s">
        <v>10370</v>
      </c>
      <c r="C458" s="233" t="s">
        <v>3</v>
      </c>
      <c r="D458" s="233">
        <v>2</v>
      </c>
      <c r="E458" s="233">
        <v>0.88</v>
      </c>
      <c r="F458" s="233" t="s">
        <v>6369</v>
      </c>
      <c r="G458" s="233">
        <v>1.0000000000000001E-5</v>
      </c>
      <c r="H458" s="233">
        <v>1.0000000000000001E-5</v>
      </c>
      <c r="I458" s="233">
        <v>8.989212680809594E-2</v>
      </c>
      <c r="J458" s="233">
        <v>3.770566692106446</v>
      </c>
      <c r="K458" s="233">
        <v>4.4728560770614677E-2</v>
      </c>
      <c r="L458" s="233">
        <v>0.169902502994003</v>
      </c>
      <c r="M458" s="233">
        <v>0.79278131851424283</v>
      </c>
      <c r="N458" s="233">
        <v>0.73956812861919041</v>
      </c>
    </row>
    <row r="459" spans="1:14" x14ac:dyDescent="0.2">
      <c r="A459" s="233" t="s">
        <v>94</v>
      </c>
      <c r="B459" s="233" t="s">
        <v>10370</v>
      </c>
      <c r="C459" s="233" t="s">
        <v>3</v>
      </c>
      <c r="D459" s="233">
        <v>2</v>
      </c>
      <c r="E459" s="233">
        <v>0.88</v>
      </c>
      <c r="F459" s="233" t="s">
        <v>6369</v>
      </c>
      <c r="G459" s="233">
        <v>1E-4</v>
      </c>
      <c r="H459" s="233">
        <v>1E-4</v>
      </c>
      <c r="I459" s="233">
        <v>0.23531065562218889</v>
      </c>
      <c r="J459" s="233">
        <v>15.77176328116942</v>
      </c>
      <c r="K459" s="233">
        <v>0</v>
      </c>
      <c r="L459" s="233">
        <v>0</v>
      </c>
      <c r="M459" s="233">
        <v>0</v>
      </c>
      <c r="N459" s="233">
        <v>0</v>
      </c>
    </row>
    <row r="460" spans="1:14" x14ac:dyDescent="0.2">
      <c r="A460" s="233" t="s">
        <v>94</v>
      </c>
      <c r="B460" s="233" t="s">
        <v>10370</v>
      </c>
      <c r="C460" s="233" t="s">
        <v>3</v>
      </c>
      <c r="D460" s="233">
        <v>2</v>
      </c>
      <c r="E460" s="233">
        <v>0.88</v>
      </c>
      <c r="F460" s="233" t="s">
        <v>6369</v>
      </c>
      <c r="G460" s="233">
        <v>1E-3</v>
      </c>
      <c r="H460" s="233">
        <v>1E-3</v>
      </c>
      <c r="I460" s="233">
        <v>6.5288753491754128E-2</v>
      </c>
      <c r="J460" s="233">
        <v>4.8457867666866559</v>
      </c>
      <c r="K460" s="233">
        <v>4.1587215986506762E-2</v>
      </c>
      <c r="L460" s="233">
        <v>0.72477233871514246</v>
      </c>
      <c r="M460" s="233">
        <v>10.120704388343331</v>
      </c>
      <c r="N460" s="233">
        <v>220.4667765208396</v>
      </c>
    </row>
    <row r="461" spans="1:14" x14ac:dyDescent="0.2">
      <c r="A461" s="233" t="s">
        <v>94</v>
      </c>
      <c r="B461" s="233" t="s">
        <v>10370</v>
      </c>
      <c r="C461" s="233" t="s">
        <v>3</v>
      </c>
      <c r="D461" s="233">
        <v>2</v>
      </c>
      <c r="E461" s="233">
        <v>0.88</v>
      </c>
      <c r="F461" s="233" t="s">
        <v>6369</v>
      </c>
      <c r="G461" s="233">
        <v>5.0000000000000001E-3</v>
      </c>
      <c r="H461" s="233">
        <v>5.0000000000000001E-3</v>
      </c>
      <c r="I461" s="233">
        <v>5.5495781554722637E-2</v>
      </c>
      <c r="J461" s="233">
        <v>4.6611459142803593</v>
      </c>
      <c r="K461" s="233">
        <v>3.2777444158920539E-2</v>
      </c>
      <c r="L461" s="233">
        <v>0.12831783857271359</v>
      </c>
      <c r="M461" s="233">
        <v>0.215725087934033</v>
      </c>
      <c r="N461" s="233">
        <v>497.35464228485762</v>
      </c>
    </row>
    <row r="462" spans="1:14" x14ac:dyDescent="0.2">
      <c r="A462" s="233" t="s">
        <v>94</v>
      </c>
      <c r="B462" s="233" t="s">
        <v>10370</v>
      </c>
      <c r="C462" s="233" t="s">
        <v>23</v>
      </c>
      <c r="D462" s="233">
        <v>5</v>
      </c>
      <c r="E462" s="233">
        <v>1.06</v>
      </c>
      <c r="F462" s="233" t="s">
        <v>6370</v>
      </c>
      <c r="G462" s="233">
        <v>5.0000000000000002E-5</v>
      </c>
      <c r="H462" s="233">
        <v>9.9999999999999995E-7</v>
      </c>
      <c r="I462" s="233">
        <v>8.5400837889055475E-2</v>
      </c>
      <c r="J462" s="233">
        <v>3.8949706002233881</v>
      </c>
      <c r="K462" s="233">
        <v>5.8139083074074081E-2</v>
      </c>
      <c r="L462" s="233">
        <v>4.6112816577211398E-2</v>
      </c>
      <c r="M462" s="233">
        <v>0.1414302947695473</v>
      </c>
      <c r="N462" s="233">
        <v>0.90000793416641678</v>
      </c>
    </row>
    <row r="463" spans="1:14" x14ac:dyDescent="0.2">
      <c r="A463" s="233" t="s">
        <v>94</v>
      </c>
      <c r="B463" s="233" t="s">
        <v>10370</v>
      </c>
      <c r="C463" s="233" t="s">
        <v>23</v>
      </c>
      <c r="D463" s="233">
        <v>5</v>
      </c>
      <c r="E463" s="233">
        <v>1.06</v>
      </c>
      <c r="F463" s="233" t="s">
        <v>6370</v>
      </c>
      <c r="G463" s="233">
        <v>1E-4</v>
      </c>
      <c r="H463" s="233">
        <v>1.0000000000000001E-5</v>
      </c>
      <c r="I463" s="233">
        <v>0.56445146642728639</v>
      </c>
      <c r="J463" s="233">
        <v>10.163750638803601</v>
      </c>
      <c r="K463" s="233">
        <v>0</v>
      </c>
      <c r="L463" s="233">
        <v>6.3829786999999999E-2</v>
      </c>
      <c r="M463" s="233">
        <v>0</v>
      </c>
      <c r="N463" s="233">
        <v>2.9541134429999998</v>
      </c>
    </row>
    <row r="464" spans="1:14" x14ac:dyDescent="0.2">
      <c r="A464" s="233" t="s">
        <v>94</v>
      </c>
      <c r="B464" s="233" t="s">
        <v>10370</v>
      </c>
      <c r="C464" s="233" t="s">
        <v>23</v>
      </c>
      <c r="D464" s="233">
        <v>5</v>
      </c>
      <c r="E464" s="233">
        <v>1.06</v>
      </c>
      <c r="F464" s="233" t="s">
        <v>6370</v>
      </c>
      <c r="G464" s="233">
        <v>1E-3</v>
      </c>
      <c r="H464" s="233">
        <v>1E-4</v>
      </c>
      <c r="I464" s="233">
        <v>16.455314754722639</v>
      </c>
      <c r="J464" s="233">
        <v>61.89934163430285</v>
      </c>
      <c r="K464" s="233">
        <v>0</v>
      </c>
      <c r="L464" s="233">
        <v>0</v>
      </c>
      <c r="M464" s="233">
        <v>0</v>
      </c>
      <c r="N464" s="233">
        <v>0</v>
      </c>
    </row>
    <row r="465" spans="1:14" x14ac:dyDescent="0.2">
      <c r="A465" s="233" t="s">
        <v>94</v>
      </c>
      <c r="B465" s="233" t="s">
        <v>10370</v>
      </c>
      <c r="C465" s="233" t="s">
        <v>23</v>
      </c>
      <c r="D465" s="233">
        <v>5</v>
      </c>
      <c r="E465" s="233">
        <v>1.06</v>
      </c>
      <c r="F465" s="233" t="s">
        <v>6370</v>
      </c>
      <c r="G465" s="233">
        <v>5.0000000000000001E-3</v>
      </c>
      <c r="H465" s="233">
        <v>1E-3</v>
      </c>
      <c r="I465" s="233">
        <v>2406.9599538260868</v>
      </c>
      <c r="J465" s="233">
        <v>41509.563412887263</v>
      </c>
      <c r="K465" s="233">
        <v>0</v>
      </c>
      <c r="L465" s="233">
        <v>0</v>
      </c>
      <c r="M465" s="233">
        <v>0</v>
      </c>
      <c r="N465" s="233">
        <v>0</v>
      </c>
    </row>
    <row r="466" spans="1:14" x14ac:dyDescent="0.2">
      <c r="A466" s="233" t="s">
        <v>94</v>
      </c>
      <c r="B466" s="233" t="s">
        <v>10370</v>
      </c>
      <c r="C466" s="233" t="s">
        <v>23</v>
      </c>
      <c r="D466" s="233">
        <v>5</v>
      </c>
      <c r="E466" s="233">
        <v>1.06</v>
      </c>
      <c r="F466" s="233" t="s">
        <v>6370</v>
      </c>
      <c r="G466" s="233">
        <v>2.5000000000000001E-2</v>
      </c>
      <c r="H466" s="233">
        <v>5.0000000000000001E-3</v>
      </c>
      <c r="I466" s="233">
        <v>29919.44484055772</v>
      </c>
      <c r="J466" s="233">
        <v>141172.84387156821</v>
      </c>
      <c r="K466" s="233">
        <v>0</v>
      </c>
      <c r="L466" s="233">
        <v>0</v>
      </c>
      <c r="M466" s="233">
        <v>0</v>
      </c>
      <c r="N466" s="233">
        <v>0</v>
      </c>
    </row>
    <row r="467" spans="1:14" x14ac:dyDescent="0.2">
      <c r="A467" s="233" t="s">
        <v>94</v>
      </c>
      <c r="B467" s="233" t="s">
        <v>10370</v>
      </c>
      <c r="C467" s="233" t="s">
        <v>23</v>
      </c>
      <c r="D467" s="233">
        <v>5</v>
      </c>
      <c r="E467" s="233">
        <v>1.06</v>
      </c>
      <c r="F467" s="233" t="s">
        <v>6371</v>
      </c>
      <c r="G467" s="233">
        <v>9.9999999999999995E-7</v>
      </c>
      <c r="H467" s="233">
        <v>9.9999999999999995E-7</v>
      </c>
      <c r="I467" s="233">
        <v>9.8580701209895052E-2</v>
      </c>
      <c r="J467" s="233">
        <v>3.7308204103073459</v>
      </c>
      <c r="K467" s="233">
        <v>4.6543606032983513E-2</v>
      </c>
      <c r="L467" s="233">
        <v>0.11276400981859069</v>
      </c>
      <c r="M467" s="233">
        <v>1.3806972329745131</v>
      </c>
      <c r="N467" s="233">
        <v>0.95451060932683662</v>
      </c>
    </row>
    <row r="468" spans="1:14" x14ac:dyDescent="0.2">
      <c r="A468" s="233" t="s">
        <v>94</v>
      </c>
      <c r="B468" s="233" t="s">
        <v>10370</v>
      </c>
      <c r="C468" s="233" t="s">
        <v>23</v>
      </c>
      <c r="D468" s="233">
        <v>5</v>
      </c>
      <c r="E468" s="233">
        <v>1.06</v>
      </c>
      <c r="F468" s="233" t="s">
        <v>6371</v>
      </c>
      <c r="G468" s="233">
        <v>1.0000000000000001E-5</v>
      </c>
      <c r="H468" s="233">
        <v>1.0000000000000001E-5</v>
      </c>
      <c r="I468" s="233">
        <v>5.5712633831559222</v>
      </c>
      <c r="J468" s="233">
        <v>43.731997184842577</v>
      </c>
      <c r="K468" s="233">
        <v>0</v>
      </c>
      <c r="L468" s="233">
        <v>0</v>
      </c>
      <c r="M468" s="233">
        <v>0</v>
      </c>
      <c r="N468" s="233">
        <v>0</v>
      </c>
    </row>
    <row r="469" spans="1:14" x14ac:dyDescent="0.2">
      <c r="A469" s="233" t="s">
        <v>94</v>
      </c>
      <c r="B469" s="233" t="s">
        <v>10370</v>
      </c>
      <c r="C469" s="233" t="s">
        <v>23</v>
      </c>
      <c r="D469" s="233">
        <v>5</v>
      </c>
      <c r="E469" s="233">
        <v>1.06</v>
      </c>
      <c r="F469" s="233" t="s">
        <v>6371</v>
      </c>
      <c r="G469" s="233">
        <v>1E-4</v>
      </c>
      <c r="H469" s="233">
        <v>1E-4</v>
      </c>
      <c r="I469" s="233">
        <v>1675.464222041679</v>
      </c>
      <c r="J469" s="233">
        <v>17631.139887637481</v>
      </c>
      <c r="K469" s="233">
        <v>0</v>
      </c>
      <c r="L469" s="233">
        <v>0</v>
      </c>
      <c r="M469" s="233">
        <v>0</v>
      </c>
      <c r="N469" s="233">
        <v>0</v>
      </c>
    </row>
    <row r="470" spans="1:14" x14ac:dyDescent="0.2">
      <c r="A470" s="233" t="s">
        <v>94</v>
      </c>
      <c r="B470" s="233" t="s">
        <v>10371</v>
      </c>
      <c r="C470" s="233" t="s">
        <v>23</v>
      </c>
      <c r="D470" s="233">
        <v>5</v>
      </c>
      <c r="E470" s="233">
        <v>1.06</v>
      </c>
      <c r="F470" s="233" t="s">
        <v>6369</v>
      </c>
      <c r="G470" s="233">
        <v>9.9999999999999995E-7</v>
      </c>
      <c r="H470" s="233">
        <v>9.9999999999999995E-7</v>
      </c>
      <c r="I470" s="233">
        <v>4.6279233299389003E-2</v>
      </c>
      <c r="J470" s="233">
        <v>4.5737458283340118</v>
      </c>
      <c r="K470" s="233">
        <v>2.878474314256619E-2</v>
      </c>
      <c r="L470" s="233">
        <v>8.1911262999999998E-2</v>
      </c>
      <c r="M470" s="233">
        <v>0.21430589741547859</v>
      </c>
      <c r="N470" s="233">
        <v>0.73238344715274939</v>
      </c>
    </row>
    <row r="471" spans="1:14" x14ac:dyDescent="0.2">
      <c r="A471" s="233" t="s">
        <v>94</v>
      </c>
      <c r="B471" s="233" t="s">
        <v>10370</v>
      </c>
      <c r="C471" s="233" t="s">
        <v>23</v>
      </c>
      <c r="D471" s="233">
        <v>5</v>
      </c>
      <c r="E471" s="233">
        <v>1.06</v>
      </c>
      <c r="F471" s="233" t="s">
        <v>6369</v>
      </c>
      <c r="G471" s="233">
        <v>1.0000000000000001E-5</v>
      </c>
      <c r="H471" s="233">
        <v>1.0000000000000001E-5</v>
      </c>
      <c r="I471" s="233">
        <v>8.6661582505247386E-2</v>
      </c>
      <c r="J471" s="233">
        <v>3.7451390773898048</v>
      </c>
      <c r="K471" s="233">
        <v>5.0555258998500753E-2</v>
      </c>
      <c r="L471" s="233">
        <v>0.11142229558770619</v>
      </c>
      <c r="M471" s="233">
        <v>0.80271053228485745</v>
      </c>
      <c r="N471" s="233">
        <v>0.80730209231334338</v>
      </c>
    </row>
    <row r="472" spans="1:14" x14ac:dyDescent="0.2">
      <c r="A472" s="233" t="s">
        <v>94</v>
      </c>
      <c r="B472" s="233" t="s">
        <v>10370</v>
      </c>
      <c r="C472" s="233" t="s">
        <v>23</v>
      </c>
      <c r="D472" s="233">
        <v>5</v>
      </c>
      <c r="E472" s="233">
        <v>1.06</v>
      </c>
      <c r="F472" s="233" t="s">
        <v>6369</v>
      </c>
      <c r="G472" s="233">
        <v>1E-4</v>
      </c>
      <c r="H472" s="233">
        <v>1E-4</v>
      </c>
      <c r="I472" s="233">
        <v>2.5423666939685159</v>
      </c>
      <c r="J472" s="233">
        <v>22.770709820644679</v>
      </c>
      <c r="K472" s="233">
        <v>0</v>
      </c>
      <c r="L472" s="233">
        <v>0</v>
      </c>
      <c r="M472" s="233">
        <v>0</v>
      </c>
      <c r="N472" s="233">
        <v>0</v>
      </c>
    </row>
    <row r="473" spans="1:14" x14ac:dyDescent="0.2">
      <c r="A473" s="233" t="s">
        <v>94</v>
      </c>
      <c r="B473" s="233" t="s">
        <v>10370</v>
      </c>
      <c r="C473" s="233" t="s">
        <v>23</v>
      </c>
      <c r="D473" s="233">
        <v>5</v>
      </c>
      <c r="E473" s="233">
        <v>1.06</v>
      </c>
      <c r="F473" s="233" t="s">
        <v>6369</v>
      </c>
      <c r="G473" s="233">
        <v>1E-3</v>
      </c>
      <c r="H473" s="233">
        <v>1E-3</v>
      </c>
      <c r="I473" s="233">
        <v>3618.8482692956518</v>
      </c>
      <c r="J473" s="233">
        <v>35335.322008712152</v>
      </c>
      <c r="K473" s="233">
        <v>0</v>
      </c>
      <c r="L473" s="233">
        <v>0</v>
      </c>
      <c r="M473" s="233">
        <v>0</v>
      </c>
      <c r="N473" s="233">
        <v>0</v>
      </c>
    </row>
    <row r="474" spans="1:14" x14ac:dyDescent="0.2">
      <c r="A474" s="233" t="s">
        <v>94</v>
      </c>
      <c r="B474" s="233" t="s">
        <v>10370</v>
      </c>
      <c r="C474" s="233" t="s">
        <v>23</v>
      </c>
      <c r="D474" s="233">
        <v>5</v>
      </c>
      <c r="E474" s="233">
        <v>1.06</v>
      </c>
      <c r="F474" s="233" t="s">
        <v>6369</v>
      </c>
      <c r="G474" s="233">
        <v>5.0000000000000001E-3</v>
      </c>
      <c r="H474" s="233">
        <v>5.0000000000000001E-3</v>
      </c>
      <c r="I474" s="233">
        <v>97800.314584881562</v>
      </c>
      <c r="J474" s="233">
        <v>204938.11929751269</v>
      </c>
      <c r="K474" s="233">
        <v>0</v>
      </c>
      <c r="L474" s="233">
        <v>0</v>
      </c>
      <c r="M474" s="233">
        <v>0</v>
      </c>
      <c r="N474" s="233">
        <v>0</v>
      </c>
    </row>
    <row r="475" spans="1:14" x14ac:dyDescent="0.2">
      <c r="A475" s="233" t="s">
        <v>93</v>
      </c>
      <c r="B475" s="233" t="s">
        <v>10346</v>
      </c>
      <c r="C475" s="233" t="s">
        <v>5</v>
      </c>
      <c r="D475" s="233">
        <v>1</v>
      </c>
      <c r="E475" s="233">
        <v>0.03</v>
      </c>
      <c r="F475" s="233" t="s">
        <v>6370</v>
      </c>
      <c r="G475" s="233">
        <v>5.0000000000000002E-5</v>
      </c>
      <c r="H475" s="233">
        <v>9.9999999999999995E-7</v>
      </c>
      <c r="I475" s="233">
        <v>4.8274009999999999E-2</v>
      </c>
      <c r="J475" s="233">
        <v>0.65082911700000001</v>
      </c>
      <c r="K475" s="233">
        <v>1.3574661E-2</v>
      </c>
      <c r="L475" s="233">
        <v>0</v>
      </c>
      <c r="M475" s="233">
        <v>0.20338134499999999</v>
      </c>
      <c r="N475" s="233">
        <v>0.57673694799999997</v>
      </c>
    </row>
    <row r="476" spans="1:14" x14ac:dyDescent="0.2">
      <c r="A476" s="233" t="s">
        <v>93</v>
      </c>
      <c r="B476" s="233" t="s">
        <v>10346</v>
      </c>
      <c r="C476" s="233" t="s">
        <v>5</v>
      </c>
      <c r="D476" s="233">
        <v>1</v>
      </c>
      <c r="E476" s="233">
        <v>0.03</v>
      </c>
      <c r="F476" s="233" t="s">
        <v>6370</v>
      </c>
      <c r="G476" s="233">
        <v>1E-4</v>
      </c>
      <c r="H476" s="233">
        <v>1.0000000000000001E-5</v>
      </c>
      <c r="I476" s="233">
        <v>0.20211642499999999</v>
      </c>
      <c r="J476" s="233">
        <v>3.961792120000001</v>
      </c>
      <c r="K476" s="233">
        <v>0</v>
      </c>
      <c r="L476" s="233">
        <v>2.6460859999999999E-2</v>
      </c>
      <c r="M476" s="233">
        <v>0</v>
      </c>
      <c r="N476" s="233">
        <v>4.8717227440000004</v>
      </c>
    </row>
    <row r="477" spans="1:14" x14ac:dyDescent="0.2">
      <c r="A477" s="233" t="s">
        <v>93</v>
      </c>
      <c r="B477" s="233" t="s">
        <v>10346</v>
      </c>
      <c r="C477" s="233" t="s">
        <v>5</v>
      </c>
      <c r="D477" s="233">
        <v>1</v>
      </c>
      <c r="E477" s="233">
        <v>0.03</v>
      </c>
      <c r="F477" s="233" t="s">
        <v>6370</v>
      </c>
      <c r="G477" s="233">
        <v>1E-3</v>
      </c>
      <c r="H477" s="233">
        <v>1E-4</v>
      </c>
      <c r="I477" s="233">
        <v>4.6407443E-2</v>
      </c>
      <c r="J477" s="233">
        <v>10.152661999999999</v>
      </c>
      <c r="K477" s="233">
        <v>0.21621621599999999</v>
      </c>
      <c r="L477" s="233">
        <v>0.192</v>
      </c>
      <c r="M477" s="233">
        <v>0.38806662400000003</v>
      </c>
      <c r="N477" s="233">
        <v>45.335060419999998</v>
      </c>
    </row>
    <row r="478" spans="1:14" x14ac:dyDescent="0.2">
      <c r="A478" s="233" t="s">
        <v>93</v>
      </c>
      <c r="B478" s="233" t="s">
        <v>10346</v>
      </c>
      <c r="C478" s="233" t="s">
        <v>5</v>
      </c>
      <c r="D478" s="233">
        <v>1</v>
      </c>
      <c r="E478" s="233">
        <v>0.03</v>
      </c>
      <c r="F478" s="233" t="s">
        <v>6370</v>
      </c>
      <c r="G478" s="233">
        <v>5.0000000000000001E-3</v>
      </c>
      <c r="H478" s="233">
        <v>1E-3</v>
      </c>
      <c r="I478" s="233">
        <v>1.4965440999999999E-2</v>
      </c>
      <c r="J478" s="233">
        <v>0.73337978100000001</v>
      </c>
      <c r="K478" s="233">
        <v>2.6058632000000002E-2</v>
      </c>
      <c r="L478" s="233">
        <v>1.7121536E-2</v>
      </c>
      <c r="M478" s="233">
        <v>5.1461036000000002E-2</v>
      </c>
      <c r="N478" s="233">
        <v>44.625032160000004</v>
      </c>
    </row>
    <row r="479" spans="1:14" x14ac:dyDescent="0.2">
      <c r="A479" s="233" t="s">
        <v>93</v>
      </c>
      <c r="B479" s="233" t="s">
        <v>10346</v>
      </c>
      <c r="C479" s="233" t="s">
        <v>5</v>
      </c>
      <c r="D479" s="233">
        <v>1</v>
      </c>
      <c r="E479" s="233">
        <v>0.03</v>
      </c>
      <c r="F479" s="233" t="s">
        <v>6370</v>
      </c>
      <c r="G479" s="233">
        <v>2.5000000000000001E-2</v>
      </c>
      <c r="H479" s="233">
        <v>5.0000000000000001E-3</v>
      </c>
      <c r="I479" s="233">
        <v>2.1743188E-2</v>
      </c>
      <c r="J479" s="233">
        <v>0.45768257499999998</v>
      </c>
      <c r="K479" s="233">
        <v>0</v>
      </c>
      <c r="L479" s="233">
        <v>0</v>
      </c>
      <c r="M479" s="233">
        <v>0</v>
      </c>
      <c r="N479" s="233">
        <v>0</v>
      </c>
    </row>
    <row r="480" spans="1:14" x14ac:dyDescent="0.2">
      <c r="A480" s="233" t="s">
        <v>93</v>
      </c>
      <c r="B480" s="233" t="s">
        <v>10346</v>
      </c>
      <c r="C480" s="233" t="s">
        <v>5</v>
      </c>
      <c r="D480" s="233">
        <v>1</v>
      </c>
      <c r="E480" s="233">
        <v>0.03</v>
      </c>
      <c r="F480" s="233" t="s">
        <v>6371</v>
      </c>
      <c r="G480" s="233">
        <v>9.9999999999999995E-7</v>
      </c>
      <c r="H480" s="233">
        <v>9.9999999999999995E-7</v>
      </c>
      <c r="I480" s="233">
        <v>0.17703682600000001</v>
      </c>
      <c r="J480" s="233">
        <v>1.4781395690000001</v>
      </c>
      <c r="K480" s="233">
        <v>0</v>
      </c>
      <c r="L480" s="233">
        <v>1.5672729999999999E-2</v>
      </c>
      <c r="M480" s="233">
        <v>0</v>
      </c>
      <c r="N480" s="233">
        <v>1.5096829949999999</v>
      </c>
    </row>
    <row r="481" spans="1:14" x14ac:dyDescent="0.2">
      <c r="A481" s="233" t="s">
        <v>93</v>
      </c>
      <c r="B481" s="233" t="s">
        <v>10346</v>
      </c>
      <c r="C481" s="233" t="s">
        <v>5</v>
      </c>
      <c r="D481" s="233">
        <v>1</v>
      </c>
      <c r="E481" s="233">
        <v>0.03</v>
      </c>
      <c r="F481" s="233" t="s">
        <v>6371</v>
      </c>
      <c r="G481" s="233">
        <v>1.0000000000000001E-5</v>
      </c>
      <c r="H481" s="233">
        <v>1.0000000000000001E-5</v>
      </c>
      <c r="I481" s="233">
        <v>0.117498687</v>
      </c>
      <c r="J481" s="233">
        <v>19.58173056</v>
      </c>
      <c r="K481" s="233">
        <v>0.22018348600000001</v>
      </c>
      <c r="L481" s="233">
        <v>0.50021710799999997</v>
      </c>
      <c r="M481" s="233">
        <v>1.8521310609999999</v>
      </c>
      <c r="N481" s="233">
        <v>34.457052439999998</v>
      </c>
    </row>
    <row r="482" spans="1:14" x14ac:dyDescent="0.2">
      <c r="A482" s="233" t="s">
        <v>93</v>
      </c>
      <c r="B482" s="233" t="s">
        <v>10346</v>
      </c>
      <c r="C482" s="233" t="s">
        <v>5</v>
      </c>
      <c r="D482" s="233">
        <v>1</v>
      </c>
      <c r="E482" s="233">
        <v>0.03</v>
      </c>
      <c r="F482" s="233" t="s">
        <v>6371</v>
      </c>
      <c r="G482" s="233">
        <v>1E-4</v>
      </c>
      <c r="H482" s="233">
        <v>1E-4</v>
      </c>
      <c r="I482" s="233">
        <v>1.7841925000000002E-2</v>
      </c>
      <c r="J482" s="233">
        <v>2.4966493519999999</v>
      </c>
      <c r="K482" s="233">
        <v>2.5723473E-2</v>
      </c>
      <c r="L482" s="233">
        <v>7.4784499000000004E-2</v>
      </c>
      <c r="M482" s="233">
        <v>0.20598475599999999</v>
      </c>
      <c r="N482" s="233">
        <v>37.941466159999997</v>
      </c>
    </row>
    <row r="483" spans="1:14" x14ac:dyDescent="0.2">
      <c r="A483" s="233" t="s">
        <v>93</v>
      </c>
      <c r="B483" s="233" t="s">
        <v>10346</v>
      </c>
      <c r="C483" s="233" t="s">
        <v>5</v>
      </c>
      <c r="D483" s="233">
        <v>1</v>
      </c>
      <c r="E483" s="233">
        <v>0.03</v>
      </c>
      <c r="F483" s="233" t="s">
        <v>6369</v>
      </c>
      <c r="G483" s="233">
        <v>9.9999999999999995E-7</v>
      </c>
      <c r="H483" s="233">
        <v>9.9999999999999995E-7</v>
      </c>
      <c r="I483" s="233">
        <v>4.1092930999999999E-2</v>
      </c>
      <c r="J483" s="233">
        <v>0.72712841800000005</v>
      </c>
      <c r="K483" s="233">
        <v>0.225396825</v>
      </c>
      <c r="L483" s="233">
        <v>0.15635608200000001</v>
      </c>
      <c r="M483" s="233">
        <v>1.017058158</v>
      </c>
      <c r="N483" s="233">
        <v>0.98085031099999997</v>
      </c>
    </row>
    <row r="484" spans="1:14" x14ac:dyDescent="0.2">
      <c r="A484" s="233" t="s">
        <v>93</v>
      </c>
      <c r="B484" s="233" t="s">
        <v>10346</v>
      </c>
      <c r="C484" s="233" t="s">
        <v>5</v>
      </c>
      <c r="D484" s="233">
        <v>1</v>
      </c>
      <c r="E484" s="233">
        <v>0.03</v>
      </c>
      <c r="F484" s="233" t="s">
        <v>6369</v>
      </c>
      <c r="G484" s="233">
        <v>1.0000000000000001E-5</v>
      </c>
      <c r="H484" s="233">
        <v>1.0000000000000001E-5</v>
      </c>
      <c r="I484" s="233">
        <v>0.13764307200000001</v>
      </c>
      <c r="J484" s="233">
        <v>1.076551247</v>
      </c>
      <c r="K484" s="233">
        <v>0.21921921899999999</v>
      </c>
      <c r="L484" s="233">
        <v>1.6415869E-2</v>
      </c>
      <c r="M484" s="233">
        <v>1.017058158</v>
      </c>
      <c r="N484" s="233">
        <v>0.93317200399999989</v>
      </c>
    </row>
    <row r="485" spans="1:14" x14ac:dyDescent="0.2">
      <c r="A485" s="233" t="s">
        <v>93</v>
      </c>
      <c r="B485" s="233" t="s">
        <v>10346</v>
      </c>
      <c r="C485" s="233" t="s">
        <v>5</v>
      </c>
      <c r="D485" s="233">
        <v>1</v>
      </c>
      <c r="E485" s="233">
        <v>0.03</v>
      </c>
      <c r="F485" s="233" t="s">
        <v>6369</v>
      </c>
      <c r="G485" s="233">
        <v>1E-4</v>
      </c>
      <c r="H485" s="233">
        <v>1E-4</v>
      </c>
      <c r="I485" s="233">
        <v>7.2209582999999994E-2</v>
      </c>
      <c r="J485" s="233">
        <v>13.908228060000001</v>
      </c>
      <c r="K485" s="233">
        <v>0.21918265200000001</v>
      </c>
      <c r="L485" s="233">
        <v>0.39344262299999999</v>
      </c>
      <c r="M485" s="233">
        <v>0.77079914100000002</v>
      </c>
      <c r="N485" s="233">
        <v>31.233104950000001</v>
      </c>
    </row>
    <row r="486" spans="1:14" x14ac:dyDescent="0.2">
      <c r="A486" s="233" t="s">
        <v>93</v>
      </c>
      <c r="B486" s="233" t="s">
        <v>10346</v>
      </c>
      <c r="C486" s="233" t="s">
        <v>5</v>
      </c>
      <c r="D486" s="233">
        <v>1</v>
      </c>
      <c r="E486" s="233">
        <v>0.03</v>
      </c>
      <c r="F486" s="233" t="s">
        <v>6369</v>
      </c>
      <c r="G486" s="233">
        <v>1E-3</v>
      </c>
      <c r="H486" s="233">
        <v>1E-3</v>
      </c>
      <c r="I486" s="233">
        <v>1.351347E-2</v>
      </c>
      <c r="J486" s="233">
        <v>1.358550997</v>
      </c>
      <c r="K486" s="233">
        <v>2.3191272999999998E-2</v>
      </c>
      <c r="L486" s="233">
        <v>2.2121325000000001E-2</v>
      </c>
      <c r="M486" s="233">
        <v>0.110199241</v>
      </c>
      <c r="N486" s="233">
        <v>105.7010779</v>
      </c>
    </row>
    <row r="487" spans="1:14" x14ac:dyDescent="0.2">
      <c r="A487" s="233" t="s">
        <v>93</v>
      </c>
      <c r="B487" s="233" t="s">
        <v>10346</v>
      </c>
      <c r="C487" s="233" t="s">
        <v>5</v>
      </c>
      <c r="D487" s="233">
        <v>1</v>
      </c>
      <c r="E487" s="233">
        <v>0.03</v>
      </c>
      <c r="F487" s="233" t="s">
        <v>6369</v>
      </c>
      <c r="G487" s="233">
        <v>5.0000000000000001E-3</v>
      </c>
      <c r="H487" s="233">
        <v>5.0000000000000001E-3</v>
      </c>
      <c r="I487" s="233">
        <v>1.6655831999999999E-2</v>
      </c>
      <c r="J487" s="233">
        <v>0.43559745300000002</v>
      </c>
      <c r="K487" s="233">
        <v>8.8528219999999998E-3</v>
      </c>
      <c r="L487" s="233">
        <v>2.2727272999999999E-2</v>
      </c>
      <c r="M487" s="233">
        <v>2.1338665999999999E-2</v>
      </c>
      <c r="N487" s="233">
        <v>3.325378701</v>
      </c>
    </row>
    <row r="488" spans="1:14" x14ac:dyDescent="0.2">
      <c r="A488" s="233" t="s">
        <v>93</v>
      </c>
      <c r="B488" s="233" t="s">
        <v>10346</v>
      </c>
      <c r="C488" s="233" t="s">
        <v>0</v>
      </c>
      <c r="D488" s="233">
        <v>4</v>
      </c>
      <c r="E488" s="233">
        <v>0.95299999999999996</v>
      </c>
      <c r="F488" s="233" t="s">
        <v>6370</v>
      </c>
      <c r="G488" s="233">
        <v>5.0000000000000002E-5</v>
      </c>
      <c r="H488" s="233">
        <v>9.9999999999999995E-7</v>
      </c>
      <c r="I488" s="233">
        <v>7.4810906999999996E-2</v>
      </c>
      <c r="J488" s="233">
        <v>0.59180627500000005</v>
      </c>
      <c r="K488" s="233">
        <v>2.3529412E-2</v>
      </c>
      <c r="L488" s="233">
        <v>0.30379746800000001</v>
      </c>
      <c r="M488" s="233">
        <v>6.5697034000000001E-2</v>
      </c>
      <c r="N488" s="233">
        <v>4.3510619970000004</v>
      </c>
    </row>
    <row r="489" spans="1:14" x14ac:dyDescent="0.2">
      <c r="A489" s="233" t="s">
        <v>93</v>
      </c>
      <c r="B489" s="233" t="s">
        <v>10346</v>
      </c>
      <c r="C489" s="233" t="s">
        <v>0</v>
      </c>
      <c r="D489" s="233">
        <v>4</v>
      </c>
      <c r="E489" s="233">
        <v>0.95299999999999996</v>
      </c>
      <c r="F489" s="233" t="s">
        <v>6370</v>
      </c>
      <c r="G489" s="233">
        <v>1E-4</v>
      </c>
      <c r="H489" s="233">
        <v>1.0000000000000001E-5</v>
      </c>
      <c r="I489" s="233">
        <v>0.48872423899999989</v>
      </c>
      <c r="J489" s="233">
        <v>4.2372954160000003</v>
      </c>
      <c r="K489" s="233">
        <v>0</v>
      </c>
      <c r="L489" s="233">
        <v>0.28235294100000002</v>
      </c>
      <c r="M489" s="233">
        <v>0</v>
      </c>
      <c r="N489" s="233">
        <v>4.5260310649999997</v>
      </c>
    </row>
    <row r="490" spans="1:14" x14ac:dyDescent="0.2">
      <c r="A490" s="233" t="s">
        <v>93</v>
      </c>
      <c r="B490" s="233" t="s">
        <v>10346</v>
      </c>
      <c r="C490" s="233" t="s">
        <v>0</v>
      </c>
      <c r="D490" s="233">
        <v>4</v>
      </c>
      <c r="E490" s="233">
        <v>0.95299999999999996</v>
      </c>
      <c r="F490" s="233" t="s">
        <v>6370</v>
      </c>
      <c r="G490" s="233">
        <v>1E-3</v>
      </c>
      <c r="H490" s="233">
        <v>1E-4</v>
      </c>
      <c r="I490" s="233">
        <v>0.37342286899999999</v>
      </c>
      <c r="J490" s="233">
        <v>41.981439559999998</v>
      </c>
      <c r="K490" s="233">
        <v>0</v>
      </c>
      <c r="L490" s="233">
        <v>0.41028638200000001</v>
      </c>
      <c r="M490" s="233">
        <v>0</v>
      </c>
      <c r="N490" s="233">
        <v>91.960454200000001</v>
      </c>
    </row>
    <row r="491" spans="1:14" x14ac:dyDescent="0.2">
      <c r="A491" s="233" t="s">
        <v>93</v>
      </c>
      <c r="B491" s="233" t="s">
        <v>10346</v>
      </c>
      <c r="C491" s="233" t="s">
        <v>0</v>
      </c>
      <c r="D491" s="233">
        <v>4</v>
      </c>
      <c r="E491" s="233">
        <v>0.95299999999999996</v>
      </c>
      <c r="F491" s="233" t="s">
        <v>6370</v>
      </c>
      <c r="G491" s="233">
        <v>5.0000000000000001E-3</v>
      </c>
      <c r="H491" s="233">
        <v>1E-3</v>
      </c>
      <c r="I491" s="233">
        <v>4.5713716000000001E-2</v>
      </c>
      <c r="J491" s="233">
        <v>14.501529039999999</v>
      </c>
      <c r="K491" s="233">
        <v>0.21333754699999999</v>
      </c>
      <c r="L491" s="233">
        <v>5.5172414000000003E-2</v>
      </c>
      <c r="M491" s="233">
        <v>0.35285783300000001</v>
      </c>
      <c r="N491" s="233">
        <v>136.65600850000001</v>
      </c>
    </row>
    <row r="492" spans="1:14" x14ac:dyDescent="0.2">
      <c r="A492" s="233" t="s">
        <v>93</v>
      </c>
      <c r="B492" s="233" t="s">
        <v>10346</v>
      </c>
      <c r="C492" s="233" t="s">
        <v>0</v>
      </c>
      <c r="D492" s="233">
        <v>4</v>
      </c>
      <c r="E492" s="233">
        <v>0.95299999999999996</v>
      </c>
      <c r="F492" s="233" t="s">
        <v>6370</v>
      </c>
      <c r="G492" s="233">
        <v>2.5000000000000001E-2</v>
      </c>
      <c r="H492" s="233">
        <v>5.0000000000000001E-3</v>
      </c>
      <c r="I492" s="233">
        <v>1.7237190999999999E-2</v>
      </c>
      <c r="J492" s="233">
        <v>1.3859933900000001</v>
      </c>
      <c r="K492" s="233">
        <v>0.120547945</v>
      </c>
      <c r="L492" s="233">
        <v>3.9696094000000001E-2</v>
      </c>
      <c r="M492" s="233">
        <v>8.9876186999999996E-2</v>
      </c>
      <c r="N492" s="233">
        <v>91.384823819999994</v>
      </c>
    </row>
    <row r="493" spans="1:14" x14ac:dyDescent="0.2">
      <c r="A493" s="233" t="s">
        <v>93</v>
      </c>
      <c r="B493" s="233" t="s">
        <v>10346</v>
      </c>
      <c r="C493" s="233" t="s">
        <v>0</v>
      </c>
      <c r="D493" s="233">
        <v>4</v>
      </c>
      <c r="E493" s="233">
        <v>0.95299999999999996</v>
      </c>
      <c r="F493" s="233" t="s">
        <v>6371</v>
      </c>
      <c r="G493" s="233">
        <v>9.9999999999999995E-7</v>
      </c>
      <c r="H493" s="233">
        <v>9.9999999999999995E-7</v>
      </c>
      <c r="I493" s="233">
        <v>0.25617113000000002</v>
      </c>
      <c r="J493" s="233">
        <v>1.5080760879999999</v>
      </c>
      <c r="K493" s="233">
        <v>0.20689655200000001</v>
      </c>
      <c r="L493" s="233">
        <v>1.1188811E-2</v>
      </c>
      <c r="M493" s="233">
        <v>0.94466041499999998</v>
      </c>
      <c r="N493" s="233">
        <v>1.410104172</v>
      </c>
    </row>
    <row r="494" spans="1:14" x14ac:dyDescent="0.2">
      <c r="A494" s="233" t="s">
        <v>93</v>
      </c>
      <c r="B494" s="233" t="s">
        <v>10346</v>
      </c>
      <c r="C494" s="233" t="s">
        <v>0</v>
      </c>
      <c r="D494" s="233">
        <v>4</v>
      </c>
      <c r="E494" s="233">
        <v>0.95299999999999996</v>
      </c>
      <c r="F494" s="233" t="s">
        <v>6371</v>
      </c>
      <c r="G494" s="233">
        <v>1.0000000000000001E-5</v>
      </c>
      <c r="H494" s="233">
        <v>1.0000000000000001E-5</v>
      </c>
      <c r="I494" s="233">
        <v>1.225813789</v>
      </c>
      <c r="J494" s="233">
        <v>44.859724210000003</v>
      </c>
      <c r="K494" s="233">
        <v>0</v>
      </c>
      <c r="L494" s="233">
        <v>0.324324324</v>
      </c>
      <c r="M494" s="233">
        <v>0</v>
      </c>
      <c r="N494" s="233">
        <v>72.846697500000005</v>
      </c>
    </row>
    <row r="495" spans="1:14" x14ac:dyDescent="0.2">
      <c r="A495" s="233" t="s">
        <v>93</v>
      </c>
      <c r="B495" s="233" t="s">
        <v>10346</v>
      </c>
      <c r="C495" s="233" t="s">
        <v>0</v>
      </c>
      <c r="D495" s="233">
        <v>4</v>
      </c>
      <c r="E495" s="233">
        <v>0.95299999999999996</v>
      </c>
      <c r="F495" s="233" t="s">
        <v>6371</v>
      </c>
      <c r="G495" s="233">
        <v>1E-4</v>
      </c>
      <c r="H495" s="233">
        <v>1E-4</v>
      </c>
      <c r="I495" s="233">
        <v>0.245725372</v>
      </c>
      <c r="J495" s="233">
        <v>87.52701777</v>
      </c>
      <c r="K495" s="233">
        <v>0.218181818</v>
      </c>
      <c r="L495" s="233">
        <v>0.5</v>
      </c>
      <c r="M495" s="233">
        <v>8.2924814470000001</v>
      </c>
      <c r="N495" s="233">
        <v>163.58686560000001</v>
      </c>
    </row>
    <row r="496" spans="1:14" x14ac:dyDescent="0.2">
      <c r="A496" s="233" t="s">
        <v>93</v>
      </c>
      <c r="B496" s="233" t="s">
        <v>10346</v>
      </c>
      <c r="C496" s="233" t="s">
        <v>0</v>
      </c>
      <c r="D496" s="233">
        <v>4</v>
      </c>
      <c r="E496" s="233">
        <v>0.95299999999999996</v>
      </c>
      <c r="F496" s="233" t="s">
        <v>6369</v>
      </c>
      <c r="G496" s="233">
        <v>9.9999999999999995E-7</v>
      </c>
      <c r="H496" s="233">
        <v>9.9999999999999995E-7</v>
      </c>
      <c r="I496" s="233">
        <v>4.7545926000000002E-2</v>
      </c>
      <c r="J496" s="233">
        <v>0.61604329400000002</v>
      </c>
      <c r="K496" s="233">
        <v>0.22641509400000001</v>
      </c>
      <c r="L496" s="233">
        <v>0</v>
      </c>
      <c r="M496" s="233">
        <v>2.1371614270000001</v>
      </c>
      <c r="N496" s="233">
        <v>0.87581994200000002</v>
      </c>
    </row>
    <row r="497" spans="1:14" x14ac:dyDescent="0.2">
      <c r="A497" s="233" t="s">
        <v>93</v>
      </c>
      <c r="B497" s="233" t="s">
        <v>10346</v>
      </c>
      <c r="C497" s="233" t="s">
        <v>0</v>
      </c>
      <c r="D497" s="233">
        <v>4</v>
      </c>
      <c r="E497" s="233">
        <v>0.95299999999999996</v>
      </c>
      <c r="F497" s="233" t="s">
        <v>6369</v>
      </c>
      <c r="G497" s="233">
        <v>1.0000000000000001E-5</v>
      </c>
      <c r="H497" s="233">
        <v>1.0000000000000001E-5</v>
      </c>
      <c r="I497" s="233">
        <v>0.14989813900000001</v>
      </c>
      <c r="J497" s="233">
        <v>1.0669457309999999</v>
      </c>
      <c r="K497" s="233">
        <v>0.22329929000000001</v>
      </c>
      <c r="L497" s="233">
        <v>0.289156627</v>
      </c>
      <c r="M497" s="233">
        <v>1.3497609239999999</v>
      </c>
      <c r="N497" s="233">
        <v>0.88559666100000001</v>
      </c>
    </row>
    <row r="498" spans="1:14" x14ac:dyDescent="0.2">
      <c r="A498" s="233" t="s">
        <v>93</v>
      </c>
      <c r="B498" s="233" t="s">
        <v>10346</v>
      </c>
      <c r="C498" s="233" t="s">
        <v>0</v>
      </c>
      <c r="D498" s="233">
        <v>4</v>
      </c>
      <c r="E498" s="233">
        <v>0.95299999999999996</v>
      </c>
      <c r="F498" s="233" t="s">
        <v>6369</v>
      </c>
      <c r="G498" s="233">
        <v>1E-4</v>
      </c>
      <c r="H498" s="233">
        <v>1E-4</v>
      </c>
      <c r="I498" s="233">
        <v>0.46324885399999999</v>
      </c>
      <c r="J498" s="233">
        <v>25.811729549999999</v>
      </c>
      <c r="K498" s="233">
        <v>0</v>
      </c>
      <c r="L498" s="233">
        <v>0.29907120700000001</v>
      </c>
      <c r="M498" s="233">
        <v>0</v>
      </c>
      <c r="N498" s="233">
        <v>48.696246729999999</v>
      </c>
    </row>
    <row r="499" spans="1:14" x14ac:dyDescent="0.2">
      <c r="A499" s="233" t="s">
        <v>93</v>
      </c>
      <c r="B499" s="233" t="s">
        <v>10346</v>
      </c>
      <c r="C499" s="233" t="s">
        <v>0</v>
      </c>
      <c r="D499" s="233">
        <v>4</v>
      </c>
      <c r="E499" s="233">
        <v>0.95299999999999996</v>
      </c>
      <c r="F499" s="233" t="s">
        <v>6369</v>
      </c>
      <c r="G499" s="233">
        <v>1E-3</v>
      </c>
      <c r="H499" s="233">
        <v>1E-3</v>
      </c>
      <c r="I499" s="233">
        <v>6.7717003999999997E-2</v>
      </c>
      <c r="J499" s="233">
        <v>19.631698660000001</v>
      </c>
      <c r="K499" s="233">
        <v>0.21621621599999999</v>
      </c>
      <c r="L499" s="233">
        <v>6.0000000010000001</v>
      </c>
      <c r="M499" s="233">
        <v>0.60726780599999997</v>
      </c>
      <c r="N499" s="233">
        <v>137.67990660000001</v>
      </c>
    </row>
    <row r="500" spans="1:14" x14ac:dyDescent="0.2">
      <c r="A500" s="233" t="s">
        <v>93</v>
      </c>
      <c r="B500" s="233" t="s">
        <v>10346</v>
      </c>
      <c r="C500" s="233" t="s">
        <v>0</v>
      </c>
      <c r="D500" s="233">
        <v>4</v>
      </c>
      <c r="E500" s="233">
        <v>0.95299999999999996</v>
      </c>
      <c r="F500" s="233" t="s">
        <v>6369</v>
      </c>
      <c r="G500" s="233">
        <v>5.0000000000000001E-3</v>
      </c>
      <c r="H500" s="233">
        <v>5.0000000000000001E-3</v>
      </c>
      <c r="I500" s="233">
        <v>1.8904838E-2</v>
      </c>
      <c r="J500" s="233">
        <v>2.5308009199999999</v>
      </c>
      <c r="K500" s="233">
        <v>0.115593419</v>
      </c>
      <c r="L500" s="233">
        <v>0.15163104599999999</v>
      </c>
      <c r="M500" s="233">
        <v>0.216285483</v>
      </c>
      <c r="N500" s="233">
        <v>24.024187170000001</v>
      </c>
    </row>
    <row r="501" spans="1:14" x14ac:dyDescent="0.2">
      <c r="A501" s="233" t="s">
        <v>93</v>
      </c>
      <c r="B501" s="233" t="s">
        <v>10346</v>
      </c>
      <c r="C501" s="233" t="s">
        <v>1</v>
      </c>
      <c r="D501" s="233">
        <v>3</v>
      </c>
      <c r="E501" s="233">
        <v>0.91500000000000004</v>
      </c>
      <c r="F501" s="233" t="s">
        <v>6370</v>
      </c>
      <c r="G501" s="233">
        <v>5.0000000000000002E-5</v>
      </c>
      <c r="H501" s="233">
        <v>9.9999999999999995E-7</v>
      </c>
      <c r="I501" s="233">
        <v>4.1351053999999998E-2</v>
      </c>
      <c r="J501" s="233">
        <v>0.56353514999999998</v>
      </c>
      <c r="K501" s="233">
        <v>0</v>
      </c>
      <c r="L501" s="233">
        <v>0.27906976700000002</v>
      </c>
      <c r="M501" s="233">
        <v>0</v>
      </c>
      <c r="N501" s="233">
        <v>4.6432705260000002</v>
      </c>
    </row>
    <row r="502" spans="1:14" x14ac:dyDescent="0.2">
      <c r="A502" s="233" t="s">
        <v>93</v>
      </c>
      <c r="B502" s="233" t="s">
        <v>10346</v>
      </c>
      <c r="C502" s="233" t="s">
        <v>1</v>
      </c>
      <c r="D502" s="233">
        <v>3</v>
      </c>
      <c r="E502" s="233">
        <v>0.91500000000000004</v>
      </c>
      <c r="F502" s="233" t="s">
        <v>6370</v>
      </c>
      <c r="G502" s="233">
        <v>1E-4</v>
      </c>
      <c r="H502" s="233">
        <v>1.0000000000000001E-5</v>
      </c>
      <c r="I502" s="233">
        <v>0.49007460600000008</v>
      </c>
      <c r="J502" s="233">
        <v>4.1805133520000002</v>
      </c>
      <c r="K502" s="233">
        <v>0</v>
      </c>
      <c r="L502" s="233">
        <v>0.11320754700000001</v>
      </c>
      <c r="M502" s="233">
        <v>0</v>
      </c>
      <c r="N502" s="233">
        <v>4.4741348179999996</v>
      </c>
    </row>
    <row r="503" spans="1:14" x14ac:dyDescent="0.2">
      <c r="A503" s="233" t="s">
        <v>93</v>
      </c>
      <c r="B503" s="233" t="s">
        <v>10346</v>
      </c>
      <c r="C503" s="233" t="s">
        <v>1</v>
      </c>
      <c r="D503" s="233">
        <v>3</v>
      </c>
      <c r="E503" s="233">
        <v>0.91500000000000004</v>
      </c>
      <c r="F503" s="233" t="s">
        <v>6370</v>
      </c>
      <c r="G503" s="233">
        <v>1E-3</v>
      </c>
      <c r="H503" s="233">
        <v>1E-4</v>
      </c>
      <c r="I503" s="233">
        <v>0.27310526000000002</v>
      </c>
      <c r="J503" s="233">
        <v>37.954907669999997</v>
      </c>
      <c r="K503" s="233">
        <v>0</v>
      </c>
      <c r="L503" s="233">
        <v>0.71657753999999996</v>
      </c>
      <c r="M503" s="233">
        <v>0</v>
      </c>
      <c r="N503" s="233">
        <v>73.044611950000004</v>
      </c>
    </row>
    <row r="504" spans="1:14" x14ac:dyDescent="0.2">
      <c r="A504" s="233" t="s">
        <v>93</v>
      </c>
      <c r="B504" s="233" t="s">
        <v>10346</v>
      </c>
      <c r="C504" s="233" t="s">
        <v>1</v>
      </c>
      <c r="D504" s="233">
        <v>3</v>
      </c>
      <c r="E504" s="233">
        <v>0.91500000000000004</v>
      </c>
      <c r="F504" s="233" t="s">
        <v>6370</v>
      </c>
      <c r="G504" s="233">
        <v>5.0000000000000001E-3</v>
      </c>
      <c r="H504" s="233">
        <v>1E-3</v>
      </c>
      <c r="I504" s="233">
        <v>3.4842431E-2</v>
      </c>
      <c r="J504" s="233">
        <v>8.7806981939999993</v>
      </c>
      <c r="K504" s="233">
        <v>0.218181818</v>
      </c>
      <c r="L504" s="233">
        <v>0</v>
      </c>
      <c r="M504" s="233">
        <v>0.21586913699999999</v>
      </c>
      <c r="N504" s="233">
        <v>142.37365070000001</v>
      </c>
    </row>
    <row r="505" spans="1:14" x14ac:dyDescent="0.2">
      <c r="A505" s="233" t="s">
        <v>93</v>
      </c>
      <c r="B505" s="233" t="s">
        <v>10346</v>
      </c>
      <c r="C505" s="233" t="s">
        <v>1</v>
      </c>
      <c r="D505" s="233">
        <v>3</v>
      </c>
      <c r="E505" s="233">
        <v>0.91500000000000004</v>
      </c>
      <c r="F505" s="233" t="s">
        <v>6370</v>
      </c>
      <c r="G505" s="233">
        <v>2.5000000000000001E-2</v>
      </c>
      <c r="H505" s="233">
        <v>5.0000000000000001E-3</v>
      </c>
      <c r="I505" s="233">
        <v>1.3159868999999999E-2</v>
      </c>
      <c r="J505" s="233">
        <v>0.865599758</v>
      </c>
      <c r="K505" s="233">
        <v>2.4381786999999999E-2</v>
      </c>
      <c r="L505" s="233">
        <v>1.5645372000000001E-2</v>
      </c>
      <c r="M505" s="233">
        <v>7.5954644000000002E-2</v>
      </c>
      <c r="N505" s="233">
        <v>70.675652349999993</v>
      </c>
    </row>
    <row r="506" spans="1:14" x14ac:dyDescent="0.2">
      <c r="A506" s="233" t="s">
        <v>93</v>
      </c>
      <c r="B506" s="233" t="s">
        <v>10346</v>
      </c>
      <c r="C506" s="233" t="s">
        <v>1</v>
      </c>
      <c r="D506" s="233">
        <v>3</v>
      </c>
      <c r="E506" s="233">
        <v>0.91500000000000004</v>
      </c>
      <c r="F506" s="233" t="s">
        <v>6371</v>
      </c>
      <c r="G506" s="233">
        <v>9.9999999999999995E-7</v>
      </c>
      <c r="H506" s="233">
        <v>9.9999999999999995E-7</v>
      </c>
      <c r="I506" s="233">
        <v>0.24772065099999999</v>
      </c>
      <c r="J506" s="233">
        <v>1.5457091510000001</v>
      </c>
      <c r="K506" s="233">
        <v>0.21455938699999999</v>
      </c>
      <c r="L506" s="233">
        <v>1.0661927999999999E-2</v>
      </c>
      <c r="M506" s="233">
        <v>0.88944684799999996</v>
      </c>
      <c r="N506" s="233">
        <v>1.5032553449999999</v>
      </c>
    </row>
    <row r="507" spans="1:14" x14ac:dyDescent="0.2">
      <c r="A507" s="233" t="s">
        <v>93</v>
      </c>
      <c r="B507" s="233" t="s">
        <v>10346</v>
      </c>
      <c r="C507" s="233" t="s">
        <v>1</v>
      </c>
      <c r="D507" s="233">
        <v>3</v>
      </c>
      <c r="E507" s="233">
        <v>0.91500000000000004</v>
      </c>
      <c r="F507" s="233" t="s">
        <v>6371</v>
      </c>
      <c r="G507" s="233">
        <v>1.0000000000000001E-5</v>
      </c>
      <c r="H507" s="233">
        <v>1.0000000000000001E-5</v>
      </c>
      <c r="I507" s="233">
        <v>0.9388358229999999</v>
      </c>
      <c r="J507" s="233">
        <v>42.017607929999997</v>
      </c>
      <c r="K507" s="233">
        <v>0</v>
      </c>
      <c r="L507" s="233">
        <v>0.34782608700000001</v>
      </c>
      <c r="M507" s="233">
        <v>0</v>
      </c>
      <c r="N507" s="233">
        <v>71.06414393</v>
      </c>
    </row>
    <row r="508" spans="1:14" x14ac:dyDescent="0.2">
      <c r="A508" s="233" t="s">
        <v>93</v>
      </c>
      <c r="B508" s="233" t="s">
        <v>10346</v>
      </c>
      <c r="C508" s="233" t="s">
        <v>1</v>
      </c>
      <c r="D508" s="233">
        <v>3</v>
      </c>
      <c r="E508" s="233">
        <v>0.91500000000000004</v>
      </c>
      <c r="F508" s="233" t="s">
        <v>6371</v>
      </c>
      <c r="G508" s="233">
        <v>1E-4</v>
      </c>
      <c r="H508" s="233">
        <v>1E-4</v>
      </c>
      <c r="I508" s="233">
        <v>0.156955861</v>
      </c>
      <c r="J508" s="233">
        <v>57.099329820000001</v>
      </c>
      <c r="K508" s="233">
        <v>0.21621621599999999</v>
      </c>
      <c r="L508" s="233">
        <v>0.54573643400000005</v>
      </c>
      <c r="M508" s="233">
        <v>1.9394183</v>
      </c>
      <c r="N508" s="233">
        <v>141.2493997</v>
      </c>
    </row>
    <row r="509" spans="1:14" x14ac:dyDescent="0.2">
      <c r="A509" s="233" t="s">
        <v>93</v>
      </c>
      <c r="B509" s="233" t="s">
        <v>10346</v>
      </c>
      <c r="C509" s="233" t="s">
        <v>1</v>
      </c>
      <c r="D509" s="233">
        <v>3</v>
      </c>
      <c r="E509" s="233">
        <v>0.91500000000000004</v>
      </c>
      <c r="F509" s="233" t="s">
        <v>6369</v>
      </c>
      <c r="G509" s="233">
        <v>9.9999999999999995E-7</v>
      </c>
      <c r="H509" s="233">
        <v>9.9999999999999995E-7</v>
      </c>
      <c r="I509" s="233">
        <v>3.9025674000000003E-2</v>
      </c>
      <c r="J509" s="233">
        <v>0.60198298900000002</v>
      </c>
      <c r="K509" s="233">
        <v>0.222222222</v>
      </c>
      <c r="L509" s="233">
        <v>0.36363636399999999</v>
      </c>
      <c r="M509" s="233">
        <v>0.309415316</v>
      </c>
      <c r="N509" s="233">
        <v>1.0137375959999999</v>
      </c>
    </row>
    <row r="510" spans="1:14" x14ac:dyDescent="0.2">
      <c r="A510" s="233" t="s">
        <v>93</v>
      </c>
      <c r="B510" s="233" t="s">
        <v>10346</v>
      </c>
      <c r="C510" s="233" t="s">
        <v>1</v>
      </c>
      <c r="D510" s="233">
        <v>3</v>
      </c>
      <c r="E510" s="233">
        <v>0.91500000000000004</v>
      </c>
      <c r="F510" s="233" t="s">
        <v>6369</v>
      </c>
      <c r="G510" s="233">
        <v>1.0000000000000001E-5</v>
      </c>
      <c r="H510" s="233">
        <v>1.0000000000000001E-5</v>
      </c>
      <c r="I510" s="233">
        <v>0.18889192899999999</v>
      </c>
      <c r="J510" s="233">
        <v>1.0826224680000001</v>
      </c>
      <c r="K510" s="233">
        <v>0.222222222</v>
      </c>
      <c r="L510" s="233">
        <v>0.36363636399999999</v>
      </c>
      <c r="M510" s="233">
        <v>0.309415316</v>
      </c>
      <c r="N510" s="233">
        <v>0.949191495</v>
      </c>
    </row>
    <row r="511" spans="1:14" x14ac:dyDescent="0.2">
      <c r="A511" s="233" t="s">
        <v>93</v>
      </c>
      <c r="B511" s="233" t="s">
        <v>10346</v>
      </c>
      <c r="C511" s="233" t="s">
        <v>1</v>
      </c>
      <c r="D511" s="233">
        <v>3</v>
      </c>
      <c r="E511" s="233">
        <v>0.91500000000000004</v>
      </c>
      <c r="F511" s="233" t="s">
        <v>6369</v>
      </c>
      <c r="G511" s="233">
        <v>1E-4</v>
      </c>
      <c r="H511" s="233">
        <v>1E-4</v>
      </c>
      <c r="I511" s="233">
        <v>0.35456262599999999</v>
      </c>
      <c r="J511" s="233">
        <v>24.698196150000001</v>
      </c>
      <c r="K511" s="233">
        <v>0</v>
      </c>
      <c r="L511" s="233">
        <v>0.36363636399999999</v>
      </c>
      <c r="M511" s="233">
        <v>0</v>
      </c>
      <c r="N511" s="233">
        <v>45.422140939999998</v>
      </c>
    </row>
    <row r="512" spans="1:14" x14ac:dyDescent="0.2">
      <c r="A512" s="233" t="s">
        <v>93</v>
      </c>
      <c r="B512" s="233" t="s">
        <v>10346</v>
      </c>
      <c r="C512" s="233" t="s">
        <v>1</v>
      </c>
      <c r="D512" s="233">
        <v>3</v>
      </c>
      <c r="E512" s="233">
        <v>0.91500000000000004</v>
      </c>
      <c r="F512" s="233" t="s">
        <v>6369</v>
      </c>
      <c r="G512" s="233">
        <v>1E-3</v>
      </c>
      <c r="H512" s="233">
        <v>1E-3</v>
      </c>
      <c r="I512" s="233">
        <v>4.7277882E-2</v>
      </c>
      <c r="J512" s="233">
        <v>15.962500049999999</v>
      </c>
      <c r="K512" s="233">
        <v>0.21621621599999999</v>
      </c>
      <c r="L512" s="233">
        <v>1.164835165</v>
      </c>
      <c r="M512" s="233">
        <v>0.36601267900000001</v>
      </c>
      <c r="N512" s="233">
        <v>129.16268049999999</v>
      </c>
    </row>
    <row r="513" spans="1:14" x14ac:dyDescent="0.2">
      <c r="A513" s="233" t="s">
        <v>93</v>
      </c>
      <c r="B513" s="233" t="s">
        <v>10346</v>
      </c>
      <c r="C513" s="233" t="s">
        <v>1</v>
      </c>
      <c r="D513" s="233">
        <v>3</v>
      </c>
      <c r="E513" s="233">
        <v>0.91500000000000004</v>
      </c>
      <c r="F513" s="233" t="s">
        <v>6369</v>
      </c>
      <c r="G513" s="233">
        <v>5.0000000000000001E-3</v>
      </c>
      <c r="H513" s="233">
        <v>5.0000000000000001E-3</v>
      </c>
      <c r="I513" s="233">
        <v>1.599254E-2</v>
      </c>
      <c r="J513" s="233">
        <v>1.664779885</v>
      </c>
      <c r="K513" s="233">
        <v>2.7355978E-2</v>
      </c>
      <c r="L513" s="233">
        <v>5.2081686000000002E-2</v>
      </c>
      <c r="M513" s="233">
        <v>0.16031976000000001</v>
      </c>
      <c r="N513" s="233">
        <v>41.63812291</v>
      </c>
    </row>
    <row r="514" spans="1:14" x14ac:dyDescent="0.2">
      <c r="A514" s="233" t="s">
        <v>93</v>
      </c>
      <c r="B514" s="233" t="s">
        <v>10346</v>
      </c>
      <c r="C514" s="233" t="s">
        <v>2</v>
      </c>
      <c r="D514" s="233">
        <v>6</v>
      </c>
      <c r="E514" s="233">
        <v>1.35</v>
      </c>
      <c r="F514" s="233" t="s">
        <v>6370</v>
      </c>
      <c r="G514" s="233">
        <v>5.0000000000000002E-5</v>
      </c>
      <c r="H514" s="233">
        <v>9.9999999999999995E-7</v>
      </c>
      <c r="I514" s="233">
        <v>6.6467717999999995E-2</v>
      </c>
      <c r="J514" s="233">
        <v>0.67808726799999997</v>
      </c>
      <c r="K514" s="233">
        <v>0.222222222</v>
      </c>
      <c r="L514" s="233">
        <v>0.10666666700000001</v>
      </c>
      <c r="M514" s="233">
        <v>0.34278230199999998</v>
      </c>
      <c r="N514" s="233">
        <v>4.303604161</v>
      </c>
    </row>
    <row r="515" spans="1:14" x14ac:dyDescent="0.2">
      <c r="A515" s="233" t="s">
        <v>93</v>
      </c>
      <c r="B515" s="233" t="s">
        <v>10346</v>
      </c>
      <c r="C515" s="233" t="s">
        <v>2</v>
      </c>
      <c r="D515" s="233">
        <v>6</v>
      </c>
      <c r="E515" s="233">
        <v>1.35</v>
      </c>
      <c r="F515" s="233" t="s">
        <v>6370</v>
      </c>
      <c r="G515" s="233">
        <v>1E-4</v>
      </c>
      <c r="H515" s="233">
        <v>1.0000000000000001E-5</v>
      </c>
      <c r="I515" s="233">
        <v>1.805195286</v>
      </c>
      <c r="J515" s="233">
        <v>4.5078769679999997</v>
      </c>
      <c r="K515" s="233">
        <v>0</v>
      </c>
      <c r="L515" s="233">
        <v>0.162064826</v>
      </c>
      <c r="M515" s="233">
        <v>0</v>
      </c>
      <c r="N515" s="233">
        <v>4.3017867000000001</v>
      </c>
    </row>
    <row r="516" spans="1:14" x14ac:dyDescent="0.2">
      <c r="A516" s="233" t="s">
        <v>93</v>
      </c>
      <c r="B516" s="233" t="s">
        <v>10346</v>
      </c>
      <c r="C516" s="233" t="s">
        <v>2</v>
      </c>
      <c r="D516" s="233">
        <v>6</v>
      </c>
      <c r="E516" s="233">
        <v>1.35</v>
      </c>
      <c r="F516" s="233" t="s">
        <v>6370</v>
      </c>
      <c r="G516" s="233">
        <v>1E-3</v>
      </c>
      <c r="H516" s="233">
        <v>1E-4</v>
      </c>
      <c r="I516" s="233">
        <v>2963.2852029999999</v>
      </c>
      <c r="J516" s="233">
        <v>405.75914340000003</v>
      </c>
      <c r="K516" s="233">
        <v>0</v>
      </c>
      <c r="L516" s="233">
        <v>0</v>
      </c>
      <c r="M516" s="233">
        <v>0</v>
      </c>
      <c r="N516" s="233">
        <v>0</v>
      </c>
    </row>
    <row r="517" spans="1:14" x14ac:dyDescent="0.2">
      <c r="A517" s="233" t="s">
        <v>93</v>
      </c>
      <c r="B517" s="233" t="s">
        <v>10346</v>
      </c>
      <c r="C517" s="233" t="s">
        <v>2</v>
      </c>
      <c r="D517" s="233">
        <v>6</v>
      </c>
      <c r="E517" s="233">
        <v>1.35</v>
      </c>
      <c r="F517" s="233" t="s">
        <v>6370</v>
      </c>
      <c r="G517" s="233">
        <v>5.0000000000000001E-3</v>
      </c>
      <c r="H517" s="233">
        <v>1E-3</v>
      </c>
      <c r="I517" s="233">
        <v>372771.31670000002</v>
      </c>
      <c r="J517" s="233">
        <v>4585.226251</v>
      </c>
      <c r="K517" s="233">
        <v>0</v>
      </c>
      <c r="L517" s="233">
        <v>0</v>
      </c>
      <c r="M517" s="233">
        <v>0</v>
      </c>
      <c r="N517" s="233">
        <v>0</v>
      </c>
    </row>
    <row r="518" spans="1:14" x14ac:dyDescent="0.2">
      <c r="A518" s="233" t="s">
        <v>93</v>
      </c>
      <c r="B518" s="233" t="s">
        <v>10346</v>
      </c>
      <c r="C518" s="233" t="s">
        <v>2</v>
      </c>
      <c r="D518" s="233">
        <v>6</v>
      </c>
      <c r="E518" s="233">
        <v>1.35</v>
      </c>
      <c r="F518" s="233" t="s">
        <v>6370</v>
      </c>
      <c r="G518" s="233">
        <v>2.5000000000000001E-2</v>
      </c>
      <c r="H518" s="233">
        <v>5.0000000000000001E-3</v>
      </c>
      <c r="I518" s="233">
        <v>2187763.8870000001</v>
      </c>
      <c r="J518" s="233">
        <v>11108.098900000001</v>
      </c>
      <c r="K518" s="233">
        <v>0</v>
      </c>
      <c r="L518" s="233">
        <v>0</v>
      </c>
      <c r="M518" s="233">
        <v>0</v>
      </c>
      <c r="N518" s="233">
        <v>0</v>
      </c>
    </row>
    <row r="519" spans="1:14" x14ac:dyDescent="0.2">
      <c r="A519" s="233" t="s">
        <v>93</v>
      </c>
      <c r="B519" s="233" t="s">
        <v>10346</v>
      </c>
      <c r="C519" s="233" t="s">
        <v>2</v>
      </c>
      <c r="D519" s="233">
        <v>6</v>
      </c>
      <c r="E519" s="233">
        <v>1.35</v>
      </c>
      <c r="F519" s="233" t="s">
        <v>6371</v>
      </c>
      <c r="G519" s="233">
        <v>9.9999999999999995E-7</v>
      </c>
      <c r="H519" s="233">
        <v>9.9999999999999995E-7</v>
      </c>
      <c r="I519" s="233">
        <v>0.30882242500000001</v>
      </c>
      <c r="J519" s="233">
        <v>1.51464212</v>
      </c>
      <c r="K519" s="233">
        <v>0.20168067200000001</v>
      </c>
      <c r="L519" s="233">
        <v>0.148763532</v>
      </c>
      <c r="M519" s="233">
        <v>0.73559542200000005</v>
      </c>
      <c r="N519" s="233">
        <v>1.4020885890000001</v>
      </c>
    </row>
    <row r="520" spans="1:14" x14ac:dyDescent="0.2">
      <c r="A520" s="233" t="s">
        <v>93</v>
      </c>
      <c r="B520" s="233" t="s">
        <v>10346</v>
      </c>
      <c r="C520" s="233" t="s">
        <v>2</v>
      </c>
      <c r="D520" s="233">
        <v>6</v>
      </c>
      <c r="E520" s="233">
        <v>1.35</v>
      </c>
      <c r="F520" s="233" t="s">
        <v>6371</v>
      </c>
      <c r="G520" s="233">
        <v>1.0000000000000001E-5</v>
      </c>
      <c r="H520" s="233">
        <v>1.0000000000000001E-5</v>
      </c>
      <c r="I520" s="233">
        <v>455.52694580000002</v>
      </c>
      <c r="J520" s="233">
        <v>149.4907025</v>
      </c>
      <c r="K520" s="233">
        <v>0</v>
      </c>
      <c r="L520" s="233">
        <v>0</v>
      </c>
      <c r="M520" s="233">
        <v>0</v>
      </c>
      <c r="N520" s="233">
        <v>0</v>
      </c>
    </row>
    <row r="521" spans="1:14" x14ac:dyDescent="0.2">
      <c r="A521" s="233" t="s">
        <v>93</v>
      </c>
      <c r="B521" s="233" t="s">
        <v>10346</v>
      </c>
      <c r="C521" s="233" t="s">
        <v>2</v>
      </c>
      <c r="D521" s="233">
        <v>6</v>
      </c>
      <c r="E521" s="233">
        <v>1.35</v>
      </c>
      <c r="F521" s="233" t="s">
        <v>6371</v>
      </c>
      <c r="G521" s="233">
        <v>1E-4</v>
      </c>
      <c r="H521" s="233">
        <v>1E-4</v>
      </c>
      <c r="I521" s="233">
        <v>75261.179969999997</v>
      </c>
      <c r="J521" s="233">
        <v>2059.9582820000001</v>
      </c>
      <c r="K521" s="233">
        <v>0</v>
      </c>
      <c r="L521" s="233">
        <v>0</v>
      </c>
      <c r="M521" s="233">
        <v>0</v>
      </c>
      <c r="N521" s="233">
        <v>0</v>
      </c>
    </row>
    <row r="522" spans="1:14" x14ac:dyDescent="0.2">
      <c r="A522" s="233" t="s">
        <v>93</v>
      </c>
      <c r="B522" s="233" t="s">
        <v>10346</v>
      </c>
      <c r="C522" s="233" t="s">
        <v>2</v>
      </c>
      <c r="D522" s="233">
        <v>6</v>
      </c>
      <c r="E522" s="233">
        <v>1.35</v>
      </c>
      <c r="F522" s="233" t="s">
        <v>6369</v>
      </c>
      <c r="G522" s="233">
        <v>9.9999999999999995E-7</v>
      </c>
      <c r="H522" s="233">
        <v>9.9999999999999995E-7</v>
      </c>
      <c r="I522" s="233">
        <v>3.9788695999999998E-2</v>
      </c>
      <c r="J522" s="233">
        <v>0.65354006399999998</v>
      </c>
      <c r="K522" s="233">
        <v>0</v>
      </c>
      <c r="L522" s="233">
        <v>0.61538461499999997</v>
      </c>
      <c r="M522" s="233">
        <v>0</v>
      </c>
      <c r="N522" s="233">
        <v>0.83329957899999996</v>
      </c>
    </row>
    <row r="523" spans="1:14" x14ac:dyDescent="0.2">
      <c r="A523" s="233" t="s">
        <v>93</v>
      </c>
      <c r="B523" s="233" t="s">
        <v>10346</v>
      </c>
      <c r="C523" s="233" t="s">
        <v>2</v>
      </c>
      <c r="D523" s="233">
        <v>6</v>
      </c>
      <c r="E523" s="233">
        <v>1.35</v>
      </c>
      <c r="F523" s="233" t="s">
        <v>6369</v>
      </c>
      <c r="G523" s="233">
        <v>1.0000000000000001E-5</v>
      </c>
      <c r="H523" s="233">
        <v>1.0000000000000001E-5</v>
      </c>
      <c r="I523" s="233">
        <v>0.19987538399999999</v>
      </c>
      <c r="J523" s="233">
        <v>1.1072312950000001</v>
      </c>
      <c r="K523" s="233">
        <v>0.22429906499999999</v>
      </c>
      <c r="L523" s="233">
        <v>2.0716911000000001E-2</v>
      </c>
      <c r="M523" s="233">
        <v>1.8047168810000001</v>
      </c>
      <c r="N523" s="233">
        <v>0.91934533500000015</v>
      </c>
    </row>
    <row r="524" spans="1:14" x14ac:dyDescent="0.2">
      <c r="A524" s="233" t="s">
        <v>93</v>
      </c>
      <c r="B524" s="233" t="s">
        <v>10346</v>
      </c>
      <c r="C524" s="233" t="s">
        <v>2</v>
      </c>
      <c r="D524" s="233">
        <v>6</v>
      </c>
      <c r="E524" s="233">
        <v>1.35</v>
      </c>
      <c r="F524" s="233" t="s">
        <v>6369</v>
      </c>
      <c r="G524" s="233">
        <v>1E-4</v>
      </c>
      <c r="H524" s="233">
        <v>1E-4</v>
      </c>
      <c r="I524" s="233">
        <v>350.54817530000003</v>
      </c>
      <c r="J524" s="233">
        <v>135.69019499999999</v>
      </c>
      <c r="K524" s="233">
        <v>0</v>
      </c>
      <c r="L524" s="233">
        <v>0</v>
      </c>
      <c r="M524" s="233">
        <v>0</v>
      </c>
      <c r="N524" s="233">
        <v>0</v>
      </c>
    </row>
    <row r="525" spans="1:14" x14ac:dyDescent="0.2">
      <c r="A525" s="233" t="s">
        <v>93</v>
      </c>
      <c r="B525" s="233" t="s">
        <v>10346</v>
      </c>
      <c r="C525" s="233" t="s">
        <v>2</v>
      </c>
      <c r="D525" s="233">
        <v>6</v>
      </c>
      <c r="E525" s="233">
        <v>1.35</v>
      </c>
      <c r="F525" s="233" t="s">
        <v>6369</v>
      </c>
      <c r="G525" s="233">
        <v>1E-3</v>
      </c>
      <c r="H525" s="233">
        <v>1E-3</v>
      </c>
      <c r="I525" s="233">
        <v>456673.3077</v>
      </c>
      <c r="J525" s="233">
        <v>5075.0734519999996</v>
      </c>
      <c r="K525" s="233">
        <v>0</v>
      </c>
      <c r="L525" s="233">
        <v>0</v>
      </c>
      <c r="M525" s="233">
        <v>0</v>
      </c>
      <c r="N525" s="233">
        <v>0</v>
      </c>
    </row>
    <row r="526" spans="1:14" x14ac:dyDescent="0.2">
      <c r="A526" s="233" t="s">
        <v>93</v>
      </c>
      <c r="B526" s="233" t="s">
        <v>10346</v>
      </c>
      <c r="C526" s="233" t="s">
        <v>2</v>
      </c>
      <c r="D526" s="233">
        <v>6</v>
      </c>
      <c r="E526" s="233">
        <v>1.35</v>
      </c>
      <c r="F526" s="233" t="s">
        <v>6369</v>
      </c>
      <c r="G526" s="233">
        <v>5.0000000000000001E-3</v>
      </c>
      <c r="H526" s="233">
        <v>5.0000000000000001E-3</v>
      </c>
      <c r="I526" s="233">
        <v>7084421.8080000002</v>
      </c>
      <c r="J526" s="233">
        <v>19989.02895</v>
      </c>
      <c r="K526" s="233">
        <v>0</v>
      </c>
      <c r="L526" s="233">
        <v>0</v>
      </c>
      <c r="M526" s="233">
        <v>0</v>
      </c>
      <c r="N526" s="233">
        <v>0</v>
      </c>
    </row>
    <row r="527" spans="1:14" x14ac:dyDescent="0.2">
      <c r="A527" s="233" t="s">
        <v>93</v>
      </c>
      <c r="B527" s="233" t="s">
        <v>10346</v>
      </c>
      <c r="C527" s="233" t="s">
        <v>3</v>
      </c>
      <c r="D527" s="233">
        <v>2</v>
      </c>
      <c r="E527" s="233">
        <v>0.88</v>
      </c>
      <c r="F527" s="233" t="s">
        <v>6370</v>
      </c>
      <c r="G527" s="233">
        <v>5.0000000000000002E-5</v>
      </c>
      <c r="H527" s="233">
        <v>9.9999999999999995E-7</v>
      </c>
      <c r="I527" s="233">
        <v>3.2523801999999997E-2</v>
      </c>
      <c r="J527" s="233">
        <v>0.64329587399999999</v>
      </c>
      <c r="K527" s="233">
        <v>0</v>
      </c>
      <c r="L527" s="233">
        <v>0</v>
      </c>
      <c r="M527" s="233">
        <v>0</v>
      </c>
      <c r="N527" s="233">
        <v>0</v>
      </c>
    </row>
    <row r="528" spans="1:14" x14ac:dyDescent="0.2">
      <c r="A528" s="233" t="s">
        <v>93</v>
      </c>
      <c r="B528" s="233" t="s">
        <v>10346</v>
      </c>
      <c r="C528" s="233" t="s">
        <v>3</v>
      </c>
      <c r="D528" s="233">
        <v>2</v>
      </c>
      <c r="E528" s="233">
        <v>0.88</v>
      </c>
      <c r="F528" s="233" t="s">
        <v>6370</v>
      </c>
      <c r="G528" s="233">
        <v>1E-4</v>
      </c>
      <c r="H528" s="233">
        <v>1.0000000000000001E-5</v>
      </c>
      <c r="I528" s="233">
        <v>0.47603880599999998</v>
      </c>
      <c r="J528" s="233">
        <v>4.1478809559999998</v>
      </c>
      <c r="K528" s="233">
        <v>0</v>
      </c>
      <c r="L528" s="233">
        <v>0.322510823</v>
      </c>
      <c r="M528" s="233">
        <v>0</v>
      </c>
      <c r="N528" s="233">
        <v>4.336122778</v>
      </c>
    </row>
    <row r="529" spans="1:14" x14ac:dyDescent="0.2">
      <c r="A529" s="233" t="s">
        <v>93</v>
      </c>
      <c r="B529" s="233" t="s">
        <v>10346</v>
      </c>
      <c r="C529" s="233" t="s">
        <v>3</v>
      </c>
      <c r="D529" s="233">
        <v>2</v>
      </c>
      <c r="E529" s="233">
        <v>0.88</v>
      </c>
      <c r="F529" s="233" t="s">
        <v>6370</v>
      </c>
      <c r="G529" s="233">
        <v>1E-3</v>
      </c>
      <c r="H529" s="233">
        <v>1E-4</v>
      </c>
      <c r="I529" s="233">
        <v>0.19880902</v>
      </c>
      <c r="J529" s="233">
        <v>37.427948200000003</v>
      </c>
      <c r="K529" s="233">
        <v>0.21621621599999999</v>
      </c>
      <c r="L529" s="233">
        <v>0.70288624799999999</v>
      </c>
      <c r="M529" s="233">
        <v>10.61683242</v>
      </c>
      <c r="N529" s="233">
        <v>63.640447369999997</v>
      </c>
    </row>
    <row r="530" spans="1:14" x14ac:dyDescent="0.2">
      <c r="A530" s="233" t="s">
        <v>93</v>
      </c>
      <c r="B530" s="233" t="s">
        <v>10346</v>
      </c>
      <c r="C530" s="233" t="s">
        <v>3</v>
      </c>
      <c r="D530" s="233">
        <v>2</v>
      </c>
      <c r="E530" s="233">
        <v>0.88</v>
      </c>
      <c r="F530" s="233" t="s">
        <v>6370</v>
      </c>
      <c r="G530" s="233">
        <v>5.0000000000000001E-3</v>
      </c>
      <c r="H530" s="233">
        <v>1E-3</v>
      </c>
      <c r="I530" s="233">
        <v>3.0705639E-2</v>
      </c>
      <c r="J530" s="233">
        <v>4.2379989990000002</v>
      </c>
      <c r="K530" s="233">
        <v>3.6754348999999999E-2</v>
      </c>
      <c r="L530" s="233">
        <v>0.11412306899999999</v>
      </c>
      <c r="M530" s="233">
        <v>0.46149873499999999</v>
      </c>
      <c r="N530" s="233">
        <v>101.7712774</v>
      </c>
    </row>
    <row r="531" spans="1:14" x14ac:dyDescent="0.2">
      <c r="A531" s="233" t="s">
        <v>93</v>
      </c>
      <c r="B531" s="233" t="s">
        <v>10346</v>
      </c>
      <c r="C531" s="233" t="s">
        <v>3</v>
      </c>
      <c r="D531" s="233">
        <v>2</v>
      </c>
      <c r="E531" s="233">
        <v>0.88</v>
      </c>
      <c r="F531" s="233" t="s">
        <v>6370</v>
      </c>
      <c r="G531" s="233">
        <v>2.5000000000000001E-2</v>
      </c>
      <c r="H531" s="233">
        <v>5.0000000000000001E-3</v>
      </c>
      <c r="I531" s="233">
        <v>1.6535682999999999E-2</v>
      </c>
      <c r="J531" s="233">
        <v>0.68950812900000003</v>
      </c>
      <c r="K531" s="233">
        <v>2.9925186999999999E-2</v>
      </c>
      <c r="L531" s="233">
        <v>6.8571429000000003E-2</v>
      </c>
      <c r="M531" s="233">
        <v>5.3163747999999997E-2</v>
      </c>
      <c r="N531" s="233">
        <v>42.057739949999998</v>
      </c>
    </row>
    <row r="532" spans="1:14" x14ac:dyDescent="0.2">
      <c r="A532" s="233" t="s">
        <v>93</v>
      </c>
      <c r="B532" s="233" t="s">
        <v>10346</v>
      </c>
      <c r="C532" s="233" t="s">
        <v>3</v>
      </c>
      <c r="D532" s="233">
        <v>2</v>
      </c>
      <c r="E532" s="233">
        <v>0.88</v>
      </c>
      <c r="F532" s="233" t="s">
        <v>6371</v>
      </c>
      <c r="G532" s="233">
        <v>9.9999999999999995E-7</v>
      </c>
      <c r="H532" s="233">
        <v>9.9999999999999995E-7</v>
      </c>
      <c r="I532" s="233">
        <v>0.241584617</v>
      </c>
      <c r="J532" s="233">
        <v>1.544748478</v>
      </c>
      <c r="K532" s="233">
        <v>0</v>
      </c>
      <c r="L532" s="233">
        <v>1.3883893E-2</v>
      </c>
      <c r="M532" s="233">
        <v>0</v>
      </c>
      <c r="N532" s="233">
        <v>1.2548962850000001</v>
      </c>
    </row>
    <row r="533" spans="1:14" x14ac:dyDescent="0.2">
      <c r="A533" s="233" t="s">
        <v>93</v>
      </c>
      <c r="B533" s="233" t="s">
        <v>10346</v>
      </c>
      <c r="C533" s="233" t="s">
        <v>3</v>
      </c>
      <c r="D533" s="233">
        <v>2</v>
      </c>
      <c r="E533" s="233">
        <v>0.88</v>
      </c>
      <c r="F533" s="233" t="s">
        <v>6371</v>
      </c>
      <c r="G533" s="233">
        <v>1.0000000000000001E-5</v>
      </c>
      <c r="H533" s="233">
        <v>1.0000000000000001E-5</v>
      </c>
      <c r="I533" s="233">
        <v>0.76971922000000004</v>
      </c>
      <c r="J533" s="233">
        <v>39.821273490000003</v>
      </c>
      <c r="K533" s="233">
        <v>0</v>
      </c>
      <c r="L533" s="233">
        <v>0.34044265600000001</v>
      </c>
      <c r="M533" s="233">
        <v>0</v>
      </c>
      <c r="N533" s="233">
        <v>67.280433149999993</v>
      </c>
    </row>
    <row r="534" spans="1:14" x14ac:dyDescent="0.2">
      <c r="A534" s="233" t="s">
        <v>93</v>
      </c>
      <c r="B534" s="233" t="s">
        <v>10346</v>
      </c>
      <c r="C534" s="233" t="s">
        <v>3</v>
      </c>
      <c r="D534" s="233">
        <v>2</v>
      </c>
      <c r="E534" s="233">
        <v>0.88</v>
      </c>
      <c r="F534" s="233" t="s">
        <v>6371</v>
      </c>
      <c r="G534" s="233">
        <v>1E-4</v>
      </c>
      <c r="H534" s="233">
        <v>1E-4</v>
      </c>
      <c r="I534" s="233">
        <v>0.102074839</v>
      </c>
      <c r="J534" s="233">
        <v>31.603379650000001</v>
      </c>
      <c r="K534" s="233">
        <v>0.218181818</v>
      </c>
      <c r="L534" s="233">
        <v>0</v>
      </c>
      <c r="M534" s="233">
        <v>1.107872126</v>
      </c>
      <c r="N534" s="233">
        <v>141.6843973</v>
      </c>
    </row>
    <row r="535" spans="1:14" x14ac:dyDescent="0.2">
      <c r="A535" s="233" t="s">
        <v>93</v>
      </c>
      <c r="B535" s="233" t="s">
        <v>10346</v>
      </c>
      <c r="C535" s="233" t="s">
        <v>3</v>
      </c>
      <c r="D535" s="233">
        <v>2</v>
      </c>
      <c r="E535" s="233">
        <v>0.88</v>
      </c>
      <c r="F535" s="233" t="s">
        <v>6369</v>
      </c>
      <c r="G535" s="233">
        <v>9.9999999999999995E-7</v>
      </c>
      <c r="H535" s="233">
        <v>9.9999999999999995E-7</v>
      </c>
      <c r="I535" s="233">
        <v>2.8991269E-2</v>
      </c>
      <c r="J535" s="233">
        <v>0.49750033100000002</v>
      </c>
      <c r="K535" s="233">
        <v>0.22429906499999999</v>
      </c>
      <c r="L535" s="233">
        <v>1.1030348000000001E-2</v>
      </c>
      <c r="M535" s="233">
        <v>0.90554182299999997</v>
      </c>
      <c r="N535" s="233">
        <v>1.0785540220000001</v>
      </c>
    </row>
    <row r="536" spans="1:14" x14ac:dyDescent="0.2">
      <c r="A536" s="233" t="s">
        <v>93</v>
      </c>
      <c r="B536" s="233" t="s">
        <v>10346</v>
      </c>
      <c r="C536" s="233" t="s">
        <v>3</v>
      </c>
      <c r="D536" s="233">
        <v>2</v>
      </c>
      <c r="E536" s="233">
        <v>0.88</v>
      </c>
      <c r="F536" s="233" t="s">
        <v>6369</v>
      </c>
      <c r="G536" s="233">
        <v>1.0000000000000001E-5</v>
      </c>
      <c r="H536" s="233">
        <v>1.0000000000000001E-5</v>
      </c>
      <c r="I536" s="233">
        <v>0.16757575299999999</v>
      </c>
      <c r="J536" s="233">
        <v>1.086111346</v>
      </c>
      <c r="K536" s="233">
        <v>0.22429906499999999</v>
      </c>
      <c r="L536" s="233">
        <v>0.20689655200000001</v>
      </c>
      <c r="M536" s="233">
        <v>0.92095672900000003</v>
      </c>
      <c r="N536" s="233">
        <v>1.0043365040000001</v>
      </c>
    </row>
    <row r="537" spans="1:14" x14ac:dyDescent="0.2">
      <c r="A537" s="233" t="s">
        <v>93</v>
      </c>
      <c r="B537" s="233" t="s">
        <v>10346</v>
      </c>
      <c r="C537" s="233" t="s">
        <v>3</v>
      </c>
      <c r="D537" s="233">
        <v>2</v>
      </c>
      <c r="E537" s="233">
        <v>0.88</v>
      </c>
      <c r="F537" s="233" t="s">
        <v>6369</v>
      </c>
      <c r="G537" s="233">
        <v>1E-4</v>
      </c>
      <c r="H537" s="233">
        <v>1E-4</v>
      </c>
      <c r="I537" s="233">
        <v>0.28410558200000002</v>
      </c>
      <c r="J537" s="233">
        <v>23.60826716</v>
      </c>
      <c r="K537" s="233">
        <v>0</v>
      </c>
      <c r="L537" s="233">
        <v>0.53359683800000002</v>
      </c>
      <c r="M537" s="233">
        <v>0</v>
      </c>
      <c r="N537" s="233">
        <v>42.68667739</v>
      </c>
    </row>
    <row r="538" spans="1:14" x14ac:dyDescent="0.2">
      <c r="A538" s="233" t="s">
        <v>93</v>
      </c>
      <c r="B538" s="233" t="s">
        <v>10346</v>
      </c>
      <c r="C538" s="233" t="s">
        <v>3</v>
      </c>
      <c r="D538" s="233">
        <v>2</v>
      </c>
      <c r="E538" s="233">
        <v>0.88</v>
      </c>
      <c r="F538" s="233" t="s">
        <v>6369</v>
      </c>
      <c r="G538" s="233">
        <v>1E-3</v>
      </c>
      <c r="H538" s="233">
        <v>1E-3</v>
      </c>
      <c r="I538" s="233">
        <v>3.7721744000000001E-2</v>
      </c>
      <c r="J538" s="233">
        <v>9.0420609459999994</v>
      </c>
      <c r="K538" s="233">
        <v>0.21621621599999999</v>
      </c>
      <c r="L538" s="233">
        <v>0.30379746800000001</v>
      </c>
      <c r="M538" s="233">
        <v>0.29956146500000003</v>
      </c>
      <c r="N538" s="233">
        <v>59.218501129999993</v>
      </c>
    </row>
    <row r="539" spans="1:14" x14ac:dyDescent="0.2">
      <c r="A539" s="233" t="s">
        <v>93</v>
      </c>
      <c r="B539" s="233" t="s">
        <v>10346</v>
      </c>
      <c r="C539" s="233" t="s">
        <v>3</v>
      </c>
      <c r="D539" s="233">
        <v>2</v>
      </c>
      <c r="E539" s="233">
        <v>0.88</v>
      </c>
      <c r="F539" s="233" t="s">
        <v>6369</v>
      </c>
      <c r="G539" s="233">
        <v>5.0000000000000001E-3</v>
      </c>
      <c r="H539" s="233">
        <v>5.0000000000000001E-3</v>
      </c>
      <c r="I539" s="233">
        <v>1.3197369E-2</v>
      </c>
      <c r="J539" s="233">
        <v>1.2705873270000001</v>
      </c>
      <c r="K539" s="233">
        <v>2.2304833E-2</v>
      </c>
      <c r="L539" s="233">
        <v>1.9169328999999999E-2</v>
      </c>
      <c r="M539" s="233">
        <v>8.6185921999999998E-2</v>
      </c>
      <c r="N539" s="233">
        <v>37.58162703</v>
      </c>
    </row>
    <row r="540" spans="1:14" x14ac:dyDescent="0.2">
      <c r="A540" s="233" t="s">
        <v>93</v>
      </c>
      <c r="B540" s="233" t="s">
        <v>10346</v>
      </c>
      <c r="C540" s="233" t="s">
        <v>23</v>
      </c>
      <c r="D540" s="233">
        <v>5</v>
      </c>
      <c r="E540" s="233">
        <v>1.06</v>
      </c>
      <c r="F540" s="233" t="s">
        <v>6370</v>
      </c>
      <c r="G540" s="233">
        <v>5.0000000000000002E-5</v>
      </c>
      <c r="H540" s="233">
        <v>9.9999999999999995E-7</v>
      </c>
      <c r="I540" s="233">
        <v>3.7127268999999997E-2</v>
      </c>
      <c r="J540" s="233">
        <v>0.60827563299999998</v>
      </c>
      <c r="K540" s="233">
        <v>0</v>
      </c>
      <c r="L540" s="233">
        <v>0.31648351600000002</v>
      </c>
      <c r="M540" s="233">
        <v>0</v>
      </c>
      <c r="N540" s="233">
        <v>4.3120075709999997</v>
      </c>
    </row>
    <row r="541" spans="1:14" x14ac:dyDescent="0.2">
      <c r="A541" s="233" t="s">
        <v>93</v>
      </c>
      <c r="B541" s="233" t="s">
        <v>10346</v>
      </c>
      <c r="C541" s="233" t="s">
        <v>23</v>
      </c>
      <c r="D541" s="233">
        <v>5</v>
      </c>
      <c r="E541" s="233">
        <v>1.06</v>
      </c>
      <c r="F541" s="233" t="s">
        <v>6370</v>
      </c>
      <c r="G541" s="233">
        <v>1E-4</v>
      </c>
      <c r="H541" s="233">
        <v>1.0000000000000001E-5</v>
      </c>
      <c r="I541" s="233">
        <v>0.65656756000000005</v>
      </c>
      <c r="J541" s="233">
        <v>4.2124783389999996</v>
      </c>
      <c r="K541" s="233">
        <v>0</v>
      </c>
      <c r="L541" s="233">
        <v>0.269662921</v>
      </c>
      <c r="M541" s="233">
        <v>0</v>
      </c>
      <c r="N541" s="233">
        <v>4.3084991319999997</v>
      </c>
    </row>
    <row r="542" spans="1:14" x14ac:dyDescent="0.2">
      <c r="A542" s="233" t="s">
        <v>93</v>
      </c>
      <c r="B542" s="233" t="s">
        <v>10346</v>
      </c>
      <c r="C542" s="233" t="s">
        <v>23</v>
      </c>
      <c r="D542" s="233">
        <v>5</v>
      </c>
      <c r="E542" s="233">
        <v>1.06</v>
      </c>
      <c r="F542" s="233" t="s">
        <v>6370</v>
      </c>
      <c r="G542" s="233">
        <v>1E-3</v>
      </c>
      <c r="H542" s="233">
        <v>1E-4</v>
      </c>
      <c r="I542" s="233">
        <v>76.516036709999995</v>
      </c>
      <c r="J542" s="233">
        <v>85.499120629999993</v>
      </c>
      <c r="K542" s="233">
        <v>0</v>
      </c>
      <c r="L542" s="233">
        <v>0</v>
      </c>
      <c r="M542" s="233">
        <v>0</v>
      </c>
      <c r="N542" s="233">
        <v>0</v>
      </c>
    </row>
    <row r="543" spans="1:14" x14ac:dyDescent="0.2">
      <c r="A543" s="233" t="s">
        <v>93</v>
      </c>
      <c r="B543" s="233" t="s">
        <v>10346</v>
      </c>
      <c r="C543" s="233" t="s">
        <v>23</v>
      </c>
      <c r="D543" s="233">
        <v>5</v>
      </c>
      <c r="E543" s="233">
        <v>1.06</v>
      </c>
      <c r="F543" s="233" t="s">
        <v>6370</v>
      </c>
      <c r="G543" s="233">
        <v>5.0000000000000001E-3</v>
      </c>
      <c r="H543" s="233">
        <v>1E-3</v>
      </c>
      <c r="I543" s="233">
        <v>24370.055830000001</v>
      </c>
      <c r="J543" s="233">
        <v>1174.6944530000001</v>
      </c>
      <c r="K543" s="233">
        <v>0</v>
      </c>
      <c r="L543" s="233">
        <v>0</v>
      </c>
      <c r="M543" s="233">
        <v>0</v>
      </c>
      <c r="N543" s="233">
        <v>0</v>
      </c>
    </row>
    <row r="544" spans="1:14" x14ac:dyDescent="0.2">
      <c r="A544" s="233" t="s">
        <v>93</v>
      </c>
      <c r="B544" s="233" t="s">
        <v>10346</v>
      </c>
      <c r="C544" s="233" t="s">
        <v>23</v>
      </c>
      <c r="D544" s="233">
        <v>5</v>
      </c>
      <c r="E544" s="233">
        <v>1.06</v>
      </c>
      <c r="F544" s="233" t="s">
        <v>6370</v>
      </c>
      <c r="G544" s="233">
        <v>2.5000000000000001E-2</v>
      </c>
      <c r="H544" s="233">
        <v>5.0000000000000001E-3</v>
      </c>
      <c r="I544" s="233">
        <v>269082.10190000001</v>
      </c>
      <c r="J544" s="233">
        <v>3895.668009</v>
      </c>
      <c r="K544" s="233">
        <v>0</v>
      </c>
      <c r="L544" s="233">
        <v>0</v>
      </c>
      <c r="M544" s="233">
        <v>0</v>
      </c>
      <c r="N544" s="233">
        <v>0</v>
      </c>
    </row>
    <row r="545" spans="1:14" x14ac:dyDescent="0.2">
      <c r="A545" s="233" t="s">
        <v>93</v>
      </c>
      <c r="B545" s="233" t="s">
        <v>10346</v>
      </c>
      <c r="C545" s="233" t="s">
        <v>23</v>
      </c>
      <c r="D545" s="233">
        <v>5</v>
      </c>
      <c r="E545" s="233">
        <v>1.06</v>
      </c>
      <c r="F545" s="233" t="s">
        <v>6371</v>
      </c>
      <c r="G545" s="233">
        <v>9.9999999999999995E-7</v>
      </c>
      <c r="H545" s="233">
        <v>9.9999999999999995E-7</v>
      </c>
      <c r="I545" s="233">
        <v>0.25506422600000001</v>
      </c>
      <c r="J545" s="233">
        <v>1.516066073</v>
      </c>
      <c r="K545" s="233">
        <v>0</v>
      </c>
      <c r="L545" s="233">
        <v>4.7904191999999998E-2</v>
      </c>
      <c r="M545" s="233">
        <v>0</v>
      </c>
      <c r="N545" s="233">
        <v>1.3973836529999999</v>
      </c>
    </row>
    <row r="546" spans="1:14" x14ac:dyDescent="0.2">
      <c r="A546" s="233" t="s">
        <v>93</v>
      </c>
      <c r="B546" s="233" t="s">
        <v>10346</v>
      </c>
      <c r="C546" s="233" t="s">
        <v>23</v>
      </c>
      <c r="D546" s="233">
        <v>5</v>
      </c>
      <c r="E546" s="233">
        <v>1.06</v>
      </c>
      <c r="F546" s="233" t="s">
        <v>6371</v>
      </c>
      <c r="G546" s="233">
        <v>1.0000000000000001E-5</v>
      </c>
      <c r="H546" s="233">
        <v>1.0000000000000001E-5</v>
      </c>
      <c r="I546" s="233">
        <v>14.85718292</v>
      </c>
      <c r="J546" s="233">
        <v>58.646980710000001</v>
      </c>
      <c r="K546" s="233">
        <v>0</v>
      </c>
      <c r="L546" s="233">
        <v>0</v>
      </c>
      <c r="M546" s="233">
        <v>0</v>
      </c>
      <c r="N546" s="233">
        <v>0</v>
      </c>
    </row>
    <row r="547" spans="1:14" x14ac:dyDescent="0.2">
      <c r="A547" s="233" t="s">
        <v>93</v>
      </c>
      <c r="B547" s="233" t="s">
        <v>10346</v>
      </c>
      <c r="C547" s="233" t="s">
        <v>23</v>
      </c>
      <c r="D547" s="233">
        <v>5</v>
      </c>
      <c r="E547" s="233">
        <v>1.06</v>
      </c>
      <c r="F547" s="233" t="s">
        <v>6371</v>
      </c>
      <c r="G547" s="233">
        <v>1E-4</v>
      </c>
      <c r="H547" s="233">
        <v>1E-4</v>
      </c>
      <c r="I547" s="233">
        <v>4566.1014960000002</v>
      </c>
      <c r="J547" s="233">
        <v>518.60316279999995</v>
      </c>
      <c r="K547" s="233">
        <v>0</v>
      </c>
      <c r="L547" s="233">
        <v>0</v>
      </c>
      <c r="M547" s="233">
        <v>0</v>
      </c>
      <c r="N547" s="233">
        <v>0</v>
      </c>
    </row>
    <row r="548" spans="1:14" x14ac:dyDescent="0.2">
      <c r="A548" s="233" t="s">
        <v>93</v>
      </c>
      <c r="B548" s="233" t="s">
        <v>10346</v>
      </c>
      <c r="C548" s="233" t="s">
        <v>23</v>
      </c>
      <c r="D548" s="233">
        <v>5</v>
      </c>
      <c r="E548" s="233">
        <v>1.06</v>
      </c>
      <c r="F548" s="233" t="s">
        <v>6369</v>
      </c>
      <c r="G548" s="233">
        <v>9.9999999999999995E-7</v>
      </c>
      <c r="H548" s="233">
        <v>9.9999999999999995E-7</v>
      </c>
      <c r="I548" s="233">
        <v>4.1865302E-2</v>
      </c>
      <c r="J548" s="233">
        <v>0.67714826699999997</v>
      </c>
      <c r="K548" s="233">
        <v>0.21343873499999999</v>
      </c>
      <c r="L548" s="233">
        <v>0.324324324</v>
      </c>
      <c r="M548" s="233">
        <v>0.79070889499999997</v>
      </c>
      <c r="N548" s="233">
        <v>0.94611763199999988</v>
      </c>
    </row>
    <row r="549" spans="1:14" x14ac:dyDescent="0.2">
      <c r="A549" s="233" t="s">
        <v>93</v>
      </c>
      <c r="B549" s="233" t="s">
        <v>10346</v>
      </c>
      <c r="C549" s="233" t="s">
        <v>23</v>
      </c>
      <c r="D549" s="233">
        <v>5</v>
      </c>
      <c r="E549" s="233">
        <v>1.06</v>
      </c>
      <c r="F549" s="233" t="s">
        <v>6369</v>
      </c>
      <c r="G549" s="233">
        <v>1.0000000000000001E-5</v>
      </c>
      <c r="H549" s="233">
        <v>1.0000000000000001E-5</v>
      </c>
      <c r="I549" s="233">
        <v>0.16621372800000001</v>
      </c>
      <c r="J549" s="233">
        <v>1.064155795</v>
      </c>
      <c r="K549" s="233">
        <v>0.20869565200000001</v>
      </c>
      <c r="L549" s="233">
        <v>3.4934498000000001E-2</v>
      </c>
      <c r="M549" s="233">
        <v>0.45437365800000001</v>
      </c>
      <c r="N549" s="233">
        <v>0.97657201999999999</v>
      </c>
    </row>
    <row r="550" spans="1:14" x14ac:dyDescent="0.2">
      <c r="A550" s="233" t="s">
        <v>93</v>
      </c>
      <c r="B550" s="233" t="s">
        <v>10346</v>
      </c>
      <c r="C550" s="233" t="s">
        <v>23</v>
      </c>
      <c r="D550" s="233">
        <v>5</v>
      </c>
      <c r="E550" s="233">
        <v>1.06</v>
      </c>
      <c r="F550" s="233" t="s">
        <v>6369</v>
      </c>
      <c r="G550" s="233">
        <v>1E-4</v>
      </c>
      <c r="H550" s="233">
        <v>1E-4</v>
      </c>
      <c r="I550" s="233">
        <v>8.3087348520000006</v>
      </c>
      <c r="J550" s="233">
        <v>35.562721029999999</v>
      </c>
      <c r="K550" s="233">
        <v>0</v>
      </c>
      <c r="L550" s="233">
        <v>0.324324324</v>
      </c>
      <c r="M550" s="233">
        <v>0</v>
      </c>
      <c r="N550" s="233">
        <v>55.060033990000001</v>
      </c>
    </row>
    <row r="551" spans="1:14" x14ac:dyDescent="0.2">
      <c r="A551" s="233" t="s">
        <v>93</v>
      </c>
      <c r="B551" s="233" t="s">
        <v>10346</v>
      </c>
      <c r="C551" s="233" t="s">
        <v>23</v>
      </c>
      <c r="D551" s="233">
        <v>5</v>
      </c>
      <c r="E551" s="233">
        <v>1.06</v>
      </c>
      <c r="F551" s="233" t="s">
        <v>6369</v>
      </c>
      <c r="G551" s="233">
        <v>1E-3</v>
      </c>
      <c r="H551" s="233">
        <v>1E-3</v>
      </c>
      <c r="I551" s="233">
        <v>17996.963830000001</v>
      </c>
      <c r="J551" s="233">
        <v>1012.626186</v>
      </c>
      <c r="K551" s="233">
        <v>0</v>
      </c>
      <c r="L551" s="233">
        <v>0</v>
      </c>
      <c r="M551" s="233">
        <v>0</v>
      </c>
      <c r="N551" s="233">
        <v>0</v>
      </c>
    </row>
    <row r="552" spans="1:14" x14ac:dyDescent="0.2">
      <c r="A552" s="233" t="s">
        <v>93</v>
      </c>
      <c r="B552" s="233" t="s">
        <v>10346</v>
      </c>
      <c r="C552" s="233" t="s">
        <v>23</v>
      </c>
      <c r="D552" s="233">
        <v>5</v>
      </c>
      <c r="E552" s="233">
        <v>1.06</v>
      </c>
      <c r="F552" s="233" t="s">
        <v>6369</v>
      </c>
      <c r="G552" s="233">
        <v>5.0000000000000001E-3</v>
      </c>
      <c r="H552" s="233">
        <v>5.0000000000000001E-3</v>
      </c>
      <c r="I552" s="233">
        <v>579313.53090000001</v>
      </c>
      <c r="J552" s="233">
        <v>5716.0544579999996</v>
      </c>
      <c r="K552" s="233">
        <v>0</v>
      </c>
      <c r="L552" s="233">
        <v>0</v>
      </c>
      <c r="M552" s="233">
        <v>0</v>
      </c>
      <c r="N552" s="233">
        <v>0</v>
      </c>
    </row>
    <row r="553" spans="1:14" x14ac:dyDescent="0.2">
      <c r="A553" s="233" t="s">
        <v>28</v>
      </c>
      <c r="B553" s="233" t="s">
        <v>10347</v>
      </c>
      <c r="C553" s="233" t="s">
        <v>5</v>
      </c>
      <c r="D553" s="233">
        <v>1</v>
      </c>
      <c r="E553" s="233">
        <v>0.03</v>
      </c>
      <c r="F553" s="233" t="s">
        <v>6370</v>
      </c>
      <c r="G553" s="233">
        <v>5.0000000000000002E-5</v>
      </c>
      <c r="H553" s="233">
        <v>9.9999999999999995E-7</v>
      </c>
      <c r="I553" s="233">
        <v>4.6459311000000003E-2</v>
      </c>
      <c r="J553" s="233">
        <v>1.328078286</v>
      </c>
      <c r="K553" s="233">
        <v>0</v>
      </c>
      <c r="L553" s="233">
        <v>0.112171123</v>
      </c>
      <c r="M553" s="233">
        <v>0.58118009599999998</v>
      </c>
      <c r="N553" s="233">
        <v>1.410401698</v>
      </c>
    </row>
    <row r="554" spans="1:14" x14ac:dyDescent="0.2">
      <c r="A554" s="233" t="s">
        <v>28</v>
      </c>
      <c r="B554" s="233" t="s">
        <v>10347</v>
      </c>
      <c r="C554" s="233" t="s">
        <v>5</v>
      </c>
      <c r="D554" s="233">
        <v>1</v>
      </c>
      <c r="E554" s="233">
        <v>0.03</v>
      </c>
      <c r="F554" s="233" t="s">
        <v>6370</v>
      </c>
      <c r="G554" s="233">
        <v>1E-4</v>
      </c>
      <c r="H554" s="233">
        <v>1.0000000000000001E-5</v>
      </c>
      <c r="I554" s="233">
        <v>0.195432669</v>
      </c>
      <c r="J554" s="233">
        <v>3.9831982840000002</v>
      </c>
      <c r="K554" s="233">
        <v>0</v>
      </c>
      <c r="L554" s="233">
        <v>5.9553349999999998E-2</v>
      </c>
      <c r="M554" s="233">
        <v>1.3991426360000001</v>
      </c>
      <c r="N554" s="233">
        <v>4.2893276470000004</v>
      </c>
    </row>
    <row r="555" spans="1:14" x14ac:dyDescent="0.2">
      <c r="A555" s="233" t="s">
        <v>28</v>
      </c>
      <c r="B555" s="233" t="s">
        <v>10347</v>
      </c>
      <c r="C555" s="233" t="s">
        <v>5</v>
      </c>
      <c r="D555" s="233">
        <v>1</v>
      </c>
      <c r="E555" s="233">
        <v>0.03</v>
      </c>
      <c r="F555" s="233" t="s">
        <v>6370</v>
      </c>
      <c r="G555" s="233">
        <v>1E-3</v>
      </c>
      <c r="H555" s="233">
        <v>1E-4</v>
      </c>
      <c r="I555" s="233">
        <v>0.16207902499999999</v>
      </c>
      <c r="J555" s="233">
        <v>2.6450104470000002</v>
      </c>
      <c r="K555" s="233">
        <v>0</v>
      </c>
      <c r="L555" s="233">
        <v>0.48679678500000001</v>
      </c>
      <c r="M555" s="233">
        <v>0.35317054199999998</v>
      </c>
      <c r="N555" s="233">
        <v>136.21451329999999</v>
      </c>
    </row>
    <row r="556" spans="1:14" x14ac:dyDescent="0.2">
      <c r="A556" s="233" t="s">
        <v>28</v>
      </c>
      <c r="B556" s="233" t="s">
        <v>10347</v>
      </c>
      <c r="C556" s="233" t="s">
        <v>5</v>
      </c>
      <c r="D556" s="233">
        <v>1</v>
      </c>
      <c r="E556" s="233">
        <v>0.03</v>
      </c>
      <c r="F556" s="233" t="s">
        <v>6370</v>
      </c>
      <c r="G556" s="233">
        <v>5.0000000000000001E-3</v>
      </c>
      <c r="H556" s="233">
        <v>1E-3</v>
      </c>
      <c r="I556" s="233">
        <v>3.2312481999999997E-2</v>
      </c>
      <c r="J556" s="233">
        <v>1.1101885410000001</v>
      </c>
      <c r="K556" s="233">
        <v>0</v>
      </c>
      <c r="L556" s="233">
        <v>0.156</v>
      </c>
      <c r="M556" s="233">
        <v>0.121531343</v>
      </c>
      <c r="N556" s="233">
        <v>2.652259630000001</v>
      </c>
    </row>
    <row r="557" spans="1:14" x14ac:dyDescent="0.2">
      <c r="A557" s="233" t="s">
        <v>28</v>
      </c>
      <c r="B557" s="233" t="s">
        <v>10347</v>
      </c>
      <c r="C557" s="233" t="s">
        <v>5</v>
      </c>
      <c r="D557" s="233">
        <v>1</v>
      </c>
      <c r="E557" s="233">
        <v>0.03</v>
      </c>
      <c r="F557" s="233" t="s">
        <v>6370</v>
      </c>
      <c r="G557" s="233">
        <v>2.5000000000000001E-2</v>
      </c>
      <c r="H557" s="233">
        <v>5.0000000000000001E-3</v>
      </c>
      <c r="I557" s="233">
        <v>2.9644641999999999E-2</v>
      </c>
      <c r="J557" s="233">
        <v>1.0789127009999999</v>
      </c>
      <c r="K557" s="233">
        <v>0</v>
      </c>
      <c r="L557" s="233">
        <v>8.8888888999999999E-2</v>
      </c>
      <c r="M557" s="233">
        <v>0.213210661</v>
      </c>
      <c r="N557" s="233">
        <v>0.479933681</v>
      </c>
    </row>
    <row r="558" spans="1:14" x14ac:dyDescent="0.2">
      <c r="A558" s="233" t="s">
        <v>28</v>
      </c>
      <c r="B558" s="233" t="s">
        <v>10347</v>
      </c>
      <c r="C558" s="233" t="s">
        <v>5</v>
      </c>
      <c r="D558" s="233">
        <v>1</v>
      </c>
      <c r="E558" s="233">
        <v>0.03</v>
      </c>
      <c r="F558" s="233" t="s">
        <v>6371</v>
      </c>
      <c r="G558" s="233">
        <v>9.9999999999999995E-7</v>
      </c>
      <c r="H558" s="233">
        <v>9.9999999999999995E-7</v>
      </c>
      <c r="I558" s="233">
        <v>0.17839117900000001</v>
      </c>
      <c r="J558" s="233">
        <v>2.725574554</v>
      </c>
      <c r="K558" s="233">
        <v>0</v>
      </c>
      <c r="L558" s="233">
        <v>0.133333333</v>
      </c>
      <c r="M558" s="233">
        <v>0.99652759700000004</v>
      </c>
      <c r="N558" s="233">
        <v>1.416856793</v>
      </c>
    </row>
    <row r="559" spans="1:14" x14ac:dyDescent="0.2">
      <c r="A559" s="233" t="s">
        <v>28</v>
      </c>
      <c r="B559" s="233" t="s">
        <v>10347</v>
      </c>
      <c r="C559" s="233" t="s">
        <v>5</v>
      </c>
      <c r="D559" s="233">
        <v>1</v>
      </c>
      <c r="E559" s="233">
        <v>0.03</v>
      </c>
      <c r="F559" s="233" t="s">
        <v>6371</v>
      </c>
      <c r="G559" s="233">
        <v>1.0000000000000001E-5</v>
      </c>
      <c r="H559" s="233">
        <v>1.0000000000000001E-5</v>
      </c>
      <c r="I559" s="233">
        <v>0.10563486399999999</v>
      </c>
      <c r="J559" s="233">
        <v>8.3016339400000003</v>
      </c>
      <c r="K559" s="233">
        <v>0</v>
      </c>
      <c r="L559" s="233">
        <v>0</v>
      </c>
      <c r="M559" s="233">
        <v>0.963234178</v>
      </c>
      <c r="N559" s="233">
        <v>76.53732832</v>
      </c>
    </row>
    <row r="560" spans="1:14" x14ac:dyDescent="0.2">
      <c r="A560" s="233" t="s">
        <v>28</v>
      </c>
      <c r="B560" s="233" t="s">
        <v>10347</v>
      </c>
      <c r="C560" s="233" t="s">
        <v>5</v>
      </c>
      <c r="D560" s="233">
        <v>1</v>
      </c>
      <c r="E560" s="233">
        <v>0.03</v>
      </c>
      <c r="F560" s="233" t="s">
        <v>6371</v>
      </c>
      <c r="G560" s="233">
        <v>1E-4</v>
      </c>
      <c r="H560" s="233">
        <v>1E-4</v>
      </c>
      <c r="I560" s="233">
        <v>3.3446493000000001E-2</v>
      </c>
      <c r="J560" s="233">
        <v>1.6925317929999999</v>
      </c>
      <c r="K560" s="233">
        <v>0</v>
      </c>
      <c r="L560" s="233">
        <v>0.112149533</v>
      </c>
      <c r="M560" s="233">
        <v>9.3415658999999998E-2</v>
      </c>
      <c r="N560" s="233">
        <v>50.923918440000001</v>
      </c>
    </row>
    <row r="561" spans="1:14" x14ac:dyDescent="0.2">
      <c r="A561" s="233" t="s">
        <v>28</v>
      </c>
      <c r="B561" s="233" t="s">
        <v>10347</v>
      </c>
      <c r="C561" s="233" t="s">
        <v>5</v>
      </c>
      <c r="D561" s="233">
        <v>1</v>
      </c>
      <c r="E561" s="233">
        <v>0.03</v>
      </c>
      <c r="F561" s="233" t="s">
        <v>6369</v>
      </c>
      <c r="G561" s="233">
        <v>9.9999999999999995E-7</v>
      </c>
      <c r="H561" s="233">
        <v>9.9999999999999995E-7</v>
      </c>
      <c r="I561" s="233">
        <v>5.5296326E-2</v>
      </c>
      <c r="J561" s="233">
        <v>0.90138469600000004</v>
      </c>
      <c r="K561" s="233">
        <v>0</v>
      </c>
      <c r="L561" s="233">
        <v>0.12</v>
      </c>
      <c r="M561" s="233">
        <v>0.34671657900000002</v>
      </c>
      <c r="N561" s="233">
        <v>0.48513895600000001</v>
      </c>
    </row>
    <row r="562" spans="1:14" x14ac:dyDescent="0.2">
      <c r="A562" s="233" t="s">
        <v>28</v>
      </c>
      <c r="B562" s="233" t="s">
        <v>10347</v>
      </c>
      <c r="C562" s="233" t="s">
        <v>5</v>
      </c>
      <c r="D562" s="233">
        <v>1</v>
      </c>
      <c r="E562" s="233">
        <v>0.03</v>
      </c>
      <c r="F562" s="233" t="s">
        <v>6369</v>
      </c>
      <c r="G562" s="233">
        <v>1.0000000000000001E-5</v>
      </c>
      <c r="H562" s="233">
        <v>1.0000000000000001E-5</v>
      </c>
      <c r="I562" s="233">
        <v>0.15925862599999999</v>
      </c>
      <c r="J562" s="233">
        <v>1.993339918</v>
      </c>
      <c r="K562" s="233">
        <v>0</v>
      </c>
      <c r="L562" s="233">
        <v>0.102349604</v>
      </c>
      <c r="M562" s="233">
        <v>0.76905513800000014</v>
      </c>
      <c r="N562" s="233">
        <v>0.98343677100000004</v>
      </c>
    </row>
    <row r="563" spans="1:14" x14ac:dyDescent="0.2">
      <c r="A563" s="233" t="s">
        <v>28</v>
      </c>
      <c r="B563" s="233" t="s">
        <v>10347</v>
      </c>
      <c r="C563" s="233" t="s">
        <v>5</v>
      </c>
      <c r="D563" s="233">
        <v>1</v>
      </c>
      <c r="E563" s="233">
        <v>0.03</v>
      </c>
      <c r="F563" s="233" t="s">
        <v>6369</v>
      </c>
      <c r="G563" s="233">
        <v>1E-4</v>
      </c>
      <c r="H563" s="233">
        <v>1E-4</v>
      </c>
      <c r="I563" s="233">
        <v>7.6075186000000003E-2</v>
      </c>
      <c r="J563" s="233">
        <v>4.5668636869999997</v>
      </c>
      <c r="K563" s="233">
        <v>0</v>
      </c>
      <c r="L563" s="233">
        <v>1.263157895</v>
      </c>
      <c r="M563" s="233">
        <v>0.59483979300000001</v>
      </c>
      <c r="N563" s="233">
        <v>71.616248310000003</v>
      </c>
    </row>
    <row r="564" spans="1:14" x14ac:dyDescent="0.2">
      <c r="A564" s="233" t="s">
        <v>28</v>
      </c>
      <c r="B564" s="233" t="s">
        <v>10347</v>
      </c>
      <c r="C564" s="233" t="s">
        <v>5</v>
      </c>
      <c r="D564" s="233">
        <v>1</v>
      </c>
      <c r="E564" s="233">
        <v>0.03</v>
      </c>
      <c r="F564" s="233" t="s">
        <v>6369</v>
      </c>
      <c r="G564" s="233">
        <v>1E-3</v>
      </c>
      <c r="H564" s="233">
        <v>1E-3</v>
      </c>
      <c r="I564" s="233">
        <v>3.3446493000000001E-2</v>
      </c>
      <c r="J564" s="233">
        <v>1.6925317929999999</v>
      </c>
      <c r="K564" s="233">
        <v>0</v>
      </c>
      <c r="L564" s="233">
        <v>0.112149533</v>
      </c>
      <c r="M564" s="233">
        <v>9.3415658999999998E-2</v>
      </c>
      <c r="N564" s="233">
        <v>50.923918440000001</v>
      </c>
    </row>
    <row r="565" spans="1:14" x14ac:dyDescent="0.2">
      <c r="A565" s="233" t="s">
        <v>28</v>
      </c>
      <c r="B565" s="233" t="s">
        <v>10347</v>
      </c>
      <c r="C565" s="233" t="s">
        <v>5</v>
      </c>
      <c r="D565" s="233">
        <v>1</v>
      </c>
      <c r="E565" s="233">
        <v>0.03</v>
      </c>
      <c r="F565" s="233" t="s">
        <v>6369</v>
      </c>
      <c r="G565" s="233">
        <v>5.0000000000000001E-3</v>
      </c>
      <c r="H565" s="233">
        <v>5.0000000000000001E-3</v>
      </c>
      <c r="I565" s="233">
        <v>4.6017269E-2</v>
      </c>
      <c r="J565" s="233">
        <v>1.2194498840000001</v>
      </c>
      <c r="K565" s="233">
        <v>0</v>
      </c>
      <c r="L565" s="233">
        <v>0</v>
      </c>
      <c r="M565" s="233">
        <v>0.13081716299999999</v>
      </c>
      <c r="N565" s="233">
        <v>0.40685428200000001</v>
      </c>
    </row>
    <row r="566" spans="1:14" x14ac:dyDescent="0.2">
      <c r="A566" s="233" t="s">
        <v>28</v>
      </c>
      <c r="B566" s="233" t="s">
        <v>10347</v>
      </c>
      <c r="C566" s="233" t="s">
        <v>0</v>
      </c>
      <c r="D566" s="233">
        <v>4</v>
      </c>
      <c r="E566" s="233">
        <v>0.95299999999999996</v>
      </c>
      <c r="F566" s="233" t="s">
        <v>6370</v>
      </c>
      <c r="G566" s="233">
        <v>5.0000000000000002E-5</v>
      </c>
      <c r="H566" s="233">
        <v>9.9999999999999995E-7</v>
      </c>
      <c r="I566" s="233">
        <v>5.2039914999999999E-2</v>
      </c>
      <c r="J566" s="233">
        <v>1.1239764809999999</v>
      </c>
      <c r="K566" s="233">
        <v>0</v>
      </c>
      <c r="L566" s="233">
        <v>6.7226890999999997E-2</v>
      </c>
      <c r="M566" s="233">
        <v>0.26109569300000002</v>
      </c>
      <c r="N566" s="233">
        <v>0.62190055899999996</v>
      </c>
    </row>
    <row r="567" spans="1:14" x14ac:dyDescent="0.2">
      <c r="A567" s="233" t="s">
        <v>28</v>
      </c>
      <c r="B567" s="233" t="s">
        <v>10347</v>
      </c>
      <c r="C567" s="233" t="s">
        <v>0</v>
      </c>
      <c r="D567" s="233">
        <v>4</v>
      </c>
      <c r="E567" s="233">
        <v>0.95299999999999996</v>
      </c>
      <c r="F567" s="233" t="s">
        <v>6370</v>
      </c>
      <c r="G567" s="233">
        <v>1E-4</v>
      </c>
      <c r="H567" s="233">
        <v>1.0000000000000001E-5</v>
      </c>
      <c r="I567" s="233">
        <v>0.42369802699999998</v>
      </c>
      <c r="J567" s="233">
        <v>4.5182786070000001</v>
      </c>
      <c r="K567" s="233">
        <v>0</v>
      </c>
      <c r="L567" s="233">
        <v>0</v>
      </c>
      <c r="M567" s="233">
        <v>2.66655613</v>
      </c>
      <c r="N567" s="233">
        <v>4.2987214099999997</v>
      </c>
    </row>
    <row r="568" spans="1:14" x14ac:dyDescent="0.2">
      <c r="A568" s="233" t="s">
        <v>28</v>
      </c>
      <c r="B568" s="233" t="s">
        <v>10347</v>
      </c>
      <c r="C568" s="233" t="s">
        <v>0</v>
      </c>
      <c r="D568" s="233">
        <v>4</v>
      </c>
      <c r="E568" s="233">
        <v>0.95299999999999996</v>
      </c>
      <c r="F568" s="233" t="s">
        <v>6370</v>
      </c>
      <c r="G568" s="233">
        <v>1E-3</v>
      </c>
      <c r="H568" s="233">
        <v>1E-4</v>
      </c>
      <c r="I568" s="233">
        <v>0.33188995900000001</v>
      </c>
      <c r="J568" s="233">
        <v>19.574649669999999</v>
      </c>
      <c r="K568" s="233">
        <v>0</v>
      </c>
      <c r="L568" s="233">
        <v>0</v>
      </c>
      <c r="M568" s="233">
        <v>2.6832803109999999</v>
      </c>
      <c r="N568" s="233">
        <v>144.0872708</v>
      </c>
    </row>
    <row r="569" spans="1:14" x14ac:dyDescent="0.2">
      <c r="A569" s="233" t="s">
        <v>28</v>
      </c>
      <c r="B569" s="233" t="s">
        <v>10347</v>
      </c>
      <c r="C569" s="233" t="s">
        <v>0</v>
      </c>
      <c r="D569" s="233">
        <v>4</v>
      </c>
      <c r="E569" s="233">
        <v>0.95299999999999996</v>
      </c>
      <c r="F569" s="233" t="s">
        <v>6370</v>
      </c>
      <c r="G569" s="233">
        <v>5.0000000000000001E-3</v>
      </c>
      <c r="H569" s="233">
        <v>1E-3</v>
      </c>
      <c r="I569" s="233">
        <v>0.10629050700000001</v>
      </c>
      <c r="J569" s="233">
        <v>2.7824444760000002</v>
      </c>
      <c r="K569" s="233">
        <v>0</v>
      </c>
      <c r="L569" s="233">
        <v>9.9585062000000002E-2</v>
      </c>
      <c r="M569" s="233">
        <v>0.32772061299999999</v>
      </c>
      <c r="N569" s="233">
        <v>438.62970209999997</v>
      </c>
    </row>
    <row r="570" spans="1:14" x14ac:dyDescent="0.2">
      <c r="A570" s="233" t="s">
        <v>28</v>
      </c>
      <c r="B570" s="233" t="s">
        <v>10347</v>
      </c>
      <c r="C570" s="233" t="s">
        <v>0</v>
      </c>
      <c r="D570" s="233">
        <v>4</v>
      </c>
      <c r="E570" s="233">
        <v>0.95299999999999996</v>
      </c>
      <c r="F570" s="233" t="s">
        <v>6370</v>
      </c>
      <c r="G570" s="233">
        <v>2.5000000000000001E-2</v>
      </c>
      <c r="H570" s="233">
        <v>5.0000000000000001E-3</v>
      </c>
      <c r="I570" s="233">
        <v>5.7655382999999991E-2</v>
      </c>
      <c r="J570" s="233">
        <v>1.8406062910000001</v>
      </c>
      <c r="K570" s="233">
        <v>0</v>
      </c>
      <c r="L570" s="233">
        <v>0.109589041</v>
      </c>
      <c r="M570" s="233">
        <v>9.5767661000000004E-2</v>
      </c>
      <c r="N570" s="233">
        <v>42.246742869999999</v>
      </c>
    </row>
    <row r="571" spans="1:14" x14ac:dyDescent="0.2">
      <c r="A571" s="233" t="s">
        <v>28</v>
      </c>
      <c r="B571" s="233" t="s">
        <v>10347</v>
      </c>
      <c r="C571" s="233" t="s">
        <v>0</v>
      </c>
      <c r="D571" s="233">
        <v>4</v>
      </c>
      <c r="E571" s="233">
        <v>0.95299999999999996</v>
      </c>
      <c r="F571" s="233" t="s">
        <v>6371</v>
      </c>
      <c r="G571" s="233">
        <v>9.9999999999999995E-7</v>
      </c>
      <c r="H571" s="233">
        <v>9.9999999999999995E-7</v>
      </c>
      <c r="I571" s="233">
        <v>0.24885352899999999</v>
      </c>
      <c r="J571" s="233">
        <v>2.7364891830000002</v>
      </c>
      <c r="K571" s="233">
        <v>0</v>
      </c>
      <c r="L571" s="233">
        <v>6.6141988999999998E-2</v>
      </c>
      <c r="M571" s="233">
        <v>1.4280189459999999</v>
      </c>
      <c r="N571" s="233">
        <v>1.4421868470000001</v>
      </c>
    </row>
    <row r="572" spans="1:14" x14ac:dyDescent="0.2">
      <c r="A572" s="233" t="s">
        <v>28</v>
      </c>
      <c r="B572" s="233" t="s">
        <v>10347</v>
      </c>
      <c r="C572" s="233" t="s">
        <v>0</v>
      </c>
      <c r="D572" s="233">
        <v>4</v>
      </c>
      <c r="E572" s="233">
        <v>0.95299999999999996</v>
      </c>
      <c r="F572" s="233" t="s">
        <v>6371</v>
      </c>
      <c r="G572" s="233">
        <v>1.0000000000000001E-5</v>
      </c>
      <c r="H572" s="233">
        <v>1.0000000000000001E-5</v>
      </c>
      <c r="I572" s="233">
        <v>0.42026098899999997</v>
      </c>
      <c r="J572" s="233">
        <v>12.6556862</v>
      </c>
      <c r="K572" s="233">
        <v>0</v>
      </c>
      <c r="L572" s="233">
        <v>0</v>
      </c>
      <c r="M572" s="233">
        <v>3.22834748</v>
      </c>
      <c r="N572" s="233">
        <v>74.844414819999997</v>
      </c>
    </row>
    <row r="573" spans="1:14" x14ac:dyDescent="0.2">
      <c r="A573" s="233" t="s">
        <v>28</v>
      </c>
      <c r="B573" s="233" t="s">
        <v>10347</v>
      </c>
      <c r="C573" s="233" t="s">
        <v>0</v>
      </c>
      <c r="D573" s="233">
        <v>4</v>
      </c>
      <c r="E573" s="233">
        <v>0.95299999999999996</v>
      </c>
      <c r="F573" s="233" t="s">
        <v>6371</v>
      </c>
      <c r="G573" s="233">
        <v>1E-4</v>
      </c>
      <c r="H573" s="233">
        <v>1E-4</v>
      </c>
      <c r="I573" s="233">
        <v>0.22355507099999999</v>
      </c>
      <c r="J573" s="233">
        <v>40.34298072</v>
      </c>
      <c r="K573" s="233">
        <v>0</v>
      </c>
      <c r="L573" s="233">
        <v>0</v>
      </c>
      <c r="M573" s="233">
        <v>1.451419199</v>
      </c>
      <c r="N573" s="233">
        <v>421.52788839999999</v>
      </c>
    </row>
    <row r="574" spans="1:14" x14ac:dyDescent="0.2">
      <c r="A574" s="233" t="s">
        <v>28</v>
      </c>
      <c r="B574" s="233" t="s">
        <v>10347</v>
      </c>
      <c r="C574" s="233" t="s">
        <v>0</v>
      </c>
      <c r="D574" s="233">
        <v>4</v>
      </c>
      <c r="E574" s="233">
        <v>0.95299999999999996</v>
      </c>
      <c r="F574" s="233" t="s">
        <v>6369</v>
      </c>
      <c r="G574" s="233">
        <v>9.9999999999999995E-7</v>
      </c>
      <c r="H574" s="233">
        <v>9.9999999999999995E-7</v>
      </c>
      <c r="I574" s="233">
        <v>5.2039914999999999E-2</v>
      </c>
      <c r="J574" s="233">
        <v>1.1239764809999999</v>
      </c>
      <c r="K574" s="233">
        <v>0</v>
      </c>
      <c r="L574" s="233">
        <v>6.7226890999999997E-2</v>
      </c>
      <c r="M574" s="233">
        <v>0.26109569300000002</v>
      </c>
      <c r="N574" s="233">
        <v>0.62190055899999996</v>
      </c>
    </row>
    <row r="575" spans="1:14" x14ac:dyDescent="0.2">
      <c r="A575" s="233" t="s">
        <v>28</v>
      </c>
      <c r="B575" s="233" t="s">
        <v>10347</v>
      </c>
      <c r="C575" s="233" t="s">
        <v>0</v>
      </c>
      <c r="D575" s="233">
        <v>4</v>
      </c>
      <c r="E575" s="233">
        <v>0.95299999999999996</v>
      </c>
      <c r="F575" s="233" t="s">
        <v>6369</v>
      </c>
      <c r="G575" s="233">
        <v>1.0000000000000001E-5</v>
      </c>
      <c r="H575" s="233">
        <v>1.0000000000000001E-5</v>
      </c>
      <c r="I575" s="233">
        <v>0.18348030000000001</v>
      </c>
      <c r="J575" s="233">
        <v>1.9494444710000001</v>
      </c>
      <c r="K575" s="233">
        <v>0</v>
      </c>
      <c r="L575" s="233">
        <v>0.142011834</v>
      </c>
      <c r="M575" s="233">
        <v>0.92836268700000002</v>
      </c>
      <c r="N575" s="233">
        <v>0.987203049</v>
      </c>
    </row>
    <row r="576" spans="1:14" x14ac:dyDescent="0.2">
      <c r="A576" s="233" t="s">
        <v>28</v>
      </c>
      <c r="B576" s="233" t="s">
        <v>10347</v>
      </c>
      <c r="C576" s="233" t="s">
        <v>0</v>
      </c>
      <c r="D576" s="233">
        <v>4</v>
      </c>
      <c r="E576" s="233">
        <v>0.95299999999999996</v>
      </c>
      <c r="F576" s="233" t="s">
        <v>6369</v>
      </c>
      <c r="G576" s="233">
        <v>1E-4</v>
      </c>
      <c r="H576" s="233">
        <v>1E-4</v>
      </c>
      <c r="I576" s="233">
        <v>0.42026098899999997</v>
      </c>
      <c r="J576" s="233">
        <v>12.6556862</v>
      </c>
      <c r="K576" s="233">
        <v>0</v>
      </c>
      <c r="L576" s="233">
        <v>0</v>
      </c>
      <c r="M576" s="233">
        <v>3.22834748</v>
      </c>
      <c r="N576" s="233">
        <v>74.844414819999997</v>
      </c>
    </row>
    <row r="577" spans="1:14" x14ac:dyDescent="0.2">
      <c r="A577" s="233" t="s">
        <v>28</v>
      </c>
      <c r="B577" s="233" t="s">
        <v>10347</v>
      </c>
      <c r="C577" s="233" t="s">
        <v>0</v>
      </c>
      <c r="D577" s="233">
        <v>4</v>
      </c>
      <c r="E577" s="233">
        <v>0.95299999999999996</v>
      </c>
      <c r="F577" s="233" t="s">
        <v>6369</v>
      </c>
      <c r="G577" s="233">
        <v>1E-3</v>
      </c>
      <c r="H577" s="233">
        <v>1E-3</v>
      </c>
      <c r="I577" s="233">
        <v>9.4219453999999994E-2</v>
      </c>
      <c r="J577" s="233">
        <v>4.1313160470000003</v>
      </c>
      <c r="K577" s="233">
        <v>0</v>
      </c>
      <c r="L577" s="233">
        <v>0.202297702</v>
      </c>
      <c r="M577" s="233">
        <v>0.48921488899999999</v>
      </c>
      <c r="N577" s="233">
        <v>441.53425729999998</v>
      </c>
    </row>
    <row r="578" spans="1:14" x14ac:dyDescent="0.2">
      <c r="A578" s="233" t="s">
        <v>28</v>
      </c>
      <c r="B578" s="233" t="s">
        <v>10347</v>
      </c>
      <c r="C578" s="233" t="s">
        <v>0</v>
      </c>
      <c r="D578" s="233">
        <v>4</v>
      </c>
      <c r="E578" s="233">
        <v>0.95299999999999996</v>
      </c>
      <c r="F578" s="233" t="s">
        <v>6369</v>
      </c>
      <c r="G578" s="233">
        <v>5.0000000000000001E-3</v>
      </c>
      <c r="H578" s="233">
        <v>5.0000000000000001E-3</v>
      </c>
      <c r="I578" s="233">
        <v>5.8509373000000003E-2</v>
      </c>
      <c r="J578" s="233">
        <v>2.4122854060000001</v>
      </c>
      <c r="K578" s="233">
        <v>0</v>
      </c>
      <c r="L578" s="233">
        <v>0.27906976700000002</v>
      </c>
      <c r="M578" s="233">
        <v>0.123863554</v>
      </c>
      <c r="N578" s="233">
        <v>119.9458525</v>
      </c>
    </row>
    <row r="579" spans="1:14" x14ac:dyDescent="0.2">
      <c r="A579" s="233" t="s">
        <v>28</v>
      </c>
      <c r="B579" s="233" t="s">
        <v>10347</v>
      </c>
      <c r="C579" s="233" t="s">
        <v>1</v>
      </c>
      <c r="D579" s="233">
        <v>3</v>
      </c>
      <c r="E579" s="233">
        <v>0.91500000000000004</v>
      </c>
      <c r="F579" s="233" t="s">
        <v>6370</v>
      </c>
      <c r="G579" s="233">
        <v>5.0000000000000002E-5</v>
      </c>
      <c r="H579" s="233">
        <v>9.9999999999999995E-7</v>
      </c>
      <c r="I579" s="233">
        <v>3.8606063000000003E-2</v>
      </c>
      <c r="J579" s="233">
        <v>1.5234456629999999</v>
      </c>
      <c r="K579" s="233">
        <v>0</v>
      </c>
      <c r="L579" s="233">
        <v>0.162341655</v>
      </c>
      <c r="M579" s="233">
        <v>0.50992593500000005</v>
      </c>
      <c r="N579" s="233">
        <v>0.62787714800000005</v>
      </c>
    </row>
    <row r="580" spans="1:14" x14ac:dyDescent="0.2">
      <c r="A580" s="233" t="s">
        <v>28</v>
      </c>
      <c r="B580" s="233" t="s">
        <v>10347</v>
      </c>
      <c r="C580" s="233" t="s">
        <v>1</v>
      </c>
      <c r="D580" s="233">
        <v>3</v>
      </c>
      <c r="E580" s="233">
        <v>0.91500000000000004</v>
      </c>
      <c r="F580" s="233" t="s">
        <v>6370</v>
      </c>
      <c r="G580" s="233">
        <v>1E-4</v>
      </c>
      <c r="H580" s="233">
        <v>1.0000000000000001E-5</v>
      </c>
      <c r="I580" s="233">
        <v>0.40537368000000001</v>
      </c>
      <c r="J580" s="233">
        <v>4.4460899070000002</v>
      </c>
      <c r="K580" s="233">
        <v>0</v>
      </c>
      <c r="L580" s="233">
        <v>0</v>
      </c>
      <c r="M580" s="233">
        <v>2.4224092370000001</v>
      </c>
      <c r="N580" s="233">
        <v>4.2932193009999997</v>
      </c>
    </row>
    <row r="581" spans="1:14" x14ac:dyDescent="0.2">
      <c r="A581" s="233" t="s">
        <v>28</v>
      </c>
      <c r="B581" s="233" t="s">
        <v>10347</v>
      </c>
      <c r="C581" s="233" t="s">
        <v>1</v>
      </c>
      <c r="D581" s="233">
        <v>3</v>
      </c>
      <c r="E581" s="233">
        <v>0.91500000000000004</v>
      </c>
      <c r="F581" s="233" t="s">
        <v>6370</v>
      </c>
      <c r="G581" s="233">
        <v>1E-3</v>
      </c>
      <c r="H581" s="233">
        <v>1E-4</v>
      </c>
      <c r="I581" s="233">
        <v>0.24716025599999999</v>
      </c>
      <c r="J581" s="233">
        <v>17.888189260000001</v>
      </c>
      <c r="K581" s="233">
        <v>0</v>
      </c>
      <c r="L581" s="233">
        <v>0</v>
      </c>
      <c r="M581" s="233">
        <v>1.8953956199999999</v>
      </c>
      <c r="N581" s="233">
        <v>157.34454550000001</v>
      </c>
    </row>
    <row r="582" spans="1:14" x14ac:dyDescent="0.2">
      <c r="A582" s="233" t="s">
        <v>28</v>
      </c>
      <c r="B582" s="233" t="s">
        <v>10347</v>
      </c>
      <c r="C582" s="233" t="s">
        <v>1</v>
      </c>
      <c r="D582" s="233">
        <v>3</v>
      </c>
      <c r="E582" s="233">
        <v>0.91500000000000004</v>
      </c>
      <c r="F582" s="233" t="s">
        <v>6370</v>
      </c>
      <c r="G582" s="233">
        <v>5.0000000000000001E-3</v>
      </c>
      <c r="H582" s="233">
        <v>1E-3</v>
      </c>
      <c r="I582" s="233">
        <v>0.173493067</v>
      </c>
      <c r="J582" s="233">
        <v>2.224602865</v>
      </c>
      <c r="K582" s="233">
        <v>0</v>
      </c>
      <c r="L582" s="233">
        <v>0.12371134</v>
      </c>
      <c r="M582" s="233">
        <v>0.241936289</v>
      </c>
      <c r="N582" s="233">
        <v>323.40204010000002</v>
      </c>
    </row>
    <row r="583" spans="1:14" x14ac:dyDescent="0.2">
      <c r="A583" s="233" t="s">
        <v>28</v>
      </c>
      <c r="B583" s="233" t="s">
        <v>10347</v>
      </c>
      <c r="C583" s="233" t="s">
        <v>1</v>
      </c>
      <c r="D583" s="233">
        <v>3</v>
      </c>
      <c r="E583" s="233">
        <v>0.91500000000000004</v>
      </c>
      <c r="F583" s="233" t="s">
        <v>6370</v>
      </c>
      <c r="G583" s="233">
        <v>2.5000000000000001E-2</v>
      </c>
      <c r="H583" s="233">
        <v>5.0000000000000001E-3</v>
      </c>
      <c r="I583" s="233">
        <v>2.8750148E-2</v>
      </c>
      <c r="J583" s="233">
        <v>1.1491292660000001</v>
      </c>
      <c r="K583" s="233">
        <v>0</v>
      </c>
      <c r="L583" s="233">
        <v>0.111315939</v>
      </c>
      <c r="M583" s="233">
        <v>9.7639089999999998E-2</v>
      </c>
      <c r="N583" s="233">
        <v>4.40181427</v>
      </c>
    </row>
    <row r="584" spans="1:14" x14ac:dyDescent="0.2">
      <c r="A584" s="233" t="s">
        <v>28</v>
      </c>
      <c r="B584" s="233" t="s">
        <v>10347</v>
      </c>
      <c r="C584" s="233" t="s">
        <v>1</v>
      </c>
      <c r="D584" s="233">
        <v>3</v>
      </c>
      <c r="E584" s="233">
        <v>0.91500000000000004</v>
      </c>
      <c r="F584" s="233" t="s">
        <v>6371</v>
      </c>
      <c r="G584" s="233">
        <v>9.9999999999999995E-7</v>
      </c>
      <c r="H584" s="233">
        <v>9.9999999999999995E-7</v>
      </c>
      <c r="I584" s="233">
        <v>0.23425148000000001</v>
      </c>
      <c r="J584" s="233">
        <v>2.681281988999999</v>
      </c>
      <c r="K584" s="233">
        <v>0</v>
      </c>
      <c r="L584" s="233">
        <v>0</v>
      </c>
      <c r="M584" s="233">
        <v>1.560151869</v>
      </c>
      <c r="N584" s="233">
        <v>1.4791248109999999</v>
      </c>
    </row>
    <row r="585" spans="1:14" x14ac:dyDescent="0.2">
      <c r="A585" s="233" t="s">
        <v>28</v>
      </c>
      <c r="B585" s="233" t="s">
        <v>10347</v>
      </c>
      <c r="C585" s="233" t="s">
        <v>1</v>
      </c>
      <c r="D585" s="233">
        <v>3</v>
      </c>
      <c r="E585" s="233">
        <v>0.91500000000000004</v>
      </c>
      <c r="F585" s="233" t="s">
        <v>6371</v>
      </c>
      <c r="G585" s="233">
        <v>1.0000000000000001E-5</v>
      </c>
      <c r="H585" s="233">
        <v>1.0000000000000001E-5</v>
      </c>
      <c r="I585" s="233">
        <v>0.92357948999999995</v>
      </c>
      <c r="J585" s="233">
        <v>21.980747180000002</v>
      </c>
      <c r="K585" s="233">
        <v>0</v>
      </c>
      <c r="L585" s="233">
        <v>0</v>
      </c>
      <c r="M585" s="233">
        <v>5.9887573940000003</v>
      </c>
      <c r="N585" s="233">
        <v>83.697356569999997</v>
      </c>
    </row>
    <row r="586" spans="1:14" x14ac:dyDescent="0.2">
      <c r="A586" s="233" t="s">
        <v>28</v>
      </c>
      <c r="B586" s="233" t="s">
        <v>10347</v>
      </c>
      <c r="C586" s="233" t="s">
        <v>1</v>
      </c>
      <c r="D586" s="233">
        <v>3</v>
      </c>
      <c r="E586" s="233">
        <v>0.91500000000000004</v>
      </c>
      <c r="F586" s="233" t="s">
        <v>6371</v>
      </c>
      <c r="G586" s="233">
        <v>1E-4</v>
      </c>
      <c r="H586" s="233">
        <v>1E-4</v>
      </c>
      <c r="I586" s="233">
        <v>0.13737459299999999</v>
      </c>
      <c r="J586" s="233">
        <v>11.374116000000001</v>
      </c>
      <c r="K586" s="233">
        <v>0</v>
      </c>
      <c r="L586" s="233">
        <v>0</v>
      </c>
      <c r="M586" s="233">
        <v>0.94979053999999996</v>
      </c>
      <c r="N586" s="233">
        <v>412.27683200000001</v>
      </c>
    </row>
    <row r="587" spans="1:14" x14ac:dyDescent="0.2">
      <c r="A587" s="233" t="s">
        <v>28</v>
      </c>
      <c r="B587" s="233" t="s">
        <v>10347</v>
      </c>
      <c r="C587" s="233" t="s">
        <v>1</v>
      </c>
      <c r="D587" s="233">
        <v>3</v>
      </c>
      <c r="E587" s="233">
        <v>0.91500000000000004</v>
      </c>
      <c r="F587" s="233" t="s">
        <v>6369</v>
      </c>
      <c r="G587" s="233">
        <v>9.9999999999999995E-7</v>
      </c>
      <c r="H587" s="233">
        <v>9.9999999999999995E-7</v>
      </c>
      <c r="I587" s="233">
        <v>5.2298784000000001E-2</v>
      </c>
      <c r="J587" s="233">
        <v>1.00551821</v>
      </c>
      <c r="K587" s="233">
        <v>0</v>
      </c>
      <c r="L587" s="233">
        <v>0.75</v>
      </c>
      <c r="M587" s="233">
        <v>0.43544178300000003</v>
      </c>
      <c r="N587" s="233">
        <v>0.79848932799999994</v>
      </c>
    </row>
    <row r="588" spans="1:14" x14ac:dyDescent="0.2">
      <c r="A588" s="233" t="s">
        <v>28</v>
      </c>
      <c r="B588" s="233" t="s">
        <v>10347</v>
      </c>
      <c r="C588" s="233" t="s">
        <v>1</v>
      </c>
      <c r="D588" s="233">
        <v>3</v>
      </c>
      <c r="E588" s="233">
        <v>0.91500000000000004</v>
      </c>
      <c r="F588" s="233" t="s">
        <v>6369</v>
      </c>
      <c r="G588" s="233">
        <v>1.0000000000000001E-5</v>
      </c>
      <c r="H588" s="233">
        <v>1.0000000000000001E-5</v>
      </c>
      <c r="I588" s="233">
        <v>0.206059304</v>
      </c>
      <c r="J588" s="233">
        <v>2.2992084269999999</v>
      </c>
      <c r="K588" s="233">
        <v>0</v>
      </c>
      <c r="L588" s="233">
        <v>9.4488189E-2</v>
      </c>
      <c r="M588" s="233">
        <v>1.1393128880000001</v>
      </c>
      <c r="N588" s="233">
        <v>1.0182126920000001</v>
      </c>
    </row>
    <row r="589" spans="1:14" x14ac:dyDescent="0.2">
      <c r="A589" s="233" t="s">
        <v>28</v>
      </c>
      <c r="B589" s="233" t="s">
        <v>10347</v>
      </c>
      <c r="C589" s="233" t="s">
        <v>1</v>
      </c>
      <c r="D589" s="233">
        <v>3</v>
      </c>
      <c r="E589" s="233">
        <v>0.91500000000000004</v>
      </c>
      <c r="F589" s="233" t="s">
        <v>6369</v>
      </c>
      <c r="G589" s="233">
        <v>1E-4</v>
      </c>
      <c r="H589" s="233">
        <v>1E-4</v>
      </c>
      <c r="I589" s="233">
        <v>0.33197813300000001</v>
      </c>
      <c r="J589" s="233">
        <v>12.152217739999999</v>
      </c>
      <c r="K589" s="233">
        <v>0</v>
      </c>
      <c r="L589" s="233">
        <v>0</v>
      </c>
      <c r="M589" s="233">
        <v>2.4908976790000001</v>
      </c>
      <c r="N589" s="233">
        <v>75.429694389999995</v>
      </c>
    </row>
    <row r="590" spans="1:14" x14ac:dyDescent="0.2">
      <c r="A590" s="233" t="s">
        <v>28</v>
      </c>
      <c r="B590" s="233" t="s">
        <v>10347</v>
      </c>
      <c r="C590" s="233" t="s">
        <v>1</v>
      </c>
      <c r="D590" s="233">
        <v>3</v>
      </c>
      <c r="E590" s="233">
        <v>0.91500000000000004</v>
      </c>
      <c r="F590" s="233" t="s">
        <v>6369</v>
      </c>
      <c r="G590" s="233">
        <v>1E-3</v>
      </c>
      <c r="H590" s="233">
        <v>1E-3</v>
      </c>
      <c r="I590" s="233">
        <v>0.12726910299999999</v>
      </c>
      <c r="J590" s="233">
        <v>2.7371082200000001</v>
      </c>
      <c r="K590" s="233">
        <v>0</v>
      </c>
      <c r="L590" s="233">
        <v>0.30769230800000003</v>
      </c>
      <c r="M590" s="233">
        <v>0.345797305</v>
      </c>
      <c r="N590" s="233">
        <v>438.59484359999999</v>
      </c>
    </row>
    <row r="591" spans="1:14" x14ac:dyDescent="0.2">
      <c r="A591" s="233" t="s">
        <v>28</v>
      </c>
      <c r="B591" s="233" t="s">
        <v>10347</v>
      </c>
      <c r="C591" s="233" t="s">
        <v>1</v>
      </c>
      <c r="D591" s="233">
        <v>3</v>
      </c>
      <c r="E591" s="233">
        <v>0.91500000000000004</v>
      </c>
      <c r="F591" s="233" t="s">
        <v>6369</v>
      </c>
      <c r="G591" s="233">
        <v>5.0000000000000001E-3</v>
      </c>
      <c r="H591" s="233">
        <v>5.0000000000000001E-3</v>
      </c>
      <c r="I591" s="233">
        <v>6.4454277000000004E-2</v>
      </c>
      <c r="J591" s="233">
        <v>1.5234197679999999</v>
      </c>
      <c r="K591" s="233">
        <v>0</v>
      </c>
      <c r="L591" s="233">
        <v>1.7142857140000001</v>
      </c>
      <c r="M591" s="233">
        <v>9.1057541000000006E-2</v>
      </c>
      <c r="N591" s="233">
        <v>62.500252519999989</v>
      </c>
    </row>
    <row r="592" spans="1:14" x14ac:dyDescent="0.2">
      <c r="A592" s="233" t="s">
        <v>28</v>
      </c>
      <c r="B592" s="233" t="s">
        <v>10347</v>
      </c>
      <c r="C592" s="233" t="s">
        <v>2</v>
      </c>
      <c r="D592" s="233">
        <v>6</v>
      </c>
      <c r="E592" s="233">
        <v>1.35</v>
      </c>
      <c r="F592" s="233" t="s">
        <v>6370</v>
      </c>
      <c r="G592" s="233">
        <v>5.0000000000000002E-5</v>
      </c>
      <c r="H592" s="233">
        <v>9.9999999999999995E-7</v>
      </c>
      <c r="I592" s="233">
        <v>5.0223842999999997E-2</v>
      </c>
      <c r="J592" s="233">
        <v>1.25340739</v>
      </c>
      <c r="K592" s="233">
        <v>0</v>
      </c>
      <c r="L592" s="233">
        <v>9.0807896999999999E-2</v>
      </c>
      <c r="M592" s="233">
        <v>0.85606397099999998</v>
      </c>
      <c r="N592" s="233">
        <v>1.2804887629999999</v>
      </c>
    </row>
    <row r="593" spans="1:14" x14ac:dyDescent="0.2">
      <c r="A593" s="233" t="s">
        <v>28</v>
      </c>
      <c r="B593" s="233" t="s">
        <v>10347</v>
      </c>
      <c r="C593" s="233" t="s">
        <v>2</v>
      </c>
      <c r="D593" s="233">
        <v>6</v>
      </c>
      <c r="E593" s="233">
        <v>1.35</v>
      </c>
      <c r="F593" s="233" t="s">
        <v>6370</v>
      </c>
      <c r="G593" s="233">
        <v>1E-4</v>
      </c>
      <c r="H593" s="233">
        <v>1.0000000000000001E-5</v>
      </c>
      <c r="I593" s="233">
        <v>1.2296506030000001</v>
      </c>
      <c r="J593" s="233">
        <v>6.1696514049999998</v>
      </c>
      <c r="K593" s="233">
        <v>0</v>
      </c>
      <c r="L593" s="233">
        <v>0</v>
      </c>
      <c r="M593" s="233">
        <v>6.3166532359999996</v>
      </c>
      <c r="N593" s="233">
        <v>4.3142314710000003</v>
      </c>
    </row>
    <row r="594" spans="1:14" x14ac:dyDescent="0.2">
      <c r="A594" s="233" t="s">
        <v>28</v>
      </c>
      <c r="B594" s="233" t="s">
        <v>10347</v>
      </c>
      <c r="C594" s="233" t="s">
        <v>2</v>
      </c>
      <c r="D594" s="233">
        <v>6</v>
      </c>
      <c r="E594" s="233">
        <v>1.35</v>
      </c>
      <c r="F594" s="233" t="s">
        <v>6370</v>
      </c>
      <c r="G594" s="233">
        <v>1E-3</v>
      </c>
      <c r="H594" s="233">
        <v>1E-4</v>
      </c>
      <c r="I594" s="233">
        <v>2123.0879850000001</v>
      </c>
      <c r="J594" s="233">
        <v>406.82146239999997</v>
      </c>
      <c r="K594" s="233">
        <v>0</v>
      </c>
      <c r="L594" s="233">
        <v>0</v>
      </c>
      <c r="M594" s="233">
        <v>420.21615789999993</v>
      </c>
      <c r="N594" s="233">
        <v>396.63477460000001</v>
      </c>
    </row>
    <row r="595" spans="1:14" x14ac:dyDescent="0.2">
      <c r="A595" s="233" t="s">
        <v>28</v>
      </c>
      <c r="B595" s="233" t="s">
        <v>10347</v>
      </c>
      <c r="C595" s="233" t="s">
        <v>2</v>
      </c>
      <c r="D595" s="233">
        <v>6</v>
      </c>
      <c r="E595" s="233">
        <v>1.35</v>
      </c>
      <c r="F595" s="233" t="s">
        <v>6370</v>
      </c>
      <c r="G595" s="233">
        <v>5.0000000000000001E-3</v>
      </c>
      <c r="H595" s="233">
        <v>1E-3</v>
      </c>
      <c r="I595" s="233">
        <v>266619.13689999998</v>
      </c>
      <c r="J595" s="233">
        <v>4583.6216029999996</v>
      </c>
      <c r="K595" s="233">
        <v>0</v>
      </c>
      <c r="L595" s="233">
        <v>0</v>
      </c>
      <c r="M595" s="233">
        <v>4705.1276260000004</v>
      </c>
      <c r="N595" s="233">
        <v>4583.732548</v>
      </c>
    </row>
    <row r="596" spans="1:14" x14ac:dyDescent="0.2">
      <c r="A596" s="233" t="s">
        <v>28</v>
      </c>
      <c r="B596" s="233" t="s">
        <v>10347</v>
      </c>
      <c r="C596" s="233" t="s">
        <v>2</v>
      </c>
      <c r="D596" s="233">
        <v>6</v>
      </c>
      <c r="E596" s="233">
        <v>1.35</v>
      </c>
      <c r="F596" s="233" t="s">
        <v>6370</v>
      </c>
      <c r="G596" s="233">
        <v>2.5000000000000001E-2</v>
      </c>
      <c r="H596" s="233">
        <v>5.0000000000000001E-3</v>
      </c>
      <c r="I596" s="233">
        <v>1565977.4240000001</v>
      </c>
      <c r="J596" s="233">
        <v>11108.510060000001</v>
      </c>
      <c r="K596" s="233">
        <v>0</v>
      </c>
      <c r="L596" s="233">
        <v>0</v>
      </c>
      <c r="M596" s="233">
        <v>11398.127979999999</v>
      </c>
      <c r="N596" s="233">
        <v>11106.939039999999</v>
      </c>
    </row>
    <row r="597" spans="1:14" x14ac:dyDescent="0.2">
      <c r="A597" s="233" t="s">
        <v>28</v>
      </c>
      <c r="B597" s="233" t="s">
        <v>10347</v>
      </c>
      <c r="C597" s="233" t="s">
        <v>2</v>
      </c>
      <c r="D597" s="233">
        <v>6</v>
      </c>
      <c r="E597" s="233">
        <v>1.35</v>
      </c>
      <c r="F597" s="233" t="s">
        <v>6371</v>
      </c>
      <c r="G597" s="233">
        <v>9.9999999999999995E-7</v>
      </c>
      <c r="H597" s="233">
        <v>9.9999999999999995E-7</v>
      </c>
      <c r="I597" s="233">
        <v>0.31912080599999998</v>
      </c>
      <c r="J597" s="233">
        <v>2.781247488</v>
      </c>
      <c r="K597" s="233">
        <v>0</v>
      </c>
      <c r="L597" s="233">
        <v>0.115384615</v>
      </c>
      <c r="M597" s="233">
        <v>1.7530320340000001</v>
      </c>
      <c r="N597" s="233">
        <v>1.482921481</v>
      </c>
    </row>
    <row r="598" spans="1:14" x14ac:dyDescent="0.2">
      <c r="A598" s="233" t="s">
        <v>28</v>
      </c>
      <c r="B598" s="233" t="s">
        <v>10347</v>
      </c>
      <c r="C598" s="233" t="s">
        <v>2</v>
      </c>
      <c r="D598" s="233">
        <v>6</v>
      </c>
      <c r="E598" s="233">
        <v>1.35</v>
      </c>
      <c r="F598" s="233" t="s">
        <v>6371</v>
      </c>
      <c r="G598" s="233">
        <v>1.0000000000000001E-5</v>
      </c>
      <c r="H598" s="233">
        <v>1.0000000000000001E-5</v>
      </c>
      <c r="I598" s="233">
        <v>317.88993210000001</v>
      </c>
      <c r="J598" s="233">
        <v>156.06916949999999</v>
      </c>
      <c r="K598" s="233">
        <v>0</v>
      </c>
      <c r="L598" s="233">
        <v>0</v>
      </c>
      <c r="M598" s="233">
        <v>162.3229054</v>
      </c>
      <c r="N598" s="233">
        <v>133.0501869</v>
      </c>
    </row>
    <row r="599" spans="1:14" x14ac:dyDescent="0.2">
      <c r="A599" s="233" t="s">
        <v>28</v>
      </c>
      <c r="B599" s="233" t="s">
        <v>10347</v>
      </c>
      <c r="C599" s="233" t="s">
        <v>2</v>
      </c>
      <c r="D599" s="233">
        <v>6</v>
      </c>
      <c r="E599" s="233">
        <v>1.35</v>
      </c>
      <c r="F599" s="233" t="s">
        <v>6371</v>
      </c>
      <c r="G599" s="233">
        <v>1E-4</v>
      </c>
      <c r="H599" s="233">
        <v>1E-4</v>
      </c>
      <c r="I599" s="233">
        <v>53986.584430000003</v>
      </c>
      <c r="J599" s="233">
        <v>2062.5573629999999</v>
      </c>
      <c r="K599" s="233">
        <v>0</v>
      </c>
      <c r="L599" s="233">
        <v>0</v>
      </c>
      <c r="M599" s="233">
        <v>2113.6559299999999</v>
      </c>
      <c r="N599" s="233">
        <v>2054.6536529999998</v>
      </c>
    </row>
    <row r="600" spans="1:14" x14ac:dyDescent="0.2">
      <c r="A600" s="233" t="s">
        <v>28</v>
      </c>
      <c r="B600" s="233" t="s">
        <v>10347</v>
      </c>
      <c r="C600" s="233" t="s">
        <v>2</v>
      </c>
      <c r="D600" s="233">
        <v>6</v>
      </c>
      <c r="E600" s="233">
        <v>1.35</v>
      </c>
      <c r="F600" s="233" t="s">
        <v>6369</v>
      </c>
      <c r="G600" s="233">
        <v>9.9999999999999995E-7</v>
      </c>
      <c r="H600" s="233">
        <v>9.9999999999999995E-7</v>
      </c>
      <c r="I600" s="233">
        <v>5.1285656999999998E-2</v>
      </c>
      <c r="J600" s="233">
        <v>1.1284953</v>
      </c>
      <c r="K600" s="233">
        <v>0</v>
      </c>
      <c r="L600" s="233">
        <v>1.846153846</v>
      </c>
      <c r="M600" s="233">
        <v>0.23030083600000001</v>
      </c>
      <c r="N600" s="233">
        <v>0.833638989</v>
      </c>
    </row>
    <row r="601" spans="1:14" x14ac:dyDescent="0.2">
      <c r="A601" s="233" t="s">
        <v>28</v>
      </c>
      <c r="B601" s="233" t="s">
        <v>10347</v>
      </c>
      <c r="C601" s="233" t="s">
        <v>2</v>
      </c>
      <c r="D601" s="233">
        <v>6</v>
      </c>
      <c r="E601" s="233">
        <v>1.35</v>
      </c>
      <c r="F601" s="233" t="s">
        <v>6369</v>
      </c>
      <c r="G601" s="233">
        <v>1.0000000000000001E-5</v>
      </c>
      <c r="H601" s="233">
        <v>1.0000000000000001E-5</v>
      </c>
      <c r="I601" s="233">
        <v>0.21452933499999999</v>
      </c>
      <c r="J601" s="233">
        <v>2.3459989339999998</v>
      </c>
      <c r="K601" s="233">
        <v>0</v>
      </c>
      <c r="L601" s="233">
        <v>0.119402985</v>
      </c>
      <c r="M601" s="233">
        <v>1.093773031</v>
      </c>
      <c r="N601" s="233">
        <v>0.99464308300000004</v>
      </c>
    </row>
    <row r="602" spans="1:14" x14ac:dyDescent="0.2">
      <c r="A602" s="233" t="s">
        <v>28</v>
      </c>
      <c r="B602" s="233" t="s">
        <v>10347</v>
      </c>
      <c r="C602" s="233" t="s">
        <v>2</v>
      </c>
      <c r="D602" s="233">
        <v>6</v>
      </c>
      <c r="E602" s="233">
        <v>1.35</v>
      </c>
      <c r="F602" s="233" t="s">
        <v>6369</v>
      </c>
      <c r="G602" s="233">
        <v>1E-4</v>
      </c>
      <c r="H602" s="233">
        <v>1E-4</v>
      </c>
      <c r="I602" s="233">
        <v>249.17826700000001</v>
      </c>
      <c r="J602" s="233">
        <v>139.69993030000001</v>
      </c>
      <c r="K602" s="233">
        <v>0</v>
      </c>
      <c r="L602" s="233">
        <v>0</v>
      </c>
      <c r="M602" s="233">
        <v>142.42563319999999</v>
      </c>
      <c r="N602" s="233">
        <v>123.53716369999999</v>
      </c>
    </row>
    <row r="603" spans="1:14" x14ac:dyDescent="0.2">
      <c r="A603" s="233" t="s">
        <v>28</v>
      </c>
      <c r="B603" s="233" t="s">
        <v>10347</v>
      </c>
      <c r="C603" s="233" t="s">
        <v>2</v>
      </c>
      <c r="D603" s="233">
        <v>6</v>
      </c>
      <c r="E603" s="233">
        <v>1.35</v>
      </c>
      <c r="F603" s="233" t="s">
        <v>6369</v>
      </c>
      <c r="G603" s="233">
        <v>1E-3</v>
      </c>
      <c r="H603" s="233">
        <v>1E-3</v>
      </c>
      <c r="I603" s="233">
        <v>326754.94799999997</v>
      </c>
      <c r="J603" s="233">
        <v>5074.2769989999997</v>
      </c>
      <c r="K603" s="233">
        <v>0</v>
      </c>
      <c r="L603" s="233">
        <v>0</v>
      </c>
      <c r="M603" s="233">
        <v>5208.5261270000001</v>
      </c>
      <c r="N603" s="233">
        <v>5072.3012079999999</v>
      </c>
    </row>
    <row r="604" spans="1:14" x14ac:dyDescent="0.2">
      <c r="A604" s="233" t="s">
        <v>28</v>
      </c>
      <c r="B604" s="233" t="s">
        <v>10347</v>
      </c>
      <c r="C604" s="233" t="s">
        <v>2</v>
      </c>
      <c r="D604" s="233">
        <v>6</v>
      </c>
      <c r="E604" s="233">
        <v>1.35</v>
      </c>
      <c r="F604" s="233" t="s">
        <v>6369</v>
      </c>
      <c r="G604" s="233">
        <v>5.0000000000000001E-3</v>
      </c>
      <c r="H604" s="233">
        <v>5.0000000000000001E-3</v>
      </c>
      <c r="I604" s="233">
        <v>5070158.9840000002</v>
      </c>
      <c r="J604" s="233">
        <v>19988.206310000001</v>
      </c>
      <c r="K604" s="233">
        <v>0</v>
      </c>
      <c r="L604" s="233">
        <v>0</v>
      </c>
      <c r="M604" s="233">
        <v>20513.596119999998</v>
      </c>
      <c r="N604" s="233">
        <v>19989.677329999999</v>
      </c>
    </row>
    <row r="605" spans="1:14" x14ac:dyDescent="0.2">
      <c r="A605" s="233" t="s">
        <v>28</v>
      </c>
      <c r="B605" s="233" t="s">
        <v>10347</v>
      </c>
      <c r="C605" s="233" t="s">
        <v>3</v>
      </c>
      <c r="D605" s="233">
        <v>2</v>
      </c>
      <c r="E605" s="233">
        <v>0.88</v>
      </c>
      <c r="F605" s="233" t="s">
        <v>6370</v>
      </c>
      <c r="G605" s="233">
        <v>5.0000000000000002E-5</v>
      </c>
      <c r="H605" s="233">
        <v>9.9999999999999995E-7</v>
      </c>
      <c r="I605" s="233">
        <v>4.7956064999999999E-2</v>
      </c>
      <c r="J605" s="233">
        <v>1.2777609860000001</v>
      </c>
      <c r="K605" s="233">
        <v>0</v>
      </c>
      <c r="L605" s="233">
        <v>0.114285714</v>
      </c>
      <c r="M605" s="233">
        <v>1.4499597150000001</v>
      </c>
      <c r="N605" s="233">
        <v>3.8228849569999999</v>
      </c>
    </row>
    <row r="606" spans="1:14" x14ac:dyDescent="0.2">
      <c r="A606" s="233" t="s">
        <v>28</v>
      </c>
      <c r="B606" s="233" t="s">
        <v>10347</v>
      </c>
      <c r="C606" s="233" t="s">
        <v>3</v>
      </c>
      <c r="D606" s="233">
        <v>2</v>
      </c>
      <c r="E606" s="233">
        <v>0.88</v>
      </c>
      <c r="F606" s="233" t="s">
        <v>6370</v>
      </c>
      <c r="G606" s="233">
        <v>1E-4</v>
      </c>
      <c r="H606" s="233">
        <v>1.0000000000000001E-5</v>
      </c>
      <c r="I606" s="233">
        <v>0.34677108000000001</v>
      </c>
      <c r="J606" s="233">
        <v>4.3700278969999999</v>
      </c>
      <c r="K606" s="233">
        <v>0</v>
      </c>
      <c r="L606" s="233">
        <v>0</v>
      </c>
      <c r="M606" s="233">
        <v>2.1217544579999998</v>
      </c>
      <c r="N606" s="233">
        <v>4.3057251570000004</v>
      </c>
    </row>
    <row r="607" spans="1:14" x14ac:dyDescent="0.2">
      <c r="A607" s="233" t="s">
        <v>28</v>
      </c>
      <c r="B607" s="233" t="s">
        <v>10347</v>
      </c>
      <c r="C607" s="233" t="s">
        <v>3</v>
      </c>
      <c r="D607" s="233">
        <v>2</v>
      </c>
      <c r="E607" s="233">
        <v>0.88</v>
      </c>
      <c r="F607" s="233" t="s">
        <v>6370</v>
      </c>
      <c r="G607" s="233">
        <v>1E-3</v>
      </c>
      <c r="H607" s="233">
        <v>1E-4</v>
      </c>
      <c r="I607" s="233">
        <v>0.18921829400000001</v>
      </c>
      <c r="J607" s="233">
        <v>18.43181843</v>
      </c>
      <c r="K607" s="233">
        <v>0</v>
      </c>
      <c r="L607" s="233">
        <v>0</v>
      </c>
      <c r="M607" s="233">
        <v>1.5200928330000001</v>
      </c>
      <c r="N607" s="233">
        <v>161.24420839999999</v>
      </c>
    </row>
    <row r="608" spans="1:14" x14ac:dyDescent="0.2">
      <c r="A608" s="233" t="s">
        <v>28</v>
      </c>
      <c r="B608" s="233" t="s">
        <v>10347</v>
      </c>
      <c r="C608" s="233" t="s">
        <v>3</v>
      </c>
      <c r="D608" s="233">
        <v>2</v>
      </c>
      <c r="E608" s="233">
        <v>0.88</v>
      </c>
      <c r="F608" s="233" t="s">
        <v>6370</v>
      </c>
      <c r="G608" s="233">
        <v>5.0000000000000001E-3</v>
      </c>
      <c r="H608" s="233">
        <v>1E-3</v>
      </c>
      <c r="I608" s="233">
        <v>0.114018123</v>
      </c>
      <c r="J608" s="233">
        <v>2.8152560430000002</v>
      </c>
      <c r="K608" s="233">
        <v>0</v>
      </c>
      <c r="L608" s="233">
        <v>1.266666667</v>
      </c>
      <c r="M608" s="233">
        <v>0.190397702</v>
      </c>
      <c r="N608" s="233">
        <v>261.44928729999998</v>
      </c>
    </row>
    <row r="609" spans="1:14" x14ac:dyDescent="0.2">
      <c r="A609" s="233" t="s">
        <v>28</v>
      </c>
      <c r="B609" s="233" t="s">
        <v>10347</v>
      </c>
      <c r="C609" s="233" t="s">
        <v>3</v>
      </c>
      <c r="D609" s="233">
        <v>2</v>
      </c>
      <c r="E609" s="233">
        <v>0.88</v>
      </c>
      <c r="F609" s="233" t="s">
        <v>6370</v>
      </c>
      <c r="G609" s="233">
        <v>2.5000000000000001E-2</v>
      </c>
      <c r="H609" s="233">
        <v>5.0000000000000001E-3</v>
      </c>
      <c r="I609" s="233">
        <v>2.0156342000000001E-2</v>
      </c>
      <c r="J609" s="233">
        <v>1.158813369</v>
      </c>
      <c r="K609" s="233">
        <v>0</v>
      </c>
      <c r="L609" s="233">
        <v>0</v>
      </c>
      <c r="M609" s="233">
        <v>0.126798307</v>
      </c>
      <c r="N609" s="233">
        <v>3.1209536139999998</v>
      </c>
    </row>
    <row r="610" spans="1:14" x14ac:dyDescent="0.2">
      <c r="A610" s="233" t="s">
        <v>28</v>
      </c>
      <c r="B610" s="233" t="s">
        <v>10347</v>
      </c>
      <c r="C610" s="233" t="s">
        <v>3</v>
      </c>
      <c r="D610" s="233">
        <v>2</v>
      </c>
      <c r="E610" s="233">
        <v>0.88</v>
      </c>
      <c r="F610" s="233" t="s">
        <v>6371</v>
      </c>
      <c r="G610" s="233">
        <v>9.9999999999999995E-7</v>
      </c>
      <c r="H610" s="233">
        <v>9.9999999999999995E-7</v>
      </c>
      <c r="I610" s="233">
        <v>0.23250785199999999</v>
      </c>
      <c r="J610" s="233">
        <v>2.728813669</v>
      </c>
      <c r="K610" s="233">
        <v>0</v>
      </c>
      <c r="L610" s="233">
        <v>0</v>
      </c>
      <c r="M610" s="233">
        <v>1.493279003</v>
      </c>
      <c r="N610" s="233">
        <v>1.438098388</v>
      </c>
    </row>
    <row r="611" spans="1:14" x14ac:dyDescent="0.2">
      <c r="A611" s="233" t="s">
        <v>28</v>
      </c>
      <c r="B611" s="233" t="s">
        <v>10347</v>
      </c>
      <c r="C611" s="233" t="s">
        <v>3</v>
      </c>
      <c r="D611" s="233">
        <v>2</v>
      </c>
      <c r="E611" s="233">
        <v>0.88</v>
      </c>
      <c r="F611" s="233" t="s">
        <v>6371</v>
      </c>
      <c r="G611" s="233">
        <v>1.0000000000000001E-5</v>
      </c>
      <c r="H611" s="233">
        <v>1.0000000000000001E-5</v>
      </c>
      <c r="I611" s="233">
        <v>0.69345542199999999</v>
      </c>
      <c r="J611" s="233">
        <v>20.317019269999999</v>
      </c>
      <c r="K611" s="233">
        <v>0</v>
      </c>
      <c r="L611" s="233">
        <v>0</v>
      </c>
      <c r="M611" s="233">
        <v>4.9609662600000002</v>
      </c>
      <c r="N611" s="233">
        <v>82.767957539999998</v>
      </c>
    </row>
    <row r="612" spans="1:14" x14ac:dyDescent="0.2">
      <c r="A612" s="233" t="s">
        <v>28</v>
      </c>
      <c r="B612" s="233" t="s">
        <v>10347</v>
      </c>
      <c r="C612" s="233" t="s">
        <v>3</v>
      </c>
      <c r="D612" s="233">
        <v>2</v>
      </c>
      <c r="E612" s="233">
        <v>0.88</v>
      </c>
      <c r="F612" s="233" t="s">
        <v>6371</v>
      </c>
      <c r="G612" s="233">
        <v>1E-4</v>
      </c>
      <c r="H612" s="233">
        <v>1E-4</v>
      </c>
      <c r="I612" s="233">
        <v>0.10911662</v>
      </c>
      <c r="J612" s="233">
        <v>6.1017829619999997</v>
      </c>
      <c r="K612" s="233">
        <v>0</v>
      </c>
      <c r="L612" s="233">
        <v>0</v>
      </c>
      <c r="M612" s="233">
        <v>0.72032494599999997</v>
      </c>
      <c r="N612" s="233">
        <v>418.43979359999997</v>
      </c>
    </row>
    <row r="613" spans="1:14" x14ac:dyDescent="0.2">
      <c r="A613" s="233" t="s">
        <v>28</v>
      </c>
      <c r="B613" s="233" t="s">
        <v>10347</v>
      </c>
      <c r="C613" s="233" t="s">
        <v>3</v>
      </c>
      <c r="D613" s="233">
        <v>2</v>
      </c>
      <c r="E613" s="233">
        <v>0.88</v>
      </c>
      <c r="F613" s="233" t="s">
        <v>6369</v>
      </c>
      <c r="G613" s="233">
        <v>9.9999999999999995E-7</v>
      </c>
      <c r="H613" s="233">
        <v>9.9999999999999995E-7</v>
      </c>
      <c r="I613" s="233">
        <v>3.8299358999999998E-2</v>
      </c>
      <c r="J613" s="233">
        <v>1.1087815249999999</v>
      </c>
      <c r="K613" s="233">
        <v>0</v>
      </c>
      <c r="L613" s="233">
        <v>0.146341463</v>
      </c>
      <c r="M613" s="233">
        <v>0.27367313799999998</v>
      </c>
      <c r="N613" s="233">
        <v>0.71372422099999999</v>
      </c>
    </row>
    <row r="614" spans="1:14" x14ac:dyDescent="0.2">
      <c r="A614" s="233" t="s">
        <v>28</v>
      </c>
      <c r="B614" s="233" t="s">
        <v>10347</v>
      </c>
      <c r="C614" s="233" t="s">
        <v>3</v>
      </c>
      <c r="D614" s="233">
        <v>2</v>
      </c>
      <c r="E614" s="233">
        <v>0.88</v>
      </c>
      <c r="F614" s="233" t="s">
        <v>6369</v>
      </c>
      <c r="G614" s="233">
        <v>1.0000000000000001E-5</v>
      </c>
      <c r="H614" s="233">
        <v>1.0000000000000001E-5</v>
      </c>
      <c r="I614" s="233">
        <v>0.17400533600000001</v>
      </c>
      <c r="J614" s="233">
        <v>2.00702136</v>
      </c>
      <c r="K614" s="233">
        <v>0</v>
      </c>
      <c r="L614" s="233">
        <v>0.18045112799999999</v>
      </c>
      <c r="M614" s="233">
        <v>0.94260023299999984</v>
      </c>
      <c r="N614" s="233">
        <v>1.009781826</v>
      </c>
    </row>
    <row r="615" spans="1:14" x14ac:dyDescent="0.2">
      <c r="A615" s="233" t="s">
        <v>28</v>
      </c>
      <c r="B615" s="233" t="s">
        <v>10347</v>
      </c>
      <c r="C615" s="233" t="s">
        <v>3</v>
      </c>
      <c r="D615" s="233">
        <v>2</v>
      </c>
      <c r="E615" s="233">
        <v>0.88</v>
      </c>
      <c r="F615" s="233" t="s">
        <v>6369</v>
      </c>
      <c r="G615" s="233">
        <v>1E-4</v>
      </c>
      <c r="H615" s="233">
        <v>1E-4</v>
      </c>
      <c r="I615" s="233">
        <v>0.23672637799999999</v>
      </c>
      <c r="J615" s="233">
        <v>12.3593834</v>
      </c>
      <c r="K615" s="233">
        <v>0</v>
      </c>
      <c r="L615" s="233">
        <v>0</v>
      </c>
      <c r="M615" s="233">
        <v>2.0618302449999999</v>
      </c>
      <c r="N615" s="233">
        <v>75.609694349999998</v>
      </c>
    </row>
    <row r="616" spans="1:14" x14ac:dyDescent="0.2">
      <c r="A616" s="233" t="s">
        <v>28</v>
      </c>
      <c r="B616" s="233" t="s">
        <v>10347</v>
      </c>
      <c r="C616" s="233" t="s">
        <v>3</v>
      </c>
      <c r="D616" s="233">
        <v>2</v>
      </c>
      <c r="E616" s="233">
        <v>0.88</v>
      </c>
      <c r="F616" s="233" t="s">
        <v>6369</v>
      </c>
      <c r="G616" s="233">
        <v>1E-3</v>
      </c>
      <c r="H616" s="233">
        <v>1E-3</v>
      </c>
      <c r="I616" s="233">
        <v>0.14199535599999999</v>
      </c>
      <c r="J616" s="233">
        <v>2.9013454869999999</v>
      </c>
      <c r="K616" s="233">
        <v>0</v>
      </c>
      <c r="L616" s="233">
        <v>0.12371134</v>
      </c>
      <c r="M616" s="233">
        <v>0.28261836899999998</v>
      </c>
      <c r="N616" s="233">
        <v>383.9879641</v>
      </c>
    </row>
    <row r="617" spans="1:14" x14ac:dyDescent="0.2">
      <c r="A617" s="233" t="s">
        <v>28</v>
      </c>
      <c r="B617" s="233" t="s">
        <v>10347</v>
      </c>
      <c r="C617" s="233" t="s">
        <v>3</v>
      </c>
      <c r="D617" s="233">
        <v>2</v>
      </c>
      <c r="E617" s="233">
        <v>0.88</v>
      </c>
      <c r="F617" s="233" t="s">
        <v>6369</v>
      </c>
      <c r="G617" s="233">
        <v>5.0000000000000001E-3</v>
      </c>
      <c r="H617" s="233">
        <v>5.0000000000000001E-3</v>
      </c>
      <c r="I617" s="233">
        <v>7.9582002999999998E-2</v>
      </c>
      <c r="J617" s="233">
        <v>1.4746281109999999</v>
      </c>
      <c r="K617" s="233">
        <v>0</v>
      </c>
      <c r="L617" s="233">
        <v>0.436363636</v>
      </c>
      <c r="M617" s="233">
        <v>0.14805079099999999</v>
      </c>
      <c r="N617" s="233">
        <v>26.744670849999999</v>
      </c>
    </row>
    <row r="618" spans="1:14" x14ac:dyDescent="0.2">
      <c r="A618" s="233" t="s">
        <v>28</v>
      </c>
      <c r="B618" s="233" t="s">
        <v>10347</v>
      </c>
      <c r="C618" s="233" t="s">
        <v>23</v>
      </c>
      <c r="D618" s="233">
        <v>5</v>
      </c>
      <c r="E618" s="233">
        <v>1.06</v>
      </c>
      <c r="F618" s="233" t="s">
        <v>6370</v>
      </c>
      <c r="G618" s="233">
        <v>5.0000000000000002E-5</v>
      </c>
      <c r="H618" s="233">
        <v>9.9999999999999995E-7</v>
      </c>
      <c r="I618" s="233">
        <v>6.8911910000000007E-2</v>
      </c>
      <c r="J618" s="233">
        <v>1.9281305209999999</v>
      </c>
      <c r="K618" s="233">
        <v>0</v>
      </c>
      <c r="L618" s="233">
        <v>0</v>
      </c>
      <c r="M618" s="233">
        <v>0.32090341900000002</v>
      </c>
      <c r="N618" s="233">
        <v>0.86812535599999996</v>
      </c>
    </row>
    <row r="619" spans="1:14" x14ac:dyDescent="0.2">
      <c r="A619" s="233" t="s">
        <v>28</v>
      </c>
      <c r="B619" s="233" t="s">
        <v>10347</v>
      </c>
      <c r="C619" s="233" t="s">
        <v>23</v>
      </c>
      <c r="D619" s="233">
        <v>5</v>
      </c>
      <c r="E619" s="233">
        <v>1.06</v>
      </c>
      <c r="F619" s="233" t="s">
        <v>6370</v>
      </c>
      <c r="G619" s="233">
        <v>1E-4</v>
      </c>
      <c r="H619" s="233">
        <v>1.0000000000000001E-5</v>
      </c>
      <c r="I619" s="233">
        <v>0.38410051200000001</v>
      </c>
      <c r="J619" s="233">
        <v>3.7362400139999998</v>
      </c>
      <c r="K619" s="233">
        <v>0</v>
      </c>
      <c r="L619" s="233">
        <v>0</v>
      </c>
      <c r="M619" s="233">
        <v>2.886875802</v>
      </c>
      <c r="N619" s="233">
        <v>3.0196570060000001</v>
      </c>
    </row>
    <row r="620" spans="1:14" x14ac:dyDescent="0.2">
      <c r="A620" s="233" t="s">
        <v>28</v>
      </c>
      <c r="B620" s="233" t="s">
        <v>10347</v>
      </c>
      <c r="C620" s="233" t="s">
        <v>23</v>
      </c>
      <c r="D620" s="233">
        <v>5</v>
      </c>
      <c r="E620" s="233">
        <v>1.06</v>
      </c>
      <c r="F620" s="233" t="s">
        <v>6370</v>
      </c>
      <c r="G620" s="233">
        <v>1E-3</v>
      </c>
      <c r="H620" s="233">
        <v>1E-4</v>
      </c>
      <c r="I620" s="233">
        <v>57.215769839999993</v>
      </c>
      <c r="J620" s="233">
        <v>68.961595720000005</v>
      </c>
      <c r="K620" s="233">
        <v>0</v>
      </c>
      <c r="L620" s="233">
        <v>0</v>
      </c>
      <c r="M620" s="233">
        <v>68.346578320000006</v>
      </c>
      <c r="N620" s="233">
        <v>132.6147981</v>
      </c>
    </row>
    <row r="621" spans="1:14" x14ac:dyDescent="0.2">
      <c r="A621" s="233" t="s">
        <v>28</v>
      </c>
      <c r="B621" s="233" t="s">
        <v>10347</v>
      </c>
      <c r="C621" s="233" t="s">
        <v>23</v>
      </c>
      <c r="D621" s="233">
        <v>5</v>
      </c>
      <c r="E621" s="233">
        <v>1.06</v>
      </c>
      <c r="F621" s="233" t="s">
        <v>6370</v>
      </c>
      <c r="G621" s="233">
        <v>5.0000000000000001E-3</v>
      </c>
      <c r="H621" s="233">
        <v>1E-3</v>
      </c>
      <c r="I621" s="233">
        <v>17459.98921</v>
      </c>
      <c r="J621" s="233">
        <v>1172.9650859999999</v>
      </c>
      <c r="K621" s="233">
        <v>0</v>
      </c>
      <c r="L621" s="233">
        <v>0</v>
      </c>
      <c r="M621" s="233">
        <v>1203.781972</v>
      </c>
      <c r="N621" s="233">
        <v>1187.4506240000001</v>
      </c>
    </row>
    <row r="622" spans="1:14" x14ac:dyDescent="0.2">
      <c r="A622" s="233" t="s">
        <v>28</v>
      </c>
      <c r="B622" s="233" t="s">
        <v>10347</v>
      </c>
      <c r="C622" s="233" t="s">
        <v>23</v>
      </c>
      <c r="D622" s="233">
        <v>5</v>
      </c>
      <c r="E622" s="233">
        <v>1.06</v>
      </c>
      <c r="F622" s="233" t="s">
        <v>6370</v>
      </c>
      <c r="G622" s="233">
        <v>2.5000000000000001E-2</v>
      </c>
      <c r="H622" s="233">
        <v>5.0000000000000001E-3</v>
      </c>
      <c r="I622" s="233">
        <v>192538.1281</v>
      </c>
      <c r="J622" s="233">
        <v>3895.125646</v>
      </c>
      <c r="K622" s="233">
        <v>0</v>
      </c>
      <c r="L622" s="233">
        <v>0</v>
      </c>
      <c r="M622" s="233">
        <v>3996.9120229999999</v>
      </c>
      <c r="N622" s="233">
        <v>3898.6518150000002</v>
      </c>
    </row>
    <row r="623" spans="1:14" x14ac:dyDescent="0.2">
      <c r="A623" s="233" t="s">
        <v>28</v>
      </c>
      <c r="B623" s="233" t="s">
        <v>10347</v>
      </c>
      <c r="C623" s="233" t="s">
        <v>23</v>
      </c>
      <c r="D623" s="233">
        <v>5</v>
      </c>
      <c r="E623" s="233">
        <v>1.06</v>
      </c>
      <c r="F623" s="233" t="s">
        <v>6371</v>
      </c>
      <c r="G623" s="233">
        <v>9.9999999999999995E-7</v>
      </c>
      <c r="H623" s="233">
        <v>9.9999999999999995E-7</v>
      </c>
      <c r="I623" s="233">
        <v>0.23739179599999999</v>
      </c>
      <c r="J623" s="233">
        <v>2.5929628560000002</v>
      </c>
      <c r="K623" s="233">
        <v>0</v>
      </c>
      <c r="L623" s="233">
        <v>0.10756302500000001</v>
      </c>
      <c r="M623" s="233">
        <v>1.5897197519999999</v>
      </c>
      <c r="N623" s="233">
        <v>1.4735244709999999</v>
      </c>
    </row>
    <row r="624" spans="1:14" x14ac:dyDescent="0.2">
      <c r="A624" s="233" t="s">
        <v>28</v>
      </c>
      <c r="B624" s="233" t="s">
        <v>10347</v>
      </c>
      <c r="C624" s="233" t="s">
        <v>23</v>
      </c>
      <c r="D624" s="233">
        <v>5</v>
      </c>
      <c r="E624" s="233">
        <v>1.06</v>
      </c>
      <c r="F624" s="233" t="s">
        <v>6371</v>
      </c>
      <c r="G624" s="233">
        <v>1.0000000000000001E-5</v>
      </c>
      <c r="H624" s="233">
        <v>1.0000000000000001E-5</v>
      </c>
      <c r="I624" s="233">
        <v>11.885170949999999</v>
      </c>
      <c r="J624" s="233">
        <v>35.841913020000007</v>
      </c>
      <c r="K624" s="233">
        <v>0</v>
      </c>
      <c r="L624" s="233">
        <v>0</v>
      </c>
      <c r="M624" s="233">
        <v>31.191291970000002</v>
      </c>
      <c r="N624" s="233">
        <v>86.361543949999998</v>
      </c>
    </row>
    <row r="625" spans="1:14" x14ac:dyDescent="0.2">
      <c r="A625" s="233" t="s">
        <v>28</v>
      </c>
      <c r="B625" s="233" t="s">
        <v>10347</v>
      </c>
      <c r="C625" s="233" t="s">
        <v>23</v>
      </c>
      <c r="D625" s="233">
        <v>5</v>
      </c>
      <c r="E625" s="233">
        <v>1.06</v>
      </c>
      <c r="F625" s="233" t="s">
        <v>6371</v>
      </c>
      <c r="G625" s="233">
        <v>1E-4</v>
      </c>
      <c r="H625" s="233">
        <v>1E-4</v>
      </c>
      <c r="I625" s="233">
        <v>3262.5455310000002</v>
      </c>
      <c r="J625" s="233">
        <v>508.57880899999998</v>
      </c>
      <c r="K625" s="233">
        <v>0</v>
      </c>
      <c r="L625" s="233">
        <v>0</v>
      </c>
      <c r="M625" s="233">
        <v>522.33699909999996</v>
      </c>
      <c r="N625" s="233">
        <v>564.72274619999996</v>
      </c>
    </row>
    <row r="626" spans="1:14" x14ac:dyDescent="0.2">
      <c r="A626" s="233" t="s">
        <v>28</v>
      </c>
      <c r="B626" s="233" t="s">
        <v>10347</v>
      </c>
      <c r="C626" s="233" t="s">
        <v>23</v>
      </c>
      <c r="D626" s="233">
        <v>5</v>
      </c>
      <c r="E626" s="233">
        <v>1.06</v>
      </c>
      <c r="F626" s="233" t="s">
        <v>6369</v>
      </c>
      <c r="G626" s="233">
        <v>9.9999999999999995E-7</v>
      </c>
      <c r="H626" s="233">
        <v>9.9999999999999995E-7</v>
      </c>
      <c r="I626" s="233">
        <v>5.1355382999999998E-2</v>
      </c>
      <c r="J626" s="233">
        <v>1.307661347</v>
      </c>
      <c r="K626" s="233">
        <v>0</v>
      </c>
      <c r="L626" s="233">
        <v>0</v>
      </c>
      <c r="M626" s="233">
        <v>0.451446972</v>
      </c>
      <c r="N626" s="233">
        <v>0.78514542200000004</v>
      </c>
    </row>
    <row r="627" spans="1:14" x14ac:dyDescent="0.2">
      <c r="A627" s="233" t="s">
        <v>28</v>
      </c>
      <c r="B627" s="233" t="s">
        <v>10347</v>
      </c>
      <c r="C627" s="233" t="s">
        <v>23</v>
      </c>
      <c r="D627" s="233">
        <v>5</v>
      </c>
      <c r="E627" s="233">
        <v>1.06</v>
      </c>
      <c r="F627" s="233" t="s">
        <v>6369</v>
      </c>
      <c r="G627" s="233">
        <v>1.0000000000000001E-5</v>
      </c>
      <c r="H627" s="233">
        <v>1.0000000000000001E-5</v>
      </c>
      <c r="I627" s="233">
        <v>0.205283678</v>
      </c>
      <c r="J627" s="233">
        <v>2.2296172859999999</v>
      </c>
      <c r="K627" s="233">
        <v>0</v>
      </c>
      <c r="L627" s="233">
        <v>0.130434783</v>
      </c>
      <c r="M627" s="233">
        <v>1.0534898450000001</v>
      </c>
      <c r="N627" s="233">
        <v>1.000787737</v>
      </c>
    </row>
    <row r="628" spans="1:14" x14ac:dyDescent="0.2">
      <c r="A628" s="233" t="s">
        <v>28</v>
      </c>
      <c r="B628" s="233" t="s">
        <v>10347</v>
      </c>
      <c r="C628" s="233" t="s">
        <v>23</v>
      </c>
      <c r="D628" s="233">
        <v>5</v>
      </c>
      <c r="E628" s="233">
        <v>1.06</v>
      </c>
      <c r="F628" s="233" t="s">
        <v>6369</v>
      </c>
      <c r="G628" s="233">
        <v>1E-4</v>
      </c>
      <c r="H628" s="233">
        <v>1E-4</v>
      </c>
      <c r="I628" s="233">
        <v>6.050915797</v>
      </c>
      <c r="J628" s="233">
        <v>23.461075839999999</v>
      </c>
      <c r="K628" s="233">
        <v>0</v>
      </c>
      <c r="L628" s="233">
        <v>0</v>
      </c>
      <c r="M628" s="233">
        <v>20.002567939999999</v>
      </c>
      <c r="N628" s="233">
        <v>68.343720379999993</v>
      </c>
    </row>
    <row r="629" spans="1:14" x14ac:dyDescent="0.2">
      <c r="A629" s="233" t="s">
        <v>28</v>
      </c>
      <c r="B629" s="233" t="s">
        <v>10347</v>
      </c>
      <c r="C629" s="233" t="s">
        <v>23</v>
      </c>
      <c r="D629" s="233">
        <v>5</v>
      </c>
      <c r="E629" s="233">
        <v>1.06</v>
      </c>
      <c r="F629" s="233" t="s">
        <v>6369</v>
      </c>
      <c r="G629" s="233">
        <v>1E-3</v>
      </c>
      <c r="H629" s="233">
        <v>1E-3</v>
      </c>
      <c r="I629" s="233">
        <v>12949.39611</v>
      </c>
      <c r="J629" s="233">
        <v>1010.154637</v>
      </c>
      <c r="K629" s="233">
        <v>0</v>
      </c>
      <c r="L629" s="233">
        <v>0</v>
      </c>
      <c r="M629" s="233">
        <v>1035.738454</v>
      </c>
      <c r="N629" s="233">
        <v>1034.2958269999999</v>
      </c>
    </row>
    <row r="630" spans="1:14" x14ac:dyDescent="0.2">
      <c r="A630" s="233" t="s">
        <v>28</v>
      </c>
      <c r="B630" s="233" t="s">
        <v>10347</v>
      </c>
      <c r="C630" s="233" t="s">
        <v>23</v>
      </c>
      <c r="D630" s="233">
        <v>5</v>
      </c>
      <c r="E630" s="233">
        <v>1.06</v>
      </c>
      <c r="F630" s="233" t="s">
        <v>6369</v>
      </c>
      <c r="G630" s="233">
        <v>5.0000000000000001E-3</v>
      </c>
      <c r="H630" s="233">
        <v>5.0000000000000001E-3</v>
      </c>
      <c r="I630" s="233">
        <v>414489.55219999998</v>
      </c>
      <c r="J630" s="233">
        <v>5715.0480049999996</v>
      </c>
      <c r="K630" s="233">
        <v>0</v>
      </c>
      <c r="L630" s="233">
        <v>0</v>
      </c>
      <c r="M630" s="233">
        <v>5865.449705</v>
      </c>
      <c r="N630" s="233">
        <v>5722.3751990000001</v>
      </c>
    </row>
    <row r="631" spans="1:14" x14ac:dyDescent="0.2">
      <c r="A631" s="233"/>
      <c r="B631" s="233"/>
      <c r="C631" s="233"/>
      <c r="D631" s="233"/>
      <c r="E631" s="233"/>
      <c r="F631" s="233"/>
      <c r="G631" s="233"/>
      <c r="H631" s="233"/>
      <c r="I631" s="233"/>
      <c r="J631" s="233"/>
      <c r="K631" s="233"/>
      <c r="L631" s="233"/>
      <c r="M631" s="233"/>
      <c r="N631" s="233"/>
    </row>
    <row r="632" spans="1:14" x14ac:dyDescent="0.2">
      <c r="A632" s="233"/>
      <c r="B632" s="233"/>
      <c r="C632" s="233"/>
      <c r="D632" s="233"/>
      <c r="E632" s="233"/>
      <c r="F632" s="233"/>
      <c r="G632" s="233"/>
      <c r="H632" s="233"/>
      <c r="I632" s="233"/>
      <c r="J632" s="233"/>
      <c r="K632" s="233"/>
      <c r="L632" s="233"/>
      <c r="M632" s="233"/>
      <c r="N632" s="233"/>
    </row>
    <row r="633" spans="1:14" x14ac:dyDescent="0.2">
      <c r="A633" s="233"/>
      <c r="B633" s="233"/>
      <c r="C633" s="233"/>
      <c r="D633" s="233"/>
      <c r="E633" s="233"/>
      <c r="F633" s="233"/>
      <c r="G633" s="233"/>
      <c r="H633" s="233"/>
      <c r="I633" s="233"/>
      <c r="J633" s="233"/>
      <c r="K633" s="233"/>
      <c r="L633" s="233"/>
      <c r="M633" s="233"/>
      <c r="N633" s="233"/>
    </row>
    <row r="634" spans="1:14" x14ac:dyDescent="0.2">
      <c r="A634" s="233"/>
      <c r="B634" s="233"/>
      <c r="C634" s="233"/>
      <c r="D634" s="233"/>
      <c r="E634" s="233"/>
      <c r="F634" s="233"/>
      <c r="G634" s="233"/>
      <c r="H634" s="233"/>
      <c r="I634" s="233"/>
      <c r="J634" s="233"/>
      <c r="K634" s="233"/>
      <c r="L634" s="233"/>
      <c r="M634" s="233"/>
      <c r="N634" s="233"/>
    </row>
    <row r="635" spans="1:14" x14ac:dyDescent="0.2">
      <c r="A635" s="233"/>
      <c r="B635" s="233"/>
      <c r="C635" s="233"/>
      <c r="D635" s="233"/>
      <c r="E635" s="233"/>
      <c r="F635" s="233"/>
      <c r="G635" s="233"/>
      <c r="H635" s="233"/>
      <c r="I635" s="233"/>
      <c r="J635" s="233"/>
      <c r="K635" s="233"/>
      <c r="L635" s="233"/>
      <c r="M635" s="233"/>
      <c r="N635" s="233"/>
    </row>
    <row r="636" spans="1:14" x14ac:dyDescent="0.2">
      <c r="A636" s="233"/>
      <c r="B636" s="233"/>
      <c r="C636" s="233"/>
      <c r="D636" s="233"/>
      <c r="E636" s="233"/>
      <c r="F636" s="233"/>
      <c r="G636" s="233"/>
      <c r="H636" s="233"/>
      <c r="I636" s="233"/>
      <c r="J636" s="233"/>
      <c r="K636" s="233"/>
      <c r="L636" s="233"/>
      <c r="M636" s="233"/>
      <c r="N636" s="233"/>
    </row>
    <row r="637" spans="1:14" x14ac:dyDescent="0.2">
      <c r="A637" s="233"/>
      <c r="B637" s="233"/>
      <c r="C637" s="233"/>
      <c r="D637" s="233"/>
      <c r="E637" s="233"/>
      <c r="F637" s="233"/>
      <c r="G637" s="233"/>
      <c r="H637" s="233"/>
      <c r="I637" s="233"/>
      <c r="J637" s="233"/>
      <c r="K637" s="233"/>
      <c r="L637" s="233"/>
      <c r="M637" s="233"/>
      <c r="N637" s="233"/>
    </row>
    <row r="638" spans="1:14" x14ac:dyDescent="0.2">
      <c r="A638" s="233"/>
      <c r="B638" s="233"/>
      <c r="C638" s="233"/>
      <c r="D638" s="233"/>
      <c r="E638" s="233"/>
      <c r="F638" s="233"/>
      <c r="G638" s="233"/>
      <c r="H638" s="233"/>
      <c r="I638" s="233"/>
      <c r="J638" s="233"/>
      <c r="K638" s="233"/>
      <c r="L638" s="233"/>
      <c r="M638" s="233"/>
      <c r="N638" s="233"/>
    </row>
    <row r="639" spans="1:14" x14ac:dyDescent="0.2">
      <c r="A639" s="233"/>
      <c r="B639" s="233"/>
      <c r="C639" s="233"/>
      <c r="D639" s="233"/>
      <c r="E639" s="233"/>
      <c r="F639" s="233"/>
      <c r="G639" s="233"/>
      <c r="H639" s="233"/>
      <c r="I639" s="233"/>
      <c r="J639" s="233"/>
      <c r="K639" s="233"/>
      <c r="L639" s="233"/>
      <c r="M639" s="233"/>
      <c r="N639" s="233"/>
    </row>
    <row r="640" spans="1:14" x14ac:dyDescent="0.2">
      <c r="A640" s="233"/>
      <c r="B640" s="233"/>
      <c r="C640" s="233"/>
      <c r="D640" s="233"/>
      <c r="E640" s="233"/>
      <c r="F640" s="233"/>
      <c r="G640" s="233"/>
      <c r="H640" s="233"/>
      <c r="I640" s="233"/>
      <c r="J640" s="233"/>
      <c r="K640" s="233"/>
      <c r="L640" s="233"/>
      <c r="M640" s="233"/>
      <c r="N640" s="233"/>
    </row>
    <row r="641" spans="1:14" x14ac:dyDescent="0.2">
      <c r="A641" s="233"/>
      <c r="B641" s="233"/>
      <c r="C641" s="233"/>
      <c r="D641" s="233"/>
      <c r="E641" s="233"/>
      <c r="F641" s="233"/>
      <c r="G641" s="233"/>
      <c r="H641" s="233"/>
      <c r="I641" s="233"/>
      <c r="J641" s="233"/>
      <c r="K641" s="233"/>
      <c r="L641" s="233"/>
      <c r="M641" s="233"/>
      <c r="N641" s="233"/>
    </row>
    <row r="642" spans="1:14" x14ac:dyDescent="0.2">
      <c r="A642" s="233"/>
      <c r="B642" s="233"/>
      <c r="C642" s="233"/>
      <c r="D642" s="233"/>
      <c r="E642" s="233"/>
      <c r="F642" s="233"/>
      <c r="G642" s="233"/>
      <c r="H642" s="233"/>
      <c r="I642" s="233"/>
      <c r="J642" s="233"/>
      <c r="K642" s="233"/>
      <c r="L642" s="233"/>
      <c r="M642" s="233"/>
      <c r="N642" s="233"/>
    </row>
    <row r="643" spans="1:14" x14ac:dyDescent="0.2">
      <c r="A643" s="233"/>
      <c r="B643" s="233"/>
      <c r="C643" s="233"/>
      <c r="D643" s="233"/>
      <c r="E643" s="233"/>
      <c r="F643" s="233"/>
      <c r="G643" s="233"/>
      <c r="H643" s="233"/>
      <c r="I643" s="233"/>
      <c r="J643" s="233"/>
      <c r="K643" s="233"/>
      <c r="L643" s="233"/>
      <c r="M643" s="233"/>
      <c r="N643" s="233"/>
    </row>
    <row r="644" spans="1:14" x14ac:dyDescent="0.2">
      <c r="A644" s="233"/>
      <c r="B644" s="233"/>
      <c r="C644" s="233"/>
      <c r="D644" s="233"/>
      <c r="E644" s="233"/>
      <c r="F644" s="233"/>
      <c r="G644" s="233"/>
      <c r="H644" s="233"/>
      <c r="I644" s="233"/>
      <c r="J644" s="233"/>
      <c r="K644" s="233"/>
      <c r="L644" s="233"/>
      <c r="M644" s="233"/>
      <c r="N644" s="233"/>
    </row>
    <row r="645" spans="1:14" x14ac:dyDescent="0.2">
      <c r="A645" s="233"/>
      <c r="B645" s="233"/>
      <c r="C645" s="233"/>
      <c r="D645" s="233"/>
      <c r="E645" s="233"/>
      <c r="F645" s="233"/>
      <c r="G645" s="233"/>
      <c r="H645" s="233"/>
      <c r="I645" s="233"/>
      <c r="J645" s="233"/>
      <c r="K645" s="233"/>
      <c r="L645" s="233"/>
      <c r="M645" s="233"/>
      <c r="N645" s="233"/>
    </row>
    <row r="646" spans="1:14" x14ac:dyDescent="0.2">
      <c r="A646" s="233"/>
      <c r="B646" s="233"/>
      <c r="C646" s="233"/>
      <c r="D646" s="233"/>
      <c r="E646" s="233"/>
      <c r="F646" s="233"/>
      <c r="G646" s="233"/>
      <c r="H646" s="233"/>
      <c r="I646" s="233"/>
      <c r="J646" s="233"/>
      <c r="K646" s="233"/>
      <c r="L646" s="233"/>
      <c r="M646" s="233"/>
      <c r="N646" s="233"/>
    </row>
    <row r="647" spans="1:14" x14ac:dyDescent="0.2">
      <c r="A647" s="233"/>
      <c r="B647" s="233"/>
      <c r="C647" s="233"/>
      <c r="D647" s="233"/>
      <c r="E647" s="233"/>
      <c r="F647" s="233"/>
      <c r="G647" s="233"/>
      <c r="H647" s="233"/>
      <c r="I647" s="233"/>
      <c r="J647" s="233"/>
      <c r="K647" s="233"/>
      <c r="L647" s="233"/>
      <c r="M647" s="233"/>
      <c r="N647" s="233"/>
    </row>
    <row r="648" spans="1:14" x14ac:dyDescent="0.2">
      <c r="A648" s="233"/>
      <c r="B648" s="233"/>
      <c r="C648" s="233"/>
      <c r="D648" s="233"/>
      <c r="E648" s="233"/>
      <c r="F648" s="233"/>
      <c r="G648" s="233"/>
      <c r="H648" s="233"/>
      <c r="I648" s="233"/>
      <c r="J648" s="233"/>
      <c r="K648" s="233"/>
      <c r="L648" s="233"/>
      <c r="M648" s="233"/>
      <c r="N648" s="233"/>
    </row>
    <row r="649" spans="1:14" x14ac:dyDescent="0.2">
      <c r="A649" s="233"/>
      <c r="B649" s="233"/>
      <c r="C649" s="233"/>
      <c r="D649" s="233"/>
      <c r="E649" s="233"/>
      <c r="F649" s="233"/>
      <c r="G649" s="233"/>
      <c r="H649" s="233"/>
      <c r="I649" s="233"/>
      <c r="J649" s="233"/>
      <c r="K649" s="233"/>
      <c r="L649" s="233"/>
      <c r="M649" s="233"/>
      <c r="N649" s="233"/>
    </row>
    <row r="650" spans="1:14" x14ac:dyDescent="0.2">
      <c r="A650" s="233"/>
      <c r="B650" s="233"/>
      <c r="C650" s="233"/>
      <c r="D650" s="233"/>
      <c r="E650" s="233"/>
      <c r="F650" s="233"/>
      <c r="G650" s="233"/>
      <c r="H650" s="233"/>
      <c r="I650" s="233"/>
      <c r="J650" s="233"/>
      <c r="K650" s="233"/>
      <c r="L650" s="233"/>
      <c r="M650" s="233"/>
      <c r="N650" s="233"/>
    </row>
    <row r="651" spans="1:14" x14ac:dyDescent="0.2">
      <c r="A651" s="233"/>
      <c r="B651" s="233"/>
      <c r="C651" s="233"/>
      <c r="D651" s="233"/>
      <c r="E651" s="233"/>
      <c r="F651" s="233"/>
      <c r="G651" s="233"/>
      <c r="H651" s="233"/>
      <c r="I651" s="233"/>
      <c r="J651" s="233"/>
      <c r="K651" s="233"/>
      <c r="L651" s="233"/>
      <c r="M651" s="233"/>
      <c r="N651" s="233"/>
    </row>
    <row r="652" spans="1:14" x14ac:dyDescent="0.2">
      <c r="A652" s="233"/>
      <c r="B652" s="233"/>
      <c r="C652" s="233"/>
      <c r="D652" s="233"/>
      <c r="E652" s="233"/>
      <c r="F652" s="233"/>
      <c r="G652" s="233"/>
      <c r="H652" s="233"/>
      <c r="I652" s="233"/>
      <c r="J652" s="233"/>
      <c r="K652" s="233"/>
      <c r="L652" s="233"/>
      <c r="M652" s="233"/>
      <c r="N652" s="233"/>
    </row>
    <row r="653" spans="1:14" x14ac:dyDescent="0.2">
      <c r="A653" s="233"/>
      <c r="B653" s="233"/>
      <c r="C653" s="233"/>
      <c r="D653" s="233"/>
      <c r="E653" s="233"/>
      <c r="F653" s="233"/>
      <c r="G653" s="233"/>
      <c r="H653" s="233"/>
      <c r="I653" s="233"/>
      <c r="J653" s="233"/>
      <c r="K653" s="233"/>
      <c r="L653" s="233"/>
      <c r="M653" s="233"/>
      <c r="N653" s="233"/>
    </row>
    <row r="654" spans="1:14" x14ac:dyDescent="0.2">
      <c r="A654" s="233"/>
      <c r="B654" s="233"/>
      <c r="C654" s="233"/>
      <c r="D654" s="233"/>
      <c r="E654" s="233"/>
      <c r="F654" s="233"/>
      <c r="G654" s="233"/>
      <c r="H654" s="233"/>
      <c r="I654" s="233"/>
      <c r="J654" s="233"/>
      <c r="K654" s="233"/>
      <c r="L654" s="233"/>
      <c r="M654" s="233"/>
      <c r="N654" s="233"/>
    </row>
    <row r="655" spans="1:14" x14ac:dyDescent="0.2">
      <c r="A655" s="233"/>
      <c r="B655" s="233"/>
      <c r="C655" s="233"/>
      <c r="D655" s="233"/>
      <c r="E655" s="233"/>
      <c r="F655" s="233"/>
      <c r="G655" s="233"/>
      <c r="H655" s="233"/>
      <c r="I655" s="233"/>
      <c r="J655" s="233"/>
      <c r="K655" s="233"/>
      <c r="L655" s="233"/>
      <c r="M655" s="233"/>
      <c r="N655" s="233"/>
    </row>
    <row r="656" spans="1:14" x14ac:dyDescent="0.2">
      <c r="A656" s="233"/>
      <c r="B656" s="233"/>
      <c r="C656" s="233"/>
      <c r="D656" s="233"/>
      <c r="E656" s="233"/>
      <c r="F656" s="233"/>
      <c r="G656" s="233"/>
      <c r="H656" s="233"/>
      <c r="I656" s="233"/>
      <c r="J656" s="233"/>
      <c r="K656" s="233"/>
      <c r="L656" s="233"/>
      <c r="M656" s="233"/>
      <c r="N656" s="233"/>
    </row>
    <row r="657" spans="1:14" x14ac:dyDescent="0.2">
      <c r="A657" s="233"/>
      <c r="B657" s="233"/>
      <c r="C657" s="233"/>
      <c r="D657" s="233"/>
      <c r="E657" s="233"/>
      <c r="F657" s="233"/>
      <c r="G657" s="233"/>
      <c r="H657" s="233"/>
      <c r="I657" s="233"/>
      <c r="J657" s="233"/>
      <c r="K657" s="233"/>
      <c r="L657" s="233"/>
      <c r="M657" s="233"/>
      <c r="N657" s="233"/>
    </row>
    <row r="658" spans="1:14" x14ac:dyDescent="0.2">
      <c r="A658" s="233"/>
      <c r="B658" s="233"/>
      <c r="C658" s="233"/>
      <c r="D658" s="233"/>
      <c r="E658" s="233"/>
      <c r="F658" s="233"/>
      <c r="G658" s="233"/>
      <c r="H658" s="233"/>
      <c r="I658" s="233"/>
      <c r="J658" s="233"/>
      <c r="K658" s="233"/>
      <c r="L658" s="233"/>
      <c r="M658" s="233"/>
      <c r="N658" s="233"/>
    </row>
    <row r="659" spans="1:14" x14ac:dyDescent="0.2">
      <c r="A659" s="233"/>
      <c r="B659" s="233"/>
      <c r="C659" s="233"/>
      <c r="D659" s="233"/>
      <c r="E659" s="233"/>
      <c r="F659" s="233"/>
      <c r="G659" s="233"/>
      <c r="H659" s="233"/>
      <c r="I659" s="233"/>
      <c r="J659" s="233"/>
      <c r="K659" s="233"/>
      <c r="L659" s="233"/>
      <c r="M659" s="233"/>
      <c r="N659" s="233"/>
    </row>
    <row r="660" spans="1:14" x14ac:dyDescent="0.2">
      <c r="A660" s="233"/>
      <c r="B660" s="233"/>
      <c r="C660" s="233"/>
      <c r="D660" s="233"/>
      <c r="E660" s="233"/>
      <c r="F660" s="233"/>
      <c r="G660" s="233"/>
      <c r="H660" s="233"/>
      <c r="I660" s="233"/>
      <c r="J660" s="233"/>
      <c r="K660" s="233"/>
      <c r="L660" s="233"/>
      <c r="M660" s="233"/>
      <c r="N660" s="233"/>
    </row>
    <row r="661" spans="1:14" x14ac:dyDescent="0.2">
      <c r="A661" s="233"/>
      <c r="B661" s="233"/>
      <c r="C661" s="233"/>
      <c r="D661" s="233"/>
      <c r="E661" s="233"/>
      <c r="F661" s="233"/>
      <c r="G661" s="233"/>
      <c r="H661" s="233"/>
      <c r="I661" s="233"/>
      <c r="J661" s="233"/>
      <c r="K661" s="233"/>
      <c r="L661" s="233"/>
      <c r="M661" s="233"/>
      <c r="N661" s="233"/>
    </row>
    <row r="662" spans="1:14" x14ac:dyDescent="0.2">
      <c r="A662" s="233"/>
      <c r="B662" s="233"/>
      <c r="C662" s="233"/>
      <c r="D662" s="233"/>
      <c r="E662" s="233"/>
      <c r="F662" s="233"/>
      <c r="G662" s="233"/>
      <c r="H662" s="233"/>
      <c r="I662" s="233"/>
      <c r="J662" s="233"/>
      <c r="K662" s="233"/>
      <c r="L662" s="233"/>
      <c r="M662" s="233"/>
      <c r="N662" s="233"/>
    </row>
    <row r="663" spans="1:14" x14ac:dyDescent="0.2">
      <c r="A663" s="233"/>
      <c r="B663" s="233"/>
      <c r="C663" s="233"/>
      <c r="D663" s="233"/>
      <c r="E663" s="233"/>
      <c r="F663" s="233"/>
      <c r="G663" s="233"/>
      <c r="H663" s="233"/>
      <c r="I663" s="233"/>
      <c r="J663" s="233"/>
      <c r="K663" s="233"/>
      <c r="L663" s="233"/>
      <c r="M663" s="233"/>
      <c r="N663" s="233"/>
    </row>
    <row r="664" spans="1:14" x14ac:dyDescent="0.2">
      <c r="A664" s="233"/>
      <c r="B664" s="233"/>
      <c r="C664" s="233"/>
      <c r="D664" s="233"/>
      <c r="E664" s="233"/>
      <c r="F664" s="233"/>
      <c r="G664" s="233"/>
      <c r="H664" s="233"/>
      <c r="I664" s="233"/>
      <c r="J664" s="233"/>
      <c r="K664" s="233"/>
      <c r="L664" s="233"/>
      <c r="M664" s="233"/>
      <c r="N664" s="233"/>
    </row>
    <row r="665" spans="1:14" x14ac:dyDescent="0.2">
      <c r="A665" s="233"/>
      <c r="B665" s="233"/>
      <c r="C665" s="233"/>
      <c r="D665" s="233"/>
      <c r="E665" s="233"/>
      <c r="F665" s="233"/>
      <c r="G665" s="233"/>
      <c r="H665" s="233"/>
      <c r="I665" s="233"/>
      <c r="J665" s="233"/>
      <c r="K665" s="233"/>
      <c r="L665" s="233"/>
      <c r="M665" s="233"/>
      <c r="N665" s="233"/>
    </row>
    <row r="666" spans="1:14" x14ac:dyDescent="0.2">
      <c r="A666" s="233"/>
      <c r="B666" s="233"/>
      <c r="C666" s="233"/>
      <c r="D666" s="233"/>
      <c r="E666" s="233"/>
      <c r="F666" s="233"/>
      <c r="G666" s="233"/>
      <c r="H666" s="233"/>
      <c r="I666" s="233"/>
      <c r="J666" s="233"/>
      <c r="K666" s="233"/>
      <c r="L666" s="233"/>
      <c r="M666" s="233"/>
      <c r="N666" s="233"/>
    </row>
    <row r="667" spans="1:14" x14ac:dyDescent="0.2">
      <c r="A667" s="233"/>
      <c r="B667" s="233"/>
      <c r="C667" s="233"/>
      <c r="D667" s="233"/>
      <c r="E667" s="233"/>
      <c r="F667" s="233"/>
      <c r="G667" s="233"/>
      <c r="H667" s="233"/>
      <c r="I667" s="233"/>
      <c r="J667" s="233"/>
      <c r="K667" s="233"/>
      <c r="L667" s="233"/>
      <c r="M667" s="233"/>
      <c r="N667" s="233"/>
    </row>
    <row r="668" spans="1:14" x14ac:dyDescent="0.2">
      <c r="A668" s="233"/>
      <c r="B668" s="233"/>
      <c r="C668" s="233"/>
      <c r="D668" s="233"/>
      <c r="E668" s="233"/>
      <c r="F668" s="233"/>
      <c r="G668" s="233"/>
      <c r="H668" s="233"/>
      <c r="I668" s="233"/>
      <c r="J668" s="233"/>
      <c r="K668" s="233"/>
      <c r="L668" s="233"/>
      <c r="M668" s="233"/>
      <c r="N668" s="233"/>
    </row>
    <row r="669" spans="1:14" x14ac:dyDescent="0.2">
      <c r="A669" s="233"/>
      <c r="B669" s="233"/>
      <c r="C669" s="233"/>
      <c r="D669" s="233"/>
      <c r="E669" s="233"/>
      <c r="F669" s="233"/>
      <c r="G669" s="233"/>
      <c r="H669" s="233"/>
      <c r="I669" s="233"/>
      <c r="J669" s="233"/>
      <c r="K669" s="233"/>
      <c r="L669" s="233"/>
      <c r="M669" s="233"/>
      <c r="N669" s="233"/>
    </row>
    <row r="670" spans="1:14" x14ac:dyDescent="0.2">
      <c r="A670" s="233"/>
      <c r="B670" s="233"/>
      <c r="C670" s="233"/>
      <c r="D670" s="233"/>
      <c r="E670" s="233"/>
      <c r="F670" s="233"/>
      <c r="G670" s="233"/>
      <c r="H670" s="233"/>
      <c r="I670" s="233"/>
      <c r="J670" s="233"/>
      <c r="K670" s="233"/>
      <c r="L670" s="233"/>
      <c r="M670" s="233"/>
      <c r="N670" s="233"/>
    </row>
    <row r="671" spans="1:14" x14ac:dyDescent="0.2">
      <c r="A671" s="233"/>
      <c r="B671" s="233"/>
      <c r="C671" s="233"/>
      <c r="D671" s="233"/>
      <c r="E671" s="233"/>
      <c r="F671" s="233"/>
      <c r="G671" s="233"/>
      <c r="H671" s="233"/>
      <c r="I671" s="233"/>
      <c r="J671" s="233"/>
      <c r="K671" s="233"/>
      <c r="L671" s="233"/>
      <c r="M671" s="233"/>
      <c r="N671" s="233"/>
    </row>
    <row r="672" spans="1:14" x14ac:dyDescent="0.2">
      <c r="A672" s="233"/>
      <c r="B672" s="233"/>
      <c r="C672" s="233"/>
      <c r="D672" s="233"/>
      <c r="E672" s="233"/>
      <c r="F672" s="233"/>
      <c r="G672" s="233"/>
      <c r="H672" s="233"/>
      <c r="I672" s="233"/>
      <c r="J672" s="233"/>
      <c r="K672" s="233"/>
      <c r="L672" s="233"/>
      <c r="M672" s="233"/>
      <c r="N672" s="233"/>
    </row>
    <row r="673" spans="1:14" x14ac:dyDescent="0.2">
      <c r="A673" s="233"/>
      <c r="B673" s="233"/>
      <c r="C673" s="233"/>
      <c r="D673" s="233"/>
      <c r="E673" s="233"/>
      <c r="F673" s="233"/>
      <c r="G673" s="233"/>
      <c r="H673" s="233"/>
      <c r="I673" s="233"/>
      <c r="J673" s="233"/>
      <c r="K673" s="233"/>
      <c r="L673" s="233"/>
      <c r="M673" s="233"/>
      <c r="N673" s="233"/>
    </row>
    <row r="674" spans="1:14" x14ac:dyDescent="0.2">
      <c r="A674" s="233"/>
      <c r="B674" s="233"/>
      <c r="C674" s="233"/>
      <c r="D674" s="233"/>
      <c r="E674" s="233"/>
      <c r="F674" s="233"/>
      <c r="G674" s="233"/>
      <c r="H674" s="233"/>
      <c r="I674" s="233"/>
      <c r="J674" s="233"/>
      <c r="K674" s="233"/>
      <c r="L674" s="233"/>
      <c r="M674" s="233"/>
      <c r="N674" s="233"/>
    </row>
    <row r="675" spans="1:14" x14ac:dyDescent="0.2">
      <c r="A675" s="233"/>
      <c r="B675" s="233"/>
      <c r="C675" s="233"/>
      <c r="D675" s="233"/>
      <c r="E675" s="233"/>
      <c r="F675" s="233"/>
      <c r="G675" s="233"/>
      <c r="H675" s="233"/>
      <c r="I675" s="233"/>
      <c r="J675" s="233"/>
      <c r="K675" s="233"/>
      <c r="L675" s="233"/>
      <c r="M675" s="233"/>
      <c r="N675" s="233"/>
    </row>
    <row r="676" spans="1:14" x14ac:dyDescent="0.2">
      <c r="A676" s="233"/>
      <c r="B676" s="233"/>
      <c r="C676" s="233"/>
      <c r="D676" s="233"/>
      <c r="E676" s="233"/>
      <c r="F676" s="233"/>
      <c r="G676" s="233"/>
      <c r="H676" s="233"/>
      <c r="I676" s="233"/>
      <c r="J676" s="233"/>
      <c r="K676" s="233"/>
      <c r="L676" s="233"/>
      <c r="M676" s="233"/>
      <c r="N676" s="233"/>
    </row>
    <row r="677" spans="1:14" x14ac:dyDescent="0.2">
      <c r="A677" s="233"/>
      <c r="B677" s="233"/>
      <c r="C677" s="233"/>
      <c r="D677" s="233"/>
      <c r="E677" s="233"/>
      <c r="F677" s="233"/>
      <c r="G677" s="233"/>
      <c r="H677" s="233"/>
      <c r="I677" s="233"/>
      <c r="J677" s="233"/>
      <c r="K677" s="233"/>
      <c r="L677" s="233"/>
      <c r="M677" s="233"/>
      <c r="N677" s="233"/>
    </row>
    <row r="678" spans="1:14" x14ac:dyDescent="0.2">
      <c r="A678" s="233"/>
      <c r="B678" s="233"/>
      <c r="C678" s="233"/>
      <c r="D678" s="233"/>
      <c r="E678" s="233"/>
      <c r="F678" s="233"/>
      <c r="G678" s="233"/>
      <c r="H678" s="233"/>
      <c r="I678" s="233"/>
      <c r="J678" s="233"/>
      <c r="K678" s="233"/>
      <c r="L678" s="233"/>
      <c r="M678" s="233"/>
      <c r="N678" s="233"/>
    </row>
    <row r="679" spans="1:14" x14ac:dyDescent="0.2">
      <c r="A679" s="233"/>
      <c r="B679" s="233"/>
      <c r="C679" s="233"/>
      <c r="D679" s="233"/>
      <c r="E679" s="233"/>
      <c r="F679" s="233"/>
      <c r="G679" s="233"/>
      <c r="H679" s="233"/>
      <c r="I679" s="233"/>
      <c r="J679" s="233"/>
      <c r="K679" s="233"/>
      <c r="L679" s="233"/>
      <c r="M679" s="233"/>
      <c r="N679" s="233"/>
    </row>
    <row r="680" spans="1:14" x14ac:dyDescent="0.2">
      <c r="A680" s="233"/>
      <c r="B680" s="233"/>
      <c r="C680" s="233"/>
      <c r="D680" s="233"/>
      <c r="E680" s="233"/>
      <c r="F680" s="233"/>
      <c r="G680" s="233"/>
      <c r="H680" s="233"/>
      <c r="I680" s="233"/>
      <c r="J680" s="233"/>
      <c r="K680" s="233"/>
      <c r="L680" s="233"/>
      <c r="M680" s="233"/>
      <c r="N680" s="233"/>
    </row>
    <row r="681" spans="1:14" x14ac:dyDescent="0.2">
      <c r="A681" s="233"/>
      <c r="B681" s="233"/>
      <c r="C681" s="233"/>
      <c r="D681" s="233"/>
      <c r="E681" s="233"/>
      <c r="F681" s="233"/>
      <c r="G681" s="233"/>
      <c r="H681" s="233"/>
      <c r="I681" s="233"/>
      <c r="J681" s="233"/>
      <c r="K681" s="233"/>
      <c r="L681" s="233"/>
      <c r="M681" s="233"/>
      <c r="N681" s="233"/>
    </row>
    <row r="682" spans="1:14" x14ac:dyDescent="0.2">
      <c r="A682" s="233"/>
      <c r="B682" s="233"/>
      <c r="C682" s="233"/>
      <c r="D682" s="233"/>
      <c r="E682" s="233"/>
      <c r="F682" s="233"/>
      <c r="G682" s="233"/>
      <c r="H682" s="233"/>
      <c r="I682" s="233"/>
      <c r="J682" s="233"/>
      <c r="K682" s="233"/>
      <c r="L682" s="233"/>
      <c r="M682" s="233"/>
      <c r="N682" s="233"/>
    </row>
    <row r="683" spans="1:14" x14ac:dyDescent="0.2">
      <c r="A683" s="233"/>
      <c r="B683" s="233"/>
      <c r="C683" s="233"/>
      <c r="D683" s="233"/>
      <c r="E683" s="233"/>
      <c r="F683" s="233"/>
      <c r="G683" s="233"/>
      <c r="H683" s="233"/>
      <c r="I683" s="233"/>
      <c r="J683" s="233"/>
      <c r="K683" s="233"/>
      <c r="L683" s="233"/>
      <c r="M683" s="233"/>
      <c r="N683" s="233"/>
    </row>
    <row r="684" spans="1:14" x14ac:dyDescent="0.2">
      <c r="A684" s="233"/>
      <c r="B684" s="233"/>
      <c r="C684" s="233"/>
      <c r="D684" s="233"/>
      <c r="E684" s="233"/>
      <c r="F684" s="233"/>
      <c r="G684" s="233"/>
      <c r="H684" s="233"/>
      <c r="I684" s="233"/>
      <c r="J684" s="233"/>
      <c r="K684" s="233"/>
      <c r="L684" s="233"/>
      <c r="M684" s="233"/>
      <c r="N684" s="233"/>
    </row>
    <row r="685" spans="1:14" x14ac:dyDescent="0.2">
      <c r="A685" s="233"/>
      <c r="B685" s="233"/>
      <c r="C685" s="233"/>
      <c r="D685" s="233"/>
      <c r="E685" s="233"/>
      <c r="F685" s="233"/>
      <c r="G685" s="233"/>
      <c r="H685" s="233"/>
      <c r="I685" s="233"/>
      <c r="J685" s="233"/>
      <c r="K685" s="233"/>
      <c r="L685" s="233"/>
      <c r="M685" s="233"/>
      <c r="N685" s="233"/>
    </row>
    <row r="686" spans="1:14" x14ac:dyDescent="0.2">
      <c r="A686" s="233"/>
      <c r="B686" s="233"/>
      <c r="C686" s="233"/>
      <c r="D686" s="233"/>
      <c r="E686" s="233"/>
      <c r="F686" s="233"/>
      <c r="G686" s="233"/>
      <c r="H686" s="233"/>
      <c r="I686" s="233"/>
      <c r="J686" s="233"/>
      <c r="K686" s="233"/>
      <c r="L686" s="233"/>
      <c r="M686" s="233"/>
      <c r="N686" s="233"/>
    </row>
    <row r="687" spans="1:14" x14ac:dyDescent="0.2">
      <c r="A687" s="233"/>
      <c r="B687" s="233"/>
      <c r="C687" s="233"/>
      <c r="D687" s="233"/>
      <c r="E687" s="233"/>
      <c r="F687" s="233"/>
      <c r="G687" s="233"/>
      <c r="H687" s="233"/>
      <c r="I687" s="233"/>
      <c r="J687" s="233"/>
      <c r="K687" s="233"/>
      <c r="L687" s="233"/>
      <c r="M687" s="233"/>
      <c r="N687" s="233"/>
    </row>
    <row r="688" spans="1:14" x14ac:dyDescent="0.2">
      <c r="A688" s="233"/>
      <c r="B688" s="233"/>
      <c r="C688" s="233"/>
      <c r="D688" s="233"/>
      <c r="E688" s="233"/>
      <c r="F688" s="233"/>
      <c r="G688" s="233"/>
      <c r="H688" s="233"/>
      <c r="I688" s="233"/>
      <c r="J688" s="233"/>
      <c r="K688" s="233"/>
      <c r="L688" s="233"/>
      <c r="M688" s="233"/>
      <c r="N688" s="233"/>
    </row>
    <row r="689" spans="1:14" x14ac:dyDescent="0.2">
      <c r="A689" s="233"/>
      <c r="B689" s="233"/>
      <c r="C689" s="233"/>
      <c r="D689" s="233"/>
      <c r="E689" s="233"/>
      <c r="F689" s="233"/>
      <c r="G689" s="233"/>
      <c r="H689" s="233"/>
      <c r="I689" s="233"/>
      <c r="J689" s="233"/>
      <c r="K689" s="233"/>
      <c r="L689" s="233"/>
      <c r="M689" s="233"/>
      <c r="N689" s="233"/>
    </row>
    <row r="690" spans="1:14" x14ac:dyDescent="0.2">
      <c r="A690" s="233"/>
      <c r="B690" s="233"/>
      <c r="C690" s="233"/>
      <c r="D690" s="233"/>
      <c r="E690" s="233"/>
      <c r="F690" s="233"/>
      <c r="G690" s="233"/>
      <c r="H690" s="233"/>
      <c r="I690" s="233"/>
      <c r="J690" s="233"/>
      <c r="K690" s="233"/>
      <c r="L690" s="233"/>
      <c r="M690" s="233"/>
      <c r="N690" s="233"/>
    </row>
    <row r="691" spans="1:14" x14ac:dyDescent="0.2">
      <c r="A691" s="233"/>
      <c r="B691" s="233"/>
      <c r="C691" s="233"/>
      <c r="D691" s="233"/>
      <c r="E691" s="233"/>
      <c r="F691" s="233"/>
      <c r="G691" s="233"/>
      <c r="H691" s="233"/>
      <c r="I691" s="233"/>
      <c r="J691" s="233"/>
      <c r="K691" s="233"/>
      <c r="L691" s="233"/>
      <c r="M691" s="233"/>
      <c r="N691" s="233"/>
    </row>
    <row r="692" spans="1:14" x14ac:dyDescent="0.2">
      <c r="A692" s="233"/>
      <c r="B692" s="233"/>
      <c r="C692" s="233"/>
      <c r="D692" s="233"/>
      <c r="E692" s="233"/>
      <c r="F692" s="233"/>
      <c r="G692" s="233"/>
      <c r="H692" s="233"/>
      <c r="I692" s="233"/>
      <c r="J692" s="233"/>
      <c r="K692" s="233"/>
      <c r="L692" s="233"/>
      <c r="M692" s="233"/>
      <c r="N692" s="233"/>
    </row>
    <row r="693" spans="1:14" x14ac:dyDescent="0.2">
      <c r="A693" s="233"/>
      <c r="B693" s="233"/>
      <c r="C693" s="233"/>
      <c r="D693" s="233"/>
      <c r="E693" s="233"/>
      <c r="F693" s="233"/>
      <c r="G693" s="233"/>
      <c r="H693" s="233"/>
      <c r="I693" s="233"/>
      <c r="J693" s="233"/>
      <c r="K693" s="233"/>
      <c r="L693" s="233"/>
      <c r="M693" s="233"/>
      <c r="N693" s="233"/>
    </row>
    <row r="694" spans="1:14" x14ac:dyDescent="0.2">
      <c r="A694" s="233"/>
      <c r="B694" s="233"/>
      <c r="C694" s="233"/>
      <c r="D694" s="233"/>
      <c r="E694" s="233"/>
      <c r="F694" s="233"/>
      <c r="G694" s="233"/>
      <c r="H694" s="233"/>
      <c r="I694" s="233"/>
      <c r="J694" s="233"/>
      <c r="K694" s="233"/>
      <c r="L694" s="233"/>
      <c r="M694" s="233"/>
      <c r="N694" s="233"/>
    </row>
    <row r="695" spans="1:14" x14ac:dyDescent="0.2">
      <c r="A695" s="233"/>
      <c r="B695" s="233"/>
      <c r="C695" s="233"/>
      <c r="D695" s="233"/>
      <c r="E695" s="233"/>
      <c r="F695" s="233"/>
      <c r="G695" s="233"/>
      <c r="H695" s="233"/>
      <c r="I695" s="233"/>
      <c r="J695" s="233"/>
      <c r="K695" s="233"/>
      <c r="L695" s="233"/>
      <c r="M695" s="233"/>
      <c r="N695" s="233"/>
    </row>
    <row r="696" spans="1:14" x14ac:dyDescent="0.2">
      <c r="A696" s="233"/>
      <c r="B696" s="233"/>
      <c r="C696" s="233"/>
      <c r="D696" s="233"/>
      <c r="E696" s="233"/>
      <c r="F696" s="233"/>
      <c r="G696" s="233"/>
      <c r="H696" s="233"/>
      <c r="I696" s="233"/>
      <c r="J696" s="233"/>
      <c r="K696" s="233"/>
      <c r="L696" s="233"/>
      <c r="M696" s="233"/>
      <c r="N696" s="233"/>
    </row>
    <row r="697" spans="1:14" x14ac:dyDescent="0.2">
      <c r="A697" s="233"/>
      <c r="B697" s="233"/>
      <c r="C697" s="233"/>
      <c r="D697" s="233"/>
      <c r="E697" s="233"/>
      <c r="F697" s="233"/>
      <c r="G697" s="233"/>
      <c r="H697" s="233"/>
      <c r="I697" s="233"/>
      <c r="J697" s="233"/>
      <c r="K697" s="233"/>
      <c r="L697" s="233"/>
      <c r="M697" s="233"/>
      <c r="N697" s="233"/>
    </row>
    <row r="698" spans="1:14" x14ac:dyDescent="0.2">
      <c r="A698" s="233"/>
      <c r="B698" s="233"/>
      <c r="C698" s="233"/>
      <c r="D698" s="233"/>
      <c r="E698" s="233"/>
      <c r="F698" s="233"/>
      <c r="G698" s="233"/>
      <c r="H698" s="233"/>
      <c r="I698" s="233"/>
      <c r="J698" s="233"/>
      <c r="K698" s="233"/>
      <c r="L698" s="233"/>
      <c r="M698" s="233"/>
      <c r="N698" s="233"/>
    </row>
    <row r="699" spans="1:14" x14ac:dyDescent="0.2">
      <c r="A699" s="233"/>
      <c r="B699" s="233"/>
      <c r="C699" s="233"/>
      <c r="D699" s="233"/>
      <c r="E699" s="233"/>
      <c r="F699" s="233"/>
      <c r="G699" s="233"/>
      <c r="H699" s="233"/>
      <c r="I699" s="233"/>
      <c r="J699" s="233"/>
      <c r="K699" s="233"/>
      <c r="L699" s="233"/>
      <c r="M699" s="233"/>
      <c r="N699" s="233"/>
    </row>
    <row r="700" spans="1:14" x14ac:dyDescent="0.2">
      <c r="A700" s="233"/>
      <c r="B700" s="233"/>
      <c r="C700" s="233"/>
      <c r="D700" s="233"/>
      <c r="E700" s="233"/>
      <c r="F700" s="233"/>
      <c r="G700" s="233"/>
      <c r="H700" s="233"/>
      <c r="I700" s="233"/>
      <c r="J700" s="233"/>
      <c r="K700" s="233"/>
      <c r="L700" s="233"/>
      <c r="M700" s="233"/>
      <c r="N700" s="233"/>
    </row>
    <row r="701" spans="1:14" x14ac:dyDescent="0.2">
      <c r="A701" s="233"/>
      <c r="B701" s="233"/>
      <c r="C701" s="233"/>
      <c r="D701" s="233"/>
      <c r="E701" s="233"/>
      <c r="F701" s="233"/>
      <c r="G701" s="233"/>
      <c r="H701" s="233"/>
      <c r="I701" s="233"/>
      <c r="J701" s="233"/>
      <c r="K701" s="233"/>
      <c r="L701" s="233"/>
      <c r="M701" s="233"/>
      <c r="N701" s="233"/>
    </row>
    <row r="702" spans="1:14" x14ac:dyDescent="0.2">
      <c r="A702" s="233"/>
      <c r="B702" s="233"/>
      <c r="C702" s="233"/>
      <c r="D702" s="233"/>
      <c r="E702" s="233"/>
      <c r="F702" s="233"/>
      <c r="G702" s="233"/>
      <c r="H702" s="233"/>
      <c r="I702" s="233"/>
      <c r="J702" s="233"/>
      <c r="K702" s="233"/>
      <c r="L702" s="233"/>
      <c r="M702" s="233"/>
      <c r="N702" s="233"/>
    </row>
    <row r="703" spans="1:14" x14ac:dyDescent="0.2">
      <c r="A703" s="233"/>
      <c r="B703" s="233"/>
      <c r="C703" s="233"/>
      <c r="D703" s="233"/>
      <c r="E703" s="233"/>
      <c r="F703" s="233"/>
      <c r="G703" s="233"/>
      <c r="H703" s="233"/>
      <c r="I703" s="233"/>
      <c r="J703" s="233"/>
      <c r="K703" s="233"/>
      <c r="L703" s="233"/>
      <c r="M703" s="233"/>
      <c r="N703" s="233"/>
    </row>
    <row r="704" spans="1:14" x14ac:dyDescent="0.2">
      <c r="A704" s="233"/>
      <c r="B704" s="233"/>
      <c r="C704" s="233"/>
      <c r="D704" s="233"/>
      <c r="E704" s="233"/>
      <c r="F704" s="233"/>
      <c r="G704" s="233"/>
      <c r="H704" s="233"/>
      <c r="I704" s="233"/>
      <c r="J704" s="233"/>
      <c r="K704" s="233"/>
      <c r="L704" s="233"/>
      <c r="M704" s="233"/>
      <c r="N704" s="233"/>
    </row>
    <row r="705" spans="1:14" x14ac:dyDescent="0.2">
      <c r="A705" s="233"/>
      <c r="B705" s="233"/>
      <c r="C705" s="233"/>
      <c r="D705" s="233"/>
      <c r="E705" s="233"/>
      <c r="F705" s="233"/>
      <c r="G705" s="233"/>
      <c r="H705" s="233"/>
      <c r="I705" s="233"/>
      <c r="J705" s="233"/>
      <c r="K705" s="233"/>
      <c r="L705" s="233"/>
      <c r="M705" s="233"/>
      <c r="N705" s="233"/>
    </row>
    <row r="706" spans="1:14" x14ac:dyDescent="0.2">
      <c r="A706" s="233"/>
      <c r="B706" s="233"/>
      <c r="C706" s="233"/>
      <c r="D706" s="233"/>
      <c r="E706" s="233"/>
      <c r="F706" s="233"/>
      <c r="G706" s="233"/>
      <c r="H706" s="233"/>
      <c r="I706" s="233"/>
      <c r="J706" s="233"/>
      <c r="K706" s="233"/>
      <c r="L706" s="233"/>
      <c r="M706" s="233"/>
      <c r="N706" s="233"/>
    </row>
    <row r="707" spans="1:14" x14ac:dyDescent="0.2">
      <c r="A707" s="233"/>
      <c r="B707" s="233"/>
      <c r="C707" s="233"/>
      <c r="D707" s="233"/>
      <c r="E707" s="233"/>
      <c r="F707" s="233"/>
      <c r="G707" s="233"/>
      <c r="H707" s="233"/>
      <c r="I707" s="233"/>
      <c r="J707" s="233"/>
      <c r="K707" s="233"/>
      <c r="L707" s="233"/>
      <c r="M707" s="233"/>
      <c r="N707" s="233"/>
    </row>
    <row r="708" spans="1:14" x14ac:dyDescent="0.2">
      <c r="A708" s="233"/>
      <c r="B708" s="233"/>
      <c r="C708" s="233"/>
      <c r="D708" s="233"/>
      <c r="E708" s="233"/>
      <c r="F708" s="233"/>
      <c r="G708" s="233"/>
      <c r="H708" s="233"/>
      <c r="I708" s="233"/>
      <c r="J708" s="233"/>
      <c r="K708" s="233"/>
      <c r="L708" s="233"/>
      <c r="M708" s="233"/>
      <c r="N708" s="233"/>
    </row>
    <row r="709" spans="1:14" x14ac:dyDescent="0.2">
      <c r="A709" s="233"/>
      <c r="B709" s="233"/>
      <c r="C709" s="233"/>
      <c r="D709" s="233"/>
      <c r="E709" s="233"/>
      <c r="F709" s="233"/>
      <c r="G709" s="233"/>
      <c r="H709" s="233"/>
      <c r="I709" s="233"/>
      <c r="J709" s="233"/>
      <c r="K709" s="233"/>
      <c r="L709" s="233"/>
      <c r="M709" s="233"/>
      <c r="N709" s="233"/>
    </row>
    <row r="710" spans="1:14" x14ac:dyDescent="0.2">
      <c r="A710" s="233"/>
      <c r="B710" s="233"/>
      <c r="C710" s="233"/>
      <c r="D710" s="233"/>
      <c r="E710" s="233"/>
      <c r="F710" s="233"/>
      <c r="G710" s="233"/>
      <c r="H710" s="233"/>
      <c r="I710" s="233"/>
      <c r="J710" s="233"/>
      <c r="K710" s="233"/>
      <c r="L710" s="233"/>
      <c r="M710" s="233"/>
      <c r="N710" s="233"/>
    </row>
    <row r="711" spans="1:14" x14ac:dyDescent="0.2">
      <c r="A711" s="233"/>
      <c r="B711" s="233"/>
      <c r="C711" s="233"/>
      <c r="D711" s="233"/>
      <c r="E711" s="233"/>
      <c r="F711" s="233"/>
      <c r="G711" s="233"/>
      <c r="H711" s="233"/>
      <c r="I711" s="233"/>
      <c r="J711" s="233"/>
      <c r="K711" s="233"/>
      <c r="L711" s="233"/>
      <c r="M711" s="233"/>
      <c r="N711" s="233"/>
    </row>
    <row r="712" spans="1:14" x14ac:dyDescent="0.2">
      <c r="A712" s="233"/>
      <c r="B712" s="233"/>
      <c r="C712" s="233"/>
      <c r="D712" s="233"/>
      <c r="E712" s="233"/>
      <c r="F712" s="233"/>
      <c r="G712" s="233"/>
      <c r="H712" s="233"/>
      <c r="I712" s="233"/>
      <c r="J712" s="233"/>
      <c r="K712" s="233"/>
      <c r="L712" s="233"/>
      <c r="M712" s="233"/>
      <c r="N712" s="233"/>
    </row>
    <row r="713" spans="1:14" x14ac:dyDescent="0.2">
      <c r="A713" s="233"/>
      <c r="B713" s="233"/>
      <c r="C713" s="233"/>
      <c r="D713" s="233"/>
      <c r="E713" s="233"/>
      <c r="F713" s="233"/>
      <c r="G713" s="233"/>
      <c r="H713" s="233"/>
      <c r="I713" s="233"/>
      <c r="J713" s="233"/>
      <c r="K713" s="233"/>
      <c r="L713" s="233"/>
      <c r="M713" s="233"/>
      <c r="N713" s="233"/>
    </row>
    <row r="714" spans="1:14" x14ac:dyDescent="0.2">
      <c r="A714" s="233"/>
      <c r="B714" s="233"/>
      <c r="C714" s="233"/>
      <c r="D714" s="233"/>
      <c r="E714" s="233"/>
      <c r="F714" s="233"/>
      <c r="G714" s="233"/>
      <c r="H714" s="233"/>
      <c r="I714" s="233"/>
      <c r="J714" s="233"/>
      <c r="K714" s="233"/>
      <c r="L714" s="233"/>
      <c r="M714" s="233"/>
      <c r="N714" s="233"/>
    </row>
    <row r="715" spans="1:14" x14ac:dyDescent="0.2">
      <c r="A715" s="233"/>
      <c r="B715" s="233"/>
      <c r="C715" s="233"/>
      <c r="D715" s="233"/>
      <c r="E715" s="233"/>
      <c r="F715" s="233"/>
      <c r="G715" s="233"/>
      <c r="H715" s="233"/>
      <c r="I715" s="233"/>
      <c r="J715" s="233"/>
      <c r="K715" s="233"/>
      <c r="L715" s="233"/>
      <c r="M715" s="233"/>
      <c r="N715" s="233"/>
    </row>
    <row r="716" spans="1:14" x14ac:dyDescent="0.2">
      <c r="A716" s="233"/>
      <c r="B716" s="233"/>
      <c r="C716" s="233"/>
      <c r="D716" s="233"/>
      <c r="E716" s="233"/>
      <c r="F716" s="233"/>
      <c r="G716" s="233"/>
      <c r="H716" s="233"/>
      <c r="I716" s="233"/>
      <c r="J716" s="233"/>
      <c r="K716" s="233"/>
      <c r="L716" s="233"/>
      <c r="M716" s="233"/>
      <c r="N716" s="233"/>
    </row>
    <row r="717" spans="1:14" x14ac:dyDescent="0.2">
      <c r="A717" s="233"/>
      <c r="B717" s="233"/>
      <c r="C717" s="233"/>
      <c r="D717" s="233"/>
      <c r="E717" s="233"/>
      <c r="F717" s="233"/>
      <c r="G717" s="233"/>
      <c r="H717" s="233"/>
      <c r="I717" s="233"/>
      <c r="J717" s="233"/>
      <c r="K717" s="233"/>
      <c r="L717" s="233"/>
      <c r="M717" s="233"/>
      <c r="N717" s="233"/>
    </row>
    <row r="718" spans="1:14" x14ac:dyDescent="0.2">
      <c r="A718" s="233"/>
      <c r="B718" s="233"/>
      <c r="C718" s="233"/>
      <c r="D718" s="233"/>
      <c r="E718" s="233"/>
      <c r="F718" s="233"/>
      <c r="G718" s="233"/>
      <c r="H718" s="233"/>
      <c r="I718" s="233"/>
      <c r="J718" s="233"/>
      <c r="K718" s="233"/>
      <c r="L718" s="233"/>
      <c r="M718" s="233"/>
      <c r="N718" s="233"/>
    </row>
    <row r="719" spans="1:14" x14ac:dyDescent="0.2">
      <c r="A719" s="233"/>
      <c r="B719" s="233"/>
      <c r="C719" s="233"/>
      <c r="D719" s="233"/>
      <c r="E719" s="233"/>
      <c r="F719" s="233"/>
      <c r="G719" s="233"/>
      <c r="H719" s="233"/>
      <c r="I719" s="233"/>
      <c r="J719" s="233"/>
      <c r="K719" s="233"/>
      <c r="L719" s="233"/>
      <c r="M719" s="233"/>
      <c r="N719" s="233"/>
    </row>
    <row r="720" spans="1:14" x14ac:dyDescent="0.2">
      <c r="A720" s="233"/>
      <c r="B720" s="233"/>
      <c r="C720" s="233"/>
      <c r="D720" s="233"/>
      <c r="E720" s="233"/>
      <c r="F720" s="233"/>
      <c r="G720" s="233"/>
      <c r="H720" s="233"/>
      <c r="I720" s="233"/>
      <c r="J720" s="233"/>
      <c r="K720" s="233"/>
      <c r="L720" s="233"/>
      <c r="M720" s="233"/>
      <c r="N720" s="233"/>
    </row>
    <row r="721" spans="1:14" x14ac:dyDescent="0.2">
      <c r="A721" s="233"/>
      <c r="B721" s="233"/>
      <c r="C721" s="233"/>
      <c r="D721" s="233"/>
      <c r="E721" s="233"/>
      <c r="F721" s="233"/>
      <c r="G721" s="233"/>
      <c r="H721" s="233"/>
      <c r="I721" s="233"/>
      <c r="J721" s="233"/>
      <c r="K721" s="233"/>
      <c r="L721" s="233"/>
      <c r="M721" s="233"/>
      <c r="N721" s="233"/>
    </row>
    <row r="722" spans="1:14" x14ac:dyDescent="0.2">
      <c r="A722" s="233"/>
      <c r="B722" s="233"/>
      <c r="C722" s="233"/>
      <c r="D722" s="233"/>
      <c r="E722" s="233"/>
      <c r="F722" s="233"/>
      <c r="G722" s="233"/>
      <c r="H722" s="233"/>
      <c r="I722" s="233"/>
      <c r="J722" s="233"/>
      <c r="K722" s="233"/>
      <c r="L722" s="233"/>
      <c r="M722" s="233"/>
      <c r="N722" s="233"/>
    </row>
    <row r="723" spans="1:14" x14ac:dyDescent="0.2">
      <c r="A723" s="233"/>
      <c r="B723" s="233"/>
      <c r="C723" s="233"/>
      <c r="D723" s="233"/>
      <c r="E723" s="233"/>
      <c r="F723" s="233"/>
      <c r="G723" s="233"/>
      <c r="H723" s="233"/>
      <c r="I723" s="233"/>
      <c r="J723" s="233"/>
      <c r="K723" s="233"/>
      <c r="L723" s="233"/>
      <c r="M723" s="233"/>
      <c r="N723" s="233"/>
    </row>
    <row r="724" spans="1:14" x14ac:dyDescent="0.2">
      <c r="A724" s="233"/>
      <c r="B724" s="233"/>
      <c r="C724" s="233"/>
      <c r="D724" s="233"/>
      <c r="E724" s="233"/>
      <c r="F724" s="233"/>
      <c r="G724" s="233"/>
      <c r="H724" s="233"/>
      <c r="I724" s="233"/>
      <c r="J724" s="233"/>
      <c r="K724" s="233"/>
      <c r="L724" s="233"/>
      <c r="M724" s="233"/>
      <c r="N724" s="233"/>
    </row>
    <row r="725" spans="1:14" x14ac:dyDescent="0.2">
      <c r="A725" s="233"/>
      <c r="B725" s="233"/>
      <c r="C725" s="233"/>
      <c r="D725" s="233"/>
      <c r="E725" s="233"/>
      <c r="F725" s="233"/>
      <c r="G725" s="233"/>
      <c r="H725" s="233"/>
      <c r="I725" s="233"/>
      <c r="J725" s="233"/>
      <c r="K725" s="233"/>
      <c r="L725" s="233"/>
      <c r="M725" s="233"/>
      <c r="N725" s="233"/>
    </row>
    <row r="726" spans="1:14" x14ac:dyDescent="0.2">
      <c r="A726" s="233"/>
      <c r="B726" s="233"/>
      <c r="C726" s="233"/>
      <c r="D726" s="233"/>
      <c r="E726" s="233"/>
      <c r="F726" s="233"/>
      <c r="G726" s="233"/>
      <c r="H726" s="233"/>
      <c r="I726" s="233"/>
      <c r="J726" s="233"/>
      <c r="K726" s="233"/>
      <c r="L726" s="233"/>
      <c r="M726" s="233"/>
      <c r="N726" s="233"/>
    </row>
  </sheetData>
  <mergeCells count="5">
    <mergeCell ref="AM6:AN6"/>
    <mergeCell ref="AR6:AT6"/>
    <mergeCell ref="AP6:AQ6"/>
    <mergeCell ref="AB5:AC5"/>
    <mergeCell ref="B4:N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EF84-53F2-4734-A008-69FE36519D85}">
  <sheetPr>
    <tabColor theme="9" tint="0.79998168889431442"/>
  </sheetPr>
  <dimension ref="A2:KK16424"/>
  <sheetViews>
    <sheetView zoomScale="87" zoomScaleNormal="90" workbookViewId="0">
      <pane xSplit="1" topLeftCell="P1" activePane="topRight" state="frozen"/>
      <selection activeCell="X9013" sqref="X9013"/>
      <selection pane="topRight" activeCell="S23" sqref="S23:T30"/>
    </sheetView>
  </sheetViews>
  <sheetFormatPr baseColWidth="10" defaultRowHeight="15" x14ac:dyDescent="0.2"/>
  <cols>
    <col min="1" max="1" width="25.33203125" style="14" customWidth="1"/>
    <col min="2" max="2" width="32.33203125" style="14" bestFit="1" customWidth="1"/>
    <col min="3" max="3" width="25.6640625" style="15" customWidth="1"/>
    <col min="4" max="5" width="17.6640625" style="15" customWidth="1"/>
    <col min="6" max="6" width="31.1640625" style="15" bestFit="1" customWidth="1"/>
    <col min="7" max="7" width="38.5" style="15" customWidth="1"/>
    <col min="8" max="8" width="16.6640625" style="15" customWidth="1"/>
    <col min="9" max="9" width="14.5" style="15" customWidth="1"/>
    <col min="10" max="10" width="16.5" style="15" customWidth="1"/>
    <col min="11" max="11" width="15.6640625" style="15" customWidth="1"/>
    <col min="12" max="12" width="15.5" style="15" customWidth="1"/>
    <col min="13" max="13" width="16.1640625" style="15" customWidth="1"/>
    <col min="14" max="14" width="50.1640625" style="15" customWidth="1"/>
    <col min="15" max="15" width="17.33203125" style="15" customWidth="1"/>
    <col min="16" max="16" width="71" style="15" customWidth="1"/>
    <col min="17" max="17" width="85.83203125" style="14" customWidth="1"/>
    <col min="18" max="18" width="12.83203125" style="14" bestFit="1" customWidth="1"/>
    <col min="19" max="21" width="13.33203125" style="14" bestFit="1" customWidth="1"/>
    <col min="22" max="22" width="19.6640625" style="14" customWidth="1"/>
    <col min="23" max="23" width="15.83203125" style="14" customWidth="1"/>
    <col min="24" max="24" width="21.83203125" style="14" customWidth="1"/>
    <col min="25" max="25" width="19.5" style="14" customWidth="1"/>
    <col min="26" max="26" width="17.1640625" style="14" customWidth="1"/>
    <col min="27" max="27" width="15.5" style="14" customWidth="1"/>
    <col min="28" max="28" width="13.6640625" style="14" customWidth="1"/>
    <col min="29" max="29" width="16" style="14" customWidth="1"/>
    <col min="30" max="30" width="12.83203125" style="14" bestFit="1" customWidth="1"/>
    <col min="31" max="31" width="15.1640625" style="14" customWidth="1"/>
    <col min="32" max="32" width="14.5" style="14" bestFit="1" customWidth="1"/>
    <col min="33" max="33" width="15.6640625" style="14" customWidth="1"/>
    <col min="34" max="34" width="23.5" style="14" customWidth="1"/>
    <col min="35" max="35" width="23.1640625" style="14" customWidth="1"/>
    <col min="36" max="36" width="15.1640625" style="14" customWidth="1"/>
    <col min="37" max="37" width="12.83203125" style="14" bestFit="1" customWidth="1"/>
    <col min="38" max="38" width="11.1640625" style="14" bestFit="1" customWidth="1"/>
    <col min="39" max="16384" width="10.83203125" style="14"/>
  </cols>
  <sheetData>
    <row r="2" spans="1:297" ht="20" x14ac:dyDescent="0.25">
      <c r="A2" s="42"/>
      <c r="B2" s="111" t="s">
        <v>62</v>
      </c>
      <c r="C2" s="42"/>
      <c r="D2" s="42"/>
      <c r="E2" s="42"/>
      <c r="F2" s="42"/>
      <c r="G2" s="42"/>
      <c r="H2" s="42"/>
      <c r="I2" s="42"/>
      <c r="J2" s="42"/>
      <c r="K2" s="42"/>
      <c r="L2" s="42"/>
      <c r="M2" s="42"/>
      <c r="N2" s="42"/>
      <c r="O2" s="42"/>
      <c r="P2" s="42"/>
      <c r="Q2" s="42"/>
    </row>
    <row r="3" spans="1:297" ht="112" x14ac:dyDescent="0.2">
      <c r="A3" s="42"/>
      <c r="B3" s="106" t="s">
        <v>6372</v>
      </c>
      <c r="C3" s="42"/>
      <c r="D3" s="42"/>
      <c r="E3" s="42"/>
      <c r="F3" s="42"/>
      <c r="G3" s="42"/>
      <c r="H3" s="42"/>
      <c r="I3" s="42"/>
      <c r="J3" s="104"/>
      <c r="K3" s="104"/>
      <c r="L3" s="104"/>
      <c r="M3" s="104"/>
      <c r="N3" s="42"/>
      <c r="O3" s="42"/>
      <c r="P3" s="42"/>
      <c r="Q3" s="42"/>
    </row>
    <row r="4" spans="1:297" ht="17" thickBot="1" x14ac:dyDescent="0.25">
      <c r="A4" s="42"/>
      <c r="B4" s="112" t="s">
        <v>281</v>
      </c>
      <c r="C4" s="112" t="s">
        <v>301</v>
      </c>
      <c r="D4" s="113"/>
      <c r="E4" s="113"/>
      <c r="F4" s="248"/>
      <c r="G4" s="248"/>
      <c r="H4" s="248"/>
      <c r="I4" s="248"/>
      <c r="J4" s="248"/>
      <c r="K4" s="248"/>
      <c r="L4" s="248"/>
      <c r="M4" s="248"/>
      <c r="N4" s="42"/>
      <c r="O4" s="42"/>
      <c r="P4" s="42"/>
      <c r="Q4" s="42"/>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row>
    <row r="5" spans="1:297" ht="33" thickBot="1" x14ac:dyDescent="0.25">
      <c r="A5" s="114" t="s">
        <v>6362</v>
      </c>
      <c r="B5" s="115" t="s">
        <v>95</v>
      </c>
      <c r="C5" s="115" t="s">
        <v>107</v>
      </c>
      <c r="D5" s="115" t="s">
        <v>108</v>
      </c>
      <c r="E5" s="115" t="s">
        <v>109</v>
      </c>
      <c r="F5" s="116" t="s">
        <v>93</v>
      </c>
      <c r="G5" s="116" t="s">
        <v>28</v>
      </c>
      <c r="H5" s="116" t="s">
        <v>21</v>
      </c>
      <c r="I5" s="116" t="s">
        <v>94</v>
      </c>
      <c r="J5" s="116" t="s">
        <v>29</v>
      </c>
      <c r="K5" s="116" t="s">
        <v>30</v>
      </c>
      <c r="L5" s="116" t="s">
        <v>31</v>
      </c>
      <c r="M5" s="116" t="s">
        <v>22</v>
      </c>
      <c r="N5" s="116" t="s">
        <v>65</v>
      </c>
      <c r="O5" s="116" t="s">
        <v>64</v>
      </c>
      <c r="P5" s="116" t="s">
        <v>63</v>
      </c>
      <c r="Q5" s="117" t="s">
        <v>126</v>
      </c>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row>
    <row r="6" spans="1:297" ht="18" x14ac:dyDescent="0.2">
      <c r="A6" s="299" t="s">
        <v>88</v>
      </c>
      <c r="B6" s="106" t="s">
        <v>32</v>
      </c>
      <c r="C6" s="106"/>
      <c r="D6" s="106" t="s">
        <v>110</v>
      </c>
      <c r="E6" s="106"/>
      <c r="F6" s="104">
        <v>14489979580766.801</v>
      </c>
      <c r="G6" s="104">
        <v>20877899900370.199</v>
      </c>
      <c r="H6" s="104">
        <v>8566213575935.6807</v>
      </c>
      <c r="I6" s="104">
        <v>34298330152064.801</v>
      </c>
      <c r="J6" s="104">
        <v>16876935824361.801</v>
      </c>
      <c r="K6" s="104">
        <v>16866063542825.699</v>
      </c>
      <c r="L6" s="104">
        <v>18299925118543.301</v>
      </c>
      <c r="M6" s="104">
        <v>8124748106563.8301</v>
      </c>
      <c r="N6" s="42" t="s">
        <v>66</v>
      </c>
      <c r="O6" s="42" t="s">
        <v>10272</v>
      </c>
      <c r="P6" s="42" t="s">
        <v>316</v>
      </c>
      <c r="Q6" s="118"/>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row>
    <row r="7" spans="1:297" ht="18" x14ac:dyDescent="0.2">
      <c r="A7" s="299"/>
      <c r="B7" s="106" t="s">
        <v>33</v>
      </c>
      <c r="C7" s="106"/>
      <c r="D7" s="106" t="s">
        <v>110</v>
      </c>
      <c r="E7" s="106"/>
      <c r="F7" s="104">
        <v>1837407377949.6099</v>
      </c>
      <c r="G7" s="104">
        <v>2972896722143.1802</v>
      </c>
      <c r="H7" s="104">
        <v>1700186862387.1301</v>
      </c>
      <c r="I7" s="104">
        <v>1590401121051.1799</v>
      </c>
      <c r="J7" s="104">
        <v>736295687453.38806</v>
      </c>
      <c r="K7" s="104">
        <v>5337404627321.1104</v>
      </c>
      <c r="L7" s="104">
        <v>5624861905886.04</v>
      </c>
      <c r="M7" s="104">
        <v>2240568531289.3301</v>
      </c>
      <c r="N7" s="42" t="s">
        <v>67</v>
      </c>
      <c r="O7" s="42" t="s">
        <v>10272</v>
      </c>
      <c r="P7" s="42" t="s">
        <v>316</v>
      </c>
      <c r="Q7" s="118"/>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row>
    <row r="8" spans="1:297" ht="18" x14ac:dyDescent="0.2">
      <c r="A8" s="299"/>
      <c r="B8" s="106"/>
      <c r="C8" s="106" t="s">
        <v>112</v>
      </c>
      <c r="D8" s="106" t="s">
        <v>110</v>
      </c>
      <c r="E8" s="106"/>
      <c r="F8" s="104">
        <f>F6+F7</f>
        <v>16327386958716.41</v>
      </c>
      <c r="G8" s="104">
        <f t="shared" ref="G8:M8" si="0">G6+G7</f>
        <v>23850796622513.379</v>
      </c>
      <c r="H8" s="104">
        <f t="shared" si="0"/>
        <v>10266400438322.811</v>
      </c>
      <c r="I8" s="104">
        <f t="shared" si="0"/>
        <v>35888731273115.984</v>
      </c>
      <c r="J8" s="104">
        <f t="shared" si="0"/>
        <v>17613231511815.188</v>
      </c>
      <c r="K8" s="104">
        <f t="shared" si="0"/>
        <v>22203468170146.809</v>
      </c>
      <c r="L8" s="104">
        <f t="shared" si="0"/>
        <v>23924787024429.34</v>
      </c>
      <c r="M8" s="104">
        <f t="shared" si="0"/>
        <v>10365316637853.16</v>
      </c>
      <c r="N8" s="42" t="s">
        <v>317</v>
      </c>
      <c r="O8" s="42" t="s">
        <v>10272</v>
      </c>
      <c r="P8" s="42" t="s">
        <v>316</v>
      </c>
      <c r="Q8" s="118"/>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row>
    <row r="9" spans="1:297" ht="16" x14ac:dyDescent="0.2">
      <c r="A9" s="299"/>
      <c r="B9" s="106"/>
      <c r="C9" s="106" t="s">
        <v>113</v>
      </c>
      <c r="D9" s="106" t="s">
        <v>110</v>
      </c>
      <c r="E9" s="106"/>
      <c r="F9" s="104">
        <f>F7/F8</f>
        <v>0.1125352992855177</v>
      </c>
      <c r="G9" s="104">
        <f t="shared" ref="G9:L9" si="1">G7/G8</f>
        <v>0.12464559440907674</v>
      </c>
      <c r="H9" s="104">
        <f t="shared" si="1"/>
        <v>0.16560691087409837</v>
      </c>
      <c r="I9" s="104">
        <f t="shared" si="1"/>
        <v>4.4314776940653208E-2</v>
      </c>
      <c r="J9" s="104">
        <f t="shared" si="1"/>
        <v>4.1803554728697637E-2</v>
      </c>
      <c r="K9" s="104">
        <f t="shared" si="1"/>
        <v>0.24038607781541993</v>
      </c>
      <c r="L9" s="104">
        <f t="shared" si="1"/>
        <v>0.23510603877654396</v>
      </c>
      <c r="M9" s="104">
        <f>M7/M8</f>
        <v>0.21616016273993838</v>
      </c>
      <c r="N9" s="42" t="s">
        <v>10223</v>
      </c>
      <c r="O9" s="42" t="s">
        <v>14</v>
      </c>
      <c r="P9" s="42" t="s">
        <v>316</v>
      </c>
      <c r="Q9" s="118"/>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row>
    <row r="10" spans="1:297" ht="16" x14ac:dyDescent="0.2">
      <c r="A10" s="299"/>
      <c r="B10" s="106" t="s">
        <v>99</v>
      </c>
      <c r="C10" s="106" t="s">
        <v>114</v>
      </c>
      <c r="D10" s="106" t="s">
        <v>110</v>
      </c>
      <c r="E10" s="106" t="s">
        <v>115</v>
      </c>
      <c r="F10" s="119">
        <v>3.4304356000073844E-3</v>
      </c>
      <c r="G10" s="119">
        <v>6.4487284649363975E-3</v>
      </c>
      <c r="H10" s="119">
        <v>5.0055028981526159E-3</v>
      </c>
      <c r="I10" s="119">
        <v>1.3076168516333635E-4</v>
      </c>
      <c r="J10" s="119">
        <v>2.2461359140138106E-3</v>
      </c>
      <c r="K10" s="119">
        <v>1.2328111324045821E-2</v>
      </c>
      <c r="L10" s="119">
        <v>4.6867292368314396E-3</v>
      </c>
      <c r="M10" s="119">
        <v>8.9982340465944517E-4</v>
      </c>
      <c r="N10" s="42" t="s">
        <v>68</v>
      </c>
      <c r="O10" s="42" t="s">
        <v>14</v>
      </c>
      <c r="P10" s="42" t="s">
        <v>293</v>
      </c>
      <c r="Q10" s="118"/>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row>
    <row r="11" spans="1:297" ht="16" x14ac:dyDescent="0.2">
      <c r="A11" s="299"/>
      <c r="B11" s="106" t="s">
        <v>34</v>
      </c>
      <c r="C11" s="106" t="s">
        <v>114</v>
      </c>
      <c r="D11" s="106" t="s">
        <v>110</v>
      </c>
      <c r="E11" s="106" t="s">
        <v>116</v>
      </c>
      <c r="F11" s="119">
        <v>8.3169844140130969E-2</v>
      </c>
      <c r="G11" s="119">
        <v>1.2684411937745631E-2</v>
      </c>
      <c r="H11" s="119">
        <v>2.5460717751545882E-2</v>
      </c>
      <c r="I11" s="119">
        <v>1.3897745698828992E-2</v>
      </c>
      <c r="J11" s="119">
        <v>2.7333048290666514E-2</v>
      </c>
      <c r="K11" s="119">
        <v>2.6854951071182274E-2</v>
      </c>
      <c r="L11" s="119">
        <v>5.1861908448400822E-2</v>
      </c>
      <c r="M11" s="119">
        <v>5.8477675078838082E-3</v>
      </c>
      <c r="N11" s="42" t="s">
        <v>69</v>
      </c>
      <c r="O11" s="42" t="s">
        <v>14</v>
      </c>
      <c r="P11" s="42" t="s">
        <v>293</v>
      </c>
      <c r="Q11" s="118"/>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row>
    <row r="12" spans="1:297" ht="16" x14ac:dyDescent="0.2">
      <c r="A12" s="299"/>
      <c r="B12" s="106" t="s">
        <v>35</v>
      </c>
      <c r="C12" s="106" t="s">
        <v>114</v>
      </c>
      <c r="D12" s="106" t="s">
        <v>110</v>
      </c>
      <c r="E12" s="106" t="s">
        <v>117</v>
      </c>
      <c r="F12" s="119">
        <v>0.63128839415949811</v>
      </c>
      <c r="G12" s="119">
        <v>0.65377256005720807</v>
      </c>
      <c r="H12" s="119">
        <v>0.58452600122672826</v>
      </c>
      <c r="I12" s="119">
        <v>0.58847301602478064</v>
      </c>
      <c r="J12" s="119">
        <v>0.52138909583025883</v>
      </c>
      <c r="K12" s="119">
        <v>0.49742034593361567</v>
      </c>
      <c r="L12" s="119">
        <v>0.82125081990086912</v>
      </c>
      <c r="M12" s="119">
        <v>0.53527811649280743</v>
      </c>
      <c r="N12" s="42" t="s">
        <v>70</v>
      </c>
      <c r="O12" s="42" t="s">
        <v>14</v>
      </c>
      <c r="P12" s="42" t="s">
        <v>316</v>
      </c>
      <c r="Q12" s="118"/>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row>
    <row r="13" spans="1:297" ht="16" x14ac:dyDescent="0.2">
      <c r="A13" s="299"/>
      <c r="B13" s="106" t="s">
        <v>36</v>
      </c>
      <c r="C13" s="106" t="s">
        <v>114</v>
      </c>
      <c r="D13" s="106" t="s">
        <v>110</v>
      </c>
      <c r="E13" s="106" t="s">
        <v>118</v>
      </c>
      <c r="F13" s="119">
        <v>0.28211132610036338</v>
      </c>
      <c r="G13" s="119">
        <v>0.32709429954010982</v>
      </c>
      <c r="H13" s="119">
        <v>0.38500777812357329</v>
      </c>
      <c r="I13" s="119">
        <v>0.39749847659122717</v>
      </c>
      <c r="J13" s="119">
        <v>0.44903171996506064</v>
      </c>
      <c r="K13" s="119">
        <v>0.46339659167115632</v>
      </c>
      <c r="L13" s="119">
        <v>0.12220054241389856</v>
      </c>
      <c r="M13" s="119">
        <v>0.45797429259464939</v>
      </c>
      <c r="N13" s="42" t="s">
        <v>71</v>
      </c>
      <c r="O13" s="42" t="s">
        <v>14</v>
      </c>
      <c r="P13" s="42" t="s">
        <v>316</v>
      </c>
      <c r="Q13" s="118"/>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row>
    <row r="14" spans="1:297" ht="16" x14ac:dyDescent="0.2">
      <c r="A14" s="299"/>
      <c r="B14" s="106" t="s">
        <v>36</v>
      </c>
      <c r="C14" s="106" t="s">
        <v>114</v>
      </c>
      <c r="D14" s="106" t="s">
        <v>110</v>
      </c>
      <c r="E14" s="106" t="s">
        <v>127</v>
      </c>
      <c r="F14" s="119">
        <v>9.9999999999999995E-21</v>
      </c>
      <c r="G14" s="119">
        <v>9.9999999999999995E-21</v>
      </c>
      <c r="H14" s="119">
        <v>9.9999999999999995E-21</v>
      </c>
      <c r="I14" s="119">
        <v>9.9999999999999995E-21</v>
      </c>
      <c r="J14" s="119">
        <v>9.9999999999999995E-21</v>
      </c>
      <c r="K14" s="119">
        <v>9.9999999999999995E-21</v>
      </c>
      <c r="L14" s="119">
        <v>9.9999999999999995E-21</v>
      </c>
      <c r="M14" s="119">
        <v>9.9999999999999995E-21</v>
      </c>
      <c r="N14" s="42" t="s">
        <v>128</v>
      </c>
      <c r="O14" s="42" t="s">
        <v>14</v>
      </c>
      <c r="P14" s="42" t="s">
        <v>14</v>
      </c>
      <c r="Q14" s="118"/>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row>
    <row r="15" spans="1:297" ht="16" x14ac:dyDescent="0.2">
      <c r="A15" s="299"/>
      <c r="B15" s="106" t="s">
        <v>100</v>
      </c>
      <c r="C15" s="106"/>
      <c r="D15" s="106" t="s">
        <v>110</v>
      </c>
      <c r="E15" s="106"/>
      <c r="F15" s="104">
        <v>3.9612292365580108E-2</v>
      </c>
      <c r="G15" s="104">
        <v>0.3370449559881154</v>
      </c>
      <c r="H15" s="104">
        <v>0.16429681107171235</v>
      </c>
      <c r="I15" s="104">
        <v>9.3211402741638864E-3</v>
      </c>
      <c r="J15" s="104">
        <v>7.5936371282964724E-2</v>
      </c>
      <c r="K15" s="104">
        <v>0.3146285810867912</v>
      </c>
      <c r="L15" s="104">
        <v>8.287961352701842E-2</v>
      </c>
      <c r="M15" s="104">
        <v>0.13335476562260801</v>
      </c>
      <c r="N15" s="42" t="s">
        <v>73</v>
      </c>
      <c r="O15" s="42" t="s">
        <v>14</v>
      </c>
      <c r="P15" s="42" t="s">
        <v>72</v>
      </c>
      <c r="Q15" s="118"/>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row>
    <row r="16" spans="1:297" ht="16" x14ac:dyDescent="0.2">
      <c r="A16" s="299"/>
      <c r="B16" s="106" t="s">
        <v>37</v>
      </c>
      <c r="C16" s="106"/>
      <c r="D16" s="106" t="s">
        <v>110</v>
      </c>
      <c r="E16" s="106"/>
      <c r="F16" s="104">
        <v>0.96038770763441994</v>
      </c>
      <c r="G16" s="104">
        <v>0.66295504401188454</v>
      </c>
      <c r="H16" s="104">
        <v>0.83570318892828765</v>
      </c>
      <c r="I16" s="104">
        <v>0.99067885972583614</v>
      </c>
      <c r="J16" s="104">
        <v>0.92406362871703529</v>
      </c>
      <c r="K16" s="104">
        <v>0.68537141891320885</v>
      </c>
      <c r="L16" s="104">
        <v>0.91712038647298155</v>
      </c>
      <c r="M16" s="104">
        <v>0.86664523437739205</v>
      </c>
      <c r="N16" s="42" t="s">
        <v>74</v>
      </c>
      <c r="O16" s="42" t="s">
        <v>14</v>
      </c>
      <c r="P16" s="42" t="s">
        <v>72</v>
      </c>
      <c r="Q16" s="118"/>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row>
    <row r="17" spans="1:297" ht="16" x14ac:dyDescent="0.2">
      <c r="A17" s="299"/>
      <c r="B17" s="106" t="s">
        <v>38</v>
      </c>
      <c r="C17" s="106" t="s">
        <v>119</v>
      </c>
      <c r="D17" s="106" t="s">
        <v>110</v>
      </c>
      <c r="E17" s="106"/>
      <c r="F17" s="104">
        <v>285.14999999999998</v>
      </c>
      <c r="G17" s="104">
        <v>285.14999999999998</v>
      </c>
      <c r="H17" s="104">
        <v>285.14999999999998</v>
      </c>
      <c r="I17" s="104">
        <v>285.14999999999998</v>
      </c>
      <c r="J17" s="104">
        <v>285.14999999999998</v>
      </c>
      <c r="K17" s="104">
        <v>285.14999999999998</v>
      </c>
      <c r="L17" s="104">
        <v>285.14999999999998</v>
      </c>
      <c r="M17" s="104">
        <v>285.14999999999998</v>
      </c>
      <c r="N17" s="42" t="s">
        <v>75</v>
      </c>
      <c r="O17" s="42" t="s">
        <v>76</v>
      </c>
      <c r="P17" s="42" t="s">
        <v>316</v>
      </c>
      <c r="Q17" s="118"/>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row>
    <row r="18" spans="1:297" ht="16" x14ac:dyDescent="0.2">
      <c r="A18" s="299"/>
      <c r="B18" s="106" t="s">
        <v>39</v>
      </c>
      <c r="C18" s="106" t="s">
        <v>120</v>
      </c>
      <c r="D18" s="106" t="s">
        <v>110</v>
      </c>
      <c r="E18" s="106"/>
      <c r="F18" s="104">
        <v>3</v>
      </c>
      <c r="G18" s="104">
        <v>3</v>
      </c>
      <c r="H18" s="104">
        <v>3</v>
      </c>
      <c r="I18" s="104">
        <v>3</v>
      </c>
      <c r="J18" s="104">
        <v>3</v>
      </c>
      <c r="K18" s="104">
        <v>3</v>
      </c>
      <c r="L18" s="104">
        <v>3</v>
      </c>
      <c r="M18" s="104">
        <v>3</v>
      </c>
      <c r="N18" s="42" t="s">
        <v>77</v>
      </c>
      <c r="O18" s="42" t="s">
        <v>78</v>
      </c>
      <c r="P18" s="42" t="s">
        <v>316</v>
      </c>
      <c r="Q18" s="118"/>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row>
    <row r="19" spans="1:297" ht="16" x14ac:dyDescent="0.2">
      <c r="A19" s="299"/>
      <c r="B19" s="106" t="s">
        <v>40</v>
      </c>
      <c r="C19" s="106"/>
      <c r="D19" s="106" t="s">
        <v>110</v>
      </c>
      <c r="E19" s="106"/>
      <c r="F19" s="104">
        <v>2.2427397965049099E-8</v>
      </c>
      <c r="G19" s="104">
        <v>5.1120311610144309E-8</v>
      </c>
      <c r="H19" s="104">
        <v>1.752395778153158E-8</v>
      </c>
      <c r="I19" s="104">
        <v>2.0870339047358022E-8</v>
      </c>
      <c r="J19" s="104">
        <v>6.9029435409970945E-9</v>
      </c>
      <c r="K19" s="104">
        <v>4.8075939403191273E-8</v>
      </c>
      <c r="L19" s="104">
        <v>1.5527965468435237E-8</v>
      </c>
      <c r="M19" s="104">
        <v>4.108581719551405E-8</v>
      </c>
      <c r="N19" s="42" t="s">
        <v>79</v>
      </c>
      <c r="O19" s="42" t="s">
        <v>78</v>
      </c>
      <c r="P19" s="42" t="s">
        <v>316</v>
      </c>
      <c r="Q19" s="118"/>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row>
    <row r="20" spans="1:297" ht="16" x14ac:dyDescent="0.2">
      <c r="A20" s="299"/>
      <c r="B20" s="106"/>
      <c r="C20" s="106" t="s">
        <v>121</v>
      </c>
      <c r="D20" s="106" t="s">
        <v>110</v>
      </c>
      <c r="E20" s="106"/>
      <c r="F20" s="104">
        <f>F19*1000*365*24*3600</f>
        <v>707.27042222578848</v>
      </c>
      <c r="G20" s="104">
        <f t="shared" ref="G20:M20" si="2">G19*1000*365*24*3600</f>
        <v>1612.1301469375107</v>
      </c>
      <c r="H20" s="104">
        <f t="shared" si="2"/>
        <v>552.63553259837988</v>
      </c>
      <c r="I20" s="104">
        <f t="shared" si="2"/>
        <v>658.16701219748256</v>
      </c>
      <c r="J20" s="104">
        <f t="shared" si="2"/>
        <v>217.69122750888437</v>
      </c>
      <c r="K20" s="104">
        <f t="shared" si="2"/>
        <v>1516.12282501904</v>
      </c>
      <c r="L20" s="104">
        <f t="shared" si="2"/>
        <v>489.68991901257357</v>
      </c>
      <c r="M20" s="104">
        <f t="shared" si="2"/>
        <v>1295.6823310777311</v>
      </c>
      <c r="N20" s="42" t="s">
        <v>79</v>
      </c>
      <c r="O20" s="42" t="s">
        <v>122</v>
      </c>
      <c r="P20" s="42" t="s">
        <v>316</v>
      </c>
      <c r="Q20" s="118"/>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row>
    <row r="21" spans="1:297" ht="16" x14ac:dyDescent="0.2">
      <c r="A21" s="299"/>
      <c r="B21" s="106" t="s">
        <v>101</v>
      </c>
      <c r="C21" s="106" t="s">
        <v>123</v>
      </c>
      <c r="D21" s="106" t="s">
        <v>110</v>
      </c>
      <c r="E21" s="106" t="s">
        <v>115</v>
      </c>
      <c r="F21" s="104">
        <v>2.3696042108892401</v>
      </c>
      <c r="G21" s="104">
        <v>4.3917246021722702</v>
      </c>
      <c r="H21" s="104">
        <v>1.9467368925047399</v>
      </c>
      <c r="I21" s="104">
        <v>2.47905687385181</v>
      </c>
      <c r="J21" s="104">
        <v>2.22114142977843</v>
      </c>
      <c r="K21" s="104">
        <v>3.3070096167614702</v>
      </c>
      <c r="L21" s="104">
        <v>2.92803772943742</v>
      </c>
      <c r="M21" s="104">
        <v>1.0055754452635499</v>
      </c>
      <c r="N21" s="42" t="s">
        <v>82</v>
      </c>
      <c r="O21" s="42" t="s">
        <v>80</v>
      </c>
      <c r="P21" s="42" t="s">
        <v>72</v>
      </c>
      <c r="Q21" s="118"/>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row>
    <row r="22" spans="1:297" ht="16" x14ac:dyDescent="0.2">
      <c r="A22" s="299"/>
      <c r="B22" s="106" t="s">
        <v>41</v>
      </c>
      <c r="C22" s="106" t="s">
        <v>123</v>
      </c>
      <c r="D22" s="106" t="s">
        <v>110</v>
      </c>
      <c r="E22" s="106" t="s">
        <v>116</v>
      </c>
      <c r="F22" s="104">
        <v>29.533000000000001</v>
      </c>
      <c r="G22" s="104">
        <v>25.706</v>
      </c>
      <c r="H22" s="104">
        <v>26.89</v>
      </c>
      <c r="I22" s="104">
        <v>115.86499999999999</v>
      </c>
      <c r="J22" s="104">
        <v>33.134999999999998</v>
      </c>
      <c r="K22" s="104">
        <v>17.388000000000002</v>
      </c>
      <c r="L22" s="104">
        <v>131.869</v>
      </c>
      <c r="M22" s="104">
        <v>8.8089999999999993</v>
      </c>
      <c r="N22" s="42" t="s">
        <v>81</v>
      </c>
      <c r="O22" s="42" t="s">
        <v>80</v>
      </c>
      <c r="P22" s="42" t="s">
        <v>72</v>
      </c>
      <c r="Q22" s="118"/>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row>
    <row r="23" spans="1:297" ht="16" x14ac:dyDescent="0.2">
      <c r="A23" s="299"/>
      <c r="B23" s="106" t="s">
        <v>42</v>
      </c>
      <c r="C23" s="106" t="s">
        <v>123</v>
      </c>
      <c r="D23" s="106" t="s">
        <v>110</v>
      </c>
      <c r="E23" s="106" t="s">
        <v>124</v>
      </c>
      <c r="F23" s="175">
        <v>2.5499999999999998</v>
      </c>
      <c r="G23" s="175">
        <v>3.4833333333333329</v>
      </c>
      <c r="H23" s="175">
        <v>6.5750000000000002</v>
      </c>
      <c r="I23" s="175">
        <v>7.55</v>
      </c>
      <c r="J23" s="175">
        <v>1.3</v>
      </c>
      <c r="K23" s="175">
        <v>2.4249999999999998</v>
      </c>
      <c r="L23" s="175">
        <v>2.5</v>
      </c>
      <c r="M23" s="175">
        <v>6</v>
      </c>
      <c r="N23" s="42" t="s">
        <v>292</v>
      </c>
      <c r="O23" s="42" t="s">
        <v>80</v>
      </c>
      <c r="P23" s="42" t="s">
        <v>318</v>
      </c>
      <c r="Q23" s="118"/>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row>
    <row r="24" spans="1:297" ht="16" x14ac:dyDescent="0.2">
      <c r="A24" s="299"/>
      <c r="B24" s="106"/>
      <c r="C24" s="106" t="s">
        <v>123</v>
      </c>
      <c r="D24" s="106" t="s">
        <v>110</v>
      </c>
      <c r="E24" s="106" t="s">
        <v>140</v>
      </c>
      <c r="F24" s="175">
        <v>78.542214079684001</v>
      </c>
      <c r="G24" s="175">
        <v>62.344190765814062</v>
      </c>
      <c r="H24" s="175">
        <v>67.066892929999995</v>
      </c>
      <c r="I24" s="175">
        <v>58.5320878539981</v>
      </c>
      <c r="J24" s="175">
        <v>53.848970472000005</v>
      </c>
      <c r="K24" s="175">
        <v>53.296777771030904</v>
      </c>
      <c r="L24" s="175">
        <v>68.939235312999998</v>
      </c>
      <c r="M24" s="175">
        <v>59.294459753644006</v>
      </c>
      <c r="N24" s="42" t="s">
        <v>157</v>
      </c>
      <c r="O24" s="42" t="s">
        <v>80</v>
      </c>
      <c r="P24" s="42" t="s">
        <v>10368</v>
      </c>
      <c r="Q24" s="118" t="s">
        <v>319</v>
      </c>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row>
    <row r="25" spans="1:297" ht="16" x14ac:dyDescent="0.2">
      <c r="A25" s="299"/>
      <c r="B25" s="106" t="s">
        <v>102</v>
      </c>
      <c r="C25" s="106"/>
      <c r="D25" s="106" t="s">
        <v>110</v>
      </c>
      <c r="E25" s="106"/>
      <c r="F25" s="120">
        <v>1.4496812264614698E-2</v>
      </c>
      <c r="G25" s="120">
        <v>0.12852080874953054</v>
      </c>
      <c r="H25" s="120">
        <v>2.8291285900831659E-2</v>
      </c>
      <c r="I25" s="120">
        <v>1.7166347871089994E-3</v>
      </c>
      <c r="J25" s="120">
        <v>3.522157729377217E-2</v>
      </c>
      <c r="K25" s="120">
        <v>8.2847467788464024E-2</v>
      </c>
      <c r="L25" s="120">
        <v>2.9771737796170678E-2</v>
      </c>
      <c r="M25" s="120">
        <v>2.534326178823661E-2</v>
      </c>
      <c r="N25" s="42" t="s">
        <v>83</v>
      </c>
      <c r="O25" s="42" t="s">
        <v>14</v>
      </c>
      <c r="P25" s="42" t="s">
        <v>84</v>
      </c>
      <c r="Q25" s="118"/>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row>
    <row r="26" spans="1:297" ht="16" x14ac:dyDescent="0.2">
      <c r="A26" s="299"/>
      <c r="B26" s="106" t="s">
        <v>43</v>
      </c>
      <c r="C26" s="106"/>
      <c r="D26" s="106" t="s">
        <v>110</v>
      </c>
      <c r="E26" s="106"/>
      <c r="F26" s="120">
        <v>0.35147070435432404</v>
      </c>
      <c r="G26" s="120">
        <v>0.25279570842766858</v>
      </c>
      <c r="H26" s="120">
        <v>0.14390491021695584</v>
      </c>
      <c r="I26" s="120">
        <v>0.18244911496210642</v>
      </c>
      <c r="J26" s="120">
        <v>0.42860855705021172</v>
      </c>
      <c r="K26" s="120">
        <v>0.18047084710299308</v>
      </c>
      <c r="L26" s="120">
        <v>0.32944492030836076</v>
      </c>
      <c r="M26" s="120">
        <v>0.16470065355227445</v>
      </c>
      <c r="N26" s="42" t="s">
        <v>86</v>
      </c>
      <c r="O26" s="42" t="s">
        <v>14</v>
      </c>
      <c r="P26" s="42" t="s">
        <v>85</v>
      </c>
      <c r="Q26" s="118"/>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row>
    <row r="27" spans="1:297" ht="16" x14ac:dyDescent="0.2">
      <c r="A27" s="299"/>
      <c r="B27" s="106"/>
      <c r="C27" s="106" t="s">
        <v>142</v>
      </c>
      <c r="D27" s="106" t="s">
        <v>110</v>
      </c>
      <c r="E27" s="106"/>
      <c r="F27" s="121">
        <v>0.36596751661893873</v>
      </c>
      <c r="G27" s="121">
        <v>0.38131651717719917</v>
      </c>
      <c r="H27" s="121">
        <v>0.1721961961177875</v>
      </c>
      <c r="I27" s="121">
        <v>0.1841657497492154</v>
      </c>
      <c r="J27" s="121">
        <v>0.4638301343439839</v>
      </c>
      <c r="K27" s="121">
        <v>0.26331831489145707</v>
      </c>
      <c r="L27" s="121">
        <v>0.35921665810453146</v>
      </c>
      <c r="M27" s="121">
        <v>0.19004391534051104</v>
      </c>
      <c r="N27" s="42" t="s">
        <v>143</v>
      </c>
      <c r="O27" s="42" t="s">
        <v>14</v>
      </c>
      <c r="P27" s="42" t="s">
        <v>316</v>
      </c>
      <c r="Q27" s="118"/>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row>
    <row r="28" spans="1:297" ht="16" x14ac:dyDescent="0.2">
      <c r="A28" s="299"/>
      <c r="B28" s="106" t="s">
        <v>44</v>
      </c>
      <c r="C28" s="106" t="s">
        <v>125</v>
      </c>
      <c r="D28" s="106" t="s">
        <v>110</v>
      </c>
      <c r="E28" s="106"/>
      <c r="F28" s="104">
        <v>0.26947836230891975</v>
      </c>
      <c r="G28" s="104">
        <v>0.26947836230891975</v>
      </c>
      <c r="H28" s="104">
        <v>0.26947836230891975</v>
      </c>
      <c r="I28" s="104">
        <v>0.26947836230891975</v>
      </c>
      <c r="J28" s="104">
        <v>0.26947836230891975</v>
      </c>
      <c r="K28" s="104">
        <v>0.26947836230891975</v>
      </c>
      <c r="L28" s="104">
        <v>0.26947836230891975</v>
      </c>
      <c r="M28" s="104">
        <v>0.26947836230891975</v>
      </c>
      <c r="N28" s="42" t="s">
        <v>87</v>
      </c>
      <c r="O28" s="42" t="s">
        <v>14</v>
      </c>
      <c r="P28" s="42" t="s">
        <v>316</v>
      </c>
      <c r="Q28" s="118"/>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row>
    <row r="29" spans="1:297" ht="16" x14ac:dyDescent="0.2">
      <c r="A29" s="299"/>
      <c r="B29" s="106" t="s">
        <v>45</v>
      </c>
      <c r="C29" s="106"/>
      <c r="D29" s="106" t="s">
        <v>110</v>
      </c>
      <c r="E29" s="106"/>
      <c r="F29" s="104">
        <v>9.5129375951293795E-13</v>
      </c>
      <c r="G29" s="104">
        <v>9.5129375951293795E-13</v>
      </c>
      <c r="H29" s="104">
        <v>9.5129375951293795E-13</v>
      </c>
      <c r="I29" s="104">
        <v>9.5129375951293795E-13</v>
      </c>
      <c r="J29" s="104">
        <v>9.5129375951293795E-13</v>
      </c>
      <c r="K29" s="104">
        <v>9.5129375951293795E-13</v>
      </c>
      <c r="L29" s="104">
        <v>9.5129375951293795E-13</v>
      </c>
      <c r="M29" s="104">
        <v>9.5129375951293795E-13</v>
      </c>
      <c r="N29" s="42" t="s">
        <v>90</v>
      </c>
      <c r="O29" s="42" t="s">
        <v>78</v>
      </c>
      <c r="P29" s="42" t="s">
        <v>316</v>
      </c>
      <c r="Q29" s="118"/>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row>
    <row r="30" spans="1:297" ht="16" x14ac:dyDescent="0.2">
      <c r="A30" s="299"/>
      <c r="B30" s="106" t="s">
        <v>46</v>
      </c>
      <c r="C30" s="106"/>
      <c r="D30" s="106" t="s">
        <v>110</v>
      </c>
      <c r="E30" s="106"/>
      <c r="F30" s="104">
        <v>196751132562.48169</v>
      </c>
      <c r="G30" s="104">
        <v>232770200000</v>
      </c>
      <c r="H30" s="104">
        <v>115430499144.41551</v>
      </c>
      <c r="I30" s="104">
        <v>272246800000</v>
      </c>
      <c r="J30" s="104">
        <v>224777357080.85178</v>
      </c>
      <c r="K30" s="104">
        <v>1668488490911.5991</v>
      </c>
      <c r="L30" s="104">
        <v>968920300.65213537</v>
      </c>
      <c r="M30" s="104">
        <v>10565999999.999998</v>
      </c>
      <c r="N30" s="42" t="s">
        <v>91</v>
      </c>
      <c r="O30" s="42" t="s">
        <v>92</v>
      </c>
      <c r="P30" s="42" t="s">
        <v>316</v>
      </c>
      <c r="Q30" s="118"/>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row>
    <row r="31" spans="1:297" ht="16" x14ac:dyDescent="0.2">
      <c r="A31" s="299"/>
      <c r="B31" s="122" t="s">
        <v>151</v>
      </c>
      <c r="C31" s="122" t="s">
        <v>151</v>
      </c>
      <c r="D31" s="106"/>
      <c r="E31" s="106"/>
      <c r="F31" s="123">
        <v>7.4999999999999997E-2</v>
      </c>
      <c r="G31" s="123">
        <v>0.2989</v>
      </c>
      <c r="H31" s="123">
        <v>0.1022</v>
      </c>
      <c r="I31" s="123">
        <v>0.2268</v>
      </c>
      <c r="J31" s="123">
        <v>0.1225</v>
      </c>
      <c r="K31" s="123">
        <v>0.28799999999999998</v>
      </c>
      <c r="L31" s="123">
        <v>5.7000000000000002E-2</v>
      </c>
      <c r="M31" s="123">
        <v>8.9200000000000002E-2</v>
      </c>
      <c r="N31" s="42"/>
      <c r="O31" s="42" t="s">
        <v>14</v>
      </c>
      <c r="P31" s="42" t="s">
        <v>294</v>
      </c>
      <c r="Q31" s="118"/>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5"/>
      <c r="IY31" s="15"/>
      <c r="IZ31" s="15"/>
      <c r="JA31" s="15"/>
      <c r="JB31" s="15"/>
      <c r="JC31" s="15"/>
      <c r="JD31" s="15"/>
      <c r="JE31" s="15"/>
      <c r="JF31" s="15"/>
      <c r="JG31" s="15"/>
      <c r="JH31" s="15"/>
      <c r="JI31" s="15"/>
      <c r="JJ31" s="15"/>
      <c r="JK31" s="15"/>
      <c r="JL31" s="15"/>
      <c r="JM31" s="15"/>
      <c r="JN31" s="15"/>
      <c r="JO31" s="15"/>
      <c r="JP31" s="15"/>
      <c r="JQ31" s="15"/>
      <c r="JR31" s="15"/>
      <c r="JS31" s="15"/>
      <c r="JT31" s="15"/>
      <c r="JU31" s="15"/>
      <c r="JV31" s="15"/>
      <c r="JW31" s="15"/>
      <c r="JX31" s="15"/>
      <c r="JY31" s="15"/>
      <c r="JZ31" s="15"/>
      <c r="KA31" s="15"/>
      <c r="KB31" s="15"/>
      <c r="KC31" s="15"/>
      <c r="KD31" s="15"/>
      <c r="KE31" s="15"/>
      <c r="KF31" s="15"/>
      <c r="KG31" s="15"/>
      <c r="KH31" s="15"/>
      <c r="KI31" s="15"/>
      <c r="KJ31" s="15"/>
      <c r="KK31" s="15"/>
    </row>
    <row r="32" spans="1:297" ht="16" x14ac:dyDescent="0.2">
      <c r="A32" s="299"/>
      <c r="B32" s="122" t="s">
        <v>153</v>
      </c>
      <c r="C32" s="122" t="s">
        <v>153</v>
      </c>
      <c r="D32" s="106"/>
      <c r="E32" s="106"/>
      <c r="F32" s="104">
        <v>0.27760305514994943</v>
      </c>
      <c r="G32" s="104">
        <v>0.30383016960575088</v>
      </c>
      <c r="H32" s="104">
        <v>4.1502864203077618E-2</v>
      </c>
      <c r="I32" s="104">
        <v>0.26884196338312927</v>
      </c>
      <c r="J32" s="104">
        <v>0.31455689093563965</v>
      </c>
      <c r="K32" s="104">
        <v>0.4476580927777154</v>
      </c>
      <c r="L32" s="104">
        <v>0.2618218578007413</v>
      </c>
      <c r="M32" s="104">
        <v>0.17022352016174322</v>
      </c>
      <c r="N32" s="42"/>
      <c r="O32" s="42" t="s">
        <v>14</v>
      </c>
      <c r="P32" s="42" t="s">
        <v>294</v>
      </c>
      <c r="Q32" s="118"/>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row>
    <row r="33" spans="1:297" ht="16" x14ac:dyDescent="0.2">
      <c r="A33" s="299"/>
      <c r="B33" s="122" t="s">
        <v>155</v>
      </c>
      <c r="C33" s="122" t="s">
        <v>155</v>
      </c>
      <c r="D33" s="106"/>
      <c r="E33" s="106"/>
      <c r="F33" s="123">
        <v>3.2399999999999998E-2</v>
      </c>
      <c r="G33" s="123">
        <v>0.34329999999999999</v>
      </c>
      <c r="H33" s="123">
        <v>8.3099999999999993E-2</v>
      </c>
      <c r="I33" s="123">
        <v>0.2283</v>
      </c>
      <c r="J33" s="123">
        <v>7.5999999999999998E-2</v>
      </c>
      <c r="K33" s="123">
        <v>0.2298</v>
      </c>
      <c r="L33" s="123">
        <v>2.1399999999999999E-2</v>
      </c>
      <c r="M33" s="123">
        <v>0.13100000000000001</v>
      </c>
      <c r="N33" s="42"/>
      <c r="O33" s="42" t="s">
        <v>14</v>
      </c>
      <c r="P33" s="42" t="s">
        <v>294</v>
      </c>
      <c r="Q33" s="118"/>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row>
    <row r="34" spans="1:297" ht="16" x14ac:dyDescent="0.2">
      <c r="A34" s="299"/>
      <c r="B34" s="122"/>
      <c r="C34" s="122" t="s">
        <v>10287</v>
      </c>
      <c r="D34" s="106"/>
      <c r="E34" s="106"/>
      <c r="F34" s="123">
        <f>_xlfn.XLOOKUP(F5,'4.2.GEP'!$B$10:$B$17,'4.2.GEP'!$C$10:$C$17)</f>
        <v>5.9054667922886932E-2</v>
      </c>
      <c r="G34" s="123">
        <f>_xlfn.XLOOKUP(G5,'4.2.GEP'!$B$10:$B$17,'4.2.GEP'!$C$10:$C$17)</f>
        <v>0.3036517887000818</v>
      </c>
      <c r="H34" s="123">
        <f>_xlfn.XLOOKUP(H5,'4.2.GEP'!$B$10:$B$17,'4.2.GEP'!$C$10:$C$17)</f>
        <v>4.0952245725942915E-2</v>
      </c>
      <c r="I34" s="123">
        <f>_xlfn.XLOOKUP(I5,'4.2.GEP'!$B$10:$B$17,'4.2.GEP'!$C$10:$C$17)</f>
        <v>0.20853272141557472</v>
      </c>
      <c r="J34" s="123">
        <f>_xlfn.XLOOKUP(J5,'4.2.GEP'!$B$10:$B$17,'4.2.GEP'!$C$10:$C$17)</f>
        <v>9.9781407726149737E-3</v>
      </c>
      <c r="K34" s="123">
        <f>_xlfn.XLOOKUP(K5,'4.2.GEP'!$B$10:$B$17,'4.2.GEP'!$C$10:$C$17)</f>
        <v>0.32834703137110061</v>
      </c>
      <c r="L34" s="123">
        <f>_xlfn.XLOOKUP(L5,'4.2.GEP'!$B$10:$B$17,'4.2.GEP'!$C$10:$C$17)</f>
        <v>4.8053333782487051E-3</v>
      </c>
      <c r="M34" s="123">
        <f>_xlfn.XLOOKUP(M5,'4.2.GEP'!$B$10:$B$17,'4.2.GEP'!$C$10:$C$17)</f>
        <v>4.4678070713549303E-2</v>
      </c>
      <c r="N34" s="42" t="s">
        <v>10291</v>
      </c>
      <c r="O34" s="42" t="s">
        <v>14</v>
      </c>
      <c r="P34" s="42" t="s">
        <v>10290</v>
      </c>
      <c r="Q34" s="118"/>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row>
    <row r="35" spans="1:297" ht="16" x14ac:dyDescent="0.2">
      <c r="A35" s="299"/>
      <c r="B35" s="122"/>
      <c r="C35" s="122" t="s">
        <v>10289</v>
      </c>
      <c r="D35" s="106"/>
      <c r="E35" s="106"/>
      <c r="F35" s="123">
        <f>_xlfn.XLOOKUP(F5,'4.2.GEP'!$B$10:$B$17,'4.2.GEP'!$D$10:$D$17)</f>
        <v>2.1439842055205102E-2</v>
      </c>
      <c r="G35" s="123">
        <f>_xlfn.XLOOKUP(G5,'4.2.GEP'!$B$10:$B$17,'4.2.GEP'!$D$10:$D$17)</f>
        <v>8.7638778343672577E-2</v>
      </c>
      <c r="H35" s="123">
        <f>_xlfn.XLOOKUP(H5,'4.2.GEP'!$B$10:$B$17,'4.2.GEP'!$D$10:$D$17)</f>
        <v>1.5125203726954878E-2</v>
      </c>
      <c r="I35" s="123">
        <f>_xlfn.XLOOKUP(I5,'4.2.GEP'!$B$10:$B$17,'4.2.GEP'!$D$10:$D$17)</f>
        <v>9.7109148232477988E-2</v>
      </c>
      <c r="J35" s="123">
        <f>_xlfn.XLOOKUP(J5,'4.2.GEP'!$B$10:$B$17,'4.2.GEP'!$D$10:$D$17)</f>
        <v>1.8066338108188508E-2</v>
      </c>
      <c r="K35" s="123">
        <f>_xlfn.XLOOKUP(K5,'4.2.GEP'!$B$10:$B$17,'4.2.GEP'!$D$10:$D$17)</f>
        <v>0.18266153224593423</v>
      </c>
      <c r="L35" s="123">
        <f>_xlfn.XLOOKUP(L5,'4.2.GEP'!$B$10:$B$17,'4.2.GEP'!$D$10:$D$17)</f>
        <v>2.579813994568067E-3</v>
      </c>
      <c r="M35" s="123">
        <f>_xlfn.XLOOKUP(M5,'4.2.GEP'!$B$10:$B$17,'4.2.GEP'!$D$10:$D$17)</f>
        <v>5.7944150242724833E-2</v>
      </c>
      <c r="N35" s="42" t="s">
        <v>10292</v>
      </c>
      <c r="O35" s="42" t="s">
        <v>14</v>
      </c>
      <c r="P35" s="42" t="s">
        <v>10290</v>
      </c>
      <c r="Q35" s="118"/>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c r="IX35" s="15"/>
      <c r="IY35" s="15"/>
      <c r="IZ35" s="15"/>
      <c r="JA35" s="15"/>
      <c r="JB35" s="15"/>
      <c r="JC35" s="15"/>
      <c r="JD35" s="15"/>
      <c r="JE35" s="15"/>
      <c r="JF35" s="15"/>
      <c r="JG35" s="15"/>
      <c r="JH35" s="15"/>
      <c r="JI35" s="15"/>
      <c r="JJ35" s="15"/>
      <c r="JK35" s="15"/>
      <c r="JL35" s="15"/>
      <c r="JM35" s="15"/>
      <c r="JN35" s="15"/>
      <c r="JO35" s="15"/>
      <c r="JP35" s="15"/>
      <c r="JQ35" s="15"/>
      <c r="JR35" s="15"/>
      <c r="JS35" s="15"/>
      <c r="JT35" s="15"/>
      <c r="JU35" s="15"/>
      <c r="JV35" s="15"/>
      <c r="JW35" s="15"/>
      <c r="JX35" s="15"/>
      <c r="JY35" s="15"/>
      <c r="JZ35" s="15"/>
      <c r="KA35" s="15"/>
      <c r="KB35" s="15"/>
      <c r="KC35" s="15"/>
      <c r="KD35" s="15"/>
      <c r="KE35" s="15"/>
      <c r="KF35" s="15"/>
      <c r="KG35" s="15"/>
      <c r="KH35" s="15"/>
      <c r="KI35" s="15"/>
      <c r="KJ35" s="15"/>
      <c r="KK35" s="15"/>
    </row>
    <row r="36" spans="1:297" ht="16" x14ac:dyDescent="0.2">
      <c r="A36" s="299"/>
      <c r="B36" s="122"/>
      <c r="C36" s="122" t="s">
        <v>10288</v>
      </c>
      <c r="D36" s="106"/>
      <c r="E36" s="106"/>
      <c r="F36" s="123">
        <f>_xlfn.XLOOKUP(F5,'4.2.GEP'!$B$10:$B$17,'4.2.GEP'!$E$10:$E$17)</f>
        <v>3.0145306536277165E-2</v>
      </c>
      <c r="G36" s="123">
        <f>_xlfn.XLOOKUP(G5,'4.2.GEP'!$B$10:$B$17,'4.2.GEP'!$E$10:$E$17)</f>
        <v>0.42476874539395992</v>
      </c>
      <c r="H36" s="123">
        <f>_xlfn.XLOOKUP(H5,'4.2.GEP'!$B$10:$B$17,'4.2.GEP'!$E$10:$E$17)</f>
        <v>2.2176711063814279E-2</v>
      </c>
      <c r="I36" s="123">
        <f>_xlfn.XLOOKUP(I5,'4.2.GEP'!$B$10:$B$17,'4.2.GEP'!$E$10:$E$17)</f>
        <v>0.2205386112736234</v>
      </c>
      <c r="J36" s="123">
        <f>_xlfn.XLOOKUP(J5,'4.2.GEP'!$B$10:$B$17,'4.2.GEP'!$E$10:$E$17)</f>
        <v>1.2068098517880025E-2</v>
      </c>
      <c r="K36" s="123">
        <f>_xlfn.XLOOKUP(K5,'4.2.GEP'!$B$10:$B$17,'4.2.GEP'!$E$10:$E$17)</f>
        <v>0.20716998333310707</v>
      </c>
      <c r="L36" s="123">
        <f>_xlfn.XLOOKUP(L5,'4.2.GEP'!$B$10:$B$17,'4.2.GEP'!$E$10:$E$17)</f>
        <v>3.2865479674646569E-3</v>
      </c>
      <c r="M36" s="123">
        <f>_xlfn.XLOOKUP(M5,'4.2.GEP'!$B$10:$B$17,'4.2.GEP'!$E$10:$E$17)</f>
        <v>7.9845995913873508E-2</v>
      </c>
      <c r="N36" s="42" t="s">
        <v>10293</v>
      </c>
      <c r="O36" s="42" t="s">
        <v>14</v>
      </c>
      <c r="P36" s="42" t="s">
        <v>10290</v>
      </c>
      <c r="Q36" s="118"/>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row>
    <row r="37" spans="1:297" ht="16" x14ac:dyDescent="0.2">
      <c r="A37" s="299"/>
      <c r="B37" s="122"/>
      <c r="C37" s="106" t="s">
        <v>158</v>
      </c>
      <c r="D37" s="106" t="s">
        <v>110</v>
      </c>
      <c r="E37" s="106" t="s">
        <v>118</v>
      </c>
      <c r="F37" s="104" cm="1">
        <f t="array" ref="F37">_xlfn.XLOOKUP($E37, '1.5.UVintensity'!$L$3:$L$14, _xlfn.XLOOKUP(F$5, '1.5.UVintensity'!$M$2:$U$2, '1.5.UVintensity'!$M$3:$U$14))</f>
        <v>0</v>
      </c>
      <c r="G37" s="104" cm="1">
        <f t="array" ref="G37">_xlfn.XLOOKUP($E37, '1.5.UVintensity'!$L$3:$L$14, _xlfn.XLOOKUP(G$5, '1.5.UVintensity'!$M$2:$U$2, '1.5.UVintensity'!$M$3:$U$14))</f>
        <v>0</v>
      </c>
      <c r="H37" s="104" cm="1">
        <f t="array" ref="H37">_xlfn.XLOOKUP($E37, '1.5.UVintensity'!$L$3:$L$14, _xlfn.XLOOKUP(H$5, '1.5.UVintensity'!$M$2:$U$2, '1.5.UVintensity'!$M$3:$U$14))</f>
        <v>0</v>
      </c>
      <c r="I37" s="104" cm="1">
        <f t="array" ref="I37">_xlfn.XLOOKUP($E37, '1.5.UVintensity'!$L$3:$L$14, _xlfn.XLOOKUP(I$5, '1.5.UVintensity'!$M$2:$U$2, '1.5.UVintensity'!$M$3:$U$14))</f>
        <v>0</v>
      </c>
      <c r="J37" s="104" cm="1">
        <f t="array" ref="J37">_xlfn.XLOOKUP($E37, '1.5.UVintensity'!$L$3:$L$14, _xlfn.XLOOKUP(J$5, '1.5.UVintensity'!$M$2:$U$2, '1.5.UVintensity'!$M$3:$U$14))</f>
        <v>0</v>
      </c>
      <c r="K37" s="104" cm="1">
        <f t="array" ref="K37">_xlfn.XLOOKUP($E37, '1.5.UVintensity'!$L$3:$L$14, _xlfn.XLOOKUP(K$5, '1.5.UVintensity'!$M$2:$U$2, '1.5.UVintensity'!$M$3:$U$14))</f>
        <v>0</v>
      </c>
      <c r="L37" s="104" cm="1">
        <f t="array" ref="L37">_xlfn.XLOOKUP($E37, '1.5.UVintensity'!$L$3:$L$14, _xlfn.XLOOKUP(L$5, '1.5.UVintensity'!$M$2:$U$2, '1.5.UVintensity'!$M$3:$U$14))</f>
        <v>0</v>
      </c>
      <c r="M37" s="104" cm="1">
        <f t="array" ref="M37">_xlfn.XLOOKUP($E37, '1.5.UVintensity'!$L$3:$L$14, _xlfn.XLOOKUP(M$5, '1.5.UVintensity'!$M$2:$U$2, '1.5.UVintensity'!$M$3:$U$14))</f>
        <v>0</v>
      </c>
      <c r="N37" s="42"/>
      <c r="O37" s="42" t="s">
        <v>162</v>
      </c>
      <c r="P37" s="42" t="s">
        <v>161</v>
      </c>
      <c r="Q37" s="118"/>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row>
    <row r="38" spans="1:297" ht="16" x14ac:dyDescent="0.2">
      <c r="A38" s="299"/>
      <c r="B38" s="122"/>
      <c r="C38" s="106" t="s">
        <v>158</v>
      </c>
      <c r="D38" s="106" t="s">
        <v>110</v>
      </c>
      <c r="E38" s="106" t="s">
        <v>98</v>
      </c>
      <c r="F38" s="104" cm="1">
        <f t="array" ref="F38">_xlfn.XLOOKUP($E38, '1.5.UVintensity'!$L$3:$L$14, _xlfn.XLOOKUP(F$5, '1.5.UVintensity'!$M$2:$U$2, '1.5.UVintensity'!$M$3:$U$14))</f>
        <v>8.02</v>
      </c>
      <c r="G38" s="104" cm="1">
        <f t="array" ref="G38">_xlfn.XLOOKUP($E38, '1.5.UVintensity'!$L$3:$L$14, _xlfn.XLOOKUP(G$5, '1.5.UVintensity'!$M$2:$U$2, '1.5.UVintensity'!$M$3:$U$14))</f>
        <v>11.78</v>
      </c>
      <c r="H38" s="104" cm="1">
        <f t="array" ref="H38">_xlfn.XLOOKUP($E38, '1.5.UVintensity'!$L$3:$L$14, _xlfn.XLOOKUP(H$5, '1.5.UVintensity'!$M$2:$U$2, '1.5.UVintensity'!$M$3:$U$14))</f>
        <v>5.23</v>
      </c>
      <c r="I38" s="104" cm="1">
        <f t="array" ref="I38">_xlfn.XLOOKUP($E38, '1.5.UVintensity'!$L$3:$L$14, _xlfn.XLOOKUP(I$5, '1.5.UVintensity'!$M$2:$U$2, '1.5.UVintensity'!$M$3:$U$14))</f>
        <v>13.819999999999999</v>
      </c>
      <c r="J38" s="104" cm="1">
        <f t="array" ref="J38">_xlfn.XLOOKUP($E38, '1.5.UVintensity'!$L$3:$L$14, _xlfn.XLOOKUP(J$5, '1.5.UVintensity'!$M$2:$U$2, '1.5.UVintensity'!$M$3:$U$14))</f>
        <v>5.629999999999999</v>
      </c>
      <c r="K38" s="104" cm="1">
        <f t="array" ref="K38">_xlfn.XLOOKUP($E38, '1.5.UVintensity'!$L$3:$L$14, _xlfn.XLOOKUP(K$5, '1.5.UVintensity'!$M$2:$U$2, '1.5.UVintensity'!$M$3:$U$14))</f>
        <v>13.65</v>
      </c>
      <c r="L38" s="104" cm="1">
        <f t="array" ref="L38">_xlfn.XLOOKUP($E38, '1.5.UVintensity'!$L$3:$L$14, _xlfn.XLOOKUP(L$5, '1.5.UVintensity'!$M$2:$U$2, '1.5.UVintensity'!$M$3:$U$14))</f>
        <v>3.6399999999999997</v>
      </c>
      <c r="M38" s="104" cm="1">
        <f t="array" ref="M38">_xlfn.XLOOKUP($E38, '1.5.UVintensity'!$L$3:$L$14, _xlfn.XLOOKUP(M$5, '1.5.UVintensity'!$M$2:$U$2, '1.5.UVintensity'!$M$3:$U$14))</f>
        <v>11.850000000000001</v>
      </c>
      <c r="N38" s="42"/>
      <c r="O38" s="42" t="s">
        <v>162</v>
      </c>
      <c r="P38" s="42" t="s">
        <v>161</v>
      </c>
      <c r="Q38" s="118"/>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row>
    <row r="39" spans="1:297" ht="16" x14ac:dyDescent="0.2">
      <c r="A39" s="299"/>
      <c r="B39" s="122"/>
      <c r="C39" s="106" t="s">
        <v>158</v>
      </c>
      <c r="D39" s="106" t="s">
        <v>110</v>
      </c>
      <c r="E39" s="106" t="s">
        <v>160</v>
      </c>
      <c r="F39" s="104" cm="1">
        <f t="array" ref="F39">_xlfn.XLOOKUP($E39, '1.5.UVintensity'!$L$3:$L$14, _xlfn.XLOOKUP(F$5, '1.5.UVintensity'!$M$2:$U$2, '1.5.UVintensity'!$M$3:$U$14))</f>
        <v>8.02</v>
      </c>
      <c r="G39" s="104" cm="1">
        <f t="array" ref="G39">_xlfn.XLOOKUP($E39, '1.5.UVintensity'!$L$3:$L$14, _xlfn.XLOOKUP(G$5, '1.5.UVintensity'!$M$2:$U$2, '1.5.UVintensity'!$M$3:$U$14))</f>
        <v>11.78</v>
      </c>
      <c r="H39" s="104" cm="1">
        <f t="array" ref="H39">_xlfn.XLOOKUP($E39, '1.5.UVintensity'!$L$3:$L$14, _xlfn.XLOOKUP(H$5, '1.5.UVintensity'!$M$2:$U$2, '1.5.UVintensity'!$M$3:$U$14))</f>
        <v>5.23</v>
      </c>
      <c r="I39" s="104" cm="1">
        <f t="array" ref="I39">_xlfn.XLOOKUP($E39, '1.5.UVintensity'!$L$3:$L$14, _xlfn.XLOOKUP(I$5, '1.5.UVintensity'!$M$2:$U$2, '1.5.UVintensity'!$M$3:$U$14))</f>
        <v>13.819999999999999</v>
      </c>
      <c r="J39" s="104" cm="1">
        <f t="array" ref="J39">_xlfn.XLOOKUP($E39, '1.5.UVintensity'!$L$3:$L$14, _xlfn.XLOOKUP(J$5, '1.5.UVintensity'!$M$2:$U$2, '1.5.UVintensity'!$M$3:$U$14))</f>
        <v>5.629999999999999</v>
      </c>
      <c r="K39" s="104" cm="1">
        <f t="array" ref="K39">_xlfn.XLOOKUP($E39, '1.5.UVintensity'!$L$3:$L$14, _xlfn.XLOOKUP(K$5, '1.5.UVintensity'!$M$2:$U$2, '1.5.UVintensity'!$M$3:$U$14))</f>
        <v>13.65</v>
      </c>
      <c r="L39" s="104" cm="1">
        <f t="array" ref="L39">_xlfn.XLOOKUP($E39, '1.5.UVintensity'!$L$3:$L$14, _xlfn.XLOOKUP(L$5, '1.5.UVintensity'!$M$2:$U$2, '1.5.UVintensity'!$M$3:$U$14))</f>
        <v>3.6399999999999997</v>
      </c>
      <c r="M39" s="104" cm="1">
        <f t="array" ref="M39">_xlfn.XLOOKUP($E39, '1.5.UVintensity'!$L$3:$L$14, _xlfn.XLOOKUP(M$5, '1.5.UVintensity'!$M$2:$U$2, '1.5.UVintensity'!$M$3:$U$14))</f>
        <v>11.850000000000001</v>
      </c>
      <c r="N39" s="42"/>
      <c r="O39" s="42" t="s">
        <v>162</v>
      </c>
      <c r="P39" s="42" t="s">
        <v>161</v>
      </c>
      <c r="Q39" s="118"/>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row>
    <row r="40" spans="1:297" ht="16" x14ac:dyDescent="0.2">
      <c r="A40" s="299"/>
      <c r="B40" s="122"/>
      <c r="C40" s="106" t="s">
        <v>158</v>
      </c>
      <c r="D40" s="106" t="s">
        <v>110</v>
      </c>
      <c r="E40" s="106" t="s">
        <v>138</v>
      </c>
      <c r="F40" s="104" cm="1">
        <f t="array" ref="F40">_xlfn.XLOOKUP($E40, '1.5.UVintensity'!$L$3:$L$14, _xlfn.XLOOKUP(F$5, '1.5.UVintensity'!$M$2:$U$2, '1.5.UVintensity'!$M$3:$U$14))</f>
        <v>0</v>
      </c>
      <c r="G40" s="104" cm="1">
        <f t="array" ref="G40">_xlfn.XLOOKUP($E40, '1.5.UVintensity'!$L$3:$L$14, _xlfn.XLOOKUP(G$5, '1.5.UVintensity'!$M$2:$U$2, '1.5.UVintensity'!$M$3:$U$14))</f>
        <v>0</v>
      </c>
      <c r="H40" s="104" cm="1">
        <f t="array" ref="H40">_xlfn.XLOOKUP($E40, '1.5.UVintensity'!$L$3:$L$14, _xlfn.XLOOKUP(H$5, '1.5.UVintensity'!$M$2:$U$2, '1.5.UVintensity'!$M$3:$U$14))</f>
        <v>0</v>
      </c>
      <c r="I40" s="104" cm="1">
        <f t="array" ref="I40">_xlfn.XLOOKUP($E40, '1.5.UVintensity'!$L$3:$L$14, _xlfn.XLOOKUP(I$5, '1.5.UVintensity'!$M$2:$U$2, '1.5.UVintensity'!$M$3:$U$14))</f>
        <v>0</v>
      </c>
      <c r="J40" s="104" cm="1">
        <f t="array" ref="J40">_xlfn.XLOOKUP($E40, '1.5.UVintensity'!$L$3:$L$14, _xlfn.XLOOKUP(J$5, '1.5.UVintensity'!$M$2:$U$2, '1.5.UVintensity'!$M$3:$U$14))</f>
        <v>0</v>
      </c>
      <c r="K40" s="104" cm="1">
        <f t="array" ref="K40">_xlfn.XLOOKUP($E40, '1.5.UVintensity'!$L$3:$L$14, _xlfn.XLOOKUP(K$5, '1.5.UVintensity'!$M$2:$U$2, '1.5.UVintensity'!$M$3:$U$14))</f>
        <v>0</v>
      </c>
      <c r="L40" s="104" cm="1">
        <f t="array" ref="L40">_xlfn.XLOOKUP($E40, '1.5.UVintensity'!$L$3:$L$14, _xlfn.XLOOKUP(L$5, '1.5.UVintensity'!$M$2:$U$2, '1.5.UVintensity'!$M$3:$U$14))</f>
        <v>0</v>
      </c>
      <c r="M40" s="104" cm="1">
        <f t="array" ref="M40">_xlfn.XLOOKUP($E40, '1.5.UVintensity'!$L$3:$L$14, _xlfn.XLOOKUP(M$5, '1.5.UVintensity'!$M$2:$U$2, '1.5.UVintensity'!$M$3:$U$14))</f>
        <v>0</v>
      </c>
      <c r="N40" s="42"/>
      <c r="O40" s="42" t="s">
        <v>162</v>
      </c>
      <c r="P40" s="42" t="s">
        <v>161</v>
      </c>
      <c r="Q40" s="118"/>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5"/>
      <c r="JO40" s="15"/>
      <c r="JP40" s="15"/>
      <c r="JQ40" s="15"/>
      <c r="JR40" s="15"/>
      <c r="JS40" s="15"/>
      <c r="JT40" s="15"/>
      <c r="JU40" s="15"/>
      <c r="JV40" s="15"/>
      <c r="JW40" s="15"/>
      <c r="JX40" s="15"/>
      <c r="JY40" s="15"/>
      <c r="JZ40" s="15"/>
      <c r="KA40" s="15"/>
      <c r="KB40" s="15"/>
      <c r="KC40" s="15"/>
      <c r="KD40" s="15"/>
      <c r="KE40" s="15"/>
      <c r="KF40" s="15"/>
      <c r="KG40" s="15"/>
      <c r="KH40" s="15"/>
      <c r="KI40" s="15"/>
      <c r="KJ40" s="15"/>
      <c r="KK40" s="15"/>
    </row>
    <row r="41" spans="1:297" ht="16" x14ac:dyDescent="0.2">
      <c r="A41" s="299"/>
      <c r="B41" s="122"/>
      <c r="C41" s="106" t="s">
        <v>158</v>
      </c>
      <c r="D41" s="106" t="s">
        <v>110</v>
      </c>
      <c r="E41" s="106" t="s">
        <v>116</v>
      </c>
      <c r="F41" s="104" cm="1">
        <f t="array" ref="F41">_xlfn.XLOOKUP($E41, '1.5.UVintensity'!$L$3:$L$14, _xlfn.XLOOKUP(F$5, '1.5.UVintensity'!$M$2:$U$2, '1.5.UVintensity'!$M$3:$U$14))</f>
        <v>6.7966101694915251E-2</v>
      </c>
      <c r="G41" s="104" cm="1">
        <f t="array" ref="G41">_xlfn.XLOOKUP($E41, '1.5.UVintensity'!$L$3:$L$14, _xlfn.XLOOKUP(G$5, '1.5.UVintensity'!$M$2:$U$2, '1.5.UVintensity'!$M$3:$U$14))</f>
        <v>0.11459143968871595</v>
      </c>
      <c r="H41" s="104" cm="1">
        <f t="array" ref="H41">_xlfn.XLOOKUP($E41, '1.5.UVintensity'!$L$3:$L$14, _xlfn.XLOOKUP(H$5, '1.5.UVintensity'!$M$2:$U$2, '1.5.UVintensity'!$M$3:$U$14))</f>
        <v>4.860594795539034E-2</v>
      </c>
      <c r="I41" s="104" cm="1">
        <f t="array" ref="I41">_xlfn.XLOOKUP($E41, '1.5.UVintensity'!$L$3:$L$14, _xlfn.XLOOKUP(I$5, '1.5.UVintensity'!$M$2:$U$2, '1.5.UVintensity'!$M$3:$U$14))</f>
        <v>2.9810181190681618E-2</v>
      </c>
      <c r="J41" s="104" cm="1">
        <f t="array" ref="J41">_xlfn.XLOOKUP($E41, '1.5.UVintensity'!$L$3:$L$14, _xlfn.XLOOKUP(J$5, '1.5.UVintensity'!$M$2:$U$2, '1.5.UVintensity'!$M$3:$U$14))</f>
        <v>4.2522658610271893E-2</v>
      </c>
      <c r="K41" s="104" cm="1">
        <f t="array" ref="K41">_xlfn.XLOOKUP($E41, '1.5.UVintensity'!$L$3:$L$14, _xlfn.XLOOKUP(K$5, '1.5.UVintensity'!$M$2:$U$2, '1.5.UVintensity'!$M$3:$U$14))</f>
        <v>0.19612068965517243</v>
      </c>
      <c r="L41" s="104" cm="1">
        <f t="array" ref="L41">_xlfn.XLOOKUP($E41, '1.5.UVintensity'!$L$3:$L$14, _xlfn.XLOOKUP(L$5, '1.5.UVintensity'!$M$2:$U$2, '1.5.UVintensity'!$M$3:$U$14))</f>
        <v>6.8991660348749042E-3</v>
      </c>
      <c r="M41" s="104" cm="1">
        <f t="array" ref="M41">_xlfn.XLOOKUP($E41, '1.5.UVintensity'!$L$3:$L$14, _xlfn.XLOOKUP(M$5, '1.5.UVintensity'!$M$2:$U$2, '1.5.UVintensity'!$M$3:$U$14))</f>
        <v>0.33664772727272707</v>
      </c>
      <c r="N41" s="42"/>
      <c r="O41" s="42" t="s">
        <v>162</v>
      </c>
      <c r="P41" s="42" t="s">
        <v>161</v>
      </c>
      <c r="Q41" s="118"/>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5"/>
      <c r="JO41" s="15"/>
      <c r="JP41" s="15"/>
      <c r="JQ41" s="15"/>
      <c r="JR41" s="15"/>
      <c r="JS41" s="15"/>
      <c r="JT41" s="15"/>
      <c r="JU41" s="15"/>
      <c r="JV41" s="15"/>
      <c r="JW41" s="15"/>
      <c r="JX41" s="15"/>
      <c r="JY41" s="15"/>
      <c r="JZ41" s="15"/>
      <c r="KA41" s="15"/>
      <c r="KB41" s="15"/>
      <c r="KC41" s="15"/>
      <c r="KD41" s="15"/>
      <c r="KE41" s="15"/>
      <c r="KF41" s="15"/>
      <c r="KG41" s="15"/>
      <c r="KH41" s="15"/>
      <c r="KI41" s="15"/>
      <c r="KJ41" s="15"/>
      <c r="KK41" s="15"/>
    </row>
    <row r="42" spans="1:297" ht="16" x14ac:dyDescent="0.2">
      <c r="A42" s="299"/>
      <c r="B42" s="122"/>
      <c r="C42" s="106" t="s">
        <v>158</v>
      </c>
      <c r="D42" s="106" t="s">
        <v>110</v>
      </c>
      <c r="E42" s="106" t="s">
        <v>139</v>
      </c>
      <c r="F42" s="104" cm="1">
        <f t="array" ref="F42">_xlfn.XLOOKUP($E42, '1.5.UVintensity'!$L$3:$L$14, _xlfn.XLOOKUP(F$5, '1.5.UVintensity'!$M$2:$U$2, '1.5.UVintensity'!$M$3:$U$14))</f>
        <v>0</v>
      </c>
      <c r="G42" s="104" cm="1">
        <f t="array" ref="G42">_xlfn.XLOOKUP($E42, '1.5.UVintensity'!$L$3:$L$14, _xlfn.XLOOKUP(G$5, '1.5.UVintensity'!$M$2:$U$2, '1.5.UVintensity'!$M$3:$U$14))</f>
        <v>0</v>
      </c>
      <c r="H42" s="104" cm="1">
        <f t="array" ref="H42">_xlfn.XLOOKUP($E42, '1.5.UVintensity'!$L$3:$L$14, _xlfn.XLOOKUP(H$5, '1.5.UVintensity'!$M$2:$U$2, '1.5.UVintensity'!$M$3:$U$14))</f>
        <v>0</v>
      </c>
      <c r="I42" s="104" cm="1">
        <f t="array" ref="I42">_xlfn.XLOOKUP($E42, '1.5.UVintensity'!$L$3:$L$14, _xlfn.XLOOKUP(I$5, '1.5.UVintensity'!$M$2:$U$2, '1.5.UVintensity'!$M$3:$U$14))</f>
        <v>0</v>
      </c>
      <c r="J42" s="104" cm="1">
        <f t="array" ref="J42">_xlfn.XLOOKUP($E42, '1.5.UVintensity'!$L$3:$L$14, _xlfn.XLOOKUP(J$5, '1.5.UVintensity'!$M$2:$U$2, '1.5.UVintensity'!$M$3:$U$14))</f>
        <v>0</v>
      </c>
      <c r="K42" s="104" cm="1">
        <f t="array" ref="K42">_xlfn.XLOOKUP($E42, '1.5.UVintensity'!$L$3:$L$14, _xlfn.XLOOKUP(K$5, '1.5.UVintensity'!$M$2:$U$2, '1.5.UVintensity'!$M$3:$U$14))</f>
        <v>0</v>
      </c>
      <c r="L42" s="104" cm="1">
        <f t="array" ref="L42">_xlfn.XLOOKUP($E42, '1.5.UVintensity'!$L$3:$L$14, _xlfn.XLOOKUP(L$5, '1.5.UVintensity'!$M$2:$U$2, '1.5.UVintensity'!$M$3:$U$14))</f>
        <v>0</v>
      </c>
      <c r="M42" s="104" cm="1">
        <f t="array" ref="M42">_xlfn.XLOOKUP($E42, '1.5.UVintensity'!$L$3:$L$14, _xlfn.XLOOKUP(M$5, '1.5.UVintensity'!$M$2:$U$2, '1.5.UVintensity'!$M$3:$U$14))</f>
        <v>0</v>
      </c>
      <c r="N42" s="42"/>
      <c r="O42" s="42" t="s">
        <v>162</v>
      </c>
      <c r="P42" s="42" t="s">
        <v>161</v>
      </c>
      <c r="Q42" s="118"/>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row>
    <row r="43" spans="1:297" ht="16" x14ac:dyDescent="0.2">
      <c r="A43" s="299"/>
      <c r="B43" s="122"/>
      <c r="C43" s="106" t="s">
        <v>158</v>
      </c>
      <c r="D43" s="106" t="s">
        <v>110</v>
      </c>
      <c r="E43" s="106" t="s">
        <v>137</v>
      </c>
      <c r="F43" s="104" cm="1">
        <f t="array" ref="F43">_xlfn.XLOOKUP($E43, '1.5.UVintensity'!$L$3:$L$14, _xlfn.XLOOKUP(F$5, '1.5.UVintensity'!$M$2:$U$2, '1.5.UVintensity'!$M$3:$U$14))</f>
        <v>0</v>
      </c>
      <c r="G43" s="104" cm="1">
        <f t="array" ref="G43">_xlfn.XLOOKUP($E43, '1.5.UVintensity'!$L$3:$L$14, _xlfn.XLOOKUP(G$5, '1.5.UVintensity'!$M$2:$U$2, '1.5.UVintensity'!$M$3:$U$14))</f>
        <v>0</v>
      </c>
      <c r="H43" s="104" cm="1">
        <f t="array" ref="H43">_xlfn.XLOOKUP($E43, '1.5.UVintensity'!$L$3:$L$14, _xlfn.XLOOKUP(H$5, '1.5.UVintensity'!$M$2:$U$2, '1.5.UVintensity'!$M$3:$U$14))</f>
        <v>0</v>
      </c>
      <c r="I43" s="104" cm="1">
        <f t="array" ref="I43">_xlfn.XLOOKUP($E43, '1.5.UVintensity'!$L$3:$L$14, _xlfn.XLOOKUP(I$5, '1.5.UVintensity'!$M$2:$U$2, '1.5.UVintensity'!$M$3:$U$14))</f>
        <v>0</v>
      </c>
      <c r="J43" s="104" cm="1">
        <f t="array" ref="J43">_xlfn.XLOOKUP($E43, '1.5.UVintensity'!$L$3:$L$14, _xlfn.XLOOKUP(J$5, '1.5.UVintensity'!$M$2:$U$2, '1.5.UVintensity'!$M$3:$U$14))</f>
        <v>0</v>
      </c>
      <c r="K43" s="104" cm="1">
        <f t="array" ref="K43">_xlfn.XLOOKUP($E43, '1.5.UVintensity'!$L$3:$L$14, _xlfn.XLOOKUP(K$5, '1.5.UVintensity'!$M$2:$U$2, '1.5.UVintensity'!$M$3:$U$14))</f>
        <v>0</v>
      </c>
      <c r="L43" s="104" cm="1">
        <f t="array" ref="L43">_xlfn.XLOOKUP($E43, '1.5.UVintensity'!$L$3:$L$14, _xlfn.XLOOKUP(L$5, '1.5.UVintensity'!$M$2:$U$2, '1.5.UVintensity'!$M$3:$U$14))</f>
        <v>0</v>
      </c>
      <c r="M43" s="104" cm="1">
        <f t="array" ref="M43">_xlfn.XLOOKUP($E43, '1.5.UVintensity'!$L$3:$L$14, _xlfn.XLOOKUP(M$5, '1.5.UVintensity'!$M$2:$U$2, '1.5.UVintensity'!$M$3:$U$14))</f>
        <v>0</v>
      </c>
      <c r="N43" s="42"/>
      <c r="O43" s="42" t="s">
        <v>162</v>
      </c>
      <c r="P43" s="42" t="s">
        <v>161</v>
      </c>
      <c r="Q43" s="118"/>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row>
    <row r="44" spans="1:297" ht="16" x14ac:dyDescent="0.2">
      <c r="A44" s="299"/>
      <c r="B44" s="122"/>
      <c r="C44" s="106" t="s">
        <v>158</v>
      </c>
      <c r="D44" s="106" t="s">
        <v>110</v>
      </c>
      <c r="E44" s="106" t="s">
        <v>117</v>
      </c>
      <c r="F44" s="104" cm="1">
        <f t="array" ref="F44">_xlfn.XLOOKUP($E44, '1.5.UVintensity'!$L$3:$L$14, _xlfn.XLOOKUP(F$5, '1.5.UVintensity'!$M$2:$U$2, '1.5.UVintensity'!$M$3:$U$14))</f>
        <v>0</v>
      </c>
      <c r="G44" s="104" cm="1">
        <f t="array" ref="G44">_xlfn.XLOOKUP($E44, '1.5.UVintensity'!$L$3:$L$14, _xlfn.XLOOKUP(G$5, '1.5.UVintensity'!$M$2:$U$2, '1.5.UVintensity'!$M$3:$U$14))</f>
        <v>0</v>
      </c>
      <c r="H44" s="104" cm="1">
        <f t="array" ref="H44">_xlfn.XLOOKUP($E44, '1.5.UVintensity'!$L$3:$L$14, _xlfn.XLOOKUP(H$5, '1.5.UVintensity'!$M$2:$U$2, '1.5.UVintensity'!$M$3:$U$14))</f>
        <v>0</v>
      </c>
      <c r="I44" s="104" cm="1">
        <f t="array" ref="I44">_xlfn.XLOOKUP($E44, '1.5.UVintensity'!$L$3:$L$14, _xlfn.XLOOKUP(I$5, '1.5.UVintensity'!$M$2:$U$2, '1.5.UVintensity'!$M$3:$U$14))</f>
        <v>0</v>
      </c>
      <c r="J44" s="104" cm="1">
        <f t="array" ref="J44">_xlfn.XLOOKUP($E44, '1.5.UVintensity'!$L$3:$L$14, _xlfn.XLOOKUP(J$5, '1.5.UVintensity'!$M$2:$U$2, '1.5.UVintensity'!$M$3:$U$14))</f>
        <v>0</v>
      </c>
      <c r="K44" s="104" cm="1">
        <f t="array" ref="K44">_xlfn.XLOOKUP($E44, '1.5.UVintensity'!$L$3:$L$14, _xlfn.XLOOKUP(K$5, '1.5.UVintensity'!$M$2:$U$2, '1.5.UVintensity'!$M$3:$U$14))</f>
        <v>0</v>
      </c>
      <c r="L44" s="104" cm="1">
        <f t="array" ref="L44">_xlfn.XLOOKUP($E44, '1.5.UVintensity'!$L$3:$L$14, _xlfn.XLOOKUP(L$5, '1.5.UVintensity'!$M$2:$U$2, '1.5.UVintensity'!$M$3:$U$14))</f>
        <v>0</v>
      </c>
      <c r="M44" s="104" cm="1">
        <f t="array" ref="M44">_xlfn.XLOOKUP($E44, '1.5.UVintensity'!$L$3:$L$14, _xlfn.XLOOKUP(M$5, '1.5.UVintensity'!$M$2:$U$2, '1.5.UVintensity'!$M$3:$U$14))</f>
        <v>0</v>
      </c>
      <c r="N44" s="42"/>
      <c r="O44" s="42" t="s">
        <v>162</v>
      </c>
      <c r="P44" s="42" t="s">
        <v>161</v>
      </c>
      <c r="Q44" s="118"/>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row>
    <row r="45" spans="1:297" ht="16" x14ac:dyDescent="0.2">
      <c r="A45" s="299"/>
      <c r="B45" s="122"/>
      <c r="C45" s="106" t="s">
        <v>158</v>
      </c>
      <c r="D45" s="106" t="s">
        <v>110</v>
      </c>
      <c r="E45" s="106" t="s">
        <v>127</v>
      </c>
      <c r="F45" s="104" cm="1">
        <f t="array" ref="F45">_xlfn.XLOOKUP($E45, '1.5.UVintensity'!$L$3:$L$14, _xlfn.XLOOKUP(F$5, '1.5.UVintensity'!$M$2:$U$2, '1.5.UVintensity'!$M$3:$U$14))</f>
        <v>0</v>
      </c>
      <c r="G45" s="104" cm="1">
        <f t="array" ref="G45">_xlfn.XLOOKUP($E45, '1.5.UVintensity'!$L$3:$L$14, _xlfn.XLOOKUP(G$5, '1.5.UVintensity'!$M$2:$U$2, '1.5.UVintensity'!$M$3:$U$14))</f>
        <v>0</v>
      </c>
      <c r="H45" s="104" cm="1">
        <f t="array" ref="H45">_xlfn.XLOOKUP($E45, '1.5.UVintensity'!$L$3:$L$14, _xlfn.XLOOKUP(H$5, '1.5.UVintensity'!$M$2:$U$2, '1.5.UVintensity'!$M$3:$U$14))</f>
        <v>0</v>
      </c>
      <c r="I45" s="104" cm="1">
        <f t="array" ref="I45">_xlfn.XLOOKUP($E45, '1.5.UVintensity'!$L$3:$L$14, _xlfn.XLOOKUP(I$5, '1.5.UVintensity'!$M$2:$U$2, '1.5.UVintensity'!$M$3:$U$14))</f>
        <v>0</v>
      </c>
      <c r="J45" s="104" cm="1">
        <f t="array" ref="J45">_xlfn.XLOOKUP($E45, '1.5.UVintensity'!$L$3:$L$14, _xlfn.XLOOKUP(J$5, '1.5.UVintensity'!$M$2:$U$2, '1.5.UVintensity'!$M$3:$U$14))</f>
        <v>0</v>
      </c>
      <c r="K45" s="104" cm="1">
        <f t="array" ref="K45">_xlfn.XLOOKUP($E45, '1.5.UVintensity'!$L$3:$L$14, _xlfn.XLOOKUP(K$5, '1.5.UVintensity'!$M$2:$U$2, '1.5.UVintensity'!$M$3:$U$14))</f>
        <v>0</v>
      </c>
      <c r="L45" s="104" cm="1">
        <f t="array" ref="L45">_xlfn.XLOOKUP($E45, '1.5.UVintensity'!$L$3:$L$14, _xlfn.XLOOKUP(L$5, '1.5.UVintensity'!$M$2:$U$2, '1.5.UVintensity'!$M$3:$U$14))</f>
        <v>0</v>
      </c>
      <c r="M45" s="104" cm="1">
        <f t="array" ref="M45">_xlfn.XLOOKUP($E45, '1.5.UVintensity'!$L$3:$L$14, _xlfn.XLOOKUP(M$5, '1.5.UVintensity'!$M$2:$U$2, '1.5.UVintensity'!$M$3:$U$14))</f>
        <v>0</v>
      </c>
      <c r="N45" s="42"/>
      <c r="O45" s="42" t="s">
        <v>162</v>
      </c>
      <c r="P45" s="42" t="s">
        <v>161</v>
      </c>
      <c r="Q45" s="118"/>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row>
    <row r="46" spans="1:297" ht="16" x14ac:dyDescent="0.2">
      <c r="A46" s="299"/>
      <c r="B46" s="122"/>
      <c r="C46" s="106" t="s">
        <v>158</v>
      </c>
      <c r="D46" s="106" t="s">
        <v>110</v>
      </c>
      <c r="E46" s="106" t="s">
        <v>115</v>
      </c>
      <c r="F46" s="104" cm="1">
        <f t="array" ref="F46">_xlfn.XLOOKUP($E46, '1.5.UVintensity'!$L$3:$L$14, _xlfn.XLOOKUP(F$5, '1.5.UVintensity'!$M$2:$U$2, '1.5.UVintensity'!$M$3:$U$14))</f>
        <v>0.33416666665405143</v>
      </c>
      <c r="G46" s="104" cm="1">
        <f t="array" ref="G46">_xlfn.XLOOKUP($E46, '1.5.UVintensity'!$L$3:$L$14, _xlfn.XLOOKUP(G$5, '1.5.UVintensity'!$M$2:$U$2, '1.5.UVintensity'!$M$3:$U$14))</f>
        <v>0.2677272727272727</v>
      </c>
      <c r="H46" s="104" cm="1">
        <f t="array" ref="H46">_xlfn.XLOOKUP($E46, '1.5.UVintensity'!$L$3:$L$14, _xlfn.XLOOKUP(H$5, '1.5.UVintensity'!$M$2:$U$2, '1.5.UVintensity'!$M$3:$U$14))</f>
        <v>0.27526315635249343</v>
      </c>
      <c r="I46" s="104" cm="1">
        <f t="array" ref="I46">_xlfn.XLOOKUP($E46, '1.5.UVintensity'!$L$3:$L$14, _xlfn.XLOOKUP(I$5, '1.5.UVintensity'!$M$2:$U$2, '1.5.UVintensity'!$M$3:$U$14))</f>
        <v>0.55279999999232277</v>
      </c>
      <c r="J46" s="104" cm="1">
        <f t="array" ref="J46">_xlfn.XLOOKUP($E46, '1.5.UVintensity'!$L$3:$L$14, _xlfn.XLOOKUP(J$5, '1.5.UVintensity'!$M$2:$U$2, '1.5.UVintensity'!$M$3:$U$14))</f>
        <v>0.25590909083770585</v>
      </c>
      <c r="K46" s="104" cm="1">
        <f t="array" ref="K46">_xlfn.XLOOKUP($E46, '1.5.UVintensity'!$L$3:$L$14, _xlfn.XLOOKUP(K$5, '1.5.UVintensity'!$M$2:$U$2, '1.5.UVintensity'!$M$3:$U$14))</f>
        <v>0.41363636363636169</v>
      </c>
      <c r="L46" s="104" cm="1">
        <f t="array" ref="L46">_xlfn.XLOOKUP($E46, '1.5.UVintensity'!$L$3:$L$14, _xlfn.XLOOKUP(L$5, '1.5.UVintensity'!$M$2:$U$2, '1.5.UVintensity'!$M$3:$U$14))</f>
        <v>0.12551724137927842</v>
      </c>
      <c r="M46" s="104" cm="1">
        <f t="array" ref="M46">_xlfn.XLOOKUP($E46, '1.5.UVintensity'!$L$3:$L$14, _xlfn.XLOOKUP(M$5, '1.5.UVintensity'!$M$2:$U$2, '1.5.UVintensity'!$M$3:$U$14))</f>
        <v>1.1849462010832317</v>
      </c>
      <c r="N46" s="42"/>
      <c r="O46" s="42" t="s">
        <v>162</v>
      </c>
      <c r="P46" s="42" t="s">
        <v>161</v>
      </c>
      <c r="Q46" s="118"/>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row>
    <row r="47" spans="1:297" ht="16" x14ac:dyDescent="0.2">
      <c r="A47" s="299"/>
      <c r="B47" s="122"/>
      <c r="C47" s="106" t="s">
        <v>158</v>
      </c>
      <c r="D47" s="106" t="s">
        <v>110</v>
      </c>
      <c r="E47" s="106" t="s">
        <v>140</v>
      </c>
      <c r="F47" s="104" cm="1">
        <f t="array" ref="F47">_xlfn.XLOOKUP($E47, '1.5.UVintensity'!$L$3:$L$14, _xlfn.XLOOKUP(F$5, '1.5.UVintensity'!$M$2:$U$2, '1.5.UVintensity'!$M$3:$U$14))</f>
        <v>0</v>
      </c>
      <c r="G47" s="104" cm="1">
        <f t="array" ref="G47">_xlfn.XLOOKUP($E47, '1.5.UVintensity'!$L$3:$L$14, _xlfn.XLOOKUP(G$5, '1.5.UVintensity'!$M$2:$U$2, '1.5.UVintensity'!$M$3:$U$14))</f>
        <v>0</v>
      </c>
      <c r="H47" s="104" cm="1">
        <f t="array" ref="H47">_xlfn.XLOOKUP($E47, '1.5.UVintensity'!$L$3:$L$14, _xlfn.XLOOKUP(H$5, '1.5.UVintensity'!$M$2:$U$2, '1.5.UVintensity'!$M$3:$U$14))</f>
        <v>0</v>
      </c>
      <c r="I47" s="104" cm="1">
        <f t="array" ref="I47">_xlfn.XLOOKUP($E47, '1.5.UVintensity'!$L$3:$L$14, _xlfn.XLOOKUP(I$5, '1.5.UVintensity'!$M$2:$U$2, '1.5.UVintensity'!$M$3:$U$14))</f>
        <v>0</v>
      </c>
      <c r="J47" s="104" cm="1">
        <f t="array" ref="J47">_xlfn.XLOOKUP($E47, '1.5.UVintensity'!$L$3:$L$14, _xlfn.XLOOKUP(J$5, '1.5.UVintensity'!$M$2:$U$2, '1.5.UVintensity'!$M$3:$U$14))</f>
        <v>0</v>
      </c>
      <c r="K47" s="104" cm="1">
        <f t="array" ref="K47">_xlfn.XLOOKUP($E47, '1.5.UVintensity'!$L$3:$L$14, _xlfn.XLOOKUP(K$5, '1.5.UVintensity'!$M$2:$U$2, '1.5.UVintensity'!$M$3:$U$14))</f>
        <v>0</v>
      </c>
      <c r="L47" s="104" cm="1">
        <f t="array" ref="L47">_xlfn.XLOOKUP($E47, '1.5.UVintensity'!$L$3:$L$14, _xlfn.XLOOKUP(L$5, '1.5.UVintensity'!$M$2:$U$2, '1.5.UVintensity'!$M$3:$U$14))</f>
        <v>0</v>
      </c>
      <c r="M47" s="104" cm="1">
        <f t="array" ref="M47">_xlfn.XLOOKUP($E47, '1.5.UVintensity'!$L$3:$L$14, _xlfn.XLOOKUP(M$5, '1.5.UVintensity'!$M$2:$U$2, '1.5.UVintensity'!$M$3:$U$14))</f>
        <v>0</v>
      </c>
      <c r="N47" s="42"/>
      <c r="O47" s="42" t="s">
        <v>162</v>
      </c>
      <c r="P47" s="42" t="s">
        <v>161</v>
      </c>
      <c r="Q47" s="118"/>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row>
    <row r="48" spans="1:297" ht="16" x14ac:dyDescent="0.2">
      <c r="A48" s="299"/>
      <c r="B48" s="122"/>
      <c r="C48" s="106" t="s">
        <v>158</v>
      </c>
      <c r="D48" s="106" t="s">
        <v>110</v>
      </c>
      <c r="E48" s="106" t="s">
        <v>124</v>
      </c>
      <c r="F48" s="104" cm="1">
        <f t="array" ref="F48">_xlfn.XLOOKUP($E48, '1.5.UVintensity'!$L$3:$L$14, _xlfn.XLOOKUP(F$5, '1.5.UVintensity'!$M$2:$U$2, '1.5.UVintensity'!$M$3:$U$14))</f>
        <v>6.2824028586777008</v>
      </c>
      <c r="G48" s="104" cm="1">
        <f t="array" ref="G48">_xlfn.XLOOKUP($E48, '1.5.UVintensity'!$L$3:$L$14, _xlfn.XLOOKUP(G$5, '1.5.UVintensity'!$M$2:$U$2, '1.5.UVintensity'!$M$3:$U$14))</f>
        <v>8.4842488088791796</v>
      </c>
      <c r="H48" s="104" cm="1">
        <f t="array" ref="H48">_xlfn.XLOOKUP($E48, '1.5.UVintensity'!$L$3:$L$14, _xlfn.XLOOKUP(H$5, '1.5.UVintensity'!$M$2:$U$2, '1.5.UVintensity'!$M$3:$U$14))</f>
        <v>2.9094139083336823</v>
      </c>
      <c r="I48" s="104" cm="1">
        <f t="array" ref="I48">_xlfn.XLOOKUP($E48, '1.5.UVintensity'!$L$3:$L$14, _xlfn.XLOOKUP(I$5, '1.5.UVintensity'!$M$2:$U$2, '1.5.UVintensity'!$M$3:$U$14))</f>
        <v>7.1304795394711213</v>
      </c>
      <c r="J48" s="104" cm="1">
        <f t="array" ref="J48">_xlfn.XLOOKUP($E48, '1.5.UVintensity'!$L$3:$L$14, _xlfn.XLOOKUP(J$5, '1.5.UVintensity'!$M$2:$U$2, '1.5.UVintensity'!$M$3:$U$14))</f>
        <v>4.9576137381766223</v>
      </c>
      <c r="K48" s="104" cm="1">
        <f t="array" ref="K48">_xlfn.XLOOKUP($E48, '1.5.UVintensity'!$L$3:$L$14, _xlfn.XLOOKUP(K$5, '1.5.UVintensity'!$M$2:$U$2, '1.5.UVintensity'!$M$3:$U$14))</f>
        <v>10.815944874572182</v>
      </c>
      <c r="L48" s="104" cm="1">
        <f t="array" ref="L48">_xlfn.XLOOKUP($E48, '1.5.UVintensity'!$L$3:$L$14, _xlfn.XLOOKUP(L$5, '1.5.UVintensity'!$M$2:$U$2, '1.5.UVintensity'!$M$3:$U$14))</f>
        <v>2.8644567972920285</v>
      </c>
      <c r="M48" s="104" cm="1">
        <f t="array" ref="M48">_xlfn.XLOOKUP($E48, '1.5.UVintensity'!$L$3:$L$14, _xlfn.XLOOKUP(M$5, '1.5.UVintensity'!$M$2:$U$2, '1.5.UVintensity'!$M$3:$U$14))</f>
        <v>6.9007071573670054</v>
      </c>
      <c r="N48" s="42"/>
      <c r="O48" s="42" t="s">
        <v>162</v>
      </c>
      <c r="P48" s="42" t="s">
        <v>161</v>
      </c>
      <c r="Q48" s="118"/>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row>
    <row r="49" spans="1:297" ht="16" x14ac:dyDescent="0.2">
      <c r="A49" s="299"/>
      <c r="B49" s="122"/>
      <c r="C49" s="106" t="s">
        <v>159</v>
      </c>
      <c r="D49" s="106" t="s">
        <v>110</v>
      </c>
      <c r="E49" s="106" t="s">
        <v>118</v>
      </c>
      <c r="F49" s="104">
        <v>121000000</v>
      </c>
      <c r="G49" s="104">
        <v>121000000</v>
      </c>
      <c r="H49" s="104">
        <v>121000000</v>
      </c>
      <c r="I49" s="104">
        <v>121000000</v>
      </c>
      <c r="J49" s="104">
        <v>121000000</v>
      </c>
      <c r="K49" s="104">
        <v>121000000</v>
      </c>
      <c r="L49" s="104">
        <v>121000000</v>
      </c>
      <c r="M49" s="104">
        <v>121000000</v>
      </c>
      <c r="N49" s="42"/>
      <c r="O49" s="42" t="s">
        <v>163</v>
      </c>
      <c r="P49" s="42" t="s">
        <v>161</v>
      </c>
      <c r="Q49" s="118"/>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row>
    <row r="50" spans="1:297" ht="16" x14ac:dyDescent="0.2">
      <c r="A50" s="299"/>
      <c r="B50" s="122"/>
      <c r="C50" s="106" t="s">
        <v>159</v>
      </c>
      <c r="D50" s="106" t="s">
        <v>110</v>
      </c>
      <c r="E50" s="106" t="s">
        <v>98</v>
      </c>
      <c r="F50" s="104">
        <v>0.5</v>
      </c>
      <c r="G50" s="104">
        <v>0.5</v>
      </c>
      <c r="H50" s="104">
        <v>0.5</v>
      </c>
      <c r="I50" s="104">
        <v>0.5</v>
      </c>
      <c r="J50" s="104">
        <v>0.5</v>
      </c>
      <c r="K50" s="104">
        <v>0.5</v>
      </c>
      <c r="L50" s="104">
        <v>0.5</v>
      </c>
      <c r="M50" s="104">
        <v>0.5</v>
      </c>
      <c r="N50" s="42"/>
      <c r="O50" s="42" t="s">
        <v>163</v>
      </c>
      <c r="P50" s="42" t="s">
        <v>161</v>
      </c>
      <c r="Q50" s="118"/>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row>
    <row r="51" spans="1:297" ht="16" x14ac:dyDescent="0.2">
      <c r="A51" s="299"/>
      <c r="B51" s="122"/>
      <c r="C51" s="106" t="s">
        <v>159</v>
      </c>
      <c r="D51" s="106" t="s">
        <v>110</v>
      </c>
      <c r="E51" s="106" t="s">
        <v>160</v>
      </c>
      <c r="F51" s="104">
        <v>0.5</v>
      </c>
      <c r="G51" s="104">
        <v>0.5</v>
      </c>
      <c r="H51" s="104">
        <v>0.5</v>
      </c>
      <c r="I51" s="104">
        <v>0.5</v>
      </c>
      <c r="J51" s="104">
        <v>0.5</v>
      </c>
      <c r="K51" s="104">
        <v>0.5</v>
      </c>
      <c r="L51" s="104">
        <v>0.5</v>
      </c>
      <c r="M51" s="104">
        <v>0.5</v>
      </c>
      <c r="N51" s="42"/>
      <c r="O51" s="42" t="s">
        <v>163</v>
      </c>
      <c r="P51" s="42" t="s">
        <v>161</v>
      </c>
      <c r="Q51" s="118"/>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row>
    <row r="52" spans="1:297" ht="16" x14ac:dyDescent="0.2">
      <c r="A52" s="299"/>
      <c r="B52" s="122"/>
      <c r="C52" s="106" t="s">
        <v>159</v>
      </c>
      <c r="D52" s="106" t="s">
        <v>110</v>
      </c>
      <c r="E52" s="106" t="s">
        <v>138</v>
      </c>
      <c r="F52" s="104">
        <v>482000</v>
      </c>
      <c r="G52" s="104">
        <v>482000</v>
      </c>
      <c r="H52" s="104">
        <v>482000</v>
      </c>
      <c r="I52" s="104">
        <v>482000</v>
      </c>
      <c r="J52" s="104">
        <v>482000</v>
      </c>
      <c r="K52" s="104">
        <v>482000</v>
      </c>
      <c r="L52" s="104">
        <v>482000</v>
      </c>
      <c r="M52" s="104">
        <v>482000</v>
      </c>
      <c r="N52" s="42"/>
      <c r="O52" s="42" t="s">
        <v>163</v>
      </c>
      <c r="P52" s="42" t="s">
        <v>161</v>
      </c>
      <c r="Q52" s="118"/>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row>
    <row r="53" spans="1:297" ht="16" x14ac:dyDescent="0.2">
      <c r="A53" s="299"/>
      <c r="B53" s="122"/>
      <c r="C53" s="106" t="s">
        <v>159</v>
      </c>
      <c r="D53" s="106" t="s">
        <v>110</v>
      </c>
      <c r="E53" s="106" t="s">
        <v>116</v>
      </c>
      <c r="F53" s="104">
        <v>250000</v>
      </c>
      <c r="G53" s="104">
        <v>250000</v>
      </c>
      <c r="H53" s="104">
        <v>250000</v>
      </c>
      <c r="I53" s="104">
        <v>250000</v>
      </c>
      <c r="J53" s="104">
        <v>250000</v>
      </c>
      <c r="K53" s="104">
        <v>250000</v>
      </c>
      <c r="L53" s="104">
        <v>250000</v>
      </c>
      <c r="M53" s="104">
        <v>250000</v>
      </c>
      <c r="N53" s="42"/>
      <c r="O53" s="42" t="s">
        <v>163</v>
      </c>
      <c r="P53" s="42" t="s">
        <v>161</v>
      </c>
      <c r="Q53" s="118"/>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row>
    <row r="54" spans="1:297" ht="16" x14ac:dyDescent="0.2">
      <c r="A54" s="299"/>
      <c r="B54" s="122"/>
      <c r="C54" s="106" t="s">
        <v>159</v>
      </c>
      <c r="D54" s="106" t="s">
        <v>110</v>
      </c>
      <c r="E54" s="106" t="s">
        <v>139</v>
      </c>
      <c r="F54" s="104">
        <v>482000</v>
      </c>
      <c r="G54" s="104">
        <v>482000</v>
      </c>
      <c r="H54" s="104">
        <v>482000</v>
      </c>
      <c r="I54" s="104">
        <v>482000</v>
      </c>
      <c r="J54" s="104">
        <v>482000</v>
      </c>
      <c r="K54" s="104">
        <v>482000</v>
      </c>
      <c r="L54" s="104">
        <v>482000</v>
      </c>
      <c r="M54" s="104">
        <v>482000</v>
      </c>
      <c r="N54" s="42"/>
      <c r="O54" s="42" t="s">
        <v>163</v>
      </c>
      <c r="P54" s="42" t="s">
        <v>161</v>
      </c>
      <c r="Q54" s="118"/>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row>
    <row r="55" spans="1:297" ht="16" x14ac:dyDescent="0.2">
      <c r="A55" s="299"/>
      <c r="B55" s="122"/>
      <c r="C55" s="106" t="s">
        <v>159</v>
      </c>
      <c r="D55" s="106" t="s">
        <v>110</v>
      </c>
      <c r="E55" s="106" t="s">
        <v>137</v>
      </c>
      <c r="F55" s="104">
        <v>482000</v>
      </c>
      <c r="G55" s="104">
        <v>482000</v>
      </c>
      <c r="H55" s="104">
        <v>482000</v>
      </c>
      <c r="I55" s="104">
        <v>482000</v>
      </c>
      <c r="J55" s="104">
        <v>482000</v>
      </c>
      <c r="K55" s="104">
        <v>482000</v>
      </c>
      <c r="L55" s="104">
        <v>482000</v>
      </c>
      <c r="M55" s="104">
        <v>482000</v>
      </c>
      <c r="N55" s="42"/>
      <c r="O55" s="42" t="s">
        <v>163</v>
      </c>
      <c r="P55" s="42" t="s">
        <v>161</v>
      </c>
      <c r="Q55" s="118"/>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row>
    <row r="56" spans="1:297" ht="16" x14ac:dyDescent="0.2">
      <c r="A56" s="299"/>
      <c r="B56" s="122"/>
      <c r="C56" s="106" t="s">
        <v>159</v>
      </c>
      <c r="D56" s="106" t="s">
        <v>110</v>
      </c>
      <c r="E56" s="106" t="s">
        <v>117</v>
      </c>
      <c r="F56" s="104">
        <v>121000000</v>
      </c>
      <c r="G56" s="104">
        <v>121000000</v>
      </c>
      <c r="H56" s="104">
        <v>121000000</v>
      </c>
      <c r="I56" s="104">
        <v>121000000</v>
      </c>
      <c r="J56" s="104">
        <v>121000000</v>
      </c>
      <c r="K56" s="104">
        <v>121000000</v>
      </c>
      <c r="L56" s="104">
        <v>121000000</v>
      </c>
      <c r="M56" s="104">
        <v>121000000</v>
      </c>
      <c r="N56" s="42"/>
      <c r="O56" s="42" t="s">
        <v>163</v>
      </c>
      <c r="P56" s="42" t="s">
        <v>161</v>
      </c>
      <c r="Q56" s="118"/>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row>
    <row r="57" spans="1:297" ht="16" x14ac:dyDescent="0.2">
      <c r="A57" s="299"/>
      <c r="B57" s="122"/>
      <c r="C57" s="106" t="s">
        <v>159</v>
      </c>
      <c r="D57" s="106" t="s">
        <v>110</v>
      </c>
      <c r="E57" s="106" t="s">
        <v>127</v>
      </c>
      <c r="F57" s="104">
        <v>121000000</v>
      </c>
      <c r="G57" s="104">
        <v>121000000</v>
      </c>
      <c r="H57" s="104">
        <v>121000000</v>
      </c>
      <c r="I57" s="104">
        <v>121000000</v>
      </c>
      <c r="J57" s="104">
        <v>121000000</v>
      </c>
      <c r="K57" s="104">
        <v>121000000</v>
      </c>
      <c r="L57" s="104">
        <v>121000000</v>
      </c>
      <c r="M57" s="104">
        <v>121000000</v>
      </c>
      <c r="N57" s="42"/>
      <c r="O57" s="42" t="s">
        <v>163</v>
      </c>
      <c r="P57" s="42" t="s">
        <v>161</v>
      </c>
      <c r="Q57" s="118"/>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row>
    <row r="58" spans="1:297" ht="16" x14ac:dyDescent="0.2">
      <c r="A58" s="299"/>
      <c r="B58" s="122"/>
      <c r="C58" s="106" t="s">
        <v>159</v>
      </c>
      <c r="D58" s="106" t="s">
        <v>110</v>
      </c>
      <c r="E58" s="106" t="s">
        <v>115</v>
      </c>
      <c r="F58" s="104">
        <v>250000</v>
      </c>
      <c r="G58" s="104">
        <v>250000</v>
      </c>
      <c r="H58" s="104">
        <v>250000</v>
      </c>
      <c r="I58" s="104">
        <v>250000</v>
      </c>
      <c r="J58" s="104">
        <v>250000</v>
      </c>
      <c r="K58" s="104">
        <v>250000</v>
      </c>
      <c r="L58" s="104">
        <v>250000</v>
      </c>
      <c r="M58" s="104">
        <v>250000</v>
      </c>
      <c r="N58" s="42"/>
      <c r="O58" s="42" t="s">
        <v>163</v>
      </c>
      <c r="P58" s="42" t="s">
        <v>161</v>
      </c>
      <c r="Q58" s="118"/>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row>
    <row r="59" spans="1:297" ht="16" x14ac:dyDescent="0.2">
      <c r="A59" s="299"/>
      <c r="B59" s="122"/>
      <c r="C59" s="106" t="s">
        <v>159</v>
      </c>
      <c r="D59" s="106" t="s">
        <v>110</v>
      </c>
      <c r="E59" s="106" t="s">
        <v>140</v>
      </c>
      <c r="F59" s="104">
        <v>250000</v>
      </c>
      <c r="G59" s="104">
        <v>250000</v>
      </c>
      <c r="H59" s="104">
        <v>250000</v>
      </c>
      <c r="I59" s="104">
        <v>250000</v>
      </c>
      <c r="J59" s="104">
        <v>250000</v>
      </c>
      <c r="K59" s="104">
        <v>250000</v>
      </c>
      <c r="L59" s="104">
        <v>250000</v>
      </c>
      <c r="M59" s="104">
        <v>250000</v>
      </c>
      <c r="N59" s="42"/>
      <c r="O59" s="42" t="s">
        <v>163</v>
      </c>
      <c r="P59" s="42" t="s">
        <v>161</v>
      </c>
      <c r="Q59" s="118"/>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row>
    <row r="60" spans="1:297" ht="17" thickBot="1" x14ac:dyDescent="0.25">
      <c r="A60" s="300"/>
      <c r="B60" s="124"/>
      <c r="C60" s="107" t="s">
        <v>159</v>
      </c>
      <c r="D60" s="107" t="s">
        <v>110</v>
      </c>
      <c r="E60" s="107" t="s">
        <v>124</v>
      </c>
      <c r="F60" s="105">
        <v>250000</v>
      </c>
      <c r="G60" s="105">
        <v>250000</v>
      </c>
      <c r="H60" s="105">
        <v>250000</v>
      </c>
      <c r="I60" s="105">
        <v>250000</v>
      </c>
      <c r="J60" s="105">
        <v>250000</v>
      </c>
      <c r="K60" s="105">
        <v>250000</v>
      </c>
      <c r="L60" s="105">
        <v>250000</v>
      </c>
      <c r="M60" s="105">
        <v>250000</v>
      </c>
      <c r="N60" s="125"/>
      <c r="O60" s="125" t="s">
        <v>163</v>
      </c>
      <c r="P60" s="125" t="s">
        <v>161</v>
      </c>
      <c r="Q60" s="126"/>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row>
    <row r="61" spans="1:297" ht="18" x14ac:dyDescent="0.2">
      <c r="A61" s="301" t="s">
        <v>89</v>
      </c>
      <c r="B61" s="127" t="s">
        <v>47</v>
      </c>
      <c r="C61" s="127"/>
      <c r="D61" s="127" t="s">
        <v>111</v>
      </c>
      <c r="E61" s="127"/>
      <c r="F61" s="128">
        <v>123910116220665.27</v>
      </c>
      <c r="G61" s="128">
        <v>117522195901061.81</v>
      </c>
      <c r="H61" s="128">
        <v>129833882225496.36</v>
      </c>
      <c r="I61" s="128">
        <v>104101765649367.27</v>
      </c>
      <c r="J61" s="128">
        <v>121523159977070.28</v>
      </c>
      <c r="K61" s="128">
        <v>121534032258606.3</v>
      </c>
      <c r="L61" s="128">
        <v>120100170682888.8</v>
      </c>
      <c r="M61" s="128">
        <v>130275347694868.2</v>
      </c>
      <c r="N61" s="129" t="s">
        <v>66</v>
      </c>
      <c r="O61" s="42" t="s">
        <v>10272</v>
      </c>
      <c r="P61" s="42" t="s">
        <v>316</v>
      </c>
      <c r="Q61" s="130"/>
      <c r="R61" s="42"/>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row>
    <row r="62" spans="1:297" ht="18" x14ac:dyDescent="0.2">
      <c r="A62" s="302"/>
      <c r="B62" s="106" t="s">
        <v>48</v>
      </c>
      <c r="C62" s="106"/>
      <c r="D62" s="106" t="s">
        <v>111</v>
      </c>
      <c r="E62" s="106"/>
      <c r="F62" s="104">
        <v>362031185573577.38</v>
      </c>
      <c r="G62" s="104">
        <v>360895696229383.81</v>
      </c>
      <c r="H62" s="104">
        <v>362168406089139.88</v>
      </c>
      <c r="I62" s="104">
        <v>362278191830475.81</v>
      </c>
      <c r="J62" s="104">
        <v>363132297264073.62</v>
      </c>
      <c r="K62" s="104">
        <v>358531188324205.88</v>
      </c>
      <c r="L62" s="104">
        <v>358243731045640.94</v>
      </c>
      <c r="M62" s="104">
        <v>361628024420237.69</v>
      </c>
      <c r="N62" s="42" t="s">
        <v>67</v>
      </c>
      <c r="O62" s="42" t="s">
        <v>10272</v>
      </c>
      <c r="P62" s="42" t="s">
        <v>316</v>
      </c>
      <c r="Q62" s="118"/>
      <c r="R62" s="42"/>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row>
    <row r="63" spans="1:297" ht="18" x14ac:dyDescent="0.2">
      <c r="A63" s="302"/>
      <c r="B63" s="106"/>
      <c r="C63" s="106" t="s">
        <v>112</v>
      </c>
      <c r="D63" s="106" t="s">
        <v>111</v>
      </c>
      <c r="E63" s="106"/>
      <c r="F63" s="104">
        <f t="shared" ref="F63:M63" si="3">F62+F61+F8</f>
        <v>502268688752959.06</v>
      </c>
      <c r="G63" s="119">
        <f t="shared" si="3"/>
        <v>502268688752959</v>
      </c>
      <c r="H63" s="104">
        <f t="shared" si="3"/>
        <v>502268688752959.06</v>
      </c>
      <c r="I63" s="104">
        <f t="shared" si="3"/>
        <v>502268688752959.06</v>
      </c>
      <c r="J63" s="104">
        <f t="shared" si="3"/>
        <v>502268688752959.06</v>
      </c>
      <c r="K63" s="104">
        <f t="shared" si="3"/>
        <v>502268688752959</v>
      </c>
      <c r="L63" s="104">
        <f t="shared" si="3"/>
        <v>502268688752959.06</v>
      </c>
      <c r="M63" s="104">
        <f t="shared" si="3"/>
        <v>502268688752959.06</v>
      </c>
      <c r="N63" s="104"/>
      <c r="O63" s="42" t="s">
        <v>10272</v>
      </c>
      <c r="P63" s="42" t="s">
        <v>316</v>
      </c>
      <c r="Q63" s="118" t="s">
        <v>10367</v>
      </c>
      <c r="R63" s="42"/>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row>
    <row r="64" spans="1:297" ht="16" x14ac:dyDescent="0.2">
      <c r="A64" s="302"/>
      <c r="B64" s="106"/>
      <c r="C64" s="106" t="s">
        <v>113</v>
      </c>
      <c r="D64" s="106" t="s">
        <v>111</v>
      </c>
      <c r="E64" s="106"/>
      <c r="F64" s="104">
        <f t="shared" ref="F64:M64" si="4">(F62+F7)/F63</f>
        <v>0.72445008239503428</v>
      </c>
      <c r="G64" s="104">
        <f t="shared" si="4"/>
        <v>0.72445008239503428</v>
      </c>
      <c r="H64" s="104">
        <f t="shared" si="4"/>
        <v>0.72445008239503428</v>
      </c>
      <c r="I64" s="104">
        <f t="shared" si="4"/>
        <v>0.72445008239503428</v>
      </c>
      <c r="J64" s="104">
        <f t="shared" si="4"/>
        <v>0.72445008239503428</v>
      </c>
      <c r="K64" s="104">
        <f t="shared" si="4"/>
        <v>0.72445008239503428</v>
      </c>
      <c r="L64" s="104">
        <f t="shared" si="4"/>
        <v>0.72445008239503428</v>
      </c>
      <c r="M64" s="104">
        <f t="shared" si="4"/>
        <v>0.72445008239503428</v>
      </c>
      <c r="N64" s="42"/>
      <c r="O64" s="42" t="s">
        <v>14</v>
      </c>
      <c r="P64" s="42" t="s">
        <v>316</v>
      </c>
      <c r="Q64" s="118" t="s">
        <v>141</v>
      </c>
      <c r="R64" s="42"/>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row>
    <row r="65" spans="1:297" ht="16" x14ac:dyDescent="0.2">
      <c r="A65" s="302"/>
      <c r="B65" s="106" t="s">
        <v>103</v>
      </c>
      <c r="C65" s="106" t="s">
        <v>114</v>
      </c>
      <c r="D65" s="106" t="s">
        <v>111</v>
      </c>
      <c r="E65" s="106" t="s">
        <v>115</v>
      </c>
      <c r="F65" s="120">
        <v>3.7256942929988299E-3</v>
      </c>
      <c r="G65" s="120">
        <v>2.7612917385104558E-3</v>
      </c>
      <c r="H65" s="120">
        <v>3.2048504184839909E-3</v>
      </c>
      <c r="I65" s="120">
        <v>4.1965314941155808E-3</v>
      </c>
      <c r="J65" s="120">
        <v>3.3368618910302522E-3</v>
      </c>
      <c r="K65" s="120">
        <v>2.6678906513677935E-3</v>
      </c>
      <c r="L65" s="120">
        <v>3.058070089746998E-3</v>
      </c>
      <c r="M65" s="120">
        <v>3.3812261696734769E-3</v>
      </c>
      <c r="N65" s="42" t="s">
        <v>68</v>
      </c>
      <c r="O65" s="42" t="s">
        <v>14</v>
      </c>
      <c r="P65" s="42" t="s">
        <v>293</v>
      </c>
      <c r="Q65" s="118"/>
      <c r="R65" s="42"/>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row>
    <row r="66" spans="1:297" ht="16" x14ac:dyDescent="0.2">
      <c r="A66" s="302"/>
      <c r="B66" s="106" t="s">
        <v>49</v>
      </c>
      <c r="C66" s="106" t="s">
        <v>114</v>
      </c>
      <c r="D66" s="106" t="s">
        <v>111</v>
      </c>
      <c r="E66" s="106" t="s">
        <v>116</v>
      </c>
      <c r="F66" s="104">
        <v>2.3643520987269014E-2</v>
      </c>
      <c r="G66" s="104">
        <v>3.3374002609103059E-2</v>
      </c>
      <c r="H66" s="104">
        <v>3.0570453094481791E-2</v>
      </c>
      <c r="I66" s="104">
        <v>3.5812439800389645E-2</v>
      </c>
      <c r="J66" s="104">
        <v>3.0787933239320203E-2</v>
      </c>
      <c r="K66" s="104">
        <v>3.0123705555439164E-2</v>
      </c>
      <c r="L66" s="104">
        <v>2.7011188560264476E-2</v>
      </c>
      <c r="M66" s="104">
        <v>3.1862099111123296E-2</v>
      </c>
      <c r="N66" s="42" t="s">
        <v>69</v>
      </c>
      <c r="O66" s="42" t="s">
        <v>14</v>
      </c>
      <c r="P66" s="42" t="s">
        <v>293</v>
      </c>
      <c r="Q66" s="118"/>
      <c r="R66" s="42"/>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row>
    <row r="67" spans="1:297" ht="16" x14ac:dyDescent="0.2">
      <c r="A67" s="302"/>
      <c r="B67" s="106" t="s">
        <v>50</v>
      </c>
      <c r="C67" s="106" t="s">
        <v>114</v>
      </c>
      <c r="D67" s="106" t="s">
        <v>111</v>
      </c>
      <c r="E67" s="106" t="s">
        <v>117</v>
      </c>
      <c r="F67" s="120">
        <v>0.60856222692615203</v>
      </c>
      <c r="G67" s="120">
        <v>0.60333261812161854</v>
      </c>
      <c r="H67" s="120">
        <v>0.6126844262541471</v>
      </c>
      <c r="I67" s="120">
        <v>0.61834427126322766</v>
      </c>
      <c r="J67" s="120">
        <v>0.62337847297023175</v>
      </c>
      <c r="K67" s="120">
        <v>0.62669564754335116</v>
      </c>
      <c r="L67" s="120">
        <v>0.57889629385056318</v>
      </c>
      <c r="M67" s="120">
        <v>0.61566039747804102</v>
      </c>
      <c r="N67" s="42" t="s">
        <v>70</v>
      </c>
      <c r="O67" s="42" t="s">
        <v>14</v>
      </c>
      <c r="P67" s="42" t="s">
        <v>316</v>
      </c>
      <c r="Q67" s="118"/>
      <c r="R67" s="42"/>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row>
    <row r="68" spans="1:297" ht="16" x14ac:dyDescent="0.2">
      <c r="A68" s="302"/>
      <c r="B68" s="106" t="s">
        <v>51</v>
      </c>
      <c r="C68" s="106" t="s">
        <v>114</v>
      </c>
      <c r="D68" s="106" t="s">
        <v>111</v>
      </c>
      <c r="E68" s="106" t="s">
        <v>118</v>
      </c>
      <c r="F68" s="104">
        <v>0.36406855779358038</v>
      </c>
      <c r="G68" s="104">
        <v>0.36053208753076821</v>
      </c>
      <c r="H68" s="104">
        <v>0.35354027023288731</v>
      </c>
      <c r="I68" s="104">
        <v>0.34164675744226736</v>
      </c>
      <c r="J68" s="104">
        <v>0.34249673189941798</v>
      </c>
      <c r="K68" s="104">
        <v>0.34051275624984195</v>
      </c>
      <c r="L68" s="104">
        <v>0.39103444749942551</v>
      </c>
      <c r="M68" s="104">
        <v>0.34909627724116243</v>
      </c>
      <c r="N68" s="42" t="s">
        <v>71</v>
      </c>
      <c r="O68" s="42" t="s">
        <v>14</v>
      </c>
      <c r="P68" s="42" t="s">
        <v>316</v>
      </c>
      <c r="Q68" s="118"/>
      <c r="R68" s="42"/>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row>
    <row r="69" spans="1:297" ht="16" x14ac:dyDescent="0.2">
      <c r="A69" s="302"/>
      <c r="B69" s="106" t="s">
        <v>36</v>
      </c>
      <c r="C69" s="106" t="s">
        <v>114</v>
      </c>
      <c r="D69" s="106" t="s">
        <v>111</v>
      </c>
      <c r="E69" s="106" t="s">
        <v>127</v>
      </c>
      <c r="F69" s="119">
        <v>9.9999999999999995E-21</v>
      </c>
      <c r="G69" s="119">
        <v>9.9999999999999995E-21</v>
      </c>
      <c r="H69" s="119">
        <v>9.9999999999999995E-21</v>
      </c>
      <c r="I69" s="119">
        <v>9.9999999999999995E-21</v>
      </c>
      <c r="J69" s="119">
        <v>9.9999999999999995E-21</v>
      </c>
      <c r="K69" s="119">
        <v>9.9999999999999995E-21</v>
      </c>
      <c r="L69" s="119">
        <v>9.9999999999999995E-21</v>
      </c>
      <c r="M69" s="119">
        <v>9.9999999999999995E-21</v>
      </c>
      <c r="N69" s="42" t="s">
        <v>128</v>
      </c>
      <c r="O69" s="42" t="s">
        <v>14</v>
      </c>
      <c r="P69" s="42" t="s">
        <v>14</v>
      </c>
      <c r="Q69" s="118"/>
      <c r="R69" s="42"/>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row>
    <row r="70" spans="1:297" ht="16" x14ac:dyDescent="0.2">
      <c r="A70" s="302"/>
      <c r="B70" s="106" t="s">
        <v>104</v>
      </c>
      <c r="C70" s="106"/>
      <c r="D70" s="106" t="s">
        <v>111</v>
      </c>
      <c r="E70" s="106"/>
      <c r="F70" s="104">
        <v>0.13612718723744019</v>
      </c>
      <c r="G70" s="104">
        <v>7.6415365873249624E-2</v>
      </c>
      <c r="H70" s="104">
        <v>9.4887390641913899E-2</v>
      </c>
      <c r="I70" s="104">
        <v>0.10488976242915614</v>
      </c>
      <c r="J70" s="104">
        <v>9.7784085685615182E-2</v>
      </c>
      <c r="K70" s="104">
        <v>8.1358974858747074E-2</v>
      </c>
      <c r="L70" s="104">
        <v>0.1017008808012575</v>
      </c>
      <c r="M70" s="104">
        <v>9.5939476276258873E-2</v>
      </c>
      <c r="N70" s="42" t="s">
        <v>73</v>
      </c>
      <c r="O70" s="42" t="s">
        <v>14</v>
      </c>
      <c r="P70" s="42" t="s">
        <v>72</v>
      </c>
      <c r="Q70" s="118"/>
      <c r="R70" s="42"/>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c r="IX70" s="15"/>
      <c r="IY70" s="15"/>
      <c r="IZ70" s="15"/>
      <c r="JA70" s="15"/>
      <c r="JB70" s="15"/>
      <c r="JC70" s="15"/>
      <c r="JD70" s="15"/>
      <c r="JE70" s="15"/>
      <c r="JF70" s="15"/>
      <c r="JG70" s="15"/>
      <c r="JH70" s="15"/>
      <c r="JI70" s="15"/>
      <c r="JJ70" s="15"/>
      <c r="JK70" s="15"/>
      <c r="JL70" s="15"/>
      <c r="JM70" s="15"/>
      <c r="JN70" s="15"/>
      <c r="JO70" s="15"/>
      <c r="JP70" s="15"/>
      <c r="JQ70" s="15"/>
      <c r="JR70" s="15"/>
      <c r="JS70" s="15"/>
      <c r="JT70" s="15"/>
      <c r="JU70" s="15"/>
      <c r="JV70" s="15"/>
      <c r="JW70" s="15"/>
      <c r="JX70" s="15"/>
      <c r="JY70" s="15"/>
      <c r="JZ70" s="15"/>
      <c r="KA70" s="15"/>
      <c r="KB70" s="15"/>
      <c r="KC70" s="15"/>
      <c r="KD70" s="15"/>
      <c r="KE70" s="15"/>
      <c r="KF70" s="15"/>
      <c r="KG70" s="15"/>
      <c r="KH70" s="15"/>
      <c r="KI70" s="15"/>
      <c r="KJ70" s="15"/>
      <c r="KK70" s="15"/>
    </row>
    <row r="71" spans="1:297" ht="16" x14ac:dyDescent="0.2">
      <c r="A71" s="302"/>
      <c r="B71" s="106" t="s">
        <v>52</v>
      </c>
      <c r="C71" s="106"/>
      <c r="D71" s="106" t="s">
        <v>111</v>
      </c>
      <c r="E71" s="106"/>
      <c r="F71" s="104">
        <v>0.86387281276255978</v>
      </c>
      <c r="G71" s="104">
        <v>0.9235846341267504</v>
      </c>
      <c r="H71" s="104">
        <v>0.90511260935808613</v>
      </c>
      <c r="I71" s="104">
        <v>0.89511023757084385</v>
      </c>
      <c r="J71" s="104">
        <v>0.90221591431438486</v>
      </c>
      <c r="K71" s="104">
        <v>0.9186410251412529</v>
      </c>
      <c r="L71" s="104">
        <v>0.8982991191987425</v>
      </c>
      <c r="M71" s="104">
        <v>0.90406052372374113</v>
      </c>
      <c r="N71" s="42" t="s">
        <v>74</v>
      </c>
      <c r="O71" s="42" t="s">
        <v>14</v>
      </c>
      <c r="P71" s="42" t="s">
        <v>72</v>
      </c>
      <c r="Q71" s="118"/>
      <c r="R71" s="42"/>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c r="IX71" s="15"/>
      <c r="IY71" s="15"/>
      <c r="IZ71" s="15"/>
      <c r="JA71" s="15"/>
      <c r="JB71" s="15"/>
      <c r="JC71" s="15"/>
      <c r="JD71" s="15"/>
      <c r="JE71" s="15"/>
      <c r="JF71" s="15"/>
      <c r="JG71" s="15"/>
      <c r="JH71" s="15"/>
      <c r="JI71" s="15"/>
      <c r="JJ71" s="15"/>
      <c r="JK71" s="15"/>
      <c r="JL71" s="15"/>
      <c r="JM71" s="15"/>
      <c r="JN71" s="15"/>
      <c r="JO71" s="15"/>
      <c r="JP71" s="15"/>
      <c r="JQ71" s="15"/>
      <c r="JR71" s="15"/>
      <c r="JS71" s="15"/>
      <c r="JT71" s="15"/>
      <c r="JU71" s="15"/>
      <c r="JV71" s="15"/>
      <c r="JW71" s="15"/>
      <c r="JX71" s="15"/>
      <c r="JY71" s="15"/>
      <c r="JZ71" s="15"/>
      <c r="KA71" s="15"/>
      <c r="KB71" s="15"/>
      <c r="KC71" s="15"/>
      <c r="KD71" s="15"/>
      <c r="KE71" s="15"/>
      <c r="KF71" s="15"/>
      <c r="KG71" s="15"/>
      <c r="KH71" s="15"/>
      <c r="KI71" s="15"/>
      <c r="KJ71" s="15"/>
      <c r="KK71" s="15"/>
    </row>
    <row r="72" spans="1:297" ht="16" x14ac:dyDescent="0.2">
      <c r="A72" s="302"/>
      <c r="B72" s="106" t="s">
        <v>53</v>
      </c>
      <c r="C72" s="106" t="s">
        <v>119</v>
      </c>
      <c r="D72" s="106" t="s">
        <v>111</v>
      </c>
      <c r="E72" s="106"/>
      <c r="F72" s="104">
        <v>285.14999999999998</v>
      </c>
      <c r="G72" s="104">
        <v>285.14999999999998</v>
      </c>
      <c r="H72" s="104">
        <v>285.14999999999998</v>
      </c>
      <c r="I72" s="104">
        <v>285.14999999999998</v>
      </c>
      <c r="J72" s="104">
        <v>285.14999999999998</v>
      </c>
      <c r="K72" s="104">
        <v>285.14999999999998</v>
      </c>
      <c r="L72" s="104">
        <v>285.14999999999998</v>
      </c>
      <c r="M72" s="104">
        <v>285.14999999999998</v>
      </c>
      <c r="N72" s="42" t="s">
        <v>75</v>
      </c>
      <c r="O72" s="42" t="s">
        <v>76</v>
      </c>
      <c r="P72" s="42" t="s">
        <v>316</v>
      </c>
      <c r="Q72" s="118"/>
      <c r="R72" s="42"/>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row>
    <row r="73" spans="1:297" ht="16" x14ac:dyDescent="0.2">
      <c r="A73" s="302"/>
      <c r="B73" s="106" t="s">
        <v>54</v>
      </c>
      <c r="C73" s="106" t="s">
        <v>120</v>
      </c>
      <c r="D73" s="106" t="s">
        <v>111</v>
      </c>
      <c r="E73" s="106"/>
      <c r="F73" s="104">
        <v>3</v>
      </c>
      <c r="G73" s="104">
        <v>3</v>
      </c>
      <c r="H73" s="104">
        <v>3</v>
      </c>
      <c r="I73" s="104">
        <v>3</v>
      </c>
      <c r="J73" s="104">
        <v>3</v>
      </c>
      <c r="K73" s="104">
        <v>3</v>
      </c>
      <c r="L73" s="104">
        <v>3</v>
      </c>
      <c r="M73" s="104">
        <v>3</v>
      </c>
      <c r="N73" s="42" t="s">
        <v>77</v>
      </c>
      <c r="O73" s="42" t="s">
        <v>78</v>
      </c>
      <c r="P73" s="42" t="s">
        <v>316</v>
      </c>
      <c r="Q73" s="118"/>
      <c r="R73" s="42"/>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row>
    <row r="74" spans="1:297" ht="16" x14ac:dyDescent="0.2">
      <c r="A74" s="302"/>
      <c r="B74" s="106" t="s">
        <v>55</v>
      </c>
      <c r="C74" s="106"/>
      <c r="D74" s="106" t="s">
        <v>111</v>
      </c>
      <c r="E74" s="106"/>
      <c r="F74" s="104">
        <v>2.219685438863521E-8</v>
      </c>
      <c r="G74" s="104">
        <v>2.219685438863521E-8</v>
      </c>
      <c r="H74" s="104">
        <v>2.219685438863521E-8</v>
      </c>
      <c r="I74" s="104">
        <v>2.219685438863521E-8</v>
      </c>
      <c r="J74" s="104">
        <v>2.219685438863521E-8</v>
      </c>
      <c r="K74" s="104">
        <v>2.219685438863521E-8</v>
      </c>
      <c r="L74" s="104">
        <v>2.219685438863521E-8</v>
      </c>
      <c r="M74" s="104">
        <v>2.219685438863521E-8</v>
      </c>
      <c r="N74" s="42" t="s">
        <v>79</v>
      </c>
      <c r="O74" s="42" t="s">
        <v>78</v>
      </c>
      <c r="P74" s="42" t="s">
        <v>316</v>
      </c>
      <c r="Q74" s="118"/>
      <c r="R74" s="42"/>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row>
    <row r="75" spans="1:297" ht="16" x14ac:dyDescent="0.2">
      <c r="A75" s="302"/>
      <c r="B75" s="106"/>
      <c r="C75" s="106" t="s">
        <v>121</v>
      </c>
      <c r="D75" s="106" t="s">
        <v>111</v>
      </c>
      <c r="E75" s="106"/>
      <c r="F75" s="104">
        <f>F74*1000*365*24*3600</f>
        <v>699.99999999999989</v>
      </c>
      <c r="G75" s="104">
        <f t="shared" ref="G75" si="5">G74*1000*365*24*3600</f>
        <v>699.99999999999989</v>
      </c>
      <c r="H75" s="104">
        <f t="shared" ref="H75" si="6">H74*1000*365*24*3600</f>
        <v>699.99999999999989</v>
      </c>
      <c r="I75" s="104">
        <f t="shared" ref="I75" si="7">I74*1000*365*24*3600</f>
        <v>699.99999999999989</v>
      </c>
      <c r="J75" s="104">
        <f t="shared" ref="J75" si="8">J74*1000*365*24*3600</f>
        <v>699.99999999999989</v>
      </c>
      <c r="K75" s="104">
        <f t="shared" ref="K75" si="9">K74*1000*365*24*3600</f>
        <v>699.99999999999989</v>
      </c>
      <c r="L75" s="104">
        <f t="shared" ref="L75" si="10">L74*1000*365*24*3600</f>
        <v>699.99999999999989</v>
      </c>
      <c r="M75" s="104">
        <f t="shared" ref="M75" si="11">M74*1000*365*24*3600</f>
        <v>699.99999999999989</v>
      </c>
      <c r="N75" s="42" t="s">
        <v>79</v>
      </c>
      <c r="O75" s="42" t="s">
        <v>122</v>
      </c>
      <c r="P75" s="42" t="s">
        <v>316</v>
      </c>
      <c r="Q75" s="118"/>
      <c r="R75" s="42"/>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row>
    <row r="76" spans="1:297" ht="16" x14ac:dyDescent="0.2">
      <c r="A76" s="302"/>
      <c r="B76" s="106" t="s">
        <v>105</v>
      </c>
      <c r="C76" s="106" t="s">
        <v>123</v>
      </c>
      <c r="D76" s="106" t="s">
        <v>111</v>
      </c>
      <c r="E76" s="106" t="s">
        <v>115</v>
      </c>
      <c r="F76" s="104">
        <v>3.3481104795914902</v>
      </c>
      <c r="G76" s="104">
        <v>2.7350201240101115</v>
      </c>
      <c r="H76" s="104">
        <v>3.2415889238524862</v>
      </c>
      <c r="I76" s="104">
        <v>3.1902082562842287</v>
      </c>
      <c r="J76" s="104">
        <v>3.2236167377528071</v>
      </c>
      <c r="K76" s="104">
        <v>3.1509464211344089</v>
      </c>
      <c r="L76" s="104">
        <v>3.2600324704341905</v>
      </c>
      <c r="M76" s="104">
        <v>3.246641926267948</v>
      </c>
      <c r="N76" s="42" t="s">
        <v>82</v>
      </c>
      <c r="O76" s="42" t="s">
        <v>80</v>
      </c>
      <c r="P76" s="42" t="s">
        <v>72</v>
      </c>
      <c r="Q76" s="118"/>
      <c r="R76" s="42"/>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c r="IH76" s="15"/>
      <c r="II76" s="15"/>
      <c r="IJ76" s="15"/>
      <c r="IK76" s="15"/>
      <c r="IL76" s="15"/>
      <c r="IM76" s="15"/>
      <c r="IN76" s="15"/>
      <c r="IO76" s="15"/>
      <c r="IP76" s="15"/>
      <c r="IQ76" s="15"/>
      <c r="IR76" s="15"/>
      <c r="IS76" s="15"/>
      <c r="IT76" s="15"/>
      <c r="IU76" s="15"/>
      <c r="IV76" s="15"/>
      <c r="IW76" s="15"/>
      <c r="IX76" s="15"/>
      <c r="IY76" s="15"/>
      <c r="IZ76" s="15"/>
      <c r="JA76" s="15"/>
      <c r="JB76" s="15"/>
      <c r="JC76" s="15"/>
      <c r="JD76" s="15"/>
      <c r="JE76" s="15"/>
      <c r="JF76" s="15"/>
      <c r="JG76" s="15"/>
      <c r="JH76" s="15"/>
      <c r="JI76" s="15"/>
      <c r="JJ76" s="15"/>
      <c r="JK76" s="15"/>
      <c r="JL76" s="15"/>
      <c r="JM76" s="15"/>
      <c r="JN76" s="15"/>
      <c r="JO76" s="15"/>
      <c r="JP76" s="15"/>
      <c r="JQ76" s="15"/>
      <c r="JR76" s="15"/>
      <c r="JS76" s="15"/>
      <c r="JT76" s="15"/>
      <c r="JU76" s="15"/>
      <c r="JV76" s="15"/>
      <c r="JW76" s="15"/>
      <c r="JX76" s="15"/>
      <c r="JY76" s="15"/>
      <c r="JZ76" s="15"/>
      <c r="KA76" s="15"/>
      <c r="KB76" s="15"/>
      <c r="KC76" s="15"/>
      <c r="KD76" s="15"/>
      <c r="KE76" s="15"/>
      <c r="KF76" s="15"/>
      <c r="KG76" s="15"/>
      <c r="KH76" s="15"/>
      <c r="KI76" s="15"/>
      <c r="KJ76" s="15"/>
      <c r="KK76" s="15"/>
    </row>
    <row r="77" spans="1:297" ht="16" x14ac:dyDescent="0.2">
      <c r="A77" s="302"/>
      <c r="B77" s="106" t="s">
        <v>56</v>
      </c>
      <c r="C77" s="106" t="s">
        <v>123</v>
      </c>
      <c r="D77" s="106" t="s">
        <v>111</v>
      </c>
      <c r="E77" s="106" t="s">
        <v>116</v>
      </c>
      <c r="F77" s="104">
        <v>90.805256532189901</v>
      </c>
      <c r="G77" s="104">
        <v>66.519702812403409</v>
      </c>
      <c r="H77" s="104">
        <v>65.109349963746212</v>
      </c>
      <c r="I77" s="104">
        <v>58.824130287627625</v>
      </c>
      <c r="J77" s="104">
        <v>65.859718757561268</v>
      </c>
      <c r="K77" s="104">
        <v>66.646020138509783</v>
      </c>
      <c r="L77" s="104">
        <v>39.143976186341142</v>
      </c>
      <c r="M77" s="104">
        <v>65.281447746446048</v>
      </c>
      <c r="N77" s="42" t="s">
        <v>81</v>
      </c>
      <c r="O77" s="42" t="s">
        <v>80</v>
      </c>
      <c r="P77" s="42" t="s">
        <v>72</v>
      </c>
      <c r="Q77" s="118"/>
      <c r="R77" s="42"/>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row>
    <row r="78" spans="1:297" ht="16" x14ac:dyDescent="0.2">
      <c r="A78" s="302"/>
      <c r="B78" s="106" t="s">
        <v>57</v>
      </c>
      <c r="C78" s="106" t="s">
        <v>123</v>
      </c>
      <c r="D78" s="106" t="s">
        <v>111</v>
      </c>
      <c r="E78" s="106" t="s">
        <v>124</v>
      </c>
      <c r="F78" s="104">
        <v>12.970769230769234</v>
      </c>
      <c r="G78" s="104">
        <f>F78</f>
        <v>12.970769230769234</v>
      </c>
      <c r="H78" s="104">
        <f t="shared" ref="H78:M78" si="12">G78</f>
        <v>12.970769230769234</v>
      </c>
      <c r="I78" s="104">
        <f t="shared" si="12"/>
        <v>12.970769230769234</v>
      </c>
      <c r="J78" s="104">
        <f t="shared" si="12"/>
        <v>12.970769230769234</v>
      </c>
      <c r="K78" s="104">
        <f t="shared" si="12"/>
        <v>12.970769230769234</v>
      </c>
      <c r="L78" s="104">
        <f t="shared" si="12"/>
        <v>12.970769230769234</v>
      </c>
      <c r="M78" s="104">
        <f t="shared" si="12"/>
        <v>12.970769230769234</v>
      </c>
      <c r="N78" s="42" t="s">
        <v>292</v>
      </c>
      <c r="O78" s="42" t="s">
        <v>80</v>
      </c>
      <c r="P78" s="42" t="s">
        <v>318</v>
      </c>
      <c r="Q78" s="118"/>
      <c r="R78" s="42"/>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row>
    <row r="79" spans="1:297" ht="16" x14ac:dyDescent="0.2">
      <c r="A79" s="302"/>
      <c r="B79" s="106"/>
      <c r="C79" s="106" t="s">
        <v>123</v>
      </c>
      <c r="D79" s="106" t="s">
        <v>111</v>
      </c>
      <c r="E79" s="106" t="s">
        <v>140</v>
      </c>
      <c r="F79" s="104">
        <v>2117.4071879780327</v>
      </c>
      <c r="G79" s="104">
        <f>F79</f>
        <v>2117.4071879780327</v>
      </c>
      <c r="H79" s="104">
        <f t="shared" ref="H79:M79" si="13">G79</f>
        <v>2117.4071879780327</v>
      </c>
      <c r="I79" s="104">
        <f t="shared" si="13"/>
        <v>2117.4071879780327</v>
      </c>
      <c r="J79" s="104">
        <f t="shared" si="13"/>
        <v>2117.4071879780327</v>
      </c>
      <c r="K79" s="104">
        <f t="shared" si="13"/>
        <v>2117.4071879780327</v>
      </c>
      <c r="L79" s="104">
        <f t="shared" si="13"/>
        <v>2117.4071879780327</v>
      </c>
      <c r="M79" s="104">
        <f t="shared" si="13"/>
        <v>2117.4071879780327</v>
      </c>
      <c r="N79" s="42" t="s">
        <v>157</v>
      </c>
      <c r="O79" s="42" t="s">
        <v>80</v>
      </c>
      <c r="P79" s="42" t="s">
        <v>316</v>
      </c>
      <c r="Q79" s="118"/>
      <c r="R79" s="42"/>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c r="IH79" s="15"/>
      <c r="II79" s="15"/>
      <c r="IJ79" s="15"/>
      <c r="IK79" s="15"/>
      <c r="IL79" s="15"/>
      <c r="IM79" s="15"/>
      <c r="IN79" s="15"/>
      <c r="IO79" s="15"/>
      <c r="IP79" s="15"/>
      <c r="IQ79" s="15"/>
      <c r="IR79" s="15"/>
      <c r="IS79" s="15"/>
      <c r="IT79" s="15"/>
      <c r="IU79" s="15"/>
      <c r="IV79" s="15"/>
      <c r="IW79" s="15"/>
      <c r="IX79" s="15"/>
      <c r="IY79" s="15"/>
      <c r="IZ79" s="15"/>
      <c r="JA79" s="15"/>
      <c r="JB79" s="15"/>
      <c r="JC79" s="15"/>
      <c r="JD79" s="15"/>
      <c r="JE79" s="15"/>
      <c r="JF79" s="15"/>
      <c r="JG79" s="15"/>
      <c r="JH79" s="15"/>
      <c r="JI79" s="15"/>
      <c r="JJ79" s="15"/>
      <c r="JK79" s="15"/>
      <c r="JL79" s="15"/>
      <c r="JM79" s="15"/>
      <c r="JN79" s="15"/>
      <c r="JO79" s="15"/>
      <c r="JP79" s="15"/>
      <c r="JQ79" s="15"/>
      <c r="JR79" s="15"/>
      <c r="JS79" s="15"/>
      <c r="JT79" s="15"/>
      <c r="JU79" s="15"/>
      <c r="JV79" s="15"/>
      <c r="JW79" s="15"/>
      <c r="JX79" s="15"/>
      <c r="JY79" s="15"/>
      <c r="JZ79" s="15"/>
      <c r="KA79" s="15"/>
      <c r="KB79" s="15"/>
      <c r="KC79" s="15"/>
      <c r="KD79" s="15"/>
      <c r="KE79" s="15"/>
      <c r="KF79" s="15"/>
      <c r="KG79" s="15"/>
      <c r="KH79" s="15"/>
      <c r="KI79" s="15"/>
      <c r="KJ79" s="15"/>
      <c r="KK79" s="15"/>
    </row>
    <row r="80" spans="1:297" ht="16" x14ac:dyDescent="0.2">
      <c r="A80" s="302"/>
      <c r="B80" s="106" t="s">
        <v>106</v>
      </c>
      <c r="C80" s="106"/>
      <c r="D80" s="106" t="s">
        <v>111</v>
      </c>
      <c r="E80" s="106"/>
      <c r="F80" s="104">
        <v>3.4031796809360047E-2</v>
      </c>
      <c r="G80" s="104">
        <v>1.9103841468312406E-2</v>
      </c>
      <c r="H80" s="104">
        <v>2.3721847660478475E-2</v>
      </c>
      <c r="I80" s="104">
        <v>2.6222440607289035E-2</v>
      </c>
      <c r="J80" s="104">
        <v>2.4446021421403796E-2</v>
      </c>
      <c r="K80" s="104">
        <v>2.0339743714686769E-2</v>
      </c>
      <c r="L80" s="104">
        <v>2.5425220200314375E-2</v>
      </c>
      <c r="M80" s="104">
        <v>2.3984869069064718E-2</v>
      </c>
      <c r="N80" s="42" t="s">
        <v>83</v>
      </c>
      <c r="O80" s="42" t="s">
        <v>14</v>
      </c>
      <c r="P80" s="42" t="s">
        <v>84</v>
      </c>
      <c r="Q80" s="118"/>
      <c r="R80" s="42"/>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c r="IG80" s="15"/>
      <c r="IH80" s="15"/>
      <c r="II80" s="15"/>
      <c r="IJ80" s="15"/>
      <c r="IK80" s="15"/>
      <c r="IL80" s="15"/>
      <c r="IM80" s="15"/>
      <c r="IN80" s="15"/>
      <c r="IO80" s="15"/>
      <c r="IP80" s="15"/>
      <c r="IQ80" s="15"/>
      <c r="IR80" s="15"/>
      <c r="IS80" s="15"/>
      <c r="IT80" s="15"/>
      <c r="IU80" s="15"/>
      <c r="IV80" s="15"/>
      <c r="IW80" s="15"/>
      <c r="IX80" s="15"/>
      <c r="IY80" s="15"/>
      <c r="IZ80" s="15"/>
      <c r="JA80" s="15"/>
      <c r="JB80" s="15"/>
      <c r="JC80" s="15"/>
      <c r="JD80" s="15"/>
      <c r="JE80" s="15"/>
      <c r="JF80" s="15"/>
      <c r="JG80" s="15"/>
      <c r="JH80" s="15"/>
      <c r="JI80" s="15"/>
      <c r="JJ80" s="15"/>
      <c r="JK80" s="15"/>
      <c r="JL80" s="15"/>
      <c r="JM80" s="15"/>
      <c r="JN80" s="15"/>
      <c r="JO80" s="15"/>
      <c r="JP80" s="15"/>
      <c r="JQ80" s="15"/>
      <c r="JR80" s="15"/>
      <c r="JS80" s="15"/>
      <c r="JT80" s="15"/>
      <c r="JU80" s="15"/>
      <c r="JV80" s="15"/>
      <c r="JW80" s="15"/>
      <c r="JX80" s="15"/>
      <c r="JY80" s="15"/>
      <c r="JZ80" s="15"/>
      <c r="KA80" s="15"/>
      <c r="KB80" s="15"/>
      <c r="KC80" s="15"/>
      <c r="KD80" s="15"/>
      <c r="KE80" s="15"/>
      <c r="KF80" s="15"/>
      <c r="KG80" s="15"/>
      <c r="KH80" s="15"/>
      <c r="KI80" s="15"/>
      <c r="KJ80" s="15"/>
      <c r="KK80" s="15"/>
    </row>
    <row r="81" spans="1:297" ht="16" x14ac:dyDescent="0.2">
      <c r="A81" s="302"/>
      <c r="B81" s="106" t="s">
        <v>58</v>
      </c>
      <c r="C81" s="106"/>
      <c r="D81" s="106" t="s">
        <v>111</v>
      </c>
      <c r="E81" s="106"/>
      <c r="F81" s="104">
        <v>0.21596820319063995</v>
      </c>
      <c r="G81" s="104">
        <v>0.2308961585316876</v>
      </c>
      <c r="H81" s="104">
        <v>0.22627815233952153</v>
      </c>
      <c r="I81" s="104">
        <v>0.22377755939271096</v>
      </c>
      <c r="J81" s="104">
        <v>0.22555397857859621</v>
      </c>
      <c r="K81" s="104">
        <v>0.22966025628531322</v>
      </c>
      <c r="L81" s="104">
        <v>0.22457477979968563</v>
      </c>
      <c r="M81" s="104">
        <v>0.22601513093093528</v>
      </c>
      <c r="N81" s="42" t="s">
        <v>86</v>
      </c>
      <c r="O81" s="42" t="s">
        <v>14</v>
      </c>
      <c r="P81" s="42" t="s">
        <v>85</v>
      </c>
      <c r="Q81" s="118"/>
      <c r="R81" s="42"/>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c r="IG81" s="15"/>
      <c r="IH81" s="15"/>
      <c r="II81" s="15"/>
      <c r="IJ81" s="15"/>
      <c r="IK81" s="15"/>
      <c r="IL81" s="15"/>
      <c r="IM81" s="15"/>
      <c r="IN81" s="15"/>
      <c r="IO81" s="15"/>
      <c r="IP81" s="15"/>
      <c r="IQ81" s="15"/>
      <c r="IR81" s="15"/>
      <c r="IS81" s="15"/>
      <c r="IT81" s="15"/>
      <c r="IU81" s="15"/>
      <c r="IV81" s="15"/>
      <c r="IW81" s="15"/>
      <c r="IX81" s="15"/>
      <c r="IY81" s="15"/>
      <c r="IZ81" s="15"/>
      <c r="JA81" s="15"/>
      <c r="JB81" s="15"/>
      <c r="JC81" s="15"/>
      <c r="JD81" s="15"/>
      <c r="JE81" s="15"/>
      <c r="JF81" s="15"/>
      <c r="JG81" s="15"/>
      <c r="JH81" s="15"/>
      <c r="JI81" s="15"/>
      <c r="JJ81" s="15"/>
      <c r="JK81" s="15"/>
      <c r="JL81" s="15"/>
      <c r="JM81" s="15"/>
      <c r="JN81" s="15"/>
      <c r="JO81" s="15"/>
      <c r="JP81" s="15"/>
      <c r="JQ81" s="15"/>
      <c r="JR81" s="15"/>
      <c r="JS81" s="15"/>
      <c r="JT81" s="15"/>
      <c r="JU81" s="15"/>
      <c r="JV81" s="15"/>
      <c r="JW81" s="15"/>
      <c r="JX81" s="15"/>
      <c r="JY81" s="15"/>
      <c r="JZ81" s="15"/>
      <c r="KA81" s="15"/>
      <c r="KB81" s="15"/>
      <c r="KC81" s="15"/>
      <c r="KD81" s="15"/>
      <c r="KE81" s="15"/>
      <c r="KF81" s="15"/>
      <c r="KG81" s="15"/>
      <c r="KH81" s="15"/>
      <c r="KI81" s="15"/>
      <c r="KJ81" s="15"/>
      <c r="KK81" s="15"/>
    </row>
    <row r="82" spans="1:297" ht="16" x14ac:dyDescent="0.2">
      <c r="A82" s="302"/>
      <c r="B82" s="106"/>
      <c r="C82" s="106" t="s">
        <v>142</v>
      </c>
      <c r="D82" s="106" t="s">
        <v>111</v>
      </c>
      <c r="E82" s="106"/>
      <c r="F82" s="104">
        <v>0.25</v>
      </c>
      <c r="G82" s="104">
        <v>0.25</v>
      </c>
      <c r="H82" s="104">
        <v>0.25</v>
      </c>
      <c r="I82" s="104">
        <v>0.25</v>
      </c>
      <c r="J82" s="104">
        <v>0.25</v>
      </c>
      <c r="K82" s="104">
        <v>0.25</v>
      </c>
      <c r="L82" s="104">
        <v>0.25</v>
      </c>
      <c r="M82" s="104">
        <v>0.25</v>
      </c>
      <c r="N82" s="42" t="s">
        <v>143</v>
      </c>
      <c r="O82" s="42" t="s">
        <v>14</v>
      </c>
      <c r="P82" s="42" t="s">
        <v>316</v>
      </c>
      <c r="Q82" s="118"/>
      <c r="R82" s="42"/>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15"/>
      <c r="HQ82" s="15"/>
      <c r="HR82" s="15"/>
      <c r="HS82" s="15"/>
      <c r="HT82" s="15"/>
      <c r="HU82" s="15"/>
      <c r="HV82" s="15"/>
      <c r="HW82" s="15"/>
      <c r="HX82" s="15"/>
      <c r="HY82" s="15"/>
      <c r="HZ82" s="15"/>
      <c r="IA82" s="15"/>
      <c r="IB82" s="15"/>
      <c r="IC82" s="15"/>
      <c r="ID82" s="15"/>
      <c r="IE82" s="15"/>
      <c r="IF82" s="15"/>
      <c r="IG82" s="15"/>
      <c r="IH82" s="15"/>
      <c r="II82" s="15"/>
      <c r="IJ82" s="15"/>
      <c r="IK82" s="15"/>
      <c r="IL82" s="15"/>
      <c r="IM82" s="15"/>
      <c r="IN82" s="15"/>
      <c r="IO82" s="15"/>
      <c r="IP82" s="15"/>
      <c r="IQ82" s="15"/>
      <c r="IR82" s="15"/>
      <c r="IS82" s="15"/>
      <c r="IT82" s="15"/>
      <c r="IU82" s="15"/>
      <c r="IV82" s="15"/>
      <c r="IW82" s="15"/>
      <c r="IX82" s="15"/>
      <c r="IY82" s="15"/>
      <c r="IZ82" s="15"/>
      <c r="JA82" s="15"/>
      <c r="JB82" s="15"/>
      <c r="JC82" s="15"/>
      <c r="JD82" s="15"/>
      <c r="JE82" s="15"/>
      <c r="JF82" s="15"/>
      <c r="JG82" s="15"/>
      <c r="JH82" s="15"/>
      <c r="JI82" s="15"/>
      <c r="JJ82" s="15"/>
      <c r="JK82" s="15"/>
      <c r="JL82" s="15"/>
      <c r="JM82" s="15"/>
      <c r="JN82" s="15"/>
      <c r="JO82" s="15"/>
      <c r="JP82" s="15"/>
      <c r="JQ82" s="15"/>
      <c r="JR82" s="15"/>
      <c r="JS82" s="15"/>
      <c r="JT82" s="15"/>
      <c r="JU82" s="15"/>
      <c r="JV82" s="15"/>
      <c r="JW82" s="15"/>
      <c r="JX82" s="15"/>
      <c r="JY82" s="15"/>
      <c r="JZ82" s="15"/>
      <c r="KA82" s="15"/>
      <c r="KB82" s="15"/>
      <c r="KC82" s="15"/>
      <c r="KD82" s="15"/>
      <c r="KE82" s="15"/>
      <c r="KF82" s="15"/>
      <c r="KG82" s="15"/>
      <c r="KH82" s="15"/>
      <c r="KI82" s="15"/>
      <c r="KJ82" s="15"/>
      <c r="KK82" s="15"/>
    </row>
    <row r="83" spans="1:297" ht="16" x14ac:dyDescent="0.2">
      <c r="A83" s="302"/>
      <c r="B83" s="106" t="s">
        <v>59</v>
      </c>
      <c r="C83" s="106" t="s">
        <v>125</v>
      </c>
      <c r="D83" s="106" t="s">
        <v>111</v>
      </c>
      <c r="E83" s="106"/>
      <c r="F83" s="104">
        <v>0.25</v>
      </c>
      <c r="G83" s="104">
        <v>0.25</v>
      </c>
      <c r="H83" s="104">
        <v>0.25</v>
      </c>
      <c r="I83" s="104">
        <v>0.25</v>
      </c>
      <c r="J83" s="104">
        <v>0.25</v>
      </c>
      <c r="K83" s="104">
        <v>0.25</v>
      </c>
      <c r="L83" s="104">
        <v>0.25</v>
      </c>
      <c r="M83" s="104">
        <v>0.25</v>
      </c>
      <c r="N83" s="42" t="s">
        <v>87</v>
      </c>
      <c r="O83" s="42" t="s">
        <v>14</v>
      </c>
      <c r="P83" s="42" t="s">
        <v>316</v>
      </c>
      <c r="Q83" s="118"/>
      <c r="R83" s="42"/>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c r="GM83" s="15"/>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c r="HN83" s="15"/>
      <c r="HO83" s="15"/>
      <c r="HP83" s="15"/>
      <c r="HQ83" s="15"/>
      <c r="HR83" s="15"/>
      <c r="HS83" s="15"/>
      <c r="HT83" s="15"/>
      <c r="HU83" s="15"/>
      <c r="HV83" s="15"/>
      <c r="HW83" s="15"/>
      <c r="HX83" s="15"/>
      <c r="HY83" s="15"/>
      <c r="HZ83" s="15"/>
      <c r="IA83" s="15"/>
      <c r="IB83" s="15"/>
      <c r="IC83" s="15"/>
      <c r="ID83" s="15"/>
      <c r="IE83" s="15"/>
      <c r="IF83" s="15"/>
      <c r="IG83" s="15"/>
      <c r="IH83" s="15"/>
      <c r="II83" s="15"/>
      <c r="IJ83" s="15"/>
      <c r="IK83" s="15"/>
      <c r="IL83" s="15"/>
      <c r="IM83" s="15"/>
      <c r="IN83" s="15"/>
      <c r="IO83" s="15"/>
      <c r="IP83" s="15"/>
      <c r="IQ83" s="15"/>
      <c r="IR83" s="15"/>
      <c r="IS83" s="15"/>
      <c r="IT83" s="15"/>
      <c r="IU83" s="15"/>
      <c r="IV83" s="15"/>
      <c r="IW83" s="15"/>
      <c r="IX83" s="15"/>
      <c r="IY83" s="15"/>
      <c r="IZ83" s="15"/>
      <c r="JA83" s="15"/>
      <c r="JB83" s="15"/>
      <c r="JC83" s="15"/>
      <c r="JD83" s="15"/>
      <c r="JE83" s="15"/>
      <c r="JF83" s="15"/>
      <c r="JG83" s="15"/>
      <c r="JH83" s="15"/>
      <c r="JI83" s="15"/>
      <c r="JJ83" s="15"/>
      <c r="JK83" s="15"/>
      <c r="JL83" s="15"/>
      <c r="JM83" s="15"/>
      <c r="JN83" s="15"/>
      <c r="JO83" s="15"/>
      <c r="JP83" s="15"/>
      <c r="JQ83" s="15"/>
      <c r="JR83" s="15"/>
      <c r="JS83" s="15"/>
      <c r="JT83" s="15"/>
      <c r="JU83" s="15"/>
      <c r="JV83" s="15"/>
      <c r="JW83" s="15"/>
      <c r="JX83" s="15"/>
      <c r="JY83" s="15"/>
      <c r="JZ83" s="15"/>
      <c r="KA83" s="15"/>
      <c r="KB83" s="15"/>
      <c r="KC83" s="15"/>
      <c r="KD83" s="15"/>
      <c r="KE83" s="15"/>
      <c r="KF83" s="15"/>
      <c r="KG83" s="15"/>
      <c r="KH83" s="15"/>
      <c r="KI83" s="15"/>
      <c r="KJ83" s="15"/>
      <c r="KK83" s="15"/>
    </row>
    <row r="84" spans="1:297" ht="16" x14ac:dyDescent="0.2">
      <c r="A84" s="302"/>
      <c r="B84" s="106" t="s">
        <v>60</v>
      </c>
      <c r="C84" s="106"/>
      <c r="D84" s="106" t="s">
        <v>111</v>
      </c>
      <c r="E84" s="106"/>
      <c r="F84" s="104">
        <v>9.5129375951293754E-13</v>
      </c>
      <c r="G84" s="104">
        <v>9.5129375951293754E-13</v>
      </c>
      <c r="H84" s="104">
        <v>9.5129375951293754E-13</v>
      </c>
      <c r="I84" s="104">
        <v>9.5129375951293754E-13</v>
      </c>
      <c r="J84" s="104">
        <v>9.5129375951293754E-13</v>
      </c>
      <c r="K84" s="104">
        <v>9.5129375951293754E-13</v>
      </c>
      <c r="L84" s="104">
        <v>9.5129375951293754E-13</v>
      </c>
      <c r="M84" s="104">
        <v>9.5129375951293754E-13</v>
      </c>
      <c r="N84" s="42" t="s">
        <v>90</v>
      </c>
      <c r="O84" s="42" t="s">
        <v>78</v>
      </c>
      <c r="P84" s="42" t="s">
        <v>316</v>
      </c>
      <c r="Q84" s="118"/>
      <c r="R84" s="42"/>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15"/>
      <c r="HQ84" s="15"/>
      <c r="HR84" s="15"/>
      <c r="HS84" s="15"/>
      <c r="HT84" s="15"/>
      <c r="HU84" s="15"/>
      <c r="HV84" s="15"/>
      <c r="HW84" s="15"/>
      <c r="HX84" s="15"/>
      <c r="HY84" s="15"/>
      <c r="HZ84" s="15"/>
      <c r="IA84" s="15"/>
      <c r="IB84" s="15"/>
      <c r="IC84" s="15"/>
      <c r="ID84" s="15"/>
      <c r="IE84" s="15"/>
      <c r="IF84" s="15"/>
      <c r="IG84" s="15"/>
      <c r="IH84" s="15"/>
      <c r="II84" s="15"/>
      <c r="IJ84" s="15"/>
      <c r="IK84" s="15"/>
      <c r="IL84" s="15"/>
      <c r="IM84" s="15"/>
      <c r="IN84" s="15"/>
      <c r="IO84" s="15"/>
      <c r="IP84" s="15"/>
      <c r="IQ84" s="15"/>
      <c r="IR84" s="15"/>
      <c r="IS84" s="15"/>
      <c r="IT84" s="15"/>
      <c r="IU84" s="15"/>
      <c r="IV84" s="15"/>
      <c r="IW84" s="15"/>
      <c r="IX84" s="15"/>
      <c r="IY84" s="15"/>
      <c r="IZ84" s="15"/>
      <c r="JA84" s="15"/>
      <c r="JB84" s="15"/>
      <c r="JC84" s="15"/>
      <c r="JD84" s="15"/>
      <c r="JE84" s="15"/>
      <c r="JF84" s="15"/>
      <c r="JG84" s="15"/>
      <c r="JH84" s="15"/>
      <c r="JI84" s="15"/>
      <c r="JJ84" s="15"/>
      <c r="JK84" s="15"/>
      <c r="JL84" s="15"/>
      <c r="JM84" s="15"/>
      <c r="JN84" s="15"/>
      <c r="JO84" s="15"/>
      <c r="JP84" s="15"/>
      <c r="JQ84" s="15"/>
      <c r="JR84" s="15"/>
      <c r="JS84" s="15"/>
      <c r="JT84" s="15"/>
      <c r="JU84" s="15"/>
      <c r="JV84" s="15"/>
      <c r="JW84" s="15"/>
      <c r="JX84" s="15"/>
      <c r="JY84" s="15"/>
      <c r="JZ84" s="15"/>
      <c r="KA84" s="15"/>
      <c r="KB84" s="15"/>
      <c r="KC84" s="15"/>
      <c r="KD84" s="15"/>
      <c r="KE84" s="15"/>
      <c r="KF84" s="15"/>
      <c r="KG84" s="15"/>
      <c r="KH84" s="15"/>
      <c r="KI84" s="15"/>
      <c r="KJ84" s="15"/>
      <c r="KK84" s="15"/>
    </row>
    <row r="85" spans="1:297" ht="16" x14ac:dyDescent="0.2">
      <c r="A85" s="302"/>
      <c r="B85" s="106" t="s">
        <v>61</v>
      </c>
      <c r="C85" s="106"/>
      <c r="D85" s="106" t="s">
        <v>111</v>
      </c>
      <c r="E85" s="106"/>
      <c r="F85" s="104">
        <v>2722000000000</v>
      </c>
      <c r="G85" s="104">
        <v>2722000000000</v>
      </c>
      <c r="H85" s="104">
        <v>2722000000000</v>
      </c>
      <c r="I85" s="104">
        <v>2722000000000</v>
      </c>
      <c r="J85" s="104">
        <v>2722000000000</v>
      </c>
      <c r="K85" s="104">
        <v>2722000000000</v>
      </c>
      <c r="L85" s="104">
        <v>2722000000000</v>
      </c>
      <c r="M85" s="104">
        <v>2722000000000</v>
      </c>
      <c r="N85" s="42" t="s">
        <v>91</v>
      </c>
      <c r="O85" s="42" t="s">
        <v>92</v>
      </c>
      <c r="P85" s="42" t="s">
        <v>316</v>
      </c>
      <c r="Q85" s="118"/>
      <c r="R85" s="42"/>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c r="HL85" s="15"/>
      <c r="HM85" s="15"/>
      <c r="HN85" s="15"/>
      <c r="HO85" s="15"/>
      <c r="HP85" s="15"/>
      <c r="HQ85" s="15"/>
      <c r="HR85" s="15"/>
      <c r="HS85" s="15"/>
      <c r="HT85" s="15"/>
      <c r="HU85" s="15"/>
      <c r="HV85" s="15"/>
      <c r="HW85" s="15"/>
      <c r="HX85" s="15"/>
      <c r="HY85" s="15"/>
      <c r="HZ85" s="15"/>
      <c r="IA85" s="15"/>
      <c r="IB85" s="15"/>
      <c r="IC85" s="15"/>
      <c r="ID85" s="15"/>
      <c r="IE85" s="15"/>
      <c r="IF85" s="15"/>
      <c r="IG85" s="15"/>
      <c r="IH85" s="15"/>
      <c r="II85" s="15"/>
      <c r="IJ85" s="15"/>
      <c r="IK85" s="15"/>
      <c r="IL85" s="15"/>
      <c r="IM85" s="15"/>
      <c r="IN85" s="15"/>
      <c r="IO85" s="15"/>
      <c r="IP85" s="15"/>
      <c r="IQ85" s="15"/>
      <c r="IR85" s="15"/>
      <c r="IS85" s="15"/>
      <c r="IT85" s="15"/>
      <c r="IU85" s="15"/>
      <c r="IV85" s="15"/>
      <c r="IW85" s="15"/>
      <c r="IX85" s="15"/>
      <c r="IY85" s="15"/>
      <c r="IZ85" s="15"/>
      <c r="JA85" s="15"/>
      <c r="JB85" s="15"/>
      <c r="JC85" s="15"/>
      <c r="JD85" s="15"/>
      <c r="JE85" s="15"/>
      <c r="JF85" s="15"/>
      <c r="JG85" s="15"/>
      <c r="JH85" s="15"/>
      <c r="JI85" s="15"/>
      <c r="JJ85" s="15"/>
      <c r="JK85" s="15"/>
      <c r="JL85" s="15"/>
      <c r="JM85" s="15"/>
      <c r="JN85" s="15"/>
      <c r="JO85" s="15"/>
      <c r="JP85" s="15"/>
      <c r="JQ85" s="15"/>
      <c r="JR85" s="15"/>
      <c r="JS85" s="15"/>
      <c r="JT85" s="15"/>
      <c r="JU85" s="15"/>
      <c r="JV85" s="15"/>
      <c r="JW85" s="15"/>
      <c r="JX85" s="15"/>
      <c r="JY85" s="15"/>
      <c r="JZ85" s="15"/>
      <c r="KA85" s="15"/>
      <c r="KB85" s="15"/>
      <c r="KC85" s="15"/>
      <c r="KD85" s="15"/>
      <c r="KE85" s="15"/>
      <c r="KF85" s="15"/>
      <c r="KG85" s="15"/>
      <c r="KH85" s="15"/>
      <c r="KI85" s="15"/>
      <c r="KJ85" s="15"/>
      <c r="KK85" s="15"/>
    </row>
    <row r="86" spans="1:297" ht="16" x14ac:dyDescent="0.2">
      <c r="A86" s="302"/>
      <c r="B86" s="122" t="s">
        <v>152</v>
      </c>
      <c r="C86" s="122" t="s">
        <v>152</v>
      </c>
      <c r="D86" s="106"/>
      <c r="E86" s="106"/>
      <c r="F86" s="123">
        <v>0.92500000000000004</v>
      </c>
      <c r="G86" s="123">
        <v>0.70109999999999995</v>
      </c>
      <c r="H86" s="123">
        <v>0.89780000000000004</v>
      </c>
      <c r="I86" s="123">
        <v>0.7732</v>
      </c>
      <c r="J86" s="123">
        <v>0.87749999999999995</v>
      </c>
      <c r="K86" s="123">
        <v>0.71199999999999997</v>
      </c>
      <c r="L86" s="123">
        <v>0.94299999999999995</v>
      </c>
      <c r="M86" s="123">
        <v>0.91080000000000005</v>
      </c>
      <c r="N86" s="42"/>
      <c r="O86" s="42" t="s">
        <v>14</v>
      </c>
      <c r="P86" s="42" t="s">
        <v>294</v>
      </c>
      <c r="Q86" s="118"/>
      <c r="R86" s="42"/>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15"/>
      <c r="HQ86" s="15"/>
      <c r="HR86" s="15"/>
      <c r="HS86" s="15"/>
      <c r="HT86" s="15"/>
      <c r="HU86" s="15"/>
      <c r="HV86" s="15"/>
      <c r="HW86" s="15"/>
      <c r="HX86" s="15"/>
      <c r="HY86" s="15"/>
      <c r="HZ86" s="15"/>
      <c r="IA86" s="15"/>
      <c r="IB86" s="15"/>
      <c r="IC86" s="15"/>
      <c r="ID86" s="15"/>
      <c r="IE86" s="15"/>
      <c r="IF86" s="15"/>
      <c r="IG86" s="15"/>
      <c r="IH86" s="15"/>
      <c r="II86" s="15"/>
      <c r="IJ86" s="15"/>
      <c r="IK86" s="15"/>
      <c r="IL86" s="15"/>
      <c r="IM86" s="15"/>
      <c r="IN86" s="15"/>
      <c r="IO86" s="15"/>
      <c r="IP86" s="15"/>
      <c r="IQ86" s="15"/>
      <c r="IR86" s="15"/>
      <c r="IS86" s="15"/>
      <c r="IT86" s="15"/>
      <c r="IU86" s="15"/>
      <c r="IV86" s="15"/>
      <c r="IW86" s="15"/>
      <c r="IX86" s="15"/>
      <c r="IY86" s="15"/>
      <c r="IZ86" s="15"/>
      <c r="JA86" s="15"/>
      <c r="JB86" s="15"/>
      <c r="JC86" s="15"/>
      <c r="JD86" s="15"/>
      <c r="JE86" s="15"/>
      <c r="JF86" s="15"/>
      <c r="JG86" s="15"/>
      <c r="JH86" s="15"/>
      <c r="JI86" s="15"/>
      <c r="JJ86" s="15"/>
      <c r="JK86" s="15"/>
      <c r="JL86" s="15"/>
      <c r="JM86" s="15"/>
      <c r="JN86" s="15"/>
      <c r="JO86" s="15"/>
      <c r="JP86" s="15"/>
      <c r="JQ86" s="15"/>
      <c r="JR86" s="15"/>
      <c r="JS86" s="15"/>
      <c r="JT86" s="15"/>
      <c r="JU86" s="15"/>
      <c r="JV86" s="15"/>
      <c r="JW86" s="15"/>
      <c r="JX86" s="15"/>
      <c r="JY86" s="15"/>
      <c r="JZ86" s="15"/>
      <c r="KA86" s="15"/>
      <c r="KB86" s="15"/>
      <c r="KC86" s="15"/>
      <c r="KD86" s="15"/>
      <c r="KE86" s="15"/>
      <c r="KF86" s="15"/>
      <c r="KG86" s="15"/>
      <c r="KH86" s="15"/>
      <c r="KI86" s="15"/>
      <c r="KJ86" s="15"/>
      <c r="KK86" s="15"/>
    </row>
    <row r="87" spans="1:297" ht="16" x14ac:dyDescent="0.2">
      <c r="A87" s="302"/>
      <c r="B87" s="122" t="s">
        <v>154</v>
      </c>
      <c r="C87" s="122" t="s">
        <v>154</v>
      </c>
      <c r="D87" s="106"/>
      <c r="E87" s="106"/>
      <c r="F87" s="123">
        <v>0.29669774233404472</v>
      </c>
      <c r="G87" s="123">
        <v>0.29669774233404472</v>
      </c>
      <c r="H87" s="123">
        <v>0.29669774233404472</v>
      </c>
      <c r="I87" s="123">
        <v>0.29669774233404472</v>
      </c>
      <c r="J87" s="123">
        <v>0.29669774233404472</v>
      </c>
      <c r="K87" s="123">
        <v>0.29669774233404472</v>
      </c>
      <c r="L87" s="123">
        <v>0.29669774233404472</v>
      </c>
      <c r="M87" s="123">
        <v>0.29669774233404472</v>
      </c>
      <c r="N87" s="42"/>
      <c r="O87" s="42" t="s">
        <v>14</v>
      </c>
      <c r="P87" s="42" t="s">
        <v>294</v>
      </c>
      <c r="Q87" s="118"/>
      <c r="R87" s="42"/>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15"/>
      <c r="GI87" s="15"/>
      <c r="GJ87" s="15"/>
      <c r="GK87" s="15"/>
      <c r="GL87" s="15"/>
      <c r="GM87" s="15"/>
      <c r="GN87" s="15"/>
      <c r="GO87" s="15"/>
      <c r="GP87" s="15"/>
      <c r="GQ87" s="15"/>
      <c r="GR87" s="15"/>
      <c r="GS87" s="15"/>
      <c r="GT87" s="15"/>
      <c r="GU87" s="15"/>
      <c r="GV87" s="15"/>
      <c r="GW87" s="15"/>
      <c r="GX87" s="15"/>
      <c r="GY87" s="15"/>
      <c r="GZ87" s="15"/>
      <c r="HA87" s="15"/>
      <c r="HB87" s="15"/>
      <c r="HC87" s="15"/>
      <c r="HD87" s="15"/>
      <c r="HE87" s="15"/>
      <c r="HF87" s="15"/>
      <c r="HG87" s="15"/>
      <c r="HH87" s="15"/>
      <c r="HI87" s="15"/>
      <c r="HJ87" s="15"/>
      <c r="HK87" s="15"/>
      <c r="HL87" s="15"/>
      <c r="HM87" s="15"/>
      <c r="HN87" s="15"/>
      <c r="HO87" s="15"/>
      <c r="HP87" s="15"/>
      <c r="HQ87" s="15"/>
      <c r="HR87" s="15"/>
      <c r="HS87" s="15"/>
      <c r="HT87" s="15"/>
      <c r="HU87" s="15"/>
      <c r="HV87" s="15"/>
      <c r="HW87" s="15"/>
      <c r="HX87" s="15"/>
      <c r="HY87" s="15"/>
      <c r="HZ87" s="15"/>
      <c r="IA87" s="15"/>
      <c r="IB87" s="15"/>
      <c r="IC87" s="15"/>
      <c r="ID87" s="15"/>
      <c r="IE87" s="15"/>
      <c r="IF87" s="15"/>
      <c r="IG87" s="15"/>
      <c r="IH87" s="15"/>
      <c r="II87" s="15"/>
      <c r="IJ87" s="15"/>
      <c r="IK87" s="15"/>
      <c r="IL87" s="15"/>
      <c r="IM87" s="15"/>
      <c r="IN87" s="15"/>
      <c r="IO87" s="15"/>
      <c r="IP87" s="15"/>
      <c r="IQ87" s="15"/>
      <c r="IR87" s="15"/>
      <c r="IS87" s="15"/>
      <c r="IT87" s="15"/>
      <c r="IU87" s="15"/>
      <c r="IV87" s="15"/>
      <c r="IW87" s="15"/>
      <c r="IX87" s="15"/>
      <c r="IY87" s="15"/>
      <c r="IZ87" s="15"/>
      <c r="JA87" s="15"/>
      <c r="JB87" s="15"/>
      <c r="JC87" s="15"/>
      <c r="JD87" s="15"/>
      <c r="JE87" s="15"/>
      <c r="JF87" s="15"/>
      <c r="JG87" s="15"/>
      <c r="JH87" s="15"/>
      <c r="JI87" s="15"/>
      <c r="JJ87" s="15"/>
      <c r="JK87" s="15"/>
      <c r="JL87" s="15"/>
      <c r="JM87" s="15"/>
      <c r="JN87" s="15"/>
      <c r="JO87" s="15"/>
      <c r="JP87" s="15"/>
      <c r="JQ87" s="15"/>
      <c r="JR87" s="15"/>
      <c r="JS87" s="15"/>
      <c r="JT87" s="15"/>
      <c r="JU87" s="15"/>
      <c r="JV87" s="15"/>
      <c r="JW87" s="15"/>
      <c r="JX87" s="15"/>
      <c r="JY87" s="15"/>
      <c r="JZ87" s="15"/>
      <c r="KA87" s="15"/>
      <c r="KB87" s="15"/>
      <c r="KC87" s="15"/>
      <c r="KD87" s="15"/>
      <c r="KE87" s="15"/>
      <c r="KF87" s="15"/>
      <c r="KG87" s="15"/>
      <c r="KH87" s="15"/>
      <c r="KI87" s="15"/>
      <c r="KJ87" s="15"/>
      <c r="KK87" s="15"/>
    </row>
    <row r="88" spans="1:297" ht="16" x14ac:dyDescent="0.2">
      <c r="A88" s="302"/>
      <c r="B88" s="122" t="s">
        <v>156</v>
      </c>
      <c r="C88" s="122" t="s">
        <v>156</v>
      </c>
      <c r="D88" s="106"/>
      <c r="E88" s="106"/>
      <c r="F88" s="123">
        <v>0.96760000000000002</v>
      </c>
      <c r="G88" s="123">
        <v>0.65669999999999995</v>
      </c>
      <c r="H88" s="123">
        <v>0.91690000000000005</v>
      </c>
      <c r="I88" s="123">
        <v>0.77170000000000005</v>
      </c>
      <c r="J88" s="123">
        <v>0.92400000000000004</v>
      </c>
      <c r="K88" s="123">
        <v>0.7702</v>
      </c>
      <c r="L88" s="123">
        <v>0.97860000000000003</v>
      </c>
      <c r="M88" s="123">
        <v>0.86899999999999999</v>
      </c>
      <c r="N88" s="42"/>
      <c r="O88" s="42" t="s">
        <v>14</v>
      </c>
      <c r="P88" s="42" t="s">
        <v>294</v>
      </c>
      <c r="Q88" s="118"/>
      <c r="R88" s="42"/>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c r="IQ88" s="15"/>
      <c r="IR88" s="15"/>
      <c r="IS88" s="15"/>
      <c r="IT88" s="15"/>
      <c r="IU88" s="15"/>
      <c r="IV88" s="15"/>
      <c r="IW88" s="15"/>
      <c r="IX88" s="15"/>
      <c r="IY88" s="15"/>
      <c r="IZ88" s="15"/>
      <c r="JA88" s="15"/>
      <c r="JB88" s="15"/>
      <c r="JC88" s="15"/>
      <c r="JD88" s="15"/>
      <c r="JE88" s="15"/>
      <c r="JF88" s="15"/>
      <c r="JG88" s="15"/>
      <c r="JH88" s="15"/>
      <c r="JI88" s="15"/>
      <c r="JJ88" s="15"/>
      <c r="JK88" s="15"/>
      <c r="JL88" s="15"/>
      <c r="JM88" s="15"/>
      <c r="JN88" s="15"/>
      <c r="JO88" s="15"/>
      <c r="JP88" s="15"/>
      <c r="JQ88" s="15"/>
      <c r="JR88" s="15"/>
      <c r="JS88" s="15"/>
      <c r="JT88" s="15"/>
      <c r="JU88" s="15"/>
      <c r="JV88" s="15"/>
      <c r="JW88" s="15"/>
      <c r="JX88" s="15"/>
      <c r="JY88" s="15"/>
      <c r="JZ88" s="15"/>
      <c r="KA88" s="15"/>
      <c r="KB88" s="15"/>
      <c r="KC88" s="15"/>
      <c r="KD88" s="15"/>
      <c r="KE88" s="15"/>
      <c r="KF88" s="15"/>
      <c r="KG88" s="15"/>
      <c r="KH88" s="15"/>
      <c r="KI88" s="15"/>
      <c r="KJ88" s="15"/>
      <c r="KK88" s="15"/>
    </row>
    <row r="89" spans="1:297" ht="16" x14ac:dyDescent="0.2">
      <c r="A89" s="302"/>
      <c r="B89" s="122"/>
      <c r="C89" s="122" t="s">
        <v>10297</v>
      </c>
      <c r="D89" s="106"/>
      <c r="E89" s="106"/>
      <c r="F89" s="123">
        <f>1-F34</f>
        <v>0.94094533207711306</v>
      </c>
      <c r="G89" s="123">
        <f t="shared" ref="G89:M91" si="14">1-G34</f>
        <v>0.6963482112999182</v>
      </c>
      <c r="H89" s="123">
        <f t="shared" si="14"/>
        <v>0.95904775427405708</v>
      </c>
      <c r="I89" s="123">
        <f t="shared" si="14"/>
        <v>0.79146727858442523</v>
      </c>
      <c r="J89" s="123">
        <f t="shared" si="14"/>
        <v>0.99002185922738506</v>
      </c>
      <c r="K89" s="123">
        <f t="shared" si="14"/>
        <v>0.67165296862889945</v>
      </c>
      <c r="L89" s="123">
        <f t="shared" si="14"/>
        <v>0.99519466662175127</v>
      </c>
      <c r="M89" s="123">
        <f t="shared" si="14"/>
        <v>0.95532192928645066</v>
      </c>
      <c r="N89" s="42" t="s">
        <v>10291</v>
      </c>
      <c r="O89" s="42" t="s">
        <v>14</v>
      </c>
      <c r="P89" s="42" t="s">
        <v>10290</v>
      </c>
      <c r="Q89" s="239" t="s">
        <v>10304</v>
      </c>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c r="IW89" s="15"/>
      <c r="IX89" s="15"/>
      <c r="IY89" s="15"/>
      <c r="IZ89" s="15"/>
      <c r="JA89" s="15"/>
      <c r="JB89" s="15"/>
      <c r="JC89" s="15"/>
      <c r="JD89" s="15"/>
      <c r="JE89" s="15"/>
      <c r="JF89" s="15"/>
      <c r="JG89" s="15"/>
      <c r="JH89" s="15"/>
      <c r="JI89" s="15"/>
      <c r="JJ89" s="15"/>
      <c r="JK89" s="15"/>
      <c r="JL89" s="15"/>
      <c r="JM89" s="15"/>
      <c r="JN89" s="15"/>
      <c r="JO89" s="15"/>
      <c r="JP89" s="15"/>
      <c r="JQ89" s="15"/>
      <c r="JR89" s="15"/>
      <c r="JS89" s="15"/>
      <c r="JT89" s="15"/>
      <c r="JU89" s="15"/>
      <c r="JV89" s="15"/>
      <c r="JW89" s="15"/>
      <c r="JX89" s="15"/>
      <c r="JY89" s="15"/>
      <c r="JZ89" s="15"/>
      <c r="KA89" s="15"/>
      <c r="KB89" s="15"/>
      <c r="KC89" s="15"/>
      <c r="KD89" s="15"/>
      <c r="KE89" s="15"/>
      <c r="KF89" s="15"/>
      <c r="KG89" s="15"/>
      <c r="KH89" s="15"/>
      <c r="KI89" s="15"/>
      <c r="KJ89" s="15"/>
      <c r="KK89" s="15"/>
    </row>
    <row r="90" spans="1:297" ht="16" x14ac:dyDescent="0.2">
      <c r="A90" s="302"/>
      <c r="B90" s="122"/>
      <c r="C90" s="122" t="s">
        <v>10298</v>
      </c>
      <c r="D90" s="106"/>
      <c r="E90" s="106"/>
      <c r="F90" s="123">
        <f>_xlfn.XLOOKUP("open ocean",'4.2.GEP'!$B$10:$B$18,'4.2.GEP'!$D$10:$D$18)</f>
        <v>0.51743519305027386</v>
      </c>
      <c r="G90" s="123">
        <f>_xlfn.XLOOKUP("open ocean",'4.2.GEP'!$B$10:$B$18,'4.2.GEP'!$D$10:$D$18)</f>
        <v>0.51743519305027386</v>
      </c>
      <c r="H90" s="123">
        <f>_xlfn.XLOOKUP("open ocean",'4.2.GEP'!$B$10:$B$18,'4.2.GEP'!$D$10:$D$18)</f>
        <v>0.51743519305027386</v>
      </c>
      <c r="I90" s="123">
        <f>_xlfn.XLOOKUP("open ocean",'4.2.GEP'!$B$10:$B$18,'4.2.GEP'!$D$10:$D$18)</f>
        <v>0.51743519305027386</v>
      </c>
      <c r="J90" s="123">
        <f>_xlfn.XLOOKUP("open ocean",'4.2.GEP'!$B$10:$B$18,'4.2.GEP'!$D$10:$D$18)</f>
        <v>0.51743519305027386</v>
      </c>
      <c r="K90" s="123">
        <f>_xlfn.XLOOKUP("open ocean",'4.2.GEP'!$B$10:$B$18,'4.2.GEP'!$D$10:$D$18)</f>
        <v>0.51743519305027386</v>
      </c>
      <c r="L90" s="123">
        <f>_xlfn.XLOOKUP("open ocean",'4.2.GEP'!$B$10:$B$18,'4.2.GEP'!$D$10:$D$18)</f>
        <v>0.51743519305027386</v>
      </c>
      <c r="M90" s="123">
        <f>_xlfn.XLOOKUP("open ocean",'4.2.GEP'!$B$10:$B$18,'4.2.GEP'!$D$10:$D$18)</f>
        <v>0.51743519305027386</v>
      </c>
      <c r="N90" s="42" t="s">
        <v>10292</v>
      </c>
      <c r="O90" s="42" t="s">
        <v>14</v>
      </c>
      <c r="P90" s="42" t="s">
        <v>10290</v>
      </c>
      <c r="Q90" s="239" t="s">
        <v>10305</v>
      </c>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15"/>
      <c r="HQ90" s="15"/>
      <c r="HR90" s="15"/>
      <c r="HS90" s="15"/>
      <c r="HT90" s="15"/>
      <c r="HU90" s="15"/>
      <c r="HV90" s="15"/>
      <c r="HW90" s="15"/>
      <c r="HX90" s="15"/>
      <c r="HY90" s="15"/>
      <c r="HZ90" s="15"/>
      <c r="IA90" s="15"/>
      <c r="IB90" s="15"/>
      <c r="IC90" s="15"/>
      <c r="ID90" s="15"/>
      <c r="IE90" s="15"/>
      <c r="IF90" s="15"/>
      <c r="IG90" s="15"/>
      <c r="IH90" s="15"/>
      <c r="II90" s="15"/>
      <c r="IJ90" s="15"/>
      <c r="IK90" s="15"/>
      <c r="IL90" s="15"/>
      <c r="IM90" s="15"/>
      <c r="IN90" s="15"/>
      <c r="IO90" s="15"/>
      <c r="IP90" s="15"/>
      <c r="IQ90" s="15"/>
      <c r="IR90" s="15"/>
      <c r="IS90" s="15"/>
      <c r="IT90" s="15"/>
      <c r="IU90" s="15"/>
      <c r="IV90" s="15"/>
      <c r="IW90" s="15"/>
      <c r="IX90" s="15"/>
      <c r="IY90" s="15"/>
      <c r="IZ90" s="15"/>
      <c r="JA90" s="15"/>
      <c r="JB90" s="15"/>
      <c r="JC90" s="15"/>
      <c r="JD90" s="15"/>
      <c r="JE90" s="15"/>
      <c r="JF90" s="15"/>
      <c r="JG90" s="15"/>
      <c r="JH90" s="15"/>
      <c r="JI90" s="15"/>
      <c r="JJ90" s="15"/>
      <c r="JK90" s="15"/>
      <c r="JL90" s="15"/>
      <c r="JM90" s="15"/>
      <c r="JN90" s="15"/>
      <c r="JO90" s="15"/>
      <c r="JP90" s="15"/>
      <c r="JQ90" s="15"/>
      <c r="JR90" s="15"/>
      <c r="JS90" s="15"/>
      <c r="JT90" s="15"/>
      <c r="JU90" s="15"/>
      <c r="JV90" s="15"/>
      <c r="JW90" s="15"/>
      <c r="JX90" s="15"/>
      <c r="JY90" s="15"/>
      <c r="JZ90" s="15"/>
      <c r="KA90" s="15"/>
      <c r="KB90" s="15"/>
      <c r="KC90" s="15"/>
      <c r="KD90" s="15"/>
      <c r="KE90" s="15"/>
      <c r="KF90" s="15"/>
      <c r="KG90" s="15"/>
      <c r="KH90" s="15"/>
      <c r="KI90" s="15"/>
      <c r="KJ90" s="15"/>
      <c r="KK90" s="15"/>
    </row>
    <row r="91" spans="1:297" ht="16" x14ac:dyDescent="0.2">
      <c r="A91" s="302"/>
      <c r="B91" s="122"/>
      <c r="C91" s="122" t="s">
        <v>10299</v>
      </c>
      <c r="D91" s="106"/>
      <c r="E91" s="106"/>
      <c r="F91" s="123">
        <f>1-F36</f>
        <v>0.96985469346372288</v>
      </c>
      <c r="G91" s="123">
        <f t="shared" si="14"/>
        <v>0.57523125460604008</v>
      </c>
      <c r="H91" s="123">
        <f t="shared" si="14"/>
        <v>0.97782328893618575</v>
      </c>
      <c r="I91" s="123">
        <f t="shared" si="14"/>
        <v>0.7794613887263766</v>
      </c>
      <c r="J91" s="123">
        <f t="shared" si="14"/>
        <v>0.98793190148211996</v>
      </c>
      <c r="K91" s="123">
        <f t="shared" si="14"/>
        <v>0.7928300166668929</v>
      </c>
      <c r="L91" s="123">
        <f t="shared" si="14"/>
        <v>0.99671345203253536</v>
      </c>
      <c r="M91" s="123">
        <f t="shared" si="14"/>
        <v>0.92015400408612646</v>
      </c>
      <c r="N91" s="42" t="s">
        <v>10293</v>
      </c>
      <c r="O91" s="42" t="s">
        <v>14</v>
      </c>
      <c r="P91" s="42" t="s">
        <v>10290</v>
      </c>
      <c r="Q91" s="239" t="s">
        <v>10304</v>
      </c>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c r="IW91" s="15"/>
      <c r="IX91" s="15"/>
      <c r="IY91" s="15"/>
      <c r="IZ91" s="15"/>
      <c r="JA91" s="15"/>
      <c r="JB91" s="15"/>
      <c r="JC91" s="15"/>
      <c r="JD91" s="15"/>
      <c r="JE91" s="15"/>
      <c r="JF91" s="15"/>
      <c r="JG91" s="15"/>
      <c r="JH91" s="15"/>
      <c r="JI91" s="15"/>
      <c r="JJ91" s="15"/>
      <c r="JK91" s="15"/>
      <c r="JL91" s="15"/>
      <c r="JM91" s="15"/>
      <c r="JN91" s="15"/>
      <c r="JO91" s="15"/>
      <c r="JP91" s="15"/>
      <c r="JQ91" s="15"/>
      <c r="JR91" s="15"/>
      <c r="JS91" s="15"/>
      <c r="JT91" s="15"/>
      <c r="JU91" s="15"/>
      <c r="JV91" s="15"/>
      <c r="JW91" s="15"/>
      <c r="JX91" s="15"/>
      <c r="JY91" s="15"/>
      <c r="JZ91" s="15"/>
      <c r="KA91" s="15"/>
      <c r="KB91" s="15"/>
      <c r="KC91" s="15"/>
      <c r="KD91" s="15"/>
      <c r="KE91" s="15"/>
      <c r="KF91" s="15"/>
      <c r="KG91" s="15"/>
      <c r="KH91" s="15"/>
      <c r="KI91" s="15"/>
      <c r="KJ91" s="15"/>
      <c r="KK91" s="15"/>
    </row>
    <row r="92" spans="1:297" ht="16" x14ac:dyDescent="0.2">
      <c r="A92" s="302"/>
      <c r="B92" s="106"/>
      <c r="C92" s="106" t="s">
        <v>158</v>
      </c>
      <c r="D92" s="106" t="s">
        <v>111</v>
      </c>
      <c r="E92" s="106" t="s">
        <v>118</v>
      </c>
      <c r="F92" s="104">
        <f>_xlfn.XLOOKUP($E92,'1.5.UVintensity'!$L$3:$L$14,'1.5.UVintensity'!$U$3:$U$14)</f>
        <v>0</v>
      </c>
      <c r="G92" s="104">
        <f>_xlfn.XLOOKUP($E92,'1.5.UVintensity'!$L$3:$L$14,'1.5.UVintensity'!$U$3:$U$14)</f>
        <v>0</v>
      </c>
      <c r="H92" s="104">
        <f>_xlfn.XLOOKUP($E92,'1.5.UVintensity'!$L$3:$L$14,'1.5.UVintensity'!$U$3:$U$14)</f>
        <v>0</v>
      </c>
      <c r="I92" s="104">
        <f>_xlfn.XLOOKUP($E92,'1.5.UVintensity'!$L$3:$L$14,'1.5.UVintensity'!$U$3:$U$14)</f>
        <v>0</v>
      </c>
      <c r="J92" s="104">
        <f>_xlfn.XLOOKUP($E92,'1.5.UVintensity'!$L$3:$L$14,'1.5.UVintensity'!$U$3:$U$14)</f>
        <v>0</v>
      </c>
      <c r="K92" s="104">
        <f>_xlfn.XLOOKUP($E92,'1.5.UVintensity'!$L$3:$L$14,'1.5.UVintensity'!$U$3:$U$14)</f>
        <v>0</v>
      </c>
      <c r="L92" s="104">
        <f>_xlfn.XLOOKUP($E92,'1.5.UVintensity'!$L$3:$L$14,'1.5.UVintensity'!$U$3:$U$14)</f>
        <v>0</v>
      </c>
      <c r="M92" s="104">
        <f>_xlfn.XLOOKUP($E92,'1.5.UVintensity'!$L$3:$L$14,'1.5.UVintensity'!$U$3:$U$14)</f>
        <v>0</v>
      </c>
      <c r="N92" s="42"/>
      <c r="O92" s="42" t="s">
        <v>162</v>
      </c>
      <c r="P92" s="42" t="s">
        <v>161</v>
      </c>
      <c r="Q92" s="118"/>
      <c r="R92" s="42"/>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15"/>
      <c r="HQ92" s="15"/>
      <c r="HR92" s="15"/>
      <c r="HS92" s="15"/>
      <c r="HT92" s="15"/>
      <c r="HU92" s="15"/>
      <c r="HV92" s="15"/>
      <c r="HW92" s="15"/>
      <c r="HX92" s="15"/>
      <c r="HY92" s="15"/>
      <c r="HZ92" s="15"/>
      <c r="IA92" s="15"/>
      <c r="IB92" s="15"/>
      <c r="IC92" s="15"/>
      <c r="ID92" s="15"/>
      <c r="IE92" s="15"/>
      <c r="IF92" s="15"/>
      <c r="IG92" s="15"/>
      <c r="IH92" s="15"/>
      <c r="II92" s="15"/>
      <c r="IJ92" s="15"/>
      <c r="IK92" s="15"/>
      <c r="IL92" s="15"/>
      <c r="IM92" s="15"/>
      <c r="IN92" s="15"/>
      <c r="IO92" s="15"/>
      <c r="IP92" s="15"/>
      <c r="IQ92" s="15"/>
      <c r="IR92" s="15"/>
      <c r="IS92" s="15"/>
      <c r="IT92" s="15"/>
      <c r="IU92" s="15"/>
      <c r="IV92" s="15"/>
      <c r="IW92" s="15"/>
      <c r="IX92" s="15"/>
      <c r="IY92" s="15"/>
      <c r="IZ92" s="15"/>
      <c r="JA92" s="15"/>
      <c r="JB92" s="15"/>
      <c r="JC92" s="15"/>
      <c r="JD92" s="15"/>
      <c r="JE92" s="15"/>
      <c r="JF92" s="15"/>
      <c r="JG92" s="15"/>
      <c r="JH92" s="15"/>
      <c r="JI92" s="15"/>
      <c r="JJ92" s="15"/>
      <c r="JK92" s="15"/>
      <c r="JL92" s="15"/>
      <c r="JM92" s="15"/>
      <c r="JN92" s="15"/>
      <c r="JO92" s="15"/>
      <c r="JP92" s="15"/>
      <c r="JQ92" s="15"/>
      <c r="JR92" s="15"/>
      <c r="JS92" s="15"/>
      <c r="JT92" s="15"/>
      <c r="JU92" s="15"/>
      <c r="JV92" s="15"/>
      <c r="JW92" s="15"/>
      <c r="JX92" s="15"/>
      <c r="JY92" s="15"/>
      <c r="JZ92" s="15"/>
      <c r="KA92" s="15"/>
      <c r="KB92" s="15"/>
      <c r="KC92" s="15"/>
      <c r="KD92" s="15"/>
      <c r="KE92" s="15"/>
      <c r="KF92" s="15"/>
      <c r="KG92" s="15"/>
      <c r="KH92" s="15"/>
      <c r="KI92" s="15"/>
      <c r="KJ92" s="15"/>
      <c r="KK92" s="15"/>
    </row>
    <row r="93" spans="1:297" ht="16" x14ac:dyDescent="0.2">
      <c r="A93" s="302"/>
      <c r="B93" s="106"/>
      <c r="C93" s="106" t="s">
        <v>158</v>
      </c>
      <c r="D93" s="106" t="s">
        <v>111</v>
      </c>
      <c r="E93" s="106" t="s">
        <v>98</v>
      </c>
      <c r="F93" s="104">
        <f>_xlfn.XLOOKUP($E93,'1.5.UVintensity'!$L$3:$L$14,'1.5.UVintensity'!$U$3:$U$14)</f>
        <v>10</v>
      </c>
      <c r="G93" s="104">
        <f>_xlfn.XLOOKUP($E93,'1.5.UVintensity'!$L$3:$L$14,'1.5.UVintensity'!$U$3:$U$14)</f>
        <v>10</v>
      </c>
      <c r="H93" s="104">
        <f>_xlfn.XLOOKUP($E93,'1.5.UVintensity'!$L$3:$L$14,'1.5.UVintensity'!$U$3:$U$14)</f>
        <v>10</v>
      </c>
      <c r="I93" s="104">
        <f>_xlfn.XLOOKUP($E93,'1.5.UVintensity'!$L$3:$L$14,'1.5.UVintensity'!$U$3:$U$14)</f>
        <v>10</v>
      </c>
      <c r="J93" s="104">
        <f>_xlfn.XLOOKUP($E93,'1.5.UVintensity'!$L$3:$L$14,'1.5.UVintensity'!$U$3:$U$14)</f>
        <v>10</v>
      </c>
      <c r="K93" s="104">
        <f>_xlfn.XLOOKUP($E93,'1.5.UVintensity'!$L$3:$L$14,'1.5.UVintensity'!$U$3:$U$14)</f>
        <v>10</v>
      </c>
      <c r="L93" s="104">
        <f>_xlfn.XLOOKUP($E93,'1.5.UVintensity'!$L$3:$L$14,'1.5.UVintensity'!$U$3:$U$14)</f>
        <v>10</v>
      </c>
      <c r="M93" s="104">
        <f>_xlfn.XLOOKUP($E93,'1.5.UVintensity'!$L$3:$L$14,'1.5.UVintensity'!$U$3:$U$14)</f>
        <v>10</v>
      </c>
      <c r="N93" s="42"/>
      <c r="O93" s="42" t="s">
        <v>162</v>
      </c>
      <c r="P93" s="42" t="s">
        <v>161</v>
      </c>
      <c r="Q93" s="118"/>
      <c r="R93" s="42"/>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c r="IW93" s="15"/>
      <c r="IX93" s="15"/>
      <c r="IY93" s="15"/>
      <c r="IZ93" s="15"/>
      <c r="JA93" s="15"/>
      <c r="JB93" s="15"/>
      <c r="JC93" s="15"/>
      <c r="JD93" s="15"/>
      <c r="JE93" s="15"/>
      <c r="JF93" s="15"/>
      <c r="JG93" s="15"/>
      <c r="JH93" s="15"/>
      <c r="JI93" s="15"/>
      <c r="JJ93" s="15"/>
      <c r="JK93" s="15"/>
      <c r="JL93" s="15"/>
      <c r="JM93" s="15"/>
      <c r="JN93" s="15"/>
      <c r="JO93" s="15"/>
      <c r="JP93" s="15"/>
      <c r="JQ93" s="15"/>
      <c r="JR93" s="15"/>
      <c r="JS93" s="15"/>
      <c r="JT93" s="15"/>
      <c r="JU93" s="15"/>
      <c r="JV93" s="15"/>
      <c r="JW93" s="15"/>
      <c r="JX93" s="15"/>
      <c r="JY93" s="15"/>
      <c r="JZ93" s="15"/>
      <c r="KA93" s="15"/>
      <c r="KB93" s="15"/>
      <c r="KC93" s="15"/>
      <c r="KD93" s="15"/>
      <c r="KE93" s="15"/>
      <c r="KF93" s="15"/>
      <c r="KG93" s="15"/>
      <c r="KH93" s="15"/>
      <c r="KI93" s="15"/>
      <c r="KJ93" s="15"/>
      <c r="KK93" s="15"/>
    </row>
    <row r="94" spans="1:297" ht="16" x14ac:dyDescent="0.2">
      <c r="A94" s="302"/>
      <c r="B94" s="106"/>
      <c r="C94" s="106" t="s">
        <v>158</v>
      </c>
      <c r="D94" s="106" t="s">
        <v>111</v>
      </c>
      <c r="E94" s="106" t="s">
        <v>160</v>
      </c>
      <c r="F94" s="104">
        <f>_xlfn.XLOOKUP($E94,'1.5.UVintensity'!$L$3:$L$14,'1.5.UVintensity'!$U$3:$U$14)</f>
        <v>10</v>
      </c>
      <c r="G94" s="104">
        <f>_xlfn.XLOOKUP($E94,'1.5.UVintensity'!$L$3:$L$14,'1.5.UVintensity'!$U$3:$U$14)</f>
        <v>10</v>
      </c>
      <c r="H94" s="104">
        <f>_xlfn.XLOOKUP($E94,'1.5.UVintensity'!$L$3:$L$14,'1.5.UVintensity'!$U$3:$U$14)</f>
        <v>10</v>
      </c>
      <c r="I94" s="104">
        <f>_xlfn.XLOOKUP($E94,'1.5.UVintensity'!$L$3:$L$14,'1.5.UVintensity'!$U$3:$U$14)</f>
        <v>10</v>
      </c>
      <c r="J94" s="104">
        <f>_xlfn.XLOOKUP($E94,'1.5.UVintensity'!$L$3:$L$14,'1.5.UVintensity'!$U$3:$U$14)</f>
        <v>10</v>
      </c>
      <c r="K94" s="104">
        <f>_xlfn.XLOOKUP($E94,'1.5.UVintensity'!$L$3:$L$14,'1.5.UVintensity'!$U$3:$U$14)</f>
        <v>10</v>
      </c>
      <c r="L94" s="104">
        <f>_xlfn.XLOOKUP($E94,'1.5.UVintensity'!$L$3:$L$14,'1.5.UVintensity'!$U$3:$U$14)</f>
        <v>10</v>
      </c>
      <c r="M94" s="104">
        <f>_xlfn.XLOOKUP($E94,'1.5.UVintensity'!$L$3:$L$14,'1.5.UVintensity'!$U$3:$U$14)</f>
        <v>10</v>
      </c>
      <c r="N94" s="42"/>
      <c r="O94" s="42" t="s">
        <v>162</v>
      </c>
      <c r="P94" s="42" t="s">
        <v>161</v>
      </c>
      <c r="Q94" s="118"/>
      <c r="R94" s="42"/>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15"/>
      <c r="GI94" s="15"/>
      <c r="GJ94" s="15"/>
      <c r="GK94" s="15"/>
      <c r="GL94" s="15"/>
      <c r="GM94" s="15"/>
      <c r="GN94" s="15"/>
      <c r="GO94" s="15"/>
      <c r="GP94" s="15"/>
      <c r="GQ94" s="15"/>
      <c r="GR94" s="15"/>
      <c r="GS94" s="15"/>
      <c r="GT94" s="15"/>
      <c r="GU94" s="15"/>
      <c r="GV94" s="15"/>
      <c r="GW94" s="15"/>
      <c r="GX94" s="15"/>
      <c r="GY94" s="15"/>
      <c r="GZ94" s="15"/>
      <c r="HA94" s="15"/>
      <c r="HB94" s="15"/>
      <c r="HC94" s="15"/>
      <c r="HD94" s="15"/>
      <c r="HE94" s="15"/>
      <c r="HF94" s="15"/>
      <c r="HG94" s="15"/>
      <c r="HH94" s="15"/>
      <c r="HI94" s="15"/>
      <c r="HJ94" s="15"/>
      <c r="HK94" s="15"/>
      <c r="HL94" s="15"/>
      <c r="HM94" s="15"/>
      <c r="HN94" s="15"/>
      <c r="HO94" s="15"/>
      <c r="HP94" s="15"/>
      <c r="HQ94" s="15"/>
      <c r="HR94" s="15"/>
      <c r="HS94" s="15"/>
      <c r="HT94" s="15"/>
      <c r="HU94" s="15"/>
      <c r="HV94" s="15"/>
      <c r="HW94" s="15"/>
      <c r="HX94" s="15"/>
      <c r="HY94" s="15"/>
      <c r="HZ94" s="15"/>
      <c r="IA94" s="15"/>
      <c r="IB94" s="15"/>
      <c r="IC94" s="15"/>
      <c r="ID94" s="15"/>
      <c r="IE94" s="15"/>
      <c r="IF94" s="15"/>
      <c r="IG94" s="15"/>
      <c r="IH94" s="15"/>
      <c r="II94" s="15"/>
      <c r="IJ94" s="15"/>
      <c r="IK94" s="15"/>
      <c r="IL94" s="15"/>
      <c r="IM94" s="15"/>
      <c r="IN94" s="15"/>
      <c r="IO94" s="15"/>
      <c r="IP94" s="15"/>
      <c r="IQ94" s="15"/>
      <c r="IR94" s="15"/>
      <c r="IS94" s="15"/>
      <c r="IT94" s="15"/>
      <c r="IU94" s="15"/>
      <c r="IV94" s="15"/>
      <c r="IW94" s="15"/>
      <c r="IX94" s="15"/>
      <c r="IY94" s="15"/>
      <c r="IZ94" s="15"/>
      <c r="JA94" s="15"/>
      <c r="JB94" s="15"/>
      <c r="JC94" s="15"/>
      <c r="JD94" s="15"/>
      <c r="JE94" s="15"/>
      <c r="JF94" s="15"/>
      <c r="JG94" s="15"/>
      <c r="JH94" s="15"/>
      <c r="JI94" s="15"/>
      <c r="JJ94" s="15"/>
      <c r="JK94" s="15"/>
      <c r="JL94" s="15"/>
      <c r="JM94" s="15"/>
      <c r="JN94" s="15"/>
      <c r="JO94" s="15"/>
      <c r="JP94" s="15"/>
      <c r="JQ94" s="15"/>
      <c r="JR94" s="15"/>
      <c r="JS94" s="15"/>
      <c r="JT94" s="15"/>
      <c r="JU94" s="15"/>
      <c r="JV94" s="15"/>
      <c r="JW94" s="15"/>
      <c r="JX94" s="15"/>
      <c r="JY94" s="15"/>
      <c r="JZ94" s="15"/>
      <c r="KA94" s="15"/>
      <c r="KB94" s="15"/>
      <c r="KC94" s="15"/>
      <c r="KD94" s="15"/>
      <c r="KE94" s="15"/>
      <c r="KF94" s="15"/>
      <c r="KG94" s="15"/>
      <c r="KH94" s="15"/>
      <c r="KI94" s="15"/>
      <c r="KJ94" s="15"/>
      <c r="KK94" s="15"/>
    </row>
    <row r="95" spans="1:297" ht="16" x14ac:dyDescent="0.2">
      <c r="A95" s="302"/>
      <c r="B95" s="106"/>
      <c r="C95" s="106" t="s">
        <v>158</v>
      </c>
      <c r="D95" s="106" t="s">
        <v>111</v>
      </c>
      <c r="E95" s="106" t="s">
        <v>138</v>
      </c>
      <c r="F95" s="104">
        <f>_xlfn.XLOOKUP($E95,'1.5.UVintensity'!$L$3:$L$14,'1.5.UVintensity'!$U$3:$U$14)</f>
        <v>0</v>
      </c>
      <c r="G95" s="104">
        <f>_xlfn.XLOOKUP($E95,'1.5.UVintensity'!$L$3:$L$14,'1.5.UVintensity'!$U$3:$U$14)</f>
        <v>0</v>
      </c>
      <c r="H95" s="104">
        <f>_xlfn.XLOOKUP($E95,'1.5.UVintensity'!$L$3:$L$14,'1.5.UVintensity'!$U$3:$U$14)</f>
        <v>0</v>
      </c>
      <c r="I95" s="104">
        <f>_xlfn.XLOOKUP($E95,'1.5.UVintensity'!$L$3:$L$14,'1.5.UVintensity'!$U$3:$U$14)</f>
        <v>0</v>
      </c>
      <c r="J95" s="104">
        <f>_xlfn.XLOOKUP($E95,'1.5.UVintensity'!$L$3:$L$14,'1.5.UVintensity'!$U$3:$U$14)</f>
        <v>0</v>
      </c>
      <c r="K95" s="104">
        <f>_xlfn.XLOOKUP($E95,'1.5.UVintensity'!$L$3:$L$14,'1.5.UVintensity'!$U$3:$U$14)</f>
        <v>0</v>
      </c>
      <c r="L95" s="104">
        <f>_xlfn.XLOOKUP($E95,'1.5.UVintensity'!$L$3:$L$14,'1.5.UVintensity'!$U$3:$U$14)</f>
        <v>0</v>
      </c>
      <c r="M95" s="104">
        <f>_xlfn.XLOOKUP($E95,'1.5.UVintensity'!$L$3:$L$14,'1.5.UVintensity'!$U$3:$U$14)</f>
        <v>0</v>
      </c>
      <c r="N95" s="42"/>
      <c r="O95" s="42" t="s">
        <v>162</v>
      </c>
      <c r="P95" s="42" t="s">
        <v>161</v>
      </c>
      <c r="Q95" s="118"/>
      <c r="R95" s="42"/>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15"/>
      <c r="GI95" s="15"/>
      <c r="GJ95" s="15"/>
      <c r="GK95" s="15"/>
      <c r="GL95" s="15"/>
      <c r="GM95" s="15"/>
      <c r="GN95" s="15"/>
      <c r="GO95" s="15"/>
      <c r="GP95" s="15"/>
      <c r="GQ95" s="15"/>
      <c r="GR95" s="15"/>
      <c r="GS95" s="15"/>
      <c r="GT95" s="15"/>
      <c r="GU95" s="15"/>
      <c r="GV95" s="15"/>
      <c r="GW95" s="15"/>
      <c r="GX95" s="15"/>
      <c r="GY95" s="15"/>
      <c r="GZ95" s="15"/>
      <c r="HA95" s="15"/>
      <c r="HB95" s="15"/>
      <c r="HC95" s="15"/>
      <c r="HD95" s="15"/>
      <c r="HE95" s="15"/>
      <c r="HF95" s="15"/>
      <c r="HG95" s="15"/>
      <c r="HH95" s="15"/>
      <c r="HI95" s="15"/>
      <c r="HJ95" s="15"/>
      <c r="HK95" s="15"/>
      <c r="HL95" s="15"/>
      <c r="HM95" s="15"/>
      <c r="HN95" s="15"/>
      <c r="HO95" s="15"/>
      <c r="HP95" s="15"/>
      <c r="HQ95" s="15"/>
      <c r="HR95" s="15"/>
      <c r="HS95" s="15"/>
      <c r="HT95" s="15"/>
      <c r="HU95" s="15"/>
      <c r="HV95" s="15"/>
      <c r="HW95" s="15"/>
      <c r="HX95" s="15"/>
      <c r="HY95" s="15"/>
      <c r="HZ95" s="15"/>
      <c r="IA95" s="15"/>
      <c r="IB95" s="15"/>
      <c r="IC95" s="15"/>
      <c r="ID95" s="15"/>
      <c r="IE95" s="15"/>
      <c r="IF95" s="15"/>
      <c r="IG95" s="15"/>
      <c r="IH95" s="15"/>
      <c r="II95" s="15"/>
      <c r="IJ95" s="15"/>
      <c r="IK95" s="15"/>
      <c r="IL95" s="15"/>
      <c r="IM95" s="15"/>
      <c r="IN95" s="15"/>
      <c r="IO95" s="15"/>
      <c r="IP95" s="15"/>
      <c r="IQ95" s="15"/>
      <c r="IR95" s="15"/>
      <c r="IS95" s="15"/>
      <c r="IT95" s="15"/>
      <c r="IU95" s="15"/>
      <c r="IV95" s="15"/>
      <c r="IW95" s="15"/>
      <c r="IX95" s="15"/>
      <c r="IY95" s="15"/>
      <c r="IZ95" s="15"/>
      <c r="JA95" s="15"/>
      <c r="JB95" s="15"/>
      <c r="JC95" s="15"/>
      <c r="JD95" s="15"/>
      <c r="JE95" s="15"/>
      <c r="JF95" s="15"/>
      <c r="JG95" s="15"/>
      <c r="JH95" s="15"/>
      <c r="JI95" s="15"/>
      <c r="JJ95" s="15"/>
      <c r="JK95" s="15"/>
      <c r="JL95" s="15"/>
      <c r="JM95" s="15"/>
      <c r="JN95" s="15"/>
      <c r="JO95" s="15"/>
      <c r="JP95" s="15"/>
      <c r="JQ95" s="15"/>
      <c r="JR95" s="15"/>
      <c r="JS95" s="15"/>
      <c r="JT95" s="15"/>
      <c r="JU95" s="15"/>
      <c r="JV95" s="15"/>
      <c r="JW95" s="15"/>
      <c r="JX95" s="15"/>
      <c r="JY95" s="15"/>
      <c r="JZ95" s="15"/>
      <c r="KA95" s="15"/>
      <c r="KB95" s="15"/>
      <c r="KC95" s="15"/>
      <c r="KD95" s="15"/>
      <c r="KE95" s="15"/>
      <c r="KF95" s="15"/>
      <c r="KG95" s="15"/>
      <c r="KH95" s="15"/>
      <c r="KI95" s="15"/>
      <c r="KJ95" s="15"/>
      <c r="KK95" s="15"/>
    </row>
    <row r="96" spans="1:297" ht="16" x14ac:dyDescent="0.2">
      <c r="A96" s="302"/>
      <c r="B96" s="106"/>
      <c r="C96" s="106" t="s">
        <v>158</v>
      </c>
      <c r="D96" s="106" t="s">
        <v>111</v>
      </c>
      <c r="E96" s="106" t="s">
        <v>116</v>
      </c>
      <c r="F96" s="104">
        <f>_xlfn.XLOOKUP($E96,'1.5.UVintensity'!$L$3:$L$14,'1.5.UVintensity'!$U$3:$U$14)</f>
        <v>0.10539548901284368</v>
      </c>
      <c r="G96" s="104">
        <f>_xlfn.XLOOKUP($E96,'1.5.UVintensity'!$L$3:$L$14,'1.5.UVintensity'!$U$3:$U$14)</f>
        <v>0.10539548901284368</v>
      </c>
      <c r="H96" s="104">
        <f>_xlfn.XLOOKUP($E96,'1.5.UVintensity'!$L$3:$L$14,'1.5.UVintensity'!$U$3:$U$14)</f>
        <v>0.10539548901284368</v>
      </c>
      <c r="I96" s="104">
        <f>_xlfn.XLOOKUP($E96,'1.5.UVintensity'!$L$3:$L$14,'1.5.UVintensity'!$U$3:$U$14)</f>
        <v>0.10539548901284368</v>
      </c>
      <c r="J96" s="104">
        <f>_xlfn.XLOOKUP($E96,'1.5.UVintensity'!$L$3:$L$14,'1.5.UVintensity'!$U$3:$U$14)</f>
        <v>0.10539548901284368</v>
      </c>
      <c r="K96" s="104">
        <f>_xlfn.XLOOKUP($E96,'1.5.UVintensity'!$L$3:$L$14,'1.5.UVintensity'!$U$3:$U$14)</f>
        <v>0.10539548901284368</v>
      </c>
      <c r="L96" s="104">
        <f>_xlfn.XLOOKUP($E96,'1.5.UVintensity'!$L$3:$L$14,'1.5.UVintensity'!$U$3:$U$14)</f>
        <v>0.10539548901284368</v>
      </c>
      <c r="M96" s="104">
        <f>_xlfn.XLOOKUP($E96,'1.5.UVintensity'!$L$3:$L$14,'1.5.UVintensity'!$U$3:$U$14)</f>
        <v>0.10539548901284368</v>
      </c>
      <c r="N96" s="42"/>
      <c r="O96" s="42" t="s">
        <v>162</v>
      </c>
      <c r="P96" s="42" t="s">
        <v>161</v>
      </c>
      <c r="Q96" s="118"/>
      <c r="R96" s="42"/>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c r="GM96" s="15"/>
      <c r="GN96" s="15"/>
      <c r="GO96" s="15"/>
      <c r="GP96" s="15"/>
      <c r="GQ96" s="15"/>
      <c r="GR96" s="15"/>
      <c r="GS96" s="15"/>
      <c r="GT96" s="15"/>
      <c r="GU96" s="15"/>
      <c r="GV96" s="15"/>
      <c r="GW96" s="15"/>
      <c r="GX96" s="15"/>
      <c r="GY96" s="15"/>
      <c r="GZ96" s="15"/>
      <c r="HA96" s="15"/>
      <c r="HB96" s="15"/>
      <c r="HC96" s="15"/>
      <c r="HD96" s="15"/>
      <c r="HE96" s="15"/>
      <c r="HF96" s="15"/>
      <c r="HG96" s="15"/>
      <c r="HH96" s="15"/>
      <c r="HI96" s="15"/>
      <c r="HJ96" s="15"/>
      <c r="HK96" s="15"/>
      <c r="HL96" s="15"/>
      <c r="HM96" s="15"/>
      <c r="HN96" s="15"/>
      <c r="HO96" s="15"/>
      <c r="HP96" s="15"/>
      <c r="HQ96" s="15"/>
      <c r="HR96" s="15"/>
      <c r="HS96" s="15"/>
      <c r="HT96" s="15"/>
      <c r="HU96" s="15"/>
      <c r="HV96" s="15"/>
      <c r="HW96" s="15"/>
      <c r="HX96" s="15"/>
      <c r="HY96" s="15"/>
      <c r="HZ96" s="15"/>
      <c r="IA96" s="15"/>
      <c r="IB96" s="15"/>
      <c r="IC96" s="15"/>
      <c r="ID96" s="15"/>
      <c r="IE96" s="15"/>
      <c r="IF96" s="15"/>
      <c r="IG96" s="15"/>
      <c r="IH96" s="15"/>
      <c r="II96" s="15"/>
      <c r="IJ96" s="15"/>
      <c r="IK96" s="15"/>
      <c r="IL96" s="15"/>
      <c r="IM96" s="15"/>
      <c r="IN96" s="15"/>
      <c r="IO96" s="15"/>
      <c r="IP96" s="15"/>
      <c r="IQ96" s="15"/>
      <c r="IR96" s="15"/>
      <c r="IS96" s="15"/>
      <c r="IT96" s="15"/>
      <c r="IU96" s="15"/>
      <c r="IV96" s="15"/>
      <c r="IW96" s="15"/>
      <c r="IX96" s="15"/>
      <c r="IY96" s="15"/>
      <c r="IZ96" s="15"/>
      <c r="JA96" s="15"/>
      <c r="JB96" s="15"/>
      <c r="JC96" s="15"/>
      <c r="JD96" s="15"/>
      <c r="JE96" s="15"/>
      <c r="JF96" s="15"/>
      <c r="JG96" s="15"/>
      <c r="JH96" s="15"/>
      <c r="JI96" s="15"/>
      <c r="JJ96" s="15"/>
      <c r="JK96" s="15"/>
      <c r="JL96" s="15"/>
      <c r="JM96" s="15"/>
      <c r="JN96" s="15"/>
      <c r="JO96" s="15"/>
      <c r="JP96" s="15"/>
      <c r="JQ96" s="15"/>
      <c r="JR96" s="15"/>
      <c r="JS96" s="15"/>
      <c r="JT96" s="15"/>
      <c r="JU96" s="15"/>
      <c r="JV96" s="15"/>
      <c r="JW96" s="15"/>
      <c r="JX96" s="15"/>
      <c r="JY96" s="15"/>
      <c r="JZ96" s="15"/>
      <c r="KA96" s="15"/>
      <c r="KB96" s="15"/>
      <c r="KC96" s="15"/>
      <c r="KD96" s="15"/>
      <c r="KE96" s="15"/>
      <c r="KF96" s="15"/>
      <c r="KG96" s="15"/>
      <c r="KH96" s="15"/>
      <c r="KI96" s="15"/>
      <c r="KJ96" s="15"/>
      <c r="KK96" s="15"/>
    </row>
    <row r="97" spans="1:297" ht="16" x14ac:dyDescent="0.2">
      <c r="A97" s="302"/>
      <c r="B97" s="106"/>
      <c r="C97" s="106" t="s">
        <v>158</v>
      </c>
      <c r="D97" s="106" t="s">
        <v>111</v>
      </c>
      <c r="E97" s="106" t="s">
        <v>139</v>
      </c>
      <c r="F97" s="104">
        <f>_xlfn.XLOOKUP($E97,'1.5.UVintensity'!$L$3:$L$14,'1.5.UVintensity'!$U$3:$U$14)</f>
        <v>0</v>
      </c>
      <c r="G97" s="104">
        <f>_xlfn.XLOOKUP($E97,'1.5.UVintensity'!$L$3:$L$14,'1.5.UVintensity'!$U$3:$U$14)</f>
        <v>0</v>
      </c>
      <c r="H97" s="104">
        <f>_xlfn.XLOOKUP($E97,'1.5.UVintensity'!$L$3:$L$14,'1.5.UVintensity'!$U$3:$U$14)</f>
        <v>0</v>
      </c>
      <c r="I97" s="104">
        <f>_xlfn.XLOOKUP($E97,'1.5.UVintensity'!$L$3:$L$14,'1.5.UVintensity'!$U$3:$U$14)</f>
        <v>0</v>
      </c>
      <c r="J97" s="104">
        <f>_xlfn.XLOOKUP($E97,'1.5.UVintensity'!$L$3:$L$14,'1.5.UVintensity'!$U$3:$U$14)</f>
        <v>0</v>
      </c>
      <c r="K97" s="104">
        <f>_xlfn.XLOOKUP($E97,'1.5.UVintensity'!$L$3:$L$14,'1.5.UVintensity'!$U$3:$U$14)</f>
        <v>0</v>
      </c>
      <c r="L97" s="104">
        <f>_xlfn.XLOOKUP($E97,'1.5.UVintensity'!$L$3:$L$14,'1.5.UVintensity'!$U$3:$U$14)</f>
        <v>0</v>
      </c>
      <c r="M97" s="104">
        <f>_xlfn.XLOOKUP($E97,'1.5.UVintensity'!$L$3:$L$14,'1.5.UVintensity'!$U$3:$U$14)</f>
        <v>0</v>
      </c>
      <c r="N97" s="42"/>
      <c r="O97" s="42" t="s">
        <v>162</v>
      </c>
      <c r="P97" s="42" t="s">
        <v>161</v>
      </c>
      <c r="Q97" s="118"/>
      <c r="R97" s="42"/>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15"/>
      <c r="GI97" s="15"/>
      <c r="GJ97" s="15"/>
      <c r="GK97" s="15"/>
      <c r="GL97" s="15"/>
      <c r="GM97" s="15"/>
      <c r="GN97" s="15"/>
      <c r="GO97" s="15"/>
      <c r="GP97" s="15"/>
      <c r="GQ97" s="15"/>
      <c r="GR97" s="15"/>
      <c r="GS97" s="15"/>
      <c r="GT97" s="15"/>
      <c r="GU97" s="15"/>
      <c r="GV97" s="15"/>
      <c r="GW97" s="15"/>
      <c r="GX97" s="15"/>
      <c r="GY97" s="15"/>
      <c r="GZ97" s="15"/>
      <c r="HA97" s="15"/>
      <c r="HB97" s="15"/>
      <c r="HC97" s="15"/>
      <c r="HD97" s="15"/>
      <c r="HE97" s="15"/>
      <c r="HF97" s="15"/>
      <c r="HG97" s="15"/>
      <c r="HH97" s="15"/>
      <c r="HI97" s="15"/>
      <c r="HJ97" s="15"/>
      <c r="HK97" s="15"/>
      <c r="HL97" s="15"/>
      <c r="HM97" s="15"/>
      <c r="HN97" s="15"/>
      <c r="HO97" s="15"/>
      <c r="HP97" s="15"/>
      <c r="HQ97" s="15"/>
      <c r="HR97" s="15"/>
      <c r="HS97" s="15"/>
      <c r="HT97" s="15"/>
      <c r="HU97" s="15"/>
      <c r="HV97" s="15"/>
      <c r="HW97" s="15"/>
      <c r="HX97" s="15"/>
      <c r="HY97" s="15"/>
      <c r="HZ97" s="15"/>
      <c r="IA97" s="15"/>
      <c r="IB97" s="15"/>
      <c r="IC97" s="15"/>
      <c r="ID97" s="15"/>
      <c r="IE97" s="15"/>
      <c r="IF97" s="15"/>
      <c r="IG97" s="15"/>
      <c r="IH97" s="15"/>
      <c r="II97" s="15"/>
      <c r="IJ97" s="15"/>
      <c r="IK97" s="15"/>
      <c r="IL97" s="15"/>
      <c r="IM97" s="15"/>
      <c r="IN97" s="15"/>
      <c r="IO97" s="15"/>
      <c r="IP97" s="15"/>
      <c r="IQ97" s="15"/>
      <c r="IR97" s="15"/>
      <c r="IS97" s="15"/>
      <c r="IT97" s="15"/>
      <c r="IU97" s="15"/>
      <c r="IV97" s="15"/>
      <c r="IW97" s="15"/>
      <c r="IX97" s="15"/>
      <c r="IY97" s="15"/>
      <c r="IZ97" s="15"/>
      <c r="JA97" s="15"/>
      <c r="JB97" s="15"/>
      <c r="JC97" s="15"/>
      <c r="JD97" s="15"/>
      <c r="JE97" s="15"/>
      <c r="JF97" s="15"/>
      <c r="JG97" s="15"/>
      <c r="JH97" s="15"/>
      <c r="JI97" s="15"/>
      <c r="JJ97" s="15"/>
      <c r="JK97" s="15"/>
      <c r="JL97" s="15"/>
      <c r="JM97" s="15"/>
      <c r="JN97" s="15"/>
      <c r="JO97" s="15"/>
      <c r="JP97" s="15"/>
      <c r="JQ97" s="15"/>
      <c r="JR97" s="15"/>
      <c r="JS97" s="15"/>
      <c r="JT97" s="15"/>
      <c r="JU97" s="15"/>
      <c r="JV97" s="15"/>
      <c r="JW97" s="15"/>
      <c r="JX97" s="15"/>
      <c r="JY97" s="15"/>
      <c r="JZ97" s="15"/>
      <c r="KA97" s="15"/>
      <c r="KB97" s="15"/>
      <c r="KC97" s="15"/>
      <c r="KD97" s="15"/>
      <c r="KE97" s="15"/>
      <c r="KF97" s="15"/>
      <c r="KG97" s="15"/>
      <c r="KH97" s="15"/>
      <c r="KI97" s="15"/>
      <c r="KJ97" s="15"/>
      <c r="KK97" s="15"/>
    </row>
    <row r="98" spans="1:297" ht="16" x14ac:dyDescent="0.2">
      <c r="A98" s="302"/>
      <c r="B98" s="106"/>
      <c r="C98" s="106" t="s">
        <v>158</v>
      </c>
      <c r="D98" s="106" t="s">
        <v>111</v>
      </c>
      <c r="E98" s="106" t="s">
        <v>137</v>
      </c>
      <c r="F98" s="104">
        <f>_xlfn.XLOOKUP($E98,'1.5.UVintensity'!$L$3:$L$14,'1.5.UVintensity'!$U$3:$U$14)</f>
        <v>0</v>
      </c>
      <c r="G98" s="104">
        <f>_xlfn.XLOOKUP($E98,'1.5.UVintensity'!$L$3:$L$14,'1.5.UVintensity'!$U$3:$U$14)</f>
        <v>0</v>
      </c>
      <c r="H98" s="104">
        <f>_xlfn.XLOOKUP($E98,'1.5.UVintensity'!$L$3:$L$14,'1.5.UVintensity'!$U$3:$U$14)</f>
        <v>0</v>
      </c>
      <c r="I98" s="104">
        <f>_xlfn.XLOOKUP($E98,'1.5.UVintensity'!$L$3:$L$14,'1.5.UVintensity'!$U$3:$U$14)</f>
        <v>0</v>
      </c>
      <c r="J98" s="104">
        <f>_xlfn.XLOOKUP($E98,'1.5.UVintensity'!$L$3:$L$14,'1.5.UVintensity'!$U$3:$U$14)</f>
        <v>0</v>
      </c>
      <c r="K98" s="104">
        <f>_xlfn.XLOOKUP($E98,'1.5.UVintensity'!$L$3:$L$14,'1.5.UVintensity'!$U$3:$U$14)</f>
        <v>0</v>
      </c>
      <c r="L98" s="104">
        <f>_xlfn.XLOOKUP($E98,'1.5.UVintensity'!$L$3:$L$14,'1.5.UVintensity'!$U$3:$U$14)</f>
        <v>0</v>
      </c>
      <c r="M98" s="104">
        <f>_xlfn.XLOOKUP($E98,'1.5.UVintensity'!$L$3:$L$14,'1.5.UVintensity'!$U$3:$U$14)</f>
        <v>0</v>
      </c>
      <c r="N98" s="42"/>
      <c r="O98" s="42" t="s">
        <v>162</v>
      </c>
      <c r="P98" s="42" t="s">
        <v>161</v>
      </c>
      <c r="Q98" s="118"/>
      <c r="R98" s="42"/>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c r="GM98" s="15"/>
      <c r="GN98" s="15"/>
      <c r="GO98" s="15"/>
      <c r="GP98" s="15"/>
      <c r="GQ98" s="15"/>
      <c r="GR98" s="15"/>
      <c r="GS98" s="15"/>
      <c r="GT98" s="15"/>
      <c r="GU98" s="15"/>
      <c r="GV98" s="15"/>
      <c r="GW98" s="15"/>
      <c r="GX98" s="15"/>
      <c r="GY98" s="15"/>
      <c r="GZ98" s="15"/>
      <c r="HA98" s="15"/>
      <c r="HB98" s="15"/>
      <c r="HC98" s="15"/>
      <c r="HD98" s="15"/>
      <c r="HE98" s="15"/>
      <c r="HF98" s="15"/>
      <c r="HG98" s="15"/>
      <c r="HH98" s="15"/>
      <c r="HI98" s="15"/>
      <c r="HJ98" s="15"/>
      <c r="HK98" s="15"/>
      <c r="HL98" s="15"/>
      <c r="HM98" s="15"/>
      <c r="HN98" s="15"/>
      <c r="HO98" s="15"/>
      <c r="HP98" s="15"/>
      <c r="HQ98" s="15"/>
      <c r="HR98" s="15"/>
      <c r="HS98" s="15"/>
      <c r="HT98" s="15"/>
      <c r="HU98" s="15"/>
      <c r="HV98" s="15"/>
      <c r="HW98" s="15"/>
      <c r="HX98" s="15"/>
      <c r="HY98" s="15"/>
      <c r="HZ98" s="15"/>
      <c r="IA98" s="15"/>
      <c r="IB98" s="15"/>
      <c r="IC98" s="15"/>
      <c r="ID98" s="15"/>
      <c r="IE98" s="15"/>
      <c r="IF98" s="15"/>
      <c r="IG98" s="15"/>
      <c r="IH98" s="15"/>
      <c r="II98" s="15"/>
      <c r="IJ98" s="15"/>
      <c r="IK98" s="15"/>
      <c r="IL98" s="15"/>
      <c r="IM98" s="15"/>
      <c r="IN98" s="15"/>
      <c r="IO98" s="15"/>
      <c r="IP98" s="15"/>
      <c r="IQ98" s="15"/>
      <c r="IR98" s="15"/>
      <c r="IS98" s="15"/>
      <c r="IT98" s="15"/>
      <c r="IU98" s="15"/>
      <c r="IV98" s="15"/>
      <c r="IW98" s="15"/>
      <c r="IX98" s="15"/>
      <c r="IY98" s="15"/>
      <c r="IZ98" s="15"/>
      <c r="JA98" s="15"/>
      <c r="JB98" s="15"/>
      <c r="JC98" s="15"/>
      <c r="JD98" s="15"/>
      <c r="JE98" s="15"/>
      <c r="JF98" s="15"/>
      <c r="JG98" s="15"/>
      <c r="JH98" s="15"/>
      <c r="JI98" s="15"/>
      <c r="JJ98" s="15"/>
      <c r="JK98" s="15"/>
      <c r="JL98" s="15"/>
      <c r="JM98" s="15"/>
      <c r="JN98" s="15"/>
      <c r="JO98" s="15"/>
      <c r="JP98" s="15"/>
      <c r="JQ98" s="15"/>
      <c r="JR98" s="15"/>
      <c r="JS98" s="15"/>
      <c r="JT98" s="15"/>
      <c r="JU98" s="15"/>
      <c r="JV98" s="15"/>
      <c r="JW98" s="15"/>
      <c r="JX98" s="15"/>
      <c r="JY98" s="15"/>
      <c r="JZ98" s="15"/>
      <c r="KA98" s="15"/>
      <c r="KB98" s="15"/>
      <c r="KC98" s="15"/>
      <c r="KD98" s="15"/>
      <c r="KE98" s="15"/>
      <c r="KF98" s="15"/>
      <c r="KG98" s="15"/>
      <c r="KH98" s="15"/>
      <c r="KI98" s="15"/>
      <c r="KJ98" s="15"/>
      <c r="KK98" s="15"/>
    </row>
    <row r="99" spans="1:297" ht="16" x14ac:dyDescent="0.2">
      <c r="A99" s="302"/>
      <c r="B99" s="106"/>
      <c r="C99" s="106" t="s">
        <v>158</v>
      </c>
      <c r="D99" s="106" t="s">
        <v>111</v>
      </c>
      <c r="E99" s="106" t="s">
        <v>117</v>
      </c>
      <c r="F99" s="104">
        <f>_xlfn.XLOOKUP($E99,'1.5.UVintensity'!$L$3:$L$14,'1.5.UVintensity'!$U$3:$U$14)</f>
        <v>0</v>
      </c>
      <c r="G99" s="104">
        <f>_xlfn.XLOOKUP($E99,'1.5.UVintensity'!$L$3:$L$14,'1.5.UVintensity'!$U$3:$U$14)</f>
        <v>0</v>
      </c>
      <c r="H99" s="104">
        <f>_xlfn.XLOOKUP($E99,'1.5.UVintensity'!$L$3:$L$14,'1.5.UVintensity'!$U$3:$U$14)</f>
        <v>0</v>
      </c>
      <c r="I99" s="104">
        <f>_xlfn.XLOOKUP($E99,'1.5.UVintensity'!$L$3:$L$14,'1.5.UVintensity'!$U$3:$U$14)</f>
        <v>0</v>
      </c>
      <c r="J99" s="104">
        <f>_xlfn.XLOOKUP($E99,'1.5.UVintensity'!$L$3:$L$14,'1.5.UVintensity'!$U$3:$U$14)</f>
        <v>0</v>
      </c>
      <c r="K99" s="104">
        <f>_xlfn.XLOOKUP($E99,'1.5.UVintensity'!$L$3:$L$14,'1.5.UVintensity'!$U$3:$U$14)</f>
        <v>0</v>
      </c>
      <c r="L99" s="104">
        <f>_xlfn.XLOOKUP($E99,'1.5.UVintensity'!$L$3:$L$14,'1.5.UVintensity'!$U$3:$U$14)</f>
        <v>0</v>
      </c>
      <c r="M99" s="104">
        <f>_xlfn.XLOOKUP($E99,'1.5.UVintensity'!$L$3:$L$14,'1.5.UVintensity'!$U$3:$U$14)</f>
        <v>0</v>
      </c>
      <c r="N99" s="42"/>
      <c r="O99" s="42" t="s">
        <v>162</v>
      </c>
      <c r="P99" s="42" t="s">
        <v>161</v>
      </c>
      <c r="Q99" s="118"/>
      <c r="R99" s="42"/>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c r="HN99" s="15"/>
      <c r="HO99" s="15"/>
      <c r="HP99" s="15"/>
      <c r="HQ99" s="15"/>
      <c r="HR99" s="15"/>
      <c r="HS99" s="15"/>
      <c r="HT99" s="15"/>
      <c r="HU99" s="15"/>
      <c r="HV99" s="15"/>
      <c r="HW99" s="15"/>
      <c r="HX99" s="15"/>
      <c r="HY99" s="15"/>
      <c r="HZ99" s="15"/>
      <c r="IA99" s="15"/>
      <c r="IB99" s="15"/>
      <c r="IC99" s="15"/>
      <c r="ID99" s="15"/>
      <c r="IE99" s="15"/>
      <c r="IF99" s="15"/>
      <c r="IG99" s="15"/>
      <c r="IH99" s="15"/>
      <c r="II99" s="15"/>
      <c r="IJ99" s="15"/>
      <c r="IK99" s="15"/>
      <c r="IL99" s="15"/>
      <c r="IM99" s="15"/>
      <c r="IN99" s="15"/>
      <c r="IO99" s="15"/>
      <c r="IP99" s="15"/>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5"/>
      <c r="JO99" s="15"/>
      <c r="JP99" s="15"/>
      <c r="JQ99" s="15"/>
      <c r="JR99" s="15"/>
      <c r="JS99" s="15"/>
      <c r="JT99" s="15"/>
      <c r="JU99" s="15"/>
      <c r="JV99" s="15"/>
      <c r="JW99" s="15"/>
      <c r="JX99" s="15"/>
      <c r="JY99" s="15"/>
      <c r="JZ99" s="15"/>
      <c r="KA99" s="15"/>
      <c r="KB99" s="15"/>
      <c r="KC99" s="15"/>
      <c r="KD99" s="15"/>
      <c r="KE99" s="15"/>
      <c r="KF99" s="15"/>
      <c r="KG99" s="15"/>
      <c r="KH99" s="15"/>
      <c r="KI99" s="15"/>
      <c r="KJ99" s="15"/>
      <c r="KK99" s="15"/>
    </row>
    <row r="100" spans="1:297" ht="16" x14ac:dyDescent="0.2">
      <c r="A100" s="302"/>
      <c r="B100" s="106"/>
      <c r="C100" s="106" t="s">
        <v>158</v>
      </c>
      <c r="D100" s="106" t="s">
        <v>111</v>
      </c>
      <c r="E100" s="106" t="s">
        <v>127</v>
      </c>
      <c r="F100" s="104">
        <f>_xlfn.XLOOKUP($E100,'1.5.UVintensity'!$L$3:$L$14,'1.5.UVintensity'!$U$3:$U$14)</f>
        <v>0</v>
      </c>
      <c r="G100" s="104">
        <f>_xlfn.XLOOKUP($E100,'1.5.UVintensity'!$L$3:$L$14,'1.5.UVintensity'!$U$3:$U$14)</f>
        <v>0</v>
      </c>
      <c r="H100" s="104">
        <f>_xlfn.XLOOKUP($E100,'1.5.UVintensity'!$L$3:$L$14,'1.5.UVintensity'!$U$3:$U$14)</f>
        <v>0</v>
      </c>
      <c r="I100" s="104">
        <f>_xlfn.XLOOKUP($E100,'1.5.UVintensity'!$L$3:$L$14,'1.5.UVintensity'!$U$3:$U$14)</f>
        <v>0</v>
      </c>
      <c r="J100" s="104">
        <f>_xlfn.XLOOKUP($E100,'1.5.UVintensity'!$L$3:$L$14,'1.5.UVintensity'!$U$3:$U$14)</f>
        <v>0</v>
      </c>
      <c r="K100" s="104">
        <f>_xlfn.XLOOKUP($E100,'1.5.UVintensity'!$L$3:$L$14,'1.5.UVintensity'!$U$3:$U$14)</f>
        <v>0</v>
      </c>
      <c r="L100" s="104">
        <f>_xlfn.XLOOKUP($E100,'1.5.UVintensity'!$L$3:$L$14,'1.5.UVintensity'!$U$3:$U$14)</f>
        <v>0</v>
      </c>
      <c r="M100" s="104">
        <f>_xlfn.XLOOKUP($E100,'1.5.UVintensity'!$L$3:$L$14,'1.5.UVintensity'!$U$3:$U$14)</f>
        <v>0</v>
      </c>
      <c r="N100" s="42"/>
      <c r="O100" s="42" t="s">
        <v>162</v>
      </c>
      <c r="P100" s="42" t="s">
        <v>161</v>
      </c>
      <c r="Q100" s="118"/>
      <c r="R100" s="42"/>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c r="GM100" s="15"/>
      <c r="GN100" s="15"/>
      <c r="GO100" s="15"/>
      <c r="GP100" s="15"/>
      <c r="GQ100" s="15"/>
      <c r="GR100" s="15"/>
      <c r="GS100" s="15"/>
      <c r="GT100" s="15"/>
      <c r="GU100" s="15"/>
      <c r="GV100" s="15"/>
      <c r="GW100" s="15"/>
      <c r="GX100" s="15"/>
      <c r="GY100" s="15"/>
      <c r="GZ100" s="15"/>
      <c r="HA100" s="15"/>
      <c r="HB100" s="15"/>
      <c r="HC100" s="15"/>
      <c r="HD100" s="15"/>
      <c r="HE100" s="15"/>
      <c r="HF100" s="15"/>
      <c r="HG100" s="15"/>
      <c r="HH100" s="15"/>
      <c r="HI100" s="15"/>
      <c r="HJ100" s="15"/>
      <c r="HK100" s="15"/>
      <c r="HL100" s="15"/>
      <c r="HM100" s="15"/>
      <c r="HN100" s="15"/>
      <c r="HO100" s="15"/>
      <c r="HP100" s="15"/>
      <c r="HQ100" s="15"/>
      <c r="HR100" s="15"/>
      <c r="HS100" s="15"/>
      <c r="HT100" s="15"/>
      <c r="HU100" s="15"/>
      <c r="HV100" s="15"/>
      <c r="HW100" s="15"/>
      <c r="HX100" s="15"/>
      <c r="HY100" s="15"/>
      <c r="HZ100" s="15"/>
      <c r="IA100" s="15"/>
      <c r="IB100" s="15"/>
      <c r="IC100" s="15"/>
      <c r="ID100" s="15"/>
      <c r="IE100" s="15"/>
      <c r="IF100" s="15"/>
      <c r="IG100" s="15"/>
      <c r="IH100" s="15"/>
      <c r="II100" s="15"/>
      <c r="IJ100" s="15"/>
      <c r="IK100" s="15"/>
      <c r="IL100" s="15"/>
      <c r="IM100" s="15"/>
      <c r="IN100" s="15"/>
      <c r="IO100" s="15"/>
      <c r="IP100" s="15"/>
      <c r="IQ100" s="15"/>
      <c r="IR100" s="15"/>
      <c r="IS100" s="15"/>
      <c r="IT100" s="15"/>
      <c r="IU100" s="15"/>
      <c r="IV100" s="15"/>
      <c r="IW100" s="15"/>
      <c r="IX100" s="15"/>
      <c r="IY100" s="15"/>
      <c r="IZ100" s="15"/>
      <c r="JA100" s="15"/>
      <c r="JB100" s="15"/>
      <c r="JC100" s="15"/>
      <c r="JD100" s="15"/>
      <c r="JE100" s="15"/>
      <c r="JF100" s="15"/>
      <c r="JG100" s="15"/>
      <c r="JH100" s="15"/>
      <c r="JI100" s="15"/>
      <c r="JJ100" s="15"/>
      <c r="JK100" s="15"/>
      <c r="JL100" s="15"/>
      <c r="JM100" s="15"/>
      <c r="JN100" s="15"/>
      <c r="JO100" s="15"/>
      <c r="JP100" s="15"/>
      <c r="JQ100" s="15"/>
      <c r="JR100" s="15"/>
      <c r="JS100" s="15"/>
      <c r="JT100" s="15"/>
      <c r="JU100" s="15"/>
      <c r="JV100" s="15"/>
      <c r="JW100" s="15"/>
      <c r="JX100" s="15"/>
      <c r="JY100" s="15"/>
      <c r="JZ100" s="15"/>
      <c r="KA100" s="15"/>
      <c r="KB100" s="15"/>
      <c r="KC100" s="15"/>
      <c r="KD100" s="15"/>
      <c r="KE100" s="15"/>
      <c r="KF100" s="15"/>
      <c r="KG100" s="15"/>
      <c r="KH100" s="15"/>
      <c r="KI100" s="15"/>
      <c r="KJ100" s="15"/>
      <c r="KK100" s="15"/>
    </row>
    <row r="101" spans="1:297" ht="16" x14ac:dyDescent="0.2">
      <c r="A101" s="302"/>
      <c r="B101" s="106"/>
      <c r="C101" s="106" t="s">
        <v>158</v>
      </c>
      <c r="D101" s="106" t="s">
        <v>111</v>
      </c>
      <c r="E101" s="106" t="s">
        <v>115</v>
      </c>
      <c r="F101" s="104">
        <f>_xlfn.XLOOKUP($E101,'1.5.UVintensity'!$L$3:$L$14,'1.5.UVintensity'!$U$3:$U$14)</f>
        <v>0.42624574908283974</v>
      </c>
      <c r="G101" s="104">
        <f>_xlfn.XLOOKUP($E101,'1.5.UVintensity'!$L$3:$L$14,'1.5.UVintensity'!$U$3:$U$14)</f>
        <v>0.42624574908283974</v>
      </c>
      <c r="H101" s="104">
        <f>_xlfn.XLOOKUP($E101,'1.5.UVintensity'!$L$3:$L$14,'1.5.UVintensity'!$U$3:$U$14)</f>
        <v>0.42624574908283974</v>
      </c>
      <c r="I101" s="104">
        <f>_xlfn.XLOOKUP($E101,'1.5.UVintensity'!$L$3:$L$14,'1.5.UVintensity'!$U$3:$U$14)</f>
        <v>0.42624574908283974</v>
      </c>
      <c r="J101" s="104">
        <f>_xlfn.XLOOKUP($E101,'1.5.UVintensity'!$L$3:$L$14,'1.5.UVintensity'!$U$3:$U$14)</f>
        <v>0.42624574908283974</v>
      </c>
      <c r="K101" s="104">
        <f>_xlfn.XLOOKUP($E101,'1.5.UVintensity'!$L$3:$L$14,'1.5.UVintensity'!$U$3:$U$14)</f>
        <v>0.42624574908283974</v>
      </c>
      <c r="L101" s="104">
        <f>_xlfn.XLOOKUP($E101,'1.5.UVintensity'!$L$3:$L$14,'1.5.UVintensity'!$U$3:$U$14)</f>
        <v>0.42624574908283974</v>
      </c>
      <c r="M101" s="104">
        <f>_xlfn.XLOOKUP($E101,'1.5.UVintensity'!$L$3:$L$14,'1.5.UVintensity'!$U$3:$U$14)</f>
        <v>0.42624574908283974</v>
      </c>
      <c r="N101" s="42"/>
      <c r="O101" s="42" t="s">
        <v>162</v>
      </c>
      <c r="P101" s="42" t="s">
        <v>161</v>
      </c>
      <c r="Q101" s="118"/>
      <c r="R101" s="42"/>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15"/>
      <c r="HQ101" s="15"/>
      <c r="HR101" s="15"/>
      <c r="HS101" s="15"/>
      <c r="HT101" s="15"/>
      <c r="HU101" s="15"/>
      <c r="HV101" s="15"/>
      <c r="HW101" s="15"/>
      <c r="HX101" s="15"/>
      <c r="HY101" s="15"/>
      <c r="HZ101" s="15"/>
      <c r="IA101" s="15"/>
      <c r="IB101" s="15"/>
      <c r="IC101" s="15"/>
      <c r="ID101" s="15"/>
      <c r="IE101" s="15"/>
      <c r="IF101" s="15"/>
      <c r="IG101" s="15"/>
      <c r="IH101" s="15"/>
      <c r="II101" s="15"/>
      <c r="IJ101" s="15"/>
      <c r="IK101" s="15"/>
      <c r="IL101" s="15"/>
      <c r="IM101" s="15"/>
      <c r="IN101" s="15"/>
      <c r="IO101" s="15"/>
      <c r="IP101" s="15"/>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5"/>
      <c r="JO101" s="15"/>
      <c r="JP101" s="15"/>
      <c r="JQ101" s="15"/>
      <c r="JR101" s="15"/>
      <c r="JS101" s="15"/>
      <c r="JT101" s="15"/>
      <c r="JU101" s="15"/>
      <c r="JV101" s="15"/>
      <c r="JW101" s="15"/>
      <c r="JX101" s="15"/>
      <c r="JY101" s="15"/>
      <c r="JZ101" s="15"/>
      <c r="KA101" s="15"/>
      <c r="KB101" s="15"/>
      <c r="KC101" s="15"/>
      <c r="KD101" s="15"/>
      <c r="KE101" s="15"/>
      <c r="KF101" s="15"/>
      <c r="KG101" s="15"/>
      <c r="KH101" s="15"/>
      <c r="KI101" s="15"/>
      <c r="KJ101" s="15"/>
      <c r="KK101" s="15"/>
    </row>
    <row r="102" spans="1:297" ht="16" x14ac:dyDescent="0.2">
      <c r="A102" s="302"/>
      <c r="B102" s="122"/>
      <c r="C102" s="106" t="s">
        <v>158</v>
      </c>
      <c r="D102" s="106" t="s">
        <v>111</v>
      </c>
      <c r="E102" s="106" t="s">
        <v>140</v>
      </c>
      <c r="F102" s="104">
        <f>_xlfn.XLOOKUP($E102,'1.5.UVintensity'!$L$3:$L$14,'1.5.UVintensity'!$U$3:$U$14)</f>
        <v>0</v>
      </c>
      <c r="G102" s="104">
        <f>_xlfn.XLOOKUP($E102,'1.5.UVintensity'!$L$3:$L$14,'1.5.UVintensity'!$U$3:$U$14)</f>
        <v>0</v>
      </c>
      <c r="H102" s="104">
        <f>_xlfn.XLOOKUP($E102,'1.5.UVintensity'!$L$3:$L$14,'1.5.UVintensity'!$U$3:$U$14)</f>
        <v>0</v>
      </c>
      <c r="I102" s="104">
        <f>_xlfn.XLOOKUP($E102,'1.5.UVintensity'!$L$3:$L$14,'1.5.UVintensity'!$U$3:$U$14)</f>
        <v>0</v>
      </c>
      <c r="J102" s="104">
        <f>_xlfn.XLOOKUP($E102,'1.5.UVintensity'!$L$3:$L$14,'1.5.UVintensity'!$U$3:$U$14)</f>
        <v>0</v>
      </c>
      <c r="K102" s="104">
        <f>_xlfn.XLOOKUP($E102,'1.5.UVintensity'!$L$3:$L$14,'1.5.UVintensity'!$U$3:$U$14)</f>
        <v>0</v>
      </c>
      <c r="L102" s="104">
        <f>_xlfn.XLOOKUP($E102,'1.5.UVintensity'!$L$3:$L$14,'1.5.UVintensity'!$U$3:$U$14)</f>
        <v>0</v>
      </c>
      <c r="M102" s="104">
        <f>_xlfn.XLOOKUP($E102,'1.5.UVintensity'!$L$3:$L$14,'1.5.UVintensity'!$U$3:$U$14)</f>
        <v>0</v>
      </c>
      <c r="N102" s="42"/>
      <c r="O102" s="42" t="s">
        <v>162</v>
      </c>
      <c r="P102" s="42" t="s">
        <v>161</v>
      </c>
      <c r="Q102" s="118"/>
      <c r="R102" s="42"/>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c r="GM102" s="15"/>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row>
    <row r="103" spans="1:297" ht="16" x14ac:dyDescent="0.2">
      <c r="A103" s="302"/>
      <c r="B103" s="106"/>
      <c r="C103" s="106" t="s">
        <v>158</v>
      </c>
      <c r="D103" s="106" t="s">
        <v>111</v>
      </c>
      <c r="E103" s="106" t="s">
        <v>124</v>
      </c>
      <c r="F103" s="104">
        <f>_xlfn.XLOOKUP($E103,'1.5.UVintensity'!$L$3:$L$14,'1.5.UVintensity'!$U$3:$U$14)</f>
        <v>6.2931584603461896</v>
      </c>
      <c r="G103" s="104">
        <f>_xlfn.XLOOKUP($E103,'1.5.UVintensity'!$L$3:$L$14,'1.5.UVintensity'!$U$3:$U$14)</f>
        <v>6.2931584603461896</v>
      </c>
      <c r="H103" s="104">
        <f>_xlfn.XLOOKUP($E103,'1.5.UVintensity'!$L$3:$L$14,'1.5.UVintensity'!$U$3:$U$14)</f>
        <v>6.2931584603461896</v>
      </c>
      <c r="I103" s="104">
        <f>_xlfn.XLOOKUP($E103,'1.5.UVintensity'!$L$3:$L$14,'1.5.UVintensity'!$U$3:$U$14)</f>
        <v>6.2931584603461896</v>
      </c>
      <c r="J103" s="104">
        <f>_xlfn.XLOOKUP($E103,'1.5.UVintensity'!$L$3:$L$14,'1.5.UVintensity'!$U$3:$U$14)</f>
        <v>6.2931584603461896</v>
      </c>
      <c r="K103" s="104">
        <f>_xlfn.XLOOKUP($E103,'1.5.UVintensity'!$L$3:$L$14,'1.5.UVintensity'!$U$3:$U$14)</f>
        <v>6.2931584603461896</v>
      </c>
      <c r="L103" s="104">
        <f>_xlfn.XLOOKUP($E103,'1.5.UVintensity'!$L$3:$L$14,'1.5.UVintensity'!$U$3:$U$14)</f>
        <v>6.2931584603461896</v>
      </c>
      <c r="M103" s="104">
        <f>_xlfn.XLOOKUP($E103,'1.5.UVintensity'!$L$3:$L$14,'1.5.UVintensity'!$U$3:$U$14)</f>
        <v>6.2931584603461896</v>
      </c>
      <c r="N103" s="42"/>
      <c r="O103" s="42" t="s">
        <v>162</v>
      </c>
      <c r="P103" s="42" t="s">
        <v>161</v>
      </c>
      <c r="Q103" s="118"/>
      <c r="R103" s="42"/>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15"/>
      <c r="GI103" s="15"/>
      <c r="GJ103" s="15"/>
      <c r="GK103" s="15"/>
      <c r="GL103" s="15"/>
      <c r="GM103" s="15"/>
      <c r="GN103" s="15"/>
      <c r="GO103" s="15"/>
      <c r="GP103" s="15"/>
      <c r="GQ103" s="15"/>
      <c r="GR103" s="15"/>
      <c r="GS103" s="15"/>
      <c r="GT103" s="15"/>
      <c r="GU103" s="15"/>
      <c r="GV103" s="15"/>
      <c r="GW103" s="15"/>
      <c r="GX103" s="15"/>
      <c r="GY103" s="15"/>
      <c r="GZ103" s="15"/>
      <c r="HA103" s="15"/>
      <c r="HB103" s="15"/>
      <c r="HC103" s="15"/>
      <c r="HD103" s="15"/>
      <c r="HE103" s="15"/>
      <c r="HF103" s="15"/>
      <c r="HG103" s="15"/>
      <c r="HH103" s="15"/>
      <c r="HI103" s="15"/>
      <c r="HJ103" s="15"/>
      <c r="HK103" s="15"/>
      <c r="HL103" s="15"/>
      <c r="HM103" s="15"/>
      <c r="HN103" s="15"/>
      <c r="HO103" s="15"/>
      <c r="HP103" s="15"/>
      <c r="HQ103" s="15"/>
      <c r="HR103" s="15"/>
      <c r="HS103" s="15"/>
      <c r="HT103" s="15"/>
      <c r="HU103" s="15"/>
      <c r="HV103" s="15"/>
      <c r="HW103" s="15"/>
      <c r="HX103" s="15"/>
      <c r="HY103" s="15"/>
      <c r="HZ103" s="15"/>
      <c r="IA103" s="15"/>
      <c r="IB103" s="15"/>
      <c r="IC103" s="15"/>
      <c r="ID103" s="15"/>
      <c r="IE103" s="15"/>
      <c r="IF103" s="15"/>
      <c r="IG103" s="15"/>
      <c r="IH103" s="15"/>
      <c r="II103" s="15"/>
      <c r="IJ103" s="15"/>
      <c r="IK103" s="15"/>
      <c r="IL103" s="15"/>
      <c r="IM103" s="15"/>
      <c r="IN103" s="15"/>
      <c r="IO103" s="15"/>
      <c r="IP103" s="15"/>
      <c r="IQ103" s="15"/>
      <c r="IR103" s="15"/>
      <c r="IS103" s="15"/>
      <c r="IT103" s="15"/>
      <c r="IU103" s="15"/>
      <c r="IV103" s="15"/>
      <c r="IW103" s="15"/>
      <c r="IX103" s="15"/>
      <c r="IY103" s="15"/>
      <c r="IZ103" s="15"/>
      <c r="JA103" s="15"/>
      <c r="JB103" s="15"/>
      <c r="JC103" s="15"/>
      <c r="JD103" s="15"/>
      <c r="JE103" s="15"/>
      <c r="JF103" s="15"/>
      <c r="JG103" s="15"/>
      <c r="JH103" s="15"/>
      <c r="JI103" s="15"/>
      <c r="JJ103" s="15"/>
      <c r="JK103" s="15"/>
      <c r="JL103" s="15"/>
      <c r="JM103" s="15"/>
      <c r="JN103" s="15"/>
      <c r="JO103" s="15"/>
      <c r="JP103" s="15"/>
      <c r="JQ103" s="15"/>
      <c r="JR103" s="15"/>
      <c r="JS103" s="15"/>
      <c r="JT103" s="15"/>
      <c r="JU103" s="15"/>
      <c r="JV103" s="15"/>
      <c r="JW103" s="15"/>
      <c r="JX103" s="15"/>
      <c r="JY103" s="15"/>
      <c r="JZ103" s="15"/>
      <c r="KA103" s="15"/>
      <c r="KB103" s="15"/>
      <c r="KC103" s="15"/>
      <c r="KD103" s="15"/>
      <c r="KE103" s="15"/>
      <c r="KF103" s="15"/>
      <c r="KG103" s="15"/>
      <c r="KH103" s="15"/>
      <c r="KI103" s="15"/>
      <c r="KJ103" s="15"/>
      <c r="KK103" s="15"/>
    </row>
    <row r="104" spans="1:297" ht="16" x14ac:dyDescent="0.2">
      <c r="A104" s="302"/>
      <c r="B104" s="106"/>
      <c r="C104" s="106" t="s">
        <v>159</v>
      </c>
      <c r="D104" s="106" t="s">
        <v>111</v>
      </c>
      <c r="E104" s="106" t="s">
        <v>118</v>
      </c>
      <c r="F104" s="104">
        <v>121000000</v>
      </c>
      <c r="G104" s="104">
        <v>121000000</v>
      </c>
      <c r="H104" s="104">
        <v>121000000</v>
      </c>
      <c r="I104" s="104">
        <v>121000000</v>
      </c>
      <c r="J104" s="104">
        <v>121000000</v>
      </c>
      <c r="K104" s="104">
        <v>121000000</v>
      </c>
      <c r="L104" s="104">
        <v>121000000</v>
      </c>
      <c r="M104" s="104">
        <v>121000000</v>
      </c>
      <c r="N104" s="42"/>
      <c r="O104" s="42" t="s">
        <v>163</v>
      </c>
      <c r="P104" s="42" t="s">
        <v>161</v>
      </c>
      <c r="Q104" s="118"/>
      <c r="R104" s="42"/>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15"/>
      <c r="GI104" s="15"/>
      <c r="GJ104" s="15"/>
      <c r="GK104" s="15"/>
      <c r="GL104" s="15"/>
      <c r="GM104" s="15"/>
      <c r="GN104" s="15"/>
      <c r="GO104" s="15"/>
      <c r="GP104" s="15"/>
      <c r="GQ104" s="15"/>
      <c r="GR104" s="15"/>
      <c r="GS104" s="15"/>
      <c r="GT104" s="15"/>
      <c r="GU104" s="15"/>
      <c r="GV104" s="15"/>
      <c r="GW104" s="15"/>
      <c r="GX104" s="15"/>
      <c r="GY104" s="15"/>
      <c r="GZ104" s="15"/>
      <c r="HA104" s="15"/>
      <c r="HB104" s="15"/>
      <c r="HC104" s="15"/>
      <c r="HD104" s="15"/>
      <c r="HE104" s="15"/>
      <c r="HF104" s="15"/>
      <c r="HG104" s="15"/>
      <c r="HH104" s="15"/>
      <c r="HI104" s="15"/>
      <c r="HJ104" s="15"/>
      <c r="HK104" s="15"/>
      <c r="HL104" s="15"/>
      <c r="HM104" s="15"/>
      <c r="HN104" s="15"/>
      <c r="HO104" s="15"/>
      <c r="HP104" s="15"/>
      <c r="HQ104" s="15"/>
      <c r="HR104" s="15"/>
      <c r="HS104" s="15"/>
      <c r="HT104" s="15"/>
      <c r="HU104" s="15"/>
      <c r="HV104" s="15"/>
      <c r="HW104" s="15"/>
      <c r="HX104" s="15"/>
      <c r="HY104" s="15"/>
      <c r="HZ104" s="15"/>
      <c r="IA104" s="15"/>
      <c r="IB104" s="15"/>
      <c r="IC104" s="15"/>
      <c r="ID104" s="15"/>
      <c r="IE104" s="15"/>
      <c r="IF104" s="15"/>
      <c r="IG104" s="15"/>
      <c r="IH104" s="15"/>
      <c r="II104" s="15"/>
      <c r="IJ104" s="15"/>
      <c r="IK104" s="15"/>
      <c r="IL104" s="15"/>
      <c r="IM104" s="15"/>
      <c r="IN104" s="15"/>
      <c r="IO104" s="15"/>
      <c r="IP104" s="15"/>
      <c r="IQ104" s="15"/>
      <c r="IR104" s="15"/>
      <c r="IS104" s="15"/>
      <c r="IT104" s="15"/>
      <c r="IU104" s="15"/>
      <c r="IV104" s="15"/>
      <c r="IW104" s="15"/>
      <c r="IX104" s="15"/>
      <c r="IY104" s="15"/>
      <c r="IZ104" s="15"/>
      <c r="JA104" s="15"/>
      <c r="JB104" s="15"/>
      <c r="JC104" s="15"/>
      <c r="JD104" s="15"/>
      <c r="JE104" s="15"/>
      <c r="JF104" s="15"/>
      <c r="JG104" s="15"/>
      <c r="JH104" s="15"/>
      <c r="JI104" s="15"/>
      <c r="JJ104" s="15"/>
      <c r="JK104" s="15"/>
      <c r="JL104" s="15"/>
      <c r="JM104" s="15"/>
      <c r="JN104" s="15"/>
      <c r="JO104" s="15"/>
      <c r="JP104" s="15"/>
      <c r="JQ104" s="15"/>
      <c r="JR104" s="15"/>
      <c r="JS104" s="15"/>
      <c r="JT104" s="15"/>
      <c r="JU104" s="15"/>
      <c r="JV104" s="15"/>
      <c r="JW104" s="15"/>
      <c r="JX104" s="15"/>
      <c r="JY104" s="15"/>
      <c r="JZ104" s="15"/>
      <c r="KA104" s="15"/>
      <c r="KB104" s="15"/>
      <c r="KC104" s="15"/>
      <c r="KD104" s="15"/>
      <c r="KE104" s="15"/>
      <c r="KF104" s="15"/>
      <c r="KG104" s="15"/>
      <c r="KH104" s="15"/>
      <c r="KI104" s="15"/>
      <c r="KJ104" s="15"/>
      <c r="KK104" s="15"/>
    </row>
    <row r="105" spans="1:297" ht="16" x14ac:dyDescent="0.2">
      <c r="A105" s="302"/>
      <c r="B105" s="106"/>
      <c r="C105" s="106" t="s">
        <v>159</v>
      </c>
      <c r="D105" s="106" t="s">
        <v>111</v>
      </c>
      <c r="E105" s="106" t="s">
        <v>98</v>
      </c>
      <c r="F105" s="104">
        <v>0.5</v>
      </c>
      <c r="G105" s="104">
        <v>0.5</v>
      </c>
      <c r="H105" s="104">
        <v>0.5</v>
      </c>
      <c r="I105" s="104">
        <v>0.5</v>
      </c>
      <c r="J105" s="104">
        <v>0.5</v>
      </c>
      <c r="K105" s="104">
        <v>0.5</v>
      </c>
      <c r="L105" s="104">
        <v>0.5</v>
      </c>
      <c r="M105" s="104">
        <v>0.5</v>
      </c>
      <c r="N105" s="42"/>
      <c r="O105" s="42" t="s">
        <v>163</v>
      </c>
      <c r="P105" s="42" t="s">
        <v>161</v>
      </c>
      <c r="Q105" s="118"/>
      <c r="R105" s="42"/>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15"/>
      <c r="HQ105" s="15"/>
      <c r="HR105" s="15"/>
      <c r="HS105" s="15"/>
      <c r="HT105" s="15"/>
      <c r="HU105" s="15"/>
      <c r="HV105" s="15"/>
      <c r="HW105" s="15"/>
      <c r="HX105" s="15"/>
      <c r="HY105" s="15"/>
      <c r="HZ105" s="15"/>
      <c r="IA105" s="15"/>
      <c r="IB105" s="15"/>
      <c r="IC105" s="15"/>
      <c r="ID105" s="15"/>
      <c r="IE105" s="15"/>
      <c r="IF105" s="15"/>
      <c r="IG105" s="15"/>
      <c r="IH105" s="15"/>
      <c r="II105" s="15"/>
      <c r="IJ105" s="15"/>
      <c r="IK105" s="15"/>
      <c r="IL105" s="15"/>
      <c r="IM105" s="15"/>
      <c r="IN105" s="15"/>
      <c r="IO105" s="15"/>
      <c r="IP105" s="15"/>
      <c r="IQ105" s="15"/>
      <c r="IR105" s="15"/>
      <c r="IS105" s="15"/>
      <c r="IT105" s="15"/>
      <c r="IU105" s="15"/>
      <c r="IV105" s="15"/>
      <c r="IW105" s="15"/>
      <c r="IX105" s="15"/>
      <c r="IY105" s="15"/>
      <c r="IZ105" s="15"/>
      <c r="JA105" s="15"/>
      <c r="JB105" s="15"/>
      <c r="JC105" s="15"/>
      <c r="JD105" s="15"/>
      <c r="JE105" s="15"/>
      <c r="JF105" s="15"/>
      <c r="JG105" s="15"/>
      <c r="JH105" s="15"/>
      <c r="JI105" s="15"/>
      <c r="JJ105" s="15"/>
      <c r="JK105" s="15"/>
      <c r="JL105" s="15"/>
      <c r="JM105" s="15"/>
      <c r="JN105" s="15"/>
      <c r="JO105" s="15"/>
      <c r="JP105" s="15"/>
      <c r="JQ105" s="15"/>
      <c r="JR105" s="15"/>
      <c r="JS105" s="15"/>
      <c r="JT105" s="15"/>
      <c r="JU105" s="15"/>
      <c r="JV105" s="15"/>
      <c r="JW105" s="15"/>
      <c r="JX105" s="15"/>
      <c r="JY105" s="15"/>
      <c r="JZ105" s="15"/>
      <c r="KA105" s="15"/>
      <c r="KB105" s="15"/>
      <c r="KC105" s="15"/>
      <c r="KD105" s="15"/>
      <c r="KE105" s="15"/>
      <c r="KF105" s="15"/>
      <c r="KG105" s="15"/>
      <c r="KH105" s="15"/>
      <c r="KI105" s="15"/>
      <c r="KJ105" s="15"/>
      <c r="KK105" s="15"/>
    </row>
    <row r="106" spans="1:297" ht="16" x14ac:dyDescent="0.2">
      <c r="A106" s="302"/>
      <c r="B106" s="106"/>
      <c r="C106" s="106" t="s">
        <v>159</v>
      </c>
      <c r="D106" s="106" t="s">
        <v>111</v>
      </c>
      <c r="E106" s="106" t="s">
        <v>160</v>
      </c>
      <c r="F106" s="104">
        <v>0.5</v>
      </c>
      <c r="G106" s="104">
        <v>0.5</v>
      </c>
      <c r="H106" s="104">
        <v>0.5</v>
      </c>
      <c r="I106" s="104">
        <v>0.5</v>
      </c>
      <c r="J106" s="104">
        <v>0.5</v>
      </c>
      <c r="K106" s="104">
        <v>0.5</v>
      </c>
      <c r="L106" s="104">
        <v>0.5</v>
      </c>
      <c r="M106" s="104">
        <v>0.5</v>
      </c>
      <c r="N106" s="42"/>
      <c r="O106" s="42" t="s">
        <v>163</v>
      </c>
      <c r="P106" s="42" t="s">
        <v>161</v>
      </c>
      <c r="Q106" s="118"/>
      <c r="R106" s="42"/>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c r="HN106" s="15"/>
      <c r="HO106" s="15"/>
      <c r="HP106" s="15"/>
      <c r="HQ106" s="15"/>
      <c r="HR106" s="15"/>
      <c r="HS106" s="15"/>
      <c r="HT106" s="15"/>
      <c r="HU106" s="15"/>
      <c r="HV106" s="15"/>
      <c r="HW106" s="15"/>
      <c r="HX106" s="15"/>
      <c r="HY106" s="15"/>
      <c r="HZ106" s="15"/>
      <c r="IA106" s="15"/>
      <c r="IB106" s="15"/>
      <c r="IC106" s="15"/>
      <c r="ID106" s="15"/>
      <c r="IE106" s="15"/>
      <c r="IF106" s="15"/>
      <c r="IG106" s="15"/>
      <c r="IH106" s="15"/>
      <c r="II106" s="15"/>
      <c r="IJ106" s="15"/>
      <c r="IK106" s="15"/>
      <c r="IL106" s="15"/>
      <c r="IM106" s="15"/>
      <c r="IN106" s="15"/>
      <c r="IO106" s="15"/>
      <c r="IP106" s="15"/>
      <c r="IQ106" s="15"/>
      <c r="IR106" s="15"/>
      <c r="IS106" s="15"/>
      <c r="IT106" s="15"/>
      <c r="IU106" s="15"/>
      <c r="IV106" s="15"/>
      <c r="IW106" s="15"/>
      <c r="IX106" s="15"/>
      <c r="IY106" s="15"/>
      <c r="IZ106" s="15"/>
      <c r="JA106" s="15"/>
      <c r="JB106" s="15"/>
      <c r="JC106" s="15"/>
      <c r="JD106" s="15"/>
      <c r="JE106" s="15"/>
      <c r="JF106" s="15"/>
      <c r="JG106" s="15"/>
      <c r="JH106" s="15"/>
      <c r="JI106" s="15"/>
      <c r="JJ106" s="15"/>
      <c r="JK106" s="15"/>
      <c r="JL106" s="15"/>
      <c r="JM106" s="15"/>
      <c r="JN106" s="15"/>
      <c r="JO106" s="15"/>
      <c r="JP106" s="15"/>
      <c r="JQ106" s="15"/>
      <c r="JR106" s="15"/>
      <c r="JS106" s="15"/>
      <c r="JT106" s="15"/>
      <c r="JU106" s="15"/>
      <c r="JV106" s="15"/>
      <c r="JW106" s="15"/>
      <c r="JX106" s="15"/>
      <c r="JY106" s="15"/>
      <c r="JZ106" s="15"/>
      <c r="KA106" s="15"/>
      <c r="KB106" s="15"/>
      <c r="KC106" s="15"/>
      <c r="KD106" s="15"/>
      <c r="KE106" s="15"/>
      <c r="KF106" s="15"/>
      <c r="KG106" s="15"/>
      <c r="KH106" s="15"/>
      <c r="KI106" s="15"/>
      <c r="KJ106" s="15"/>
      <c r="KK106" s="15"/>
    </row>
    <row r="107" spans="1:297" ht="16" x14ac:dyDescent="0.2">
      <c r="A107" s="302"/>
      <c r="B107" s="106"/>
      <c r="C107" s="106" t="s">
        <v>159</v>
      </c>
      <c r="D107" s="106" t="s">
        <v>111</v>
      </c>
      <c r="E107" s="106" t="s">
        <v>138</v>
      </c>
      <c r="F107" s="104">
        <v>482000</v>
      </c>
      <c r="G107" s="104">
        <v>482000</v>
      </c>
      <c r="H107" s="104">
        <v>482000</v>
      </c>
      <c r="I107" s="104">
        <v>482000</v>
      </c>
      <c r="J107" s="104">
        <v>482000</v>
      </c>
      <c r="K107" s="104">
        <v>482000</v>
      </c>
      <c r="L107" s="104">
        <v>482000</v>
      </c>
      <c r="M107" s="104">
        <v>482000</v>
      </c>
      <c r="N107" s="42"/>
      <c r="O107" s="42" t="s">
        <v>163</v>
      </c>
      <c r="P107" s="42" t="s">
        <v>161</v>
      </c>
      <c r="Q107" s="118"/>
      <c r="R107" s="42"/>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15"/>
      <c r="GI107" s="15"/>
      <c r="GJ107" s="15"/>
      <c r="GK107" s="15"/>
      <c r="GL107" s="15"/>
      <c r="GM107" s="15"/>
      <c r="GN107" s="15"/>
      <c r="GO107" s="15"/>
      <c r="GP107" s="15"/>
      <c r="GQ107" s="15"/>
      <c r="GR107" s="15"/>
      <c r="GS107" s="15"/>
      <c r="GT107" s="15"/>
      <c r="GU107" s="15"/>
      <c r="GV107" s="15"/>
      <c r="GW107" s="15"/>
      <c r="GX107" s="15"/>
      <c r="GY107" s="15"/>
      <c r="GZ107" s="15"/>
      <c r="HA107" s="15"/>
      <c r="HB107" s="15"/>
      <c r="HC107" s="15"/>
      <c r="HD107" s="15"/>
      <c r="HE107" s="15"/>
      <c r="HF107" s="15"/>
      <c r="HG107" s="15"/>
      <c r="HH107" s="15"/>
      <c r="HI107" s="15"/>
      <c r="HJ107" s="15"/>
      <c r="HK107" s="15"/>
      <c r="HL107" s="15"/>
      <c r="HM107" s="15"/>
      <c r="HN107" s="15"/>
      <c r="HO107" s="15"/>
      <c r="HP107" s="15"/>
      <c r="HQ107" s="15"/>
      <c r="HR107" s="15"/>
      <c r="HS107" s="15"/>
      <c r="HT107" s="15"/>
      <c r="HU107" s="15"/>
      <c r="HV107" s="15"/>
      <c r="HW107" s="15"/>
      <c r="HX107" s="15"/>
      <c r="HY107" s="15"/>
      <c r="HZ107" s="15"/>
      <c r="IA107" s="15"/>
      <c r="IB107" s="15"/>
      <c r="IC107" s="15"/>
      <c r="ID107" s="15"/>
      <c r="IE107" s="15"/>
      <c r="IF107" s="15"/>
      <c r="IG107" s="15"/>
      <c r="IH107" s="15"/>
      <c r="II107" s="15"/>
      <c r="IJ107" s="15"/>
      <c r="IK107" s="15"/>
      <c r="IL107" s="15"/>
      <c r="IM107" s="15"/>
      <c r="IN107" s="15"/>
      <c r="IO107" s="15"/>
      <c r="IP107" s="15"/>
      <c r="IQ107" s="15"/>
      <c r="IR107" s="15"/>
      <c r="IS107" s="15"/>
      <c r="IT107" s="15"/>
      <c r="IU107" s="15"/>
      <c r="IV107" s="15"/>
      <c r="IW107" s="15"/>
      <c r="IX107" s="15"/>
      <c r="IY107" s="15"/>
      <c r="IZ107" s="15"/>
      <c r="JA107" s="15"/>
      <c r="JB107" s="15"/>
      <c r="JC107" s="15"/>
      <c r="JD107" s="15"/>
      <c r="JE107" s="15"/>
      <c r="JF107" s="15"/>
      <c r="JG107" s="15"/>
      <c r="JH107" s="15"/>
      <c r="JI107" s="15"/>
      <c r="JJ107" s="15"/>
      <c r="JK107" s="15"/>
      <c r="JL107" s="15"/>
      <c r="JM107" s="15"/>
      <c r="JN107" s="15"/>
      <c r="JO107" s="15"/>
      <c r="JP107" s="15"/>
      <c r="JQ107" s="15"/>
      <c r="JR107" s="15"/>
      <c r="JS107" s="15"/>
      <c r="JT107" s="15"/>
      <c r="JU107" s="15"/>
      <c r="JV107" s="15"/>
      <c r="JW107" s="15"/>
      <c r="JX107" s="15"/>
      <c r="JY107" s="15"/>
      <c r="JZ107" s="15"/>
      <c r="KA107" s="15"/>
      <c r="KB107" s="15"/>
      <c r="KC107" s="15"/>
      <c r="KD107" s="15"/>
      <c r="KE107" s="15"/>
      <c r="KF107" s="15"/>
      <c r="KG107" s="15"/>
      <c r="KH107" s="15"/>
      <c r="KI107" s="15"/>
      <c r="KJ107" s="15"/>
      <c r="KK107" s="15"/>
    </row>
    <row r="108" spans="1:297" ht="16" x14ac:dyDescent="0.2">
      <c r="A108" s="302"/>
      <c r="B108" s="106"/>
      <c r="C108" s="106" t="s">
        <v>159</v>
      </c>
      <c r="D108" s="106" t="s">
        <v>111</v>
      </c>
      <c r="E108" s="106" t="s">
        <v>116</v>
      </c>
      <c r="F108" s="104">
        <v>250000</v>
      </c>
      <c r="G108" s="104">
        <v>250000</v>
      </c>
      <c r="H108" s="104">
        <v>250000</v>
      </c>
      <c r="I108" s="104">
        <v>250000</v>
      </c>
      <c r="J108" s="104">
        <v>250000</v>
      </c>
      <c r="K108" s="104">
        <v>250000</v>
      </c>
      <c r="L108" s="104">
        <v>250000</v>
      </c>
      <c r="M108" s="104">
        <v>250000</v>
      </c>
      <c r="N108" s="42"/>
      <c r="O108" s="42" t="s">
        <v>163</v>
      </c>
      <c r="P108" s="42" t="s">
        <v>161</v>
      </c>
      <c r="Q108" s="118"/>
      <c r="R108" s="42"/>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c r="GM108" s="15"/>
      <c r="GN108" s="15"/>
      <c r="GO108" s="15"/>
      <c r="GP108" s="15"/>
      <c r="GQ108" s="15"/>
      <c r="GR108" s="15"/>
      <c r="GS108" s="15"/>
      <c r="GT108" s="15"/>
      <c r="GU108" s="15"/>
      <c r="GV108" s="15"/>
      <c r="GW108" s="15"/>
      <c r="GX108" s="15"/>
      <c r="GY108" s="15"/>
      <c r="GZ108" s="15"/>
      <c r="HA108" s="15"/>
      <c r="HB108" s="15"/>
      <c r="HC108" s="15"/>
      <c r="HD108" s="15"/>
      <c r="HE108" s="15"/>
      <c r="HF108" s="15"/>
      <c r="HG108" s="15"/>
      <c r="HH108" s="15"/>
      <c r="HI108" s="15"/>
      <c r="HJ108" s="15"/>
      <c r="HK108" s="15"/>
      <c r="HL108" s="15"/>
      <c r="HM108" s="15"/>
      <c r="HN108" s="15"/>
      <c r="HO108" s="15"/>
      <c r="HP108" s="15"/>
      <c r="HQ108" s="15"/>
      <c r="HR108" s="15"/>
      <c r="HS108" s="15"/>
      <c r="HT108" s="15"/>
      <c r="HU108" s="15"/>
      <c r="HV108" s="15"/>
      <c r="HW108" s="15"/>
      <c r="HX108" s="15"/>
      <c r="HY108" s="15"/>
      <c r="HZ108" s="15"/>
      <c r="IA108" s="15"/>
      <c r="IB108" s="15"/>
      <c r="IC108" s="15"/>
      <c r="ID108" s="15"/>
      <c r="IE108" s="15"/>
      <c r="IF108" s="15"/>
      <c r="IG108" s="15"/>
      <c r="IH108" s="15"/>
      <c r="II108" s="15"/>
      <c r="IJ108" s="15"/>
      <c r="IK108" s="15"/>
      <c r="IL108" s="15"/>
      <c r="IM108" s="15"/>
      <c r="IN108" s="15"/>
      <c r="IO108" s="15"/>
      <c r="IP108" s="15"/>
      <c r="IQ108" s="15"/>
      <c r="IR108" s="15"/>
      <c r="IS108" s="15"/>
      <c r="IT108" s="15"/>
      <c r="IU108" s="15"/>
      <c r="IV108" s="15"/>
      <c r="IW108" s="15"/>
      <c r="IX108" s="15"/>
      <c r="IY108" s="15"/>
      <c r="IZ108" s="15"/>
      <c r="JA108" s="15"/>
      <c r="JB108" s="15"/>
      <c r="JC108" s="15"/>
      <c r="JD108" s="15"/>
      <c r="JE108" s="15"/>
      <c r="JF108" s="15"/>
      <c r="JG108" s="15"/>
      <c r="JH108" s="15"/>
      <c r="JI108" s="15"/>
      <c r="JJ108" s="15"/>
      <c r="JK108" s="15"/>
      <c r="JL108" s="15"/>
      <c r="JM108" s="15"/>
      <c r="JN108" s="15"/>
      <c r="JO108" s="15"/>
      <c r="JP108" s="15"/>
      <c r="JQ108" s="15"/>
      <c r="JR108" s="15"/>
      <c r="JS108" s="15"/>
      <c r="JT108" s="15"/>
      <c r="JU108" s="15"/>
      <c r="JV108" s="15"/>
      <c r="JW108" s="15"/>
      <c r="JX108" s="15"/>
      <c r="JY108" s="15"/>
      <c r="JZ108" s="15"/>
      <c r="KA108" s="15"/>
      <c r="KB108" s="15"/>
      <c r="KC108" s="15"/>
      <c r="KD108" s="15"/>
      <c r="KE108" s="15"/>
      <c r="KF108" s="15"/>
      <c r="KG108" s="15"/>
      <c r="KH108" s="15"/>
      <c r="KI108" s="15"/>
      <c r="KJ108" s="15"/>
      <c r="KK108" s="15"/>
    </row>
    <row r="109" spans="1:297" ht="16" x14ac:dyDescent="0.2">
      <c r="A109" s="302"/>
      <c r="B109" s="106"/>
      <c r="C109" s="106" t="s">
        <v>159</v>
      </c>
      <c r="D109" s="106" t="s">
        <v>111</v>
      </c>
      <c r="E109" s="106" t="s">
        <v>139</v>
      </c>
      <c r="F109" s="104">
        <v>482000</v>
      </c>
      <c r="G109" s="104">
        <v>482000</v>
      </c>
      <c r="H109" s="104">
        <v>482000</v>
      </c>
      <c r="I109" s="104">
        <v>482000</v>
      </c>
      <c r="J109" s="104">
        <v>482000</v>
      </c>
      <c r="K109" s="104">
        <v>482000</v>
      </c>
      <c r="L109" s="104">
        <v>482000</v>
      </c>
      <c r="M109" s="104">
        <v>482000</v>
      </c>
      <c r="N109" s="42"/>
      <c r="O109" s="42" t="s">
        <v>163</v>
      </c>
      <c r="P109" s="42" t="s">
        <v>161</v>
      </c>
      <c r="Q109" s="118"/>
      <c r="R109" s="42"/>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15"/>
      <c r="GI109" s="15"/>
      <c r="GJ109" s="15"/>
      <c r="GK109" s="15"/>
      <c r="GL109" s="15"/>
      <c r="GM109" s="15"/>
      <c r="GN109" s="15"/>
      <c r="GO109" s="15"/>
      <c r="GP109" s="15"/>
      <c r="GQ109" s="15"/>
      <c r="GR109" s="15"/>
      <c r="GS109" s="15"/>
      <c r="GT109" s="15"/>
      <c r="GU109" s="15"/>
      <c r="GV109" s="15"/>
      <c r="GW109" s="15"/>
      <c r="GX109" s="15"/>
      <c r="GY109" s="15"/>
      <c r="GZ109" s="15"/>
      <c r="HA109" s="15"/>
      <c r="HB109" s="15"/>
      <c r="HC109" s="15"/>
      <c r="HD109" s="15"/>
      <c r="HE109" s="15"/>
      <c r="HF109" s="15"/>
      <c r="HG109" s="15"/>
      <c r="HH109" s="15"/>
      <c r="HI109" s="15"/>
      <c r="HJ109" s="15"/>
      <c r="HK109" s="15"/>
      <c r="HL109" s="15"/>
      <c r="HM109" s="15"/>
      <c r="HN109" s="15"/>
      <c r="HO109" s="15"/>
      <c r="HP109" s="15"/>
      <c r="HQ109" s="15"/>
      <c r="HR109" s="15"/>
      <c r="HS109" s="15"/>
      <c r="HT109" s="15"/>
      <c r="HU109" s="15"/>
      <c r="HV109" s="15"/>
      <c r="HW109" s="15"/>
      <c r="HX109" s="15"/>
      <c r="HY109" s="15"/>
      <c r="HZ109" s="15"/>
      <c r="IA109" s="15"/>
      <c r="IB109" s="15"/>
      <c r="IC109" s="15"/>
      <c r="ID109" s="15"/>
      <c r="IE109" s="15"/>
      <c r="IF109" s="15"/>
      <c r="IG109" s="15"/>
      <c r="IH109" s="15"/>
      <c r="II109" s="15"/>
      <c r="IJ109" s="15"/>
      <c r="IK109" s="15"/>
      <c r="IL109" s="15"/>
      <c r="IM109" s="15"/>
      <c r="IN109" s="15"/>
      <c r="IO109" s="15"/>
      <c r="IP109" s="15"/>
      <c r="IQ109" s="15"/>
      <c r="IR109" s="15"/>
      <c r="IS109" s="15"/>
      <c r="IT109" s="15"/>
      <c r="IU109" s="15"/>
      <c r="IV109" s="15"/>
      <c r="IW109" s="15"/>
      <c r="IX109" s="15"/>
      <c r="IY109" s="15"/>
      <c r="IZ109" s="15"/>
      <c r="JA109" s="15"/>
      <c r="JB109" s="15"/>
      <c r="JC109" s="15"/>
      <c r="JD109" s="15"/>
      <c r="JE109" s="15"/>
      <c r="JF109" s="15"/>
      <c r="JG109" s="15"/>
      <c r="JH109" s="15"/>
      <c r="JI109" s="15"/>
      <c r="JJ109" s="15"/>
      <c r="JK109" s="15"/>
      <c r="JL109" s="15"/>
      <c r="JM109" s="15"/>
      <c r="JN109" s="15"/>
      <c r="JO109" s="15"/>
      <c r="JP109" s="15"/>
      <c r="JQ109" s="15"/>
      <c r="JR109" s="15"/>
      <c r="JS109" s="15"/>
      <c r="JT109" s="15"/>
      <c r="JU109" s="15"/>
      <c r="JV109" s="15"/>
      <c r="JW109" s="15"/>
      <c r="JX109" s="15"/>
      <c r="JY109" s="15"/>
      <c r="JZ109" s="15"/>
      <c r="KA109" s="15"/>
      <c r="KB109" s="15"/>
      <c r="KC109" s="15"/>
      <c r="KD109" s="15"/>
      <c r="KE109" s="15"/>
      <c r="KF109" s="15"/>
      <c r="KG109" s="15"/>
      <c r="KH109" s="15"/>
      <c r="KI109" s="15"/>
      <c r="KJ109" s="15"/>
      <c r="KK109" s="15"/>
    </row>
    <row r="110" spans="1:297" ht="16" x14ac:dyDescent="0.2">
      <c r="A110" s="302"/>
      <c r="B110" s="106"/>
      <c r="C110" s="106" t="s">
        <v>159</v>
      </c>
      <c r="D110" s="106" t="s">
        <v>111</v>
      </c>
      <c r="E110" s="106" t="s">
        <v>137</v>
      </c>
      <c r="F110" s="104">
        <v>482000</v>
      </c>
      <c r="G110" s="104">
        <v>482000</v>
      </c>
      <c r="H110" s="104">
        <v>482000</v>
      </c>
      <c r="I110" s="104">
        <v>482000</v>
      </c>
      <c r="J110" s="104">
        <v>482000</v>
      </c>
      <c r="K110" s="104">
        <v>482000</v>
      </c>
      <c r="L110" s="104">
        <v>482000</v>
      </c>
      <c r="M110" s="104">
        <v>482000</v>
      </c>
      <c r="N110" s="42"/>
      <c r="O110" s="42" t="s">
        <v>163</v>
      </c>
      <c r="P110" s="42" t="s">
        <v>161</v>
      </c>
      <c r="Q110" s="118"/>
      <c r="R110" s="42"/>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15"/>
      <c r="HQ110" s="15"/>
      <c r="HR110" s="15"/>
      <c r="HS110" s="15"/>
      <c r="HT110" s="15"/>
      <c r="HU110" s="15"/>
      <c r="HV110" s="15"/>
      <c r="HW110" s="15"/>
      <c r="HX110" s="15"/>
      <c r="HY110" s="15"/>
      <c r="HZ110" s="15"/>
      <c r="IA110" s="15"/>
      <c r="IB110" s="15"/>
      <c r="IC110" s="15"/>
      <c r="ID110" s="15"/>
      <c r="IE110" s="15"/>
      <c r="IF110" s="15"/>
      <c r="IG110" s="15"/>
      <c r="IH110" s="15"/>
      <c r="II110" s="15"/>
      <c r="IJ110" s="15"/>
      <c r="IK110" s="15"/>
      <c r="IL110" s="15"/>
      <c r="IM110" s="15"/>
      <c r="IN110" s="15"/>
      <c r="IO110" s="15"/>
      <c r="IP110" s="15"/>
      <c r="IQ110" s="15"/>
      <c r="IR110" s="15"/>
      <c r="IS110" s="15"/>
      <c r="IT110" s="15"/>
      <c r="IU110" s="15"/>
      <c r="IV110" s="15"/>
      <c r="IW110" s="15"/>
      <c r="IX110" s="15"/>
      <c r="IY110" s="15"/>
      <c r="IZ110" s="15"/>
      <c r="JA110" s="15"/>
      <c r="JB110" s="15"/>
      <c r="JC110" s="15"/>
      <c r="JD110" s="15"/>
      <c r="JE110" s="15"/>
      <c r="JF110" s="15"/>
      <c r="JG110" s="15"/>
      <c r="JH110" s="15"/>
      <c r="JI110" s="15"/>
      <c r="JJ110" s="15"/>
      <c r="JK110" s="15"/>
      <c r="JL110" s="15"/>
      <c r="JM110" s="15"/>
      <c r="JN110" s="15"/>
      <c r="JO110" s="15"/>
      <c r="JP110" s="15"/>
      <c r="JQ110" s="15"/>
      <c r="JR110" s="15"/>
      <c r="JS110" s="15"/>
      <c r="JT110" s="15"/>
      <c r="JU110" s="15"/>
      <c r="JV110" s="15"/>
      <c r="JW110" s="15"/>
      <c r="JX110" s="15"/>
      <c r="JY110" s="15"/>
      <c r="JZ110" s="15"/>
      <c r="KA110" s="15"/>
      <c r="KB110" s="15"/>
      <c r="KC110" s="15"/>
      <c r="KD110" s="15"/>
      <c r="KE110" s="15"/>
      <c r="KF110" s="15"/>
      <c r="KG110" s="15"/>
      <c r="KH110" s="15"/>
      <c r="KI110" s="15"/>
      <c r="KJ110" s="15"/>
      <c r="KK110" s="15"/>
    </row>
    <row r="111" spans="1:297" ht="16" x14ac:dyDescent="0.2">
      <c r="A111" s="302"/>
      <c r="B111" s="106"/>
      <c r="C111" s="106" t="s">
        <v>159</v>
      </c>
      <c r="D111" s="106" t="s">
        <v>111</v>
      </c>
      <c r="E111" s="106" t="s">
        <v>117</v>
      </c>
      <c r="F111" s="104">
        <v>121000000</v>
      </c>
      <c r="G111" s="104">
        <v>121000000</v>
      </c>
      <c r="H111" s="104">
        <v>121000000</v>
      </c>
      <c r="I111" s="104">
        <v>121000000</v>
      </c>
      <c r="J111" s="104">
        <v>121000000</v>
      </c>
      <c r="K111" s="104">
        <v>121000000</v>
      </c>
      <c r="L111" s="104">
        <v>121000000</v>
      </c>
      <c r="M111" s="104">
        <v>121000000</v>
      </c>
      <c r="N111" s="42"/>
      <c r="O111" s="42" t="s">
        <v>163</v>
      </c>
      <c r="P111" s="42" t="s">
        <v>161</v>
      </c>
      <c r="Q111" s="118"/>
      <c r="R111" s="42"/>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c r="GM111" s="15"/>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c r="HN111" s="15"/>
      <c r="HO111" s="15"/>
      <c r="HP111" s="15"/>
      <c r="HQ111" s="15"/>
      <c r="HR111" s="15"/>
      <c r="HS111" s="15"/>
      <c r="HT111" s="15"/>
      <c r="HU111" s="15"/>
      <c r="HV111" s="15"/>
      <c r="HW111" s="15"/>
      <c r="HX111" s="15"/>
      <c r="HY111" s="15"/>
      <c r="HZ111" s="15"/>
      <c r="IA111" s="15"/>
      <c r="IB111" s="15"/>
      <c r="IC111" s="15"/>
      <c r="ID111" s="15"/>
      <c r="IE111" s="15"/>
      <c r="IF111" s="15"/>
      <c r="IG111" s="15"/>
      <c r="IH111" s="15"/>
      <c r="II111" s="15"/>
      <c r="IJ111" s="15"/>
      <c r="IK111" s="15"/>
      <c r="IL111" s="15"/>
      <c r="IM111" s="15"/>
      <c r="IN111" s="15"/>
      <c r="IO111" s="15"/>
      <c r="IP111" s="15"/>
      <c r="IQ111" s="15"/>
      <c r="IR111" s="15"/>
      <c r="IS111" s="15"/>
      <c r="IT111" s="15"/>
      <c r="IU111" s="15"/>
      <c r="IV111" s="15"/>
      <c r="IW111" s="15"/>
      <c r="IX111" s="15"/>
      <c r="IY111" s="15"/>
      <c r="IZ111" s="15"/>
      <c r="JA111" s="15"/>
      <c r="JB111" s="15"/>
      <c r="JC111" s="15"/>
      <c r="JD111" s="15"/>
      <c r="JE111" s="15"/>
      <c r="JF111" s="15"/>
      <c r="JG111" s="15"/>
      <c r="JH111" s="15"/>
      <c r="JI111" s="15"/>
      <c r="JJ111" s="15"/>
      <c r="JK111" s="15"/>
      <c r="JL111" s="15"/>
      <c r="JM111" s="15"/>
      <c r="JN111" s="15"/>
      <c r="JO111" s="15"/>
      <c r="JP111" s="15"/>
      <c r="JQ111" s="15"/>
      <c r="JR111" s="15"/>
      <c r="JS111" s="15"/>
      <c r="JT111" s="15"/>
      <c r="JU111" s="15"/>
      <c r="JV111" s="15"/>
      <c r="JW111" s="15"/>
      <c r="JX111" s="15"/>
      <c r="JY111" s="15"/>
      <c r="JZ111" s="15"/>
      <c r="KA111" s="15"/>
      <c r="KB111" s="15"/>
      <c r="KC111" s="15"/>
      <c r="KD111" s="15"/>
      <c r="KE111" s="15"/>
      <c r="KF111" s="15"/>
      <c r="KG111" s="15"/>
      <c r="KH111" s="15"/>
      <c r="KI111" s="15"/>
      <c r="KJ111" s="15"/>
      <c r="KK111" s="15"/>
    </row>
    <row r="112" spans="1:297" ht="16" x14ac:dyDescent="0.2">
      <c r="A112" s="302"/>
      <c r="B112" s="106"/>
      <c r="C112" s="106" t="s">
        <v>159</v>
      </c>
      <c r="D112" s="106" t="s">
        <v>111</v>
      </c>
      <c r="E112" s="106" t="s">
        <v>127</v>
      </c>
      <c r="F112" s="104">
        <v>121000000</v>
      </c>
      <c r="G112" s="104">
        <v>121000000</v>
      </c>
      <c r="H112" s="104">
        <v>121000000</v>
      </c>
      <c r="I112" s="104">
        <v>121000000</v>
      </c>
      <c r="J112" s="104">
        <v>121000000</v>
      </c>
      <c r="K112" s="104">
        <v>121000000</v>
      </c>
      <c r="L112" s="104">
        <v>121000000</v>
      </c>
      <c r="M112" s="104">
        <v>121000000</v>
      </c>
      <c r="N112" s="42"/>
      <c r="O112" s="42" t="s">
        <v>163</v>
      </c>
      <c r="P112" s="42" t="s">
        <v>161</v>
      </c>
      <c r="Q112" s="118"/>
      <c r="R112" s="42"/>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15"/>
      <c r="GI112" s="15"/>
      <c r="GJ112" s="15"/>
      <c r="GK112" s="15"/>
      <c r="GL112" s="15"/>
      <c r="GM112" s="15"/>
      <c r="GN112" s="15"/>
      <c r="GO112" s="15"/>
      <c r="GP112" s="15"/>
      <c r="GQ112" s="15"/>
      <c r="GR112" s="15"/>
      <c r="GS112" s="15"/>
      <c r="GT112" s="15"/>
      <c r="GU112" s="15"/>
      <c r="GV112" s="15"/>
      <c r="GW112" s="15"/>
      <c r="GX112" s="15"/>
      <c r="GY112" s="15"/>
      <c r="GZ112" s="15"/>
      <c r="HA112" s="15"/>
      <c r="HB112" s="15"/>
      <c r="HC112" s="15"/>
      <c r="HD112" s="15"/>
      <c r="HE112" s="15"/>
      <c r="HF112" s="15"/>
      <c r="HG112" s="15"/>
      <c r="HH112" s="15"/>
      <c r="HI112" s="15"/>
      <c r="HJ112" s="15"/>
      <c r="HK112" s="15"/>
      <c r="HL112" s="15"/>
      <c r="HM112" s="15"/>
      <c r="HN112" s="15"/>
      <c r="HO112" s="15"/>
      <c r="HP112" s="15"/>
      <c r="HQ112" s="15"/>
      <c r="HR112" s="15"/>
      <c r="HS112" s="15"/>
      <c r="HT112" s="15"/>
      <c r="HU112" s="15"/>
      <c r="HV112" s="15"/>
      <c r="HW112" s="15"/>
      <c r="HX112" s="15"/>
      <c r="HY112" s="15"/>
      <c r="HZ112" s="15"/>
      <c r="IA112" s="15"/>
      <c r="IB112" s="15"/>
      <c r="IC112" s="15"/>
      <c r="ID112" s="15"/>
      <c r="IE112" s="15"/>
      <c r="IF112" s="15"/>
      <c r="IG112" s="15"/>
      <c r="IH112" s="15"/>
      <c r="II112" s="15"/>
      <c r="IJ112" s="15"/>
      <c r="IK112" s="15"/>
      <c r="IL112" s="15"/>
      <c r="IM112" s="15"/>
      <c r="IN112" s="15"/>
      <c r="IO112" s="15"/>
      <c r="IP112" s="15"/>
      <c r="IQ112" s="15"/>
      <c r="IR112" s="15"/>
      <c r="IS112" s="15"/>
      <c r="IT112" s="15"/>
      <c r="IU112" s="15"/>
      <c r="IV112" s="15"/>
      <c r="IW112" s="15"/>
      <c r="IX112" s="15"/>
      <c r="IY112" s="15"/>
      <c r="IZ112" s="15"/>
      <c r="JA112" s="15"/>
      <c r="JB112" s="15"/>
      <c r="JC112" s="15"/>
      <c r="JD112" s="15"/>
      <c r="JE112" s="15"/>
      <c r="JF112" s="15"/>
      <c r="JG112" s="15"/>
      <c r="JH112" s="15"/>
      <c r="JI112" s="15"/>
      <c r="JJ112" s="15"/>
      <c r="JK112" s="15"/>
      <c r="JL112" s="15"/>
      <c r="JM112" s="15"/>
      <c r="JN112" s="15"/>
      <c r="JO112" s="15"/>
      <c r="JP112" s="15"/>
      <c r="JQ112" s="15"/>
      <c r="JR112" s="15"/>
      <c r="JS112" s="15"/>
      <c r="JT112" s="15"/>
      <c r="JU112" s="15"/>
      <c r="JV112" s="15"/>
      <c r="JW112" s="15"/>
      <c r="JX112" s="15"/>
      <c r="JY112" s="15"/>
      <c r="JZ112" s="15"/>
      <c r="KA112" s="15"/>
      <c r="KB112" s="15"/>
      <c r="KC112" s="15"/>
      <c r="KD112" s="15"/>
      <c r="KE112" s="15"/>
      <c r="KF112" s="15"/>
      <c r="KG112" s="15"/>
      <c r="KH112" s="15"/>
      <c r="KI112" s="15"/>
      <c r="KJ112" s="15"/>
      <c r="KK112" s="15"/>
    </row>
    <row r="113" spans="1:297" ht="16" x14ac:dyDescent="0.2">
      <c r="A113" s="302"/>
      <c r="B113" s="106"/>
      <c r="C113" s="106" t="s">
        <v>159</v>
      </c>
      <c r="D113" s="106" t="s">
        <v>111</v>
      </c>
      <c r="E113" s="106" t="s">
        <v>115</v>
      </c>
      <c r="F113" s="104">
        <v>250000</v>
      </c>
      <c r="G113" s="104">
        <v>250000</v>
      </c>
      <c r="H113" s="104">
        <v>250000</v>
      </c>
      <c r="I113" s="104">
        <v>250000</v>
      </c>
      <c r="J113" s="104">
        <v>250000</v>
      </c>
      <c r="K113" s="104">
        <v>250000</v>
      </c>
      <c r="L113" s="104">
        <v>250000</v>
      </c>
      <c r="M113" s="104">
        <v>250000</v>
      </c>
      <c r="N113" s="42"/>
      <c r="O113" s="42" t="s">
        <v>163</v>
      </c>
      <c r="P113" s="42" t="s">
        <v>161</v>
      </c>
      <c r="Q113" s="118"/>
      <c r="R113" s="42"/>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15"/>
      <c r="GI113" s="15"/>
      <c r="GJ113" s="15"/>
      <c r="GK113" s="15"/>
      <c r="GL113" s="15"/>
      <c r="GM113" s="15"/>
      <c r="GN113" s="15"/>
      <c r="GO113" s="15"/>
      <c r="GP113" s="15"/>
      <c r="GQ113" s="15"/>
      <c r="GR113" s="15"/>
      <c r="GS113" s="15"/>
      <c r="GT113" s="15"/>
      <c r="GU113" s="15"/>
      <c r="GV113" s="15"/>
      <c r="GW113" s="15"/>
      <c r="GX113" s="15"/>
      <c r="GY113" s="15"/>
      <c r="GZ113" s="15"/>
      <c r="HA113" s="15"/>
      <c r="HB113" s="15"/>
      <c r="HC113" s="15"/>
      <c r="HD113" s="15"/>
      <c r="HE113" s="15"/>
      <c r="HF113" s="15"/>
      <c r="HG113" s="15"/>
      <c r="HH113" s="15"/>
      <c r="HI113" s="15"/>
      <c r="HJ113" s="15"/>
      <c r="HK113" s="15"/>
      <c r="HL113" s="15"/>
      <c r="HM113" s="15"/>
      <c r="HN113" s="15"/>
      <c r="HO113" s="15"/>
      <c r="HP113" s="15"/>
      <c r="HQ113" s="15"/>
      <c r="HR113" s="15"/>
      <c r="HS113" s="15"/>
      <c r="HT113" s="15"/>
      <c r="HU113" s="15"/>
      <c r="HV113" s="15"/>
      <c r="HW113" s="15"/>
      <c r="HX113" s="15"/>
      <c r="HY113" s="15"/>
      <c r="HZ113" s="15"/>
      <c r="IA113" s="15"/>
      <c r="IB113" s="15"/>
      <c r="IC113" s="15"/>
      <c r="ID113" s="15"/>
      <c r="IE113" s="15"/>
      <c r="IF113" s="15"/>
      <c r="IG113" s="15"/>
      <c r="IH113" s="15"/>
      <c r="II113" s="15"/>
      <c r="IJ113" s="15"/>
      <c r="IK113" s="15"/>
      <c r="IL113" s="15"/>
      <c r="IM113" s="15"/>
      <c r="IN113" s="15"/>
      <c r="IO113" s="15"/>
      <c r="IP113" s="15"/>
      <c r="IQ113" s="15"/>
      <c r="IR113" s="15"/>
      <c r="IS113" s="15"/>
      <c r="IT113" s="15"/>
      <c r="IU113" s="15"/>
      <c r="IV113" s="15"/>
      <c r="IW113" s="15"/>
      <c r="IX113" s="15"/>
      <c r="IY113" s="15"/>
      <c r="IZ113" s="15"/>
      <c r="JA113" s="15"/>
      <c r="JB113" s="15"/>
      <c r="JC113" s="15"/>
      <c r="JD113" s="15"/>
      <c r="JE113" s="15"/>
      <c r="JF113" s="15"/>
      <c r="JG113" s="15"/>
      <c r="JH113" s="15"/>
      <c r="JI113" s="15"/>
      <c r="JJ113" s="15"/>
      <c r="JK113" s="15"/>
      <c r="JL113" s="15"/>
      <c r="JM113" s="15"/>
      <c r="JN113" s="15"/>
      <c r="JO113" s="15"/>
      <c r="JP113" s="15"/>
      <c r="JQ113" s="15"/>
      <c r="JR113" s="15"/>
      <c r="JS113" s="15"/>
      <c r="JT113" s="15"/>
      <c r="JU113" s="15"/>
      <c r="JV113" s="15"/>
      <c r="JW113" s="15"/>
      <c r="JX113" s="15"/>
      <c r="JY113" s="15"/>
      <c r="JZ113" s="15"/>
      <c r="KA113" s="15"/>
      <c r="KB113" s="15"/>
      <c r="KC113" s="15"/>
      <c r="KD113" s="15"/>
      <c r="KE113" s="15"/>
      <c r="KF113" s="15"/>
      <c r="KG113" s="15"/>
      <c r="KH113" s="15"/>
      <c r="KI113" s="15"/>
      <c r="KJ113" s="15"/>
      <c r="KK113" s="15"/>
    </row>
    <row r="114" spans="1:297" ht="16" x14ac:dyDescent="0.2">
      <c r="A114" s="302"/>
      <c r="B114" s="122"/>
      <c r="C114" s="106" t="s">
        <v>159</v>
      </c>
      <c r="D114" s="106" t="s">
        <v>111</v>
      </c>
      <c r="E114" s="106" t="s">
        <v>140</v>
      </c>
      <c r="F114" s="104">
        <v>250000</v>
      </c>
      <c r="G114" s="104">
        <v>250000</v>
      </c>
      <c r="H114" s="104">
        <v>250000</v>
      </c>
      <c r="I114" s="104">
        <v>250000</v>
      </c>
      <c r="J114" s="104">
        <v>250000</v>
      </c>
      <c r="K114" s="104">
        <v>250000</v>
      </c>
      <c r="L114" s="104">
        <v>250000</v>
      </c>
      <c r="M114" s="104">
        <v>250000</v>
      </c>
      <c r="N114" s="42"/>
      <c r="O114" s="42" t="s">
        <v>163</v>
      </c>
      <c r="P114" s="42" t="s">
        <v>161</v>
      </c>
      <c r="Q114" s="118"/>
      <c r="R114" s="42"/>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15"/>
      <c r="HQ114" s="15"/>
      <c r="HR114" s="15"/>
      <c r="HS114" s="15"/>
      <c r="HT114" s="15"/>
      <c r="HU114" s="15"/>
      <c r="HV114" s="15"/>
      <c r="HW114" s="15"/>
      <c r="HX114" s="15"/>
      <c r="HY114" s="15"/>
      <c r="HZ114" s="15"/>
      <c r="IA114" s="15"/>
      <c r="IB114" s="15"/>
      <c r="IC114" s="15"/>
      <c r="ID114" s="15"/>
      <c r="IE114" s="15"/>
      <c r="IF114" s="15"/>
      <c r="IG114" s="15"/>
      <c r="IH114" s="15"/>
      <c r="II114" s="15"/>
      <c r="IJ114" s="15"/>
      <c r="IK114" s="15"/>
      <c r="IL114" s="15"/>
      <c r="IM114" s="15"/>
      <c r="IN114" s="15"/>
      <c r="IO114" s="15"/>
      <c r="IP114" s="15"/>
      <c r="IQ114" s="15"/>
      <c r="IR114" s="15"/>
      <c r="IS114" s="15"/>
      <c r="IT114" s="15"/>
      <c r="IU114" s="15"/>
      <c r="IV114" s="15"/>
      <c r="IW114" s="15"/>
      <c r="IX114" s="15"/>
      <c r="IY114" s="15"/>
      <c r="IZ114" s="15"/>
      <c r="JA114" s="15"/>
      <c r="JB114" s="15"/>
      <c r="JC114" s="15"/>
      <c r="JD114" s="15"/>
      <c r="JE114" s="15"/>
      <c r="JF114" s="15"/>
      <c r="JG114" s="15"/>
      <c r="JH114" s="15"/>
      <c r="JI114" s="15"/>
      <c r="JJ114" s="15"/>
      <c r="JK114" s="15"/>
      <c r="JL114" s="15"/>
      <c r="JM114" s="15"/>
      <c r="JN114" s="15"/>
      <c r="JO114" s="15"/>
      <c r="JP114" s="15"/>
      <c r="JQ114" s="15"/>
      <c r="JR114" s="15"/>
      <c r="JS114" s="15"/>
      <c r="JT114" s="15"/>
      <c r="JU114" s="15"/>
      <c r="JV114" s="15"/>
      <c r="JW114" s="15"/>
      <c r="JX114" s="15"/>
      <c r="JY114" s="15"/>
      <c r="JZ114" s="15"/>
      <c r="KA114" s="15"/>
      <c r="KB114" s="15"/>
      <c r="KC114" s="15"/>
      <c r="KD114" s="15"/>
      <c r="KE114" s="15"/>
      <c r="KF114" s="15"/>
      <c r="KG114" s="15"/>
      <c r="KH114" s="15"/>
      <c r="KI114" s="15"/>
      <c r="KJ114" s="15"/>
      <c r="KK114" s="15"/>
    </row>
    <row r="115" spans="1:297" ht="17" thickBot="1" x14ac:dyDescent="0.25">
      <c r="A115" s="303"/>
      <c r="B115" s="107"/>
      <c r="C115" s="107" t="s">
        <v>159</v>
      </c>
      <c r="D115" s="107" t="s">
        <v>111</v>
      </c>
      <c r="E115" s="107" t="s">
        <v>124</v>
      </c>
      <c r="F115" s="105">
        <v>250000</v>
      </c>
      <c r="G115" s="105">
        <v>250000</v>
      </c>
      <c r="H115" s="105">
        <v>250000</v>
      </c>
      <c r="I115" s="105">
        <v>250000</v>
      </c>
      <c r="J115" s="105">
        <v>250000</v>
      </c>
      <c r="K115" s="105">
        <v>250000</v>
      </c>
      <c r="L115" s="105">
        <v>250000</v>
      </c>
      <c r="M115" s="105">
        <v>250000</v>
      </c>
      <c r="N115" s="125"/>
      <c r="O115" s="125" t="s">
        <v>163</v>
      </c>
      <c r="P115" s="125" t="s">
        <v>161</v>
      </c>
      <c r="Q115" s="126"/>
      <c r="R115" s="42"/>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c r="GM115" s="15"/>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c r="HN115" s="15"/>
      <c r="HO115" s="15"/>
      <c r="HP115" s="15"/>
      <c r="HQ115" s="15"/>
      <c r="HR115" s="15"/>
      <c r="HS115" s="15"/>
      <c r="HT115" s="15"/>
      <c r="HU115" s="15"/>
      <c r="HV115" s="15"/>
      <c r="HW115" s="15"/>
      <c r="HX115" s="15"/>
      <c r="HY115" s="15"/>
      <c r="HZ115" s="15"/>
      <c r="IA115" s="15"/>
      <c r="IB115" s="15"/>
      <c r="IC115" s="15"/>
      <c r="ID115" s="15"/>
      <c r="IE115" s="15"/>
      <c r="IF115" s="15"/>
      <c r="IG115" s="15"/>
      <c r="IH115" s="15"/>
      <c r="II115" s="15"/>
      <c r="IJ115" s="15"/>
      <c r="IK115" s="15"/>
      <c r="IL115" s="15"/>
      <c r="IM115" s="15"/>
      <c r="IN115" s="15"/>
      <c r="IO115" s="15"/>
      <c r="IP115" s="15"/>
      <c r="IQ115" s="15"/>
      <c r="IR115" s="15"/>
      <c r="IS115" s="15"/>
      <c r="IT115" s="15"/>
      <c r="IU115" s="15"/>
      <c r="IV115" s="15"/>
      <c r="IW115" s="15"/>
      <c r="IX115" s="15"/>
      <c r="IY115" s="15"/>
      <c r="IZ115" s="15"/>
      <c r="JA115" s="15"/>
      <c r="JB115" s="15"/>
      <c r="JC115" s="15"/>
      <c r="JD115" s="15"/>
      <c r="JE115" s="15"/>
      <c r="JF115" s="15"/>
      <c r="JG115" s="15"/>
      <c r="JH115" s="15"/>
      <c r="JI115" s="15"/>
      <c r="JJ115" s="15"/>
      <c r="JK115" s="15"/>
      <c r="JL115" s="15"/>
      <c r="JM115" s="15"/>
      <c r="JN115" s="15"/>
      <c r="JO115" s="15"/>
      <c r="JP115" s="15"/>
      <c r="JQ115" s="15"/>
      <c r="JR115" s="15"/>
      <c r="JS115" s="15"/>
      <c r="JT115" s="15"/>
      <c r="JU115" s="15"/>
      <c r="JV115" s="15"/>
      <c r="JW115" s="15"/>
      <c r="JX115" s="15"/>
      <c r="JY115" s="15"/>
      <c r="JZ115" s="15"/>
      <c r="KA115" s="15"/>
      <c r="KB115" s="15"/>
      <c r="KC115" s="15"/>
      <c r="KD115" s="15"/>
      <c r="KE115" s="15"/>
      <c r="KF115" s="15"/>
      <c r="KG115" s="15"/>
      <c r="KH115" s="15"/>
      <c r="KI115" s="15"/>
      <c r="KJ115" s="15"/>
      <c r="KK115" s="15"/>
    </row>
    <row r="116" spans="1:297" x14ac:dyDescent="0.2">
      <c r="A116" s="15"/>
      <c r="B116" s="15"/>
      <c r="N116" s="131"/>
      <c r="R116" s="18"/>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c r="HN116" s="15"/>
      <c r="HO116" s="15"/>
      <c r="HP116" s="15"/>
      <c r="HQ116" s="15"/>
      <c r="HR116" s="15"/>
      <c r="HS116" s="15"/>
      <c r="HT116" s="15"/>
      <c r="HU116" s="15"/>
      <c r="HV116" s="15"/>
      <c r="HW116" s="15"/>
      <c r="HX116" s="15"/>
      <c r="HY116" s="15"/>
      <c r="HZ116" s="15"/>
      <c r="IA116" s="15"/>
      <c r="IB116" s="15"/>
      <c r="IC116" s="15"/>
      <c r="ID116" s="15"/>
      <c r="IE116" s="15"/>
      <c r="IF116" s="15"/>
      <c r="IG116" s="15"/>
      <c r="IH116" s="15"/>
      <c r="II116" s="15"/>
      <c r="IJ116" s="15"/>
      <c r="IK116" s="15"/>
      <c r="IL116" s="15"/>
      <c r="IM116" s="15"/>
      <c r="IN116" s="15"/>
      <c r="IO116" s="15"/>
      <c r="IP116" s="15"/>
      <c r="IQ116" s="15"/>
      <c r="IR116" s="15"/>
      <c r="IS116" s="15"/>
      <c r="IT116" s="15"/>
      <c r="IU116" s="15"/>
      <c r="IV116" s="15"/>
      <c r="IW116" s="15"/>
      <c r="IX116" s="15"/>
      <c r="IY116" s="15"/>
      <c r="IZ116" s="15"/>
      <c r="JA116" s="15"/>
      <c r="JB116" s="15"/>
      <c r="JC116" s="15"/>
      <c r="JD116" s="15"/>
      <c r="JE116" s="15"/>
      <c r="JF116" s="15"/>
      <c r="JG116" s="15"/>
      <c r="JH116" s="15"/>
      <c r="JI116" s="15"/>
      <c r="JJ116" s="15"/>
      <c r="JK116" s="15"/>
      <c r="JL116" s="15"/>
      <c r="JM116" s="15"/>
      <c r="JN116" s="15"/>
      <c r="JO116" s="15"/>
      <c r="JP116" s="15"/>
      <c r="JQ116" s="15"/>
      <c r="JR116" s="15"/>
      <c r="JS116" s="15"/>
      <c r="JT116" s="15"/>
      <c r="JU116" s="15"/>
      <c r="JV116" s="15"/>
      <c r="JW116" s="15"/>
      <c r="JX116" s="15"/>
      <c r="JY116" s="15"/>
      <c r="JZ116" s="15"/>
      <c r="KA116" s="15"/>
      <c r="KB116" s="15"/>
      <c r="KC116" s="15"/>
      <c r="KD116" s="15"/>
      <c r="KE116" s="15"/>
      <c r="KF116" s="15"/>
      <c r="KG116" s="15"/>
      <c r="KH116" s="15"/>
      <c r="KI116" s="15"/>
      <c r="KJ116" s="15"/>
      <c r="KK116" s="15"/>
    </row>
    <row r="117" spans="1:297" x14ac:dyDescent="0.2">
      <c r="A117" s="15"/>
      <c r="B117" s="15"/>
      <c r="N117" s="131"/>
      <c r="R117" s="18"/>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c r="GB117" s="15"/>
      <c r="GC117" s="15"/>
      <c r="GD117" s="15"/>
      <c r="GE117" s="15"/>
      <c r="GF117" s="15"/>
      <c r="GG117" s="15"/>
      <c r="GH117" s="15"/>
      <c r="GI117" s="15"/>
      <c r="GJ117" s="15"/>
      <c r="GK117" s="15"/>
      <c r="GL117" s="15"/>
      <c r="GM117" s="15"/>
      <c r="GN117" s="15"/>
      <c r="GO117" s="15"/>
      <c r="GP117" s="15"/>
      <c r="GQ117" s="15"/>
      <c r="GR117" s="15"/>
      <c r="GS117" s="15"/>
      <c r="GT117" s="15"/>
      <c r="GU117" s="15"/>
      <c r="GV117" s="15"/>
      <c r="GW117" s="15"/>
      <c r="GX117" s="15"/>
      <c r="GY117" s="15"/>
      <c r="GZ117" s="15"/>
      <c r="HA117" s="15"/>
      <c r="HB117" s="15"/>
      <c r="HC117" s="15"/>
      <c r="HD117" s="15"/>
      <c r="HE117" s="15"/>
      <c r="HF117" s="15"/>
      <c r="HG117" s="15"/>
      <c r="HH117" s="15"/>
      <c r="HI117" s="15"/>
      <c r="HJ117" s="15"/>
      <c r="HK117" s="15"/>
      <c r="HL117" s="15"/>
      <c r="HM117" s="15"/>
      <c r="HN117" s="15"/>
      <c r="HO117" s="15"/>
      <c r="HP117" s="15"/>
      <c r="HQ117" s="15"/>
      <c r="HR117" s="15"/>
      <c r="HS117" s="15"/>
      <c r="HT117" s="15"/>
      <c r="HU117" s="15"/>
      <c r="HV117" s="15"/>
      <c r="HW117" s="15"/>
      <c r="HX117" s="15"/>
      <c r="HY117" s="15"/>
      <c r="HZ117" s="15"/>
      <c r="IA117" s="15"/>
      <c r="IB117" s="15"/>
      <c r="IC117" s="15"/>
      <c r="ID117" s="15"/>
      <c r="IE117" s="15"/>
      <c r="IF117" s="15"/>
      <c r="IG117" s="15"/>
      <c r="IH117" s="15"/>
      <c r="II117" s="15"/>
      <c r="IJ117" s="15"/>
      <c r="IK117" s="15"/>
      <c r="IL117" s="15"/>
      <c r="IM117" s="15"/>
      <c r="IN117" s="15"/>
      <c r="IO117" s="15"/>
      <c r="IP117" s="15"/>
      <c r="IQ117" s="15"/>
      <c r="IR117" s="15"/>
      <c r="IS117" s="15"/>
      <c r="IT117" s="15"/>
      <c r="IU117" s="15"/>
      <c r="IV117" s="15"/>
      <c r="IW117" s="15"/>
      <c r="IX117" s="15"/>
      <c r="IY117" s="15"/>
      <c r="IZ117" s="15"/>
      <c r="JA117" s="15"/>
      <c r="JB117" s="15"/>
      <c r="JC117" s="15"/>
      <c r="JD117" s="15"/>
      <c r="JE117" s="15"/>
      <c r="JF117" s="15"/>
      <c r="JG117" s="15"/>
      <c r="JH117" s="15"/>
      <c r="JI117" s="15"/>
      <c r="JJ117" s="15"/>
      <c r="JK117" s="15"/>
      <c r="JL117" s="15"/>
      <c r="JM117" s="15"/>
      <c r="JN117" s="15"/>
      <c r="JO117" s="15"/>
      <c r="JP117" s="15"/>
      <c r="JQ117" s="15"/>
      <c r="JR117" s="15"/>
      <c r="JS117" s="15"/>
      <c r="JT117" s="15"/>
      <c r="JU117" s="15"/>
      <c r="JV117" s="15"/>
      <c r="JW117" s="15"/>
      <c r="JX117" s="15"/>
      <c r="JY117" s="15"/>
      <c r="JZ117" s="15"/>
      <c r="KA117" s="15"/>
      <c r="KB117" s="15"/>
      <c r="KC117" s="15"/>
      <c r="KD117" s="15"/>
      <c r="KE117" s="15"/>
      <c r="KF117" s="15"/>
      <c r="KG117" s="15"/>
      <c r="KH117" s="15"/>
      <c r="KI117" s="15"/>
      <c r="KJ117" s="15"/>
      <c r="KK117" s="15"/>
    </row>
    <row r="118" spans="1:297" x14ac:dyDescent="0.2">
      <c r="A118" s="15"/>
      <c r="B118" s="15"/>
      <c r="N118" s="131"/>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c r="GM118" s="15"/>
      <c r="GN118" s="15"/>
      <c r="GO118" s="15"/>
      <c r="GP118" s="15"/>
      <c r="GQ118" s="15"/>
      <c r="GR118" s="15"/>
      <c r="GS118" s="15"/>
      <c r="GT118" s="15"/>
      <c r="GU118" s="15"/>
      <c r="GV118" s="15"/>
      <c r="GW118" s="15"/>
      <c r="GX118" s="15"/>
      <c r="GY118" s="15"/>
      <c r="GZ118" s="15"/>
      <c r="HA118" s="15"/>
      <c r="HB118" s="15"/>
      <c r="HC118" s="15"/>
      <c r="HD118" s="15"/>
      <c r="HE118" s="15"/>
      <c r="HF118" s="15"/>
      <c r="HG118" s="15"/>
      <c r="HH118" s="15"/>
      <c r="HI118" s="15"/>
      <c r="HJ118" s="15"/>
      <c r="HK118" s="15"/>
      <c r="HL118" s="15"/>
      <c r="HM118" s="15"/>
      <c r="HN118" s="15"/>
      <c r="HO118" s="15"/>
      <c r="HP118" s="15"/>
      <c r="HQ118" s="15"/>
      <c r="HR118" s="15"/>
      <c r="HS118" s="15"/>
      <c r="HT118" s="15"/>
      <c r="HU118" s="15"/>
      <c r="HV118" s="15"/>
      <c r="HW118" s="15"/>
      <c r="HX118" s="15"/>
      <c r="HY118" s="15"/>
      <c r="HZ118" s="15"/>
      <c r="IA118" s="15"/>
      <c r="IB118" s="15"/>
      <c r="IC118" s="15"/>
      <c r="ID118" s="15"/>
      <c r="IE118" s="15"/>
      <c r="IF118" s="15"/>
      <c r="IG118" s="15"/>
      <c r="IH118" s="15"/>
      <c r="II118" s="15"/>
      <c r="IJ118" s="15"/>
      <c r="IK118" s="15"/>
      <c r="IL118" s="15"/>
      <c r="IM118" s="15"/>
      <c r="IN118" s="15"/>
      <c r="IO118" s="15"/>
      <c r="IP118" s="15"/>
      <c r="IQ118" s="15"/>
      <c r="IR118" s="15"/>
      <c r="IS118" s="15"/>
      <c r="IT118" s="15"/>
      <c r="IU118" s="15"/>
      <c r="IV118" s="15"/>
      <c r="IW118" s="15"/>
      <c r="IX118" s="15"/>
      <c r="IY118" s="15"/>
      <c r="IZ118" s="15"/>
      <c r="JA118" s="15"/>
      <c r="JB118" s="15"/>
      <c r="JC118" s="15"/>
      <c r="JD118" s="15"/>
      <c r="JE118" s="15"/>
      <c r="JF118" s="15"/>
      <c r="JG118" s="15"/>
      <c r="JH118" s="15"/>
      <c r="JI118" s="15"/>
      <c r="JJ118" s="15"/>
      <c r="JK118" s="15"/>
      <c r="JL118" s="15"/>
      <c r="JM118" s="15"/>
      <c r="JN118" s="15"/>
      <c r="JO118" s="15"/>
      <c r="JP118" s="15"/>
      <c r="JQ118" s="15"/>
      <c r="JR118" s="15"/>
      <c r="JS118" s="15"/>
      <c r="JT118" s="15"/>
      <c r="JU118" s="15"/>
      <c r="JV118" s="15"/>
      <c r="JW118" s="15"/>
      <c r="JX118" s="15"/>
      <c r="JY118" s="15"/>
      <c r="JZ118" s="15"/>
      <c r="KA118" s="15"/>
      <c r="KB118" s="15"/>
      <c r="KC118" s="15"/>
      <c r="KD118" s="15"/>
      <c r="KE118" s="15"/>
      <c r="KF118" s="15"/>
      <c r="KG118" s="15"/>
      <c r="KH118" s="15"/>
      <c r="KI118" s="15"/>
      <c r="KJ118" s="15"/>
      <c r="KK118" s="15"/>
    </row>
    <row r="119" spans="1:297" x14ac:dyDescent="0.2">
      <c r="A119" s="15"/>
      <c r="B119" s="15"/>
      <c r="N119" s="131"/>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15"/>
      <c r="GI119" s="15"/>
      <c r="GJ119" s="15"/>
      <c r="GK119" s="15"/>
      <c r="GL119" s="15"/>
      <c r="GM119" s="15"/>
      <c r="GN119" s="15"/>
      <c r="GO119" s="15"/>
      <c r="GP119" s="15"/>
      <c r="GQ119" s="15"/>
      <c r="GR119" s="15"/>
      <c r="GS119" s="15"/>
      <c r="GT119" s="15"/>
      <c r="GU119" s="15"/>
      <c r="GV119" s="15"/>
      <c r="GW119" s="15"/>
      <c r="GX119" s="15"/>
      <c r="GY119" s="15"/>
      <c r="GZ119" s="15"/>
      <c r="HA119" s="15"/>
      <c r="HB119" s="15"/>
      <c r="HC119" s="15"/>
      <c r="HD119" s="15"/>
      <c r="HE119" s="15"/>
      <c r="HF119" s="15"/>
      <c r="HG119" s="15"/>
      <c r="HH119" s="15"/>
      <c r="HI119" s="15"/>
      <c r="HJ119" s="15"/>
      <c r="HK119" s="15"/>
      <c r="HL119" s="15"/>
      <c r="HM119" s="15"/>
      <c r="HN119" s="15"/>
      <c r="HO119" s="15"/>
      <c r="HP119" s="15"/>
      <c r="HQ119" s="15"/>
      <c r="HR119" s="15"/>
      <c r="HS119" s="15"/>
      <c r="HT119" s="15"/>
      <c r="HU119" s="15"/>
      <c r="HV119" s="15"/>
      <c r="HW119" s="15"/>
      <c r="HX119" s="15"/>
      <c r="HY119" s="15"/>
      <c r="HZ119" s="15"/>
      <c r="IA119" s="15"/>
      <c r="IB119" s="15"/>
      <c r="IC119" s="15"/>
      <c r="ID119" s="15"/>
      <c r="IE119" s="15"/>
      <c r="IF119" s="15"/>
      <c r="IG119" s="15"/>
      <c r="IH119" s="15"/>
      <c r="II119" s="15"/>
      <c r="IJ119" s="15"/>
      <c r="IK119" s="15"/>
      <c r="IL119" s="15"/>
      <c r="IM119" s="15"/>
      <c r="IN119" s="15"/>
      <c r="IO119" s="15"/>
      <c r="IP119" s="15"/>
      <c r="IQ119" s="15"/>
      <c r="IR119" s="15"/>
      <c r="IS119" s="15"/>
      <c r="IT119" s="15"/>
      <c r="IU119" s="15"/>
      <c r="IV119" s="15"/>
      <c r="IW119" s="15"/>
      <c r="IX119" s="15"/>
      <c r="IY119" s="15"/>
      <c r="IZ119" s="15"/>
      <c r="JA119" s="15"/>
      <c r="JB119" s="15"/>
      <c r="JC119" s="15"/>
      <c r="JD119" s="15"/>
      <c r="JE119" s="15"/>
      <c r="JF119" s="15"/>
      <c r="JG119" s="15"/>
      <c r="JH119" s="15"/>
      <c r="JI119" s="15"/>
      <c r="JJ119" s="15"/>
      <c r="JK119" s="15"/>
      <c r="JL119" s="15"/>
      <c r="JM119" s="15"/>
      <c r="JN119" s="15"/>
      <c r="JO119" s="15"/>
      <c r="JP119" s="15"/>
      <c r="JQ119" s="15"/>
      <c r="JR119" s="15"/>
      <c r="JS119" s="15"/>
      <c r="JT119" s="15"/>
      <c r="JU119" s="15"/>
      <c r="JV119" s="15"/>
      <c r="JW119" s="15"/>
      <c r="JX119" s="15"/>
      <c r="JY119" s="15"/>
      <c r="JZ119" s="15"/>
      <c r="KA119" s="15"/>
      <c r="KB119" s="15"/>
      <c r="KC119" s="15"/>
      <c r="KD119" s="15"/>
      <c r="KE119" s="15"/>
      <c r="KF119" s="15"/>
      <c r="KG119" s="15"/>
      <c r="KH119" s="15"/>
      <c r="KI119" s="15"/>
      <c r="KJ119" s="15"/>
      <c r="KK119" s="15"/>
    </row>
    <row r="120" spans="1:297" x14ac:dyDescent="0.2">
      <c r="A120" s="15"/>
      <c r="B120" s="15"/>
      <c r="N120" s="131"/>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15"/>
      <c r="GI120" s="15"/>
      <c r="GJ120" s="15"/>
      <c r="GK120" s="15"/>
      <c r="GL120" s="15"/>
      <c r="GM120" s="15"/>
      <c r="GN120" s="15"/>
      <c r="GO120" s="15"/>
      <c r="GP120" s="15"/>
      <c r="GQ120" s="15"/>
      <c r="GR120" s="15"/>
      <c r="GS120" s="15"/>
      <c r="GT120" s="15"/>
      <c r="GU120" s="15"/>
      <c r="GV120" s="15"/>
      <c r="GW120" s="15"/>
      <c r="GX120" s="15"/>
      <c r="GY120" s="15"/>
      <c r="GZ120" s="15"/>
      <c r="HA120" s="15"/>
      <c r="HB120" s="15"/>
      <c r="HC120" s="15"/>
      <c r="HD120" s="15"/>
      <c r="HE120" s="15"/>
      <c r="HF120" s="15"/>
      <c r="HG120" s="15"/>
      <c r="HH120" s="15"/>
      <c r="HI120" s="15"/>
      <c r="HJ120" s="15"/>
      <c r="HK120" s="15"/>
      <c r="HL120" s="15"/>
      <c r="HM120" s="15"/>
      <c r="HN120" s="15"/>
      <c r="HO120" s="15"/>
      <c r="HP120" s="15"/>
      <c r="HQ120" s="15"/>
      <c r="HR120" s="15"/>
      <c r="HS120" s="15"/>
      <c r="HT120" s="15"/>
      <c r="HU120" s="15"/>
      <c r="HV120" s="15"/>
      <c r="HW120" s="15"/>
      <c r="HX120" s="15"/>
      <c r="HY120" s="15"/>
      <c r="HZ120" s="15"/>
      <c r="IA120" s="15"/>
      <c r="IB120" s="15"/>
      <c r="IC120" s="15"/>
      <c r="ID120" s="15"/>
      <c r="IE120" s="15"/>
      <c r="IF120" s="15"/>
      <c r="IG120" s="15"/>
      <c r="IH120" s="15"/>
      <c r="II120" s="15"/>
      <c r="IJ120" s="15"/>
      <c r="IK120" s="15"/>
      <c r="IL120" s="15"/>
      <c r="IM120" s="15"/>
      <c r="IN120" s="15"/>
      <c r="IO120" s="15"/>
      <c r="IP120" s="15"/>
      <c r="IQ120" s="15"/>
      <c r="IR120" s="15"/>
      <c r="IS120" s="15"/>
      <c r="IT120" s="15"/>
      <c r="IU120" s="15"/>
      <c r="IV120" s="15"/>
      <c r="IW120" s="15"/>
      <c r="IX120" s="15"/>
      <c r="IY120" s="15"/>
      <c r="IZ120" s="15"/>
      <c r="JA120" s="15"/>
      <c r="JB120" s="15"/>
      <c r="JC120" s="15"/>
      <c r="JD120" s="15"/>
      <c r="JE120" s="15"/>
      <c r="JF120" s="15"/>
      <c r="JG120" s="15"/>
      <c r="JH120" s="15"/>
      <c r="JI120" s="15"/>
      <c r="JJ120" s="15"/>
      <c r="JK120" s="15"/>
      <c r="JL120" s="15"/>
      <c r="JM120" s="15"/>
      <c r="JN120" s="15"/>
      <c r="JO120" s="15"/>
      <c r="JP120" s="15"/>
      <c r="JQ120" s="15"/>
      <c r="JR120" s="15"/>
      <c r="JS120" s="15"/>
      <c r="JT120" s="15"/>
      <c r="JU120" s="15"/>
      <c r="JV120" s="15"/>
      <c r="JW120" s="15"/>
      <c r="JX120" s="15"/>
      <c r="JY120" s="15"/>
      <c r="JZ120" s="15"/>
      <c r="KA120" s="15"/>
      <c r="KB120" s="15"/>
      <c r="KC120" s="15"/>
      <c r="KD120" s="15"/>
      <c r="KE120" s="15"/>
      <c r="KF120" s="15"/>
      <c r="KG120" s="15"/>
      <c r="KH120" s="15"/>
      <c r="KI120" s="15"/>
      <c r="KJ120" s="15"/>
      <c r="KK120" s="15"/>
    </row>
    <row r="121" spans="1:297" x14ac:dyDescent="0.2">
      <c r="A121" s="15"/>
      <c r="B121" s="15"/>
      <c r="N121" s="131"/>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15"/>
      <c r="FH121" s="15"/>
      <c r="FI121" s="15"/>
      <c r="FJ121" s="15"/>
      <c r="FK121" s="15"/>
      <c r="FL121" s="15"/>
      <c r="FM121" s="15"/>
      <c r="FN121" s="15"/>
      <c r="FO121" s="15"/>
      <c r="FP121" s="15"/>
      <c r="FQ121" s="15"/>
      <c r="FR121" s="15"/>
      <c r="FS121" s="15"/>
      <c r="FT121" s="15"/>
      <c r="FU121" s="15"/>
      <c r="FV121" s="15"/>
      <c r="FW121" s="15"/>
      <c r="FX121" s="15"/>
      <c r="FY121" s="15"/>
      <c r="FZ121" s="15"/>
      <c r="GA121" s="15"/>
      <c r="GB121" s="15"/>
      <c r="GC121" s="15"/>
      <c r="GD121" s="15"/>
      <c r="GE121" s="15"/>
      <c r="GF121" s="15"/>
      <c r="GG121" s="15"/>
      <c r="GH121" s="15"/>
      <c r="GI121" s="15"/>
      <c r="GJ121" s="15"/>
      <c r="GK121" s="15"/>
      <c r="GL121" s="15"/>
      <c r="GM121" s="15"/>
      <c r="GN121" s="15"/>
      <c r="GO121" s="15"/>
      <c r="GP121" s="15"/>
      <c r="GQ121" s="15"/>
      <c r="GR121" s="15"/>
      <c r="GS121" s="15"/>
      <c r="GT121" s="15"/>
      <c r="GU121" s="15"/>
      <c r="GV121" s="15"/>
      <c r="GW121" s="15"/>
      <c r="GX121" s="15"/>
      <c r="GY121" s="15"/>
      <c r="GZ121" s="15"/>
      <c r="HA121" s="15"/>
      <c r="HB121" s="15"/>
      <c r="HC121" s="15"/>
      <c r="HD121" s="15"/>
      <c r="HE121" s="15"/>
      <c r="HF121" s="15"/>
      <c r="HG121" s="15"/>
      <c r="HH121" s="15"/>
      <c r="HI121" s="15"/>
      <c r="HJ121" s="15"/>
      <c r="HK121" s="15"/>
      <c r="HL121" s="15"/>
      <c r="HM121" s="15"/>
      <c r="HN121" s="15"/>
      <c r="HO121" s="15"/>
      <c r="HP121" s="15"/>
      <c r="HQ121" s="15"/>
      <c r="HR121" s="15"/>
      <c r="HS121" s="15"/>
      <c r="HT121" s="15"/>
      <c r="HU121" s="15"/>
      <c r="HV121" s="15"/>
      <c r="HW121" s="15"/>
      <c r="HX121" s="15"/>
      <c r="HY121" s="15"/>
      <c r="HZ121" s="15"/>
      <c r="IA121" s="15"/>
      <c r="IB121" s="15"/>
      <c r="IC121" s="15"/>
      <c r="ID121" s="15"/>
      <c r="IE121" s="15"/>
      <c r="IF121" s="15"/>
      <c r="IG121" s="15"/>
      <c r="IH121" s="15"/>
      <c r="II121" s="15"/>
      <c r="IJ121" s="15"/>
      <c r="IK121" s="15"/>
      <c r="IL121" s="15"/>
      <c r="IM121" s="15"/>
      <c r="IN121" s="15"/>
      <c r="IO121" s="15"/>
      <c r="IP121" s="15"/>
      <c r="IQ121" s="15"/>
      <c r="IR121" s="15"/>
      <c r="IS121" s="15"/>
      <c r="IT121" s="15"/>
      <c r="IU121" s="15"/>
      <c r="IV121" s="15"/>
      <c r="IW121" s="15"/>
      <c r="IX121" s="15"/>
      <c r="IY121" s="15"/>
      <c r="IZ121" s="15"/>
      <c r="JA121" s="15"/>
      <c r="JB121" s="15"/>
      <c r="JC121" s="15"/>
      <c r="JD121" s="15"/>
      <c r="JE121" s="15"/>
      <c r="JF121" s="15"/>
      <c r="JG121" s="15"/>
      <c r="JH121" s="15"/>
      <c r="JI121" s="15"/>
      <c r="JJ121" s="15"/>
      <c r="JK121" s="15"/>
      <c r="JL121" s="15"/>
      <c r="JM121" s="15"/>
      <c r="JN121" s="15"/>
      <c r="JO121" s="15"/>
      <c r="JP121" s="15"/>
      <c r="JQ121" s="15"/>
      <c r="JR121" s="15"/>
      <c r="JS121" s="15"/>
      <c r="JT121" s="15"/>
      <c r="JU121" s="15"/>
      <c r="JV121" s="15"/>
      <c r="JW121" s="15"/>
      <c r="JX121" s="15"/>
      <c r="JY121" s="15"/>
      <c r="JZ121" s="15"/>
      <c r="KA121" s="15"/>
      <c r="KB121" s="15"/>
      <c r="KC121" s="15"/>
      <c r="KD121" s="15"/>
      <c r="KE121" s="15"/>
      <c r="KF121" s="15"/>
      <c r="KG121" s="15"/>
      <c r="KH121" s="15"/>
      <c r="KI121" s="15"/>
      <c r="KJ121" s="15"/>
      <c r="KK121" s="15"/>
    </row>
    <row r="122" spans="1:297" x14ac:dyDescent="0.2">
      <c r="A122" s="15"/>
      <c r="B122" s="15"/>
      <c r="N122" s="131"/>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c r="GB122" s="15"/>
      <c r="GC122" s="15"/>
      <c r="GD122" s="15"/>
      <c r="GE122" s="15"/>
      <c r="GF122" s="15"/>
      <c r="GG122" s="15"/>
      <c r="GH122" s="15"/>
      <c r="GI122" s="15"/>
      <c r="GJ122" s="15"/>
      <c r="GK122" s="15"/>
      <c r="GL122" s="15"/>
      <c r="GM122" s="15"/>
      <c r="GN122" s="15"/>
      <c r="GO122" s="15"/>
      <c r="GP122" s="15"/>
      <c r="GQ122" s="15"/>
      <c r="GR122" s="15"/>
      <c r="GS122" s="15"/>
      <c r="GT122" s="15"/>
      <c r="GU122" s="15"/>
      <c r="GV122" s="15"/>
      <c r="GW122" s="15"/>
      <c r="GX122" s="15"/>
      <c r="GY122" s="15"/>
      <c r="GZ122" s="15"/>
      <c r="HA122" s="15"/>
      <c r="HB122" s="15"/>
      <c r="HC122" s="15"/>
      <c r="HD122" s="15"/>
      <c r="HE122" s="15"/>
      <c r="HF122" s="15"/>
      <c r="HG122" s="15"/>
      <c r="HH122" s="15"/>
      <c r="HI122" s="15"/>
      <c r="HJ122" s="15"/>
      <c r="HK122" s="15"/>
      <c r="HL122" s="15"/>
      <c r="HM122" s="15"/>
      <c r="HN122" s="15"/>
      <c r="HO122" s="15"/>
      <c r="HP122" s="15"/>
      <c r="HQ122" s="15"/>
      <c r="HR122" s="15"/>
      <c r="HS122" s="15"/>
      <c r="HT122" s="15"/>
      <c r="HU122" s="15"/>
      <c r="HV122" s="15"/>
      <c r="HW122" s="15"/>
      <c r="HX122" s="15"/>
      <c r="HY122" s="15"/>
      <c r="HZ122" s="15"/>
      <c r="IA122" s="15"/>
      <c r="IB122" s="15"/>
      <c r="IC122" s="15"/>
      <c r="ID122" s="15"/>
      <c r="IE122" s="15"/>
      <c r="IF122" s="15"/>
      <c r="IG122" s="15"/>
      <c r="IH122" s="15"/>
      <c r="II122" s="15"/>
      <c r="IJ122" s="15"/>
      <c r="IK122" s="15"/>
      <c r="IL122" s="15"/>
      <c r="IM122" s="15"/>
      <c r="IN122" s="15"/>
      <c r="IO122" s="15"/>
      <c r="IP122" s="15"/>
      <c r="IQ122" s="15"/>
      <c r="IR122" s="15"/>
      <c r="IS122" s="15"/>
      <c r="IT122" s="15"/>
      <c r="IU122" s="15"/>
      <c r="IV122" s="15"/>
      <c r="IW122" s="15"/>
      <c r="IX122" s="15"/>
      <c r="IY122" s="15"/>
      <c r="IZ122" s="15"/>
      <c r="JA122" s="15"/>
      <c r="JB122" s="15"/>
      <c r="JC122" s="15"/>
      <c r="JD122" s="15"/>
      <c r="JE122" s="15"/>
      <c r="JF122" s="15"/>
      <c r="JG122" s="15"/>
      <c r="JH122" s="15"/>
      <c r="JI122" s="15"/>
      <c r="JJ122" s="15"/>
      <c r="JK122" s="15"/>
      <c r="JL122" s="15"/>
      <c r="JM122" s="15"/>
      <c r="JN122" s="15"/>
      <c r="JO122" s="15"/>
      <c r="JP122" s="15"/>
      <c r="JQ122" s="15"/>
      <c r="JR122" s="15"/>
      <c r="JS122" s="15"/>
      <c r="JT122" s="15"/>
      <c r="JU122" s="15"/>
      <c r="JV122" s="15"/>
      <c r="JW122" s="15"/>
      <c r="JX122" s="15"/>
      <c r="JY122" s="15"/>
      <c r="JZ122" s="15"/>
      <c r="KA122" s="15"/>
      <c r="KB122" s="15"/>
      <c r="KC122" s="15"/>
      <c r="KD122" s="15"/>
      <c r="KE122" s="15"/>
      <c r="KF122" s="15"/>
      <c r="KG122" s="15"/>
      <c r="KH122" s="15"/>
      <c r="KI122" s="15"/>
      <c r="KJ122" s="15"/>
      <c r="KK122" s="15"/>
    </row>
    <row r="123" spans="1:297" x14ac:dyDescent="0.2">
      <c r="A123" s="15"/>
      <c r="B123" s="15"/>
      <c r="N123" s="131"/>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15"/>
      <c r="GI123" s="15"/>
      <c r="GJ123" s="15"/>
      <c r="GK123" s="15"/>
      <c r="GL123" s="15"/>
      <c r="GM123" s="15"/>
      <c r="GN123" s="15"/>
      <c r="GO123" s="15"/>
      <c r="GP123" s="15"/>
      <c r="GQ123" s="15"/>
      <c r="GR123" s="15"/>
      <c r="GS123" s="15"/>
      <c r="GT123" s="15"/>
      <c r="GU123" s="15"/>
      <c r="GV123" s="15"/>
      <c r="GW123" s="15"/>
      <c r="GX123" s="15"/>
      <c r="GY123" s="15"/>
      <c r="GZ123" s="15"/>
      <c r="HA123" s="15"/>
      <c r="HB123" s="15"/>
      <c r="HC123" s="15"/>
      <c r="HD123" s="15"/>
      <c r="HE123" s="15"/>
      <c r="HF123" s="15"/>
      <c r="HG123" s="15"/>
      <c r="HH123" s="15"/>
      <c r="HI123" s="15"/>
      <c r="HJ123" s="15"/>
      <c r="HK123" s="15"/>
      <c r="HL123" s="15"/>
      <c r="HM123" s="15"/>
      <c r="HN123" s="15"/>
      <c r="HO123" s="15"/>
      <c r="HP123" s="15"/>
      <c r="HQ123" s="15"/>
      <c r="HR123" s="15"/>
      <c r="HS123" s="15"/>
      <c r="HT123" s="15"/>
      <c r="HU123" s="15"/>
      <c r="HV123" s="15"/>
      <c r="HW123" s="15"/>
      <c r="HX123" s="15"/>
      <c r="HY123" s="15"/>
      <c r="HZ123" s="15"/>
      <c r="IA123" s="15"/>
      <c r="IB123" s="15"/>
      <c r="IC123" s="15"/>
      <c r="ID123" s="15"/>
      <c r="IE123" s="15"/>
      <c r="IF123" s="15"/>
      <c r="IG123" s="15"/>
      <c r="IH123" s="15"/>
      <c r="II123" s="15"/>
      <c r="IJ123" s="15"/>
      <c r="IK123" s="15"/>
      <c r="IL123" s="15"/>
      <c r="IM123" s="15"/>
      <c r="IN123" s="15"/>
      <c r="IO123" s="15"/>
      <c r="IP123" s="15"/>
      <c r="IQ123" s="15"/>
      <c r="IR123" s="15"/>
      <c r="IS123" s="15"/>
      <c r="IT123" s="15"/>
      <c r="IU123" s="15"/>
      <c r="IV123" s="15"/>
      <c r="IW123" s="15"/>
      <c r="IX123" s="15"/>
      <c r="IY123" s="15"/>
      <c r="IZ123" s="15"/>
      <c r="JA123" s="15"/>
      <c r="JB123" s="15"/>
      <c r="JC123" s="15"/>
      <c r="JD123" s="15"/>
      <c r="JE123" s="15"/>
      <c r="JF123" s="15"/>
      <c r="JG123" s="15"/>
      <c r="JH123" s="15"/>
      <c r="JI123" s="15"/>
      <c r="JJ123" s="15"/>
      <c r="JK123" s="15"/>
      <c r="JL123" s="15"/>
      <c r="JM123" s="15"/>
      <c r="JN123" s="15"/>
      <c r="JO123" s="15"/>
      <c r="JP123" s="15"/>
      <c r="JQ123" s="15"/>
      <c r="JR123" s="15"/>
      <c r="JS123" s="15"/>
      <c r="JT123" s="15"/>
      <c r="JU123" s="15"/>
      <c r="JV123" s="15"/>
      <c r="JW123" s="15"/>
      <c r="JX123" s="15"/>
      <c r="JY123" s="15"/>
      <c r="JZ123" s="15"/>
      <c r="KA123" s="15"/>
      <c r="KB123" s="15"/>
      <c r="KC123" s="15"/>
      <c r="KD123" s="15"/>
      <c r="KE123" s="15"/>
      <c r="KF123" s="15"/>
      <c r="KG123" s="15"/>
      <c r="KH123" s="15"/>
      <c r="KI123" s="15"/>
      <c r="KJ123" s="15"/>
      <c r="KK123" s="15"/>
    </row>
    <row r="124" spans="1:297" x14ac:dyDescent="0.2">
      <c r="A124" s="15"/>
      <c r="B124" s="15"/>
      <c r="N124" s="131"/>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15"/>
      <c r="GI124" s="15"/>
      <c r="GJ124" s="15"/>
      <c r="GK124" s="15"/>
      <c r="GL124" s="15"/>
      <c r="GM124" s="15"/>
      <c r="GN124" s="15"/>
      <c r="GO124" s="15"/>
      <c r="GP124" s="15"/>
      <c r="GQ124" s="15"/>
      <c r="GR124" s="15"/>
      <c r="GS124" s="15"/>
      <c r="GT124" s="15"/>
      <c r="GU124" s="15"/>
      <c r="GV124" s="15"/>
      <c r="GW124" s="15"/>
      <c r="GX124" s="15"/>
      <c r="GY124" s="15"/>
      <c r="GZ124" s="15"/>
      <c r="HA124" s="15"/>
      <c r="HB124" s="15"/>
      <c r="HC124" s="15"/>
      <c r="HD124" s="15"/>
      <c r="HE124" s="15"/>
      <c r="HF124" s="15"/>
      <c r="HG124" s="15"/>
      <c r="HH124" s="15"/>
      <c r="HI124" s="15"/>
      <c r="HJ124" s="15"/>
      <c r="HK124" s="15"/>
      <c r="HL124" s="15"/>
      <c r="HM124" s="15"/>
      <c r="HN124" s="15"/>
      <c r="HO124" s="15"/>
      <c r="HP124" s="15"/>
      <c r="HQ124" s="15"/>
      <c r="HR124" s="15"/>
      <c r="HS124" s="15"/>
      <c r="HT124" s="15"/>
      <c r="HU124" s="15"/>
      <c r="HV124" s="15"/>
      <c r="HW124" s="15"/>
      <c r="HX124" s="15"/>
      <c r="HY124" s="15"/>
      <c r="HZ124" s="15"/>
      <c r="IA124" s="15"/>
      <c r="IB124" s="15"/>
      <c r="IC124" s="15"/>
      <c r="ID124" s="15"/>
      <c r="IE124" s="15"/>
      <c r="IF124" s="15"/>
      <c r="IG124" s="15"/>
      <c r="IH124" s="15"/>
      <c r="II124" s="15"/>
      <c r="IJ124" s="15"/>
      <c r="IK124" s="15"/>
      <c r="IL124" s="15"/>
      <c r="IM124" s="15"/>
      <c r="IN124" s="15"/>
      <c r="IO124" s="15"/>
      <c r="IP124" s="15"/>
      <c r="IQ124" s="15"/>
      <c r="IR124" s="15"/>
      <c r="IS124" s="15"/>
      <c r="IT124" s="15"/>
      <c r="IU124" s="15"/>
      <c r="IV124" s="15"/>
      <c r="IW124" s="15"/>
      <c r="IX124" s="15"/>
      <c r="IY124" s="15"/>
      <c r="IZ124" s="15"/>
      <c r="JA124" s="15"/>
      <c r="JB124" s="15"/>
      <c r="JC124" s="15"/>
      <c r="JD124" s="15"/>
      <c r="JE124" s="15"/>
      <c r="JF124" s="15"/>
      <c r="JG124" s="15"/>
      <c r="JH124" s="15"/>
      <c r="JI124" s="15"/>
      <c r="JJ124" s="15"/>
      <c r="JK124" s="15"/>
      <c r="JL124" s="15"/>
      <c r="JM124" s="15"/>
      <c r="JN124" s="15"/>
      <c r="JO124" s="15"/>
      <c r="JP124" s="15"/>
      <c r="JQ124" s="15"/>
      <c r="JR124" s="15"/>
      <c r="JS124" s="15"/>
      <c r="JT124" s="15"/>
      <c r="JU124" s="15"/>
      <c r="JV124" s="15"/>
      <c r="JW124" s="15"/>
      <c r="JX124" s="15"/>
      <c r="JY124" s="15"/>
      <c r="JZ124" s="15"/>
      <c r="KA124" s="15"/>
      <c r="KB124" s="15"/>
      <c r="KC124" s="15"/>
      <c r="KD124" s="15"/>
      <c r="KE124" s="15"/>
      <c r="KF124" s="15"/>
      <c r="KG124" s="15"/>
      <c r="KH124" s="15"/>
      <c r="KI124" s="15"/>
      <c r="KJ124" s="15"/>
      <c r="KK124" s="15"/>
    </row>
    <row r="125" spans="1:297" x14ac:dyDescent="0.2">
      <c r="A125" s="15"/>
      <c r="B125" s="15"/>
      <c r="N125" s="131"/>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15"/>
      <c r="FH125" s="15"/>
      <c r="FI125" s="15"/>
      <c r="FJ125" s="15"/>
      <c r="FK125" s="15"/>
      <c r="FL125" s="15"/>
      <c r="FM125" s="15"/>
      <c r="FN125" s="15"/>
      <c r="FO125" s="15"/>
      <c r="FP125" s="15"/>
      <c r="FQ125" s="15"/>
      <c r="FR125" s="15"/>
      <c r="FS125" s="15"/>
      <c r="FT125" s="15"/>
      <c r="FU125" s="15"/>
      <c r="FV125" s="15"/>
      <c r="FW125" s="15"/>
      <c r="FX125" s="15"/>
      <c r="FY125" s="15"/>
      <c r="FZ125" s="15"/>
      <c r="GA125" s="15"/>
      <c r="GB125" s="15"/>
      <c r="GC125" s="15"/>
      <c r="GD125" s="15"/>
      <c r="GE125" s="15"/>
      <c r="GF125" s="15"/>
      <c r="GG125" s="15"/>
      <c r="GH125" s="15"/>
      <c r="GI125" s="15"/>
      <c r="GJ125" s="15"/>
      <c r="GK125" s="15"/>
      <c r="GL125" s="15"/>
      <c r="GM125" s="15"/>
      <c r="GN125" s="15"/>
      <c r="GO125" s="15"/>
      <c r="GP125" s="15"/>
      <c r="GQ125" s="15"/>
      <c r="GR125" s="15"/>
      <c r="GS125" s="15"/>
      <c r="GT125" s="15"/>
      <c r="GU125" s="15"/>
      <c r="GV125" s="15"/>
      <c r="GW125" s="15"/>
      <c r="GX125" s="15"/>
      <c r="GY125" s="15"/>
      <c r="GZ125" s="15"/>
      <c r="HA125" s="15"/>
      <c r="HB125" s="15"/>
      <c r="HC125" s="15"/>
      <c r="HD125" s="15"/>
      <c r="HE125" s="15"/>
      <c r="HF125" s="15"/>
      <c r="HG125" s="15"/>
      <c r="HH125" s="15"/>
      <c r="HI125" s="15"/>
      <c r="HJ125" s="15"/>
      <c r="HK125" s="15"/>
      <c r="HL125" s="15"/>
      <c r="HM125" s="15"/>
      <c r="HN125" s="15"/>
      <c r="HO125" s="15"/>
      <c r="HP125" s="15"/>
      <c r="HQ125" s="15"/>
      <c r="HR125" s="15"/>
      <c r="HS125" s="15"/>
      <c r="HT125" s="15"/>
      <c r="HU125" s="15"/>
      <c r="HV125" s="15"/>
      <c r="HW125" s="15"/>
      <c r="HX125" s="15"/>
      <c r="HY125" s="15"/>
      <c r="HZ125" s="15"/>
      <c r="IA125" s="15"/>
      <c r="IB125" s="15"/>
      <c r="IC125" s="15"/>
      <c r="ID125" s="15"/>
      <c r="IE125" s="15"/>
      <c r="IF125" s="15"/>
      <c r="IG125" s="15"/>
      <c r="IH125" s="15"/>
      <c r="II125" s="15"/>
      <c r="IJ125" s="15"/>
      <c r="IK125" s="15"/>
      <c r="IL125" s="15"/>
      <c r="IM125" s="15"/>
      <c r="IN125" s="15"/>
      <c r="IO125" s="15"/>
      <c r="IP125" s="15"/>
      <c r="IQ125" s="15"/>
      <c r="IR125" s="15"/>
      <c r="IS125" s="15"/>
      <c r="IT125" s="15"/>
      <c r="IU125" s="15"/>
      <c r="IV125" s="15"/>
      <c r="IW125" s="15"/>
      <c r="IX125" s="15"/>
      <c r="IY125" s="15"/>
      <c r="IZ125" s="15"/>
      <c r="JA125" s="15"/>
      <c r="JB125" s="15"/>
      <c r="JC125" s="15"/>
      <c r="JD125" s="15"/>
      <c r="JE125" s="15"/>
      <c r="JF125" s="15"/>
      <c r="JG125" s="15"/>
      <c r="JH125" s="15"/>
      <c r="JI125" s="15"/>
      <c r="JJ125" s="15"/>
      <c r="JK125" s="15"/>
      <c r="JL125" s="15"/>
      <c r="JM125" s="15"/>
      <c r="JN125" s="15"/>
      <c r="JO125" s="15"/>
      <c r="JP125" s="15"/>
      <c r="JQ125" s="15"/>
      <c r="JR125" s="15"/>
      <c r="JS125" s="15"/>
      <c r="JT125" s="15"/>
      <c r="JU125" s="15"/>
      <c r="JV125" s="15"/>
      <c r="JW125" s="15"/>
      <c r="JX125" s="15"/>
      <c r="JY125" s="15"/>
      <c r="JZ125" s="15"/>
      <c r="KA125" s="15"/>
      <c r="KB125" s="15"/>
      <c r="KC125" s="15"/>
      <c r="KD125" s="15"/>
      <c r="KE125" s="15"/>
      <c r="KF125" s="15"/>
      <c r="KG125" s="15"/>
      <c r="KH125" s="15"/>
      <c r="KI125" s="15"/>
      <c r="KJ125" s="15"/>
      <c r="KK125" s="15"/>
    </row>
    <row r="126" spans="1:297" x14ac:dyDescent="0.2">
      <c r="A126" s="15"/>
      <c r="B126" s="15"/>
      <c r="N126" s="131"/>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c r="GM126" s="15"/>
      <c r="GN126" s="15"/>
      <c r="GO126" s="15"/>
      <c r="GP126" s="15"/>
      <c r="GQ126" s="15"/>
      <c r="GR126" s="15"/>
      <c r="GS126" s="15"/>
      <c r="GT126" s="15"/>
      <c r="GU126" s="15"/>
      <c r="GV126" s="15"/>
      <c r="GW126" s="15"/>
      <c r="GX126" s="15"/>
      <c r="GY126" s="15"/>
      <c r="GZ126" s="15"/>
      <c r="HA126" s="15"/>
      <c r="HB126" s="15"/>
      <c r="HC126" s="15"/>
      <c r="HD126" s="15"/>
      <c r="HE126" s="15"/>
      <c r="HF126" s="15"/>
      <c r="HG126" s="15"/>
      <c r="HH126" s="15"/>
      <c r="HI126" s="15"/>
      <c r="HJ126" s="15"/>
      <c r="HK126" s="15"/>
      <c r="HL126" s="15"/>
      <c r="HM126" s="15"/>
      <c r="HN126" s="15"/>
      <c r="HO126" s="15"/>
      <c r="HP126" s="15"/>
      <c r="HQ126" s="15"/>
      <c r="HR126" s="15"/>
      <c r="HS126" s="15"/>
      <c r="HT126" s="15"/>
      <c r="HU126" s="15"/>
      <c r="HV126" s="15"/>
      <c r="HW126" s="15"/>
      <c r="HX126" s="15"/>
      <c r="HY126" s="15"/>
      <c r="HZ126" s="15"/>
      <c r="IA126" s="15"/>
      <c r="IB126" s="15"/>
      <c r="IC126" s="15"/>
      <c r="ID126" s="15"/>
      <c r="IE126" s="15"/>
      <c r="IF126" s="15"/>
      <c r="IG126" s="15"/>
      <c r="IH126" s="15"/>
      <c r="II126" s="15"/>
      <c r="IJ126" s="15"/>
      <c r="IK126" s="15"/>
      <c r="IL126" s="15"/>
      <c r="IM126" s="15"/>
      <c r="IN126" s="15"/>
      <c r="IO126" s="15"/>
      <c r="IP126" s="15"/>
      <c r="IQ126" s="15"/>
      <c r="IR126" s="15"/>
      <c r="IS126" s="15"/>
      <c r="IT126" s="15"/>
      <c r="IU126" s="15"/>
      <c r="IV126" s="15"/>
      <c r="IW126" s="15"/>
      <c r="IX126" s="15"/>
      <c r="IY126" s="15"/>
      <c r="IZ126" s="15"/>
      <c r="JA126" s="15"/>
      <c r="JB126" s="15"/>
      <c r="JC126" s="15"/>
      <c r="JD126" s="15"/>
      <c r="JE126" s="15"/>
      <c r="JF126" s="15"/>
      <c r="JG126" s="15"/>
      <c r="JH126" s="15"/>
      <c r="JI126" s="15"/>
      <c r="JJ126" s="15"/>
      <c r="JK126" s="15"/>
      <c r="JL126" s="15"/>
      <c r="JM126" s="15"/>
      <c r="JN126" s="15"/>
      <c r="JO126" s="15"/>
      <c r="JP126" s="15"/>
      <c r="JQ126" s="15"/>
      <c r="JR126" s="15"/>
      <c r="JS126" s="15"/>
      <c r="JT126" s="15"/>
      <c r="JU126" s="15"/>
      <c r="JV126" s="15"/>
      <c r="JW126" s="15"/>
      <c r="JX126" s="15"/>
      <c r="JY126" s="15"/>
      <c r="JZ126" s="15"/>
      <c r="KA126" s="15"/>
      <c r="KB126" s="15"/>
      <c r="KC126" s="15"/>
      <c r="KD126" s="15"/>
      <c r="KE126" s="15"/>
      <c r="KF126" s="15"/>
      <c r="KG126" s="15"/>
      <c r="KH126" s="15"/>
      <c r="KI126" s="15"/>
      <c r="KJ126" s="15"/>
      <c r="KK126" s="15"/>
    </row>
    <row r="127" spans="1:297" x14ac:dyDescent="0.2">
      <c r="A127" s="15"/>
      <c r="B127" s="15"/>
      <c r="N127" s="131"/>
    </row>
    <row r="128" spans="1:297" x14ac:dyDescent="0.2">
      <c r="A128" s="15"/>
      <c r="B128" s="15"/>
      <c r="N128" s="131"/>
    </row>
    <row r="129" spans="1:14" x14ac:dyDescent="0.2">
      <c r="A129" s="15"/>
      <c r="B129" s="15"/>
      <c r="N129" s="131"/>
    </row>
    <row r="130" spans="1:14" x14ac:dyDescent="0.2">
      <c r="A130" s="15"/>
      <c r="B130" s="15"/>
      <c r="N130" s="131"/>
    </row>
    <row r="131" spans="1:14" x14ac:dyDescent="0.2">
      <c r="A131" s="15"/>
      <c r="B131" s="15"/>
      <c r="N131" s="131"/>
    </row>
    <row r="132" spans="1:14" x14ac:dyDescent="0.2">
      <c r="A132" s="15"/>
      <c r="B132" s="15"/>
      <c r="N132" s="131"/>
    </row>
    <row r="133" spans="1:14" x14ac:dyDescent="0.2">
      <c r="A133" s="15"/>
      <c r="B133" s="15"/>
      <c r="N133" s="131"/>
    </row>
    <row r="134" spans="1:14" x14ac:dyDescent="0.2">
      <c r="A134" s="15"/>
      <c r="B134" s="15"/>
      <c r="N134" s="131"/>
    </row>
    <row r="135" spans="1:14" x14ac:dyDescent="0.2">
      <c r="A135" s="15"/>
      <c r="B135" s="15"/>
      <c r="N135" s="131"/>
    </row>
    <row r="136" spans="1:14" x14ac:dyDescent="0.2">
      <c r="A136" s="15"/>
      <c r="B136" s="15"/>
      <c r="N136" s="131"/>
    </row>
    <row r="137" spans="1:14" x14ac:dyDescent="0.2">
      <c r="A137" s="15"/>
      <c r="B137" s="15"/>
      <c r="N137" s="131"/>
    </row>
    <row r="138" spans="1:14" x14ac:dyDescent="0.2">
      <c r="A138" s="15"/>
      <c r="B138" s="15"/>
      <c r="N138" s="131"/>
    </row>
    <row r="139" spans="1:14" x14ac:dyDescent="0.2">
      <c r="A139" s="15"/>
      <c r="B139" s="15"/>
      <c r="N139" s="131"/>
    </row>
    <row r="140" spans="1:14" x14ac:dyDescent="0.2">
      <c r="A140" s="15"/>
      <c r="B140" s="15"/>
      <c r="N140" s="131"/>
    </row>
    <row r="141" spans="1:14" x14ac:dyDescent="0.2">
      <c r="A141" s="15"/>
      <c r="B141" s="15"/>
      <c r="N141" s="131"/>
    </row>
    <row r="142" spans="1:14" x14ac:dyDescent="0.2">
      <c r="A142" s="15"/>
      <c r="B142" s="15"/>
      <c r="N142" s="131"/>
    </row>
    <row r="143" spans="1:14" x14ac:dyDescent="0.2">
      <c r="A143" s="15"/>
      <c r="B143" s="15"/>
      <c r="N143" s="131"/>
    </row>
    <row r="144" spans="1:14" x14ac:dyDescent="0.2">
      <c r="A144" s="15"/>
      <c r="B144" s="15"/>
      <c r="N144" s="131"/>
    </row>
    <row r="145" spans="1:14" x14ac:dyDescent="0.2">
      <c r="A145" s="15"/>
      <c r="B145" s="15"/>
      <c r="N145" s="131"/>
    </row>
    <row r="146" spans="1:14" x14ac:dyDescent="0.2">
      <c r="A146" s="15"/>
      <c r="B146" s="15"/>
      <c r="N146" s="131"/>
    </row>
    <row r="147" spans="1:14" x14ac:dyDescent="0.2">
      <c r="A147" s="15"/>
      <c r="B147" s="15"/>
      <c r="N147" s="131"/>
    </row>
    <row r="148" spans="1:14" x14ac:dyDescent="0.2">
      <c r="A148" s="15"/>
      <c r="B148" s="15"/>
      <c r="N148" s="131"/>
    </row>
    <row r="149" spans="1:14" x14ac:dyDescent="0.2">
      <c r="A149" s="15"/>
      <c r="B149" s="15"/>
      <c r="N149" s="131"/>
    </row>
    <row r="150" spans="1:14" x14ac:dyDescent="0.2">
      <c r="A150" s="15"/>
      <c r="B150" s="15"/>
      <c r="N150" s="131"/>
    </row>
    <row r="151" spans="1:14" x14ac:dyDescent="0.2">
      <c r="A151" s="15"/>
      <c r="B151" s="15"/>
      <c r="N151" s="131"/>
    </row>
    <row r="152" spans="1:14" x14ac:dyDescent="0.2">
      <c r="A152" s="15"/>
      <c r="B152" s="15"/>
      <c r="N152" s="131"/>
    </row>
    <row r="153" spans="1:14" x14ac:dyDescent="0.2">
      <c r="A153" s="15"/>
      <c r="B153" s="15"/>
      <c r="N153" s="131"/>
    </row>
    <row r="154" spans="1:14" x14ac:dyDescent="0.2">
      <c r="A154" s="15"/>
      <c r="B154" s="15"/>
      <c r="N154" s="131"/>
    </row>
    <row r="155" spans="1:14" x14ac:dyDescent="0.2">
      <c r="A155" s="15"/>
      <c r="B155" s="15"/>
      <c r="N155" s="131"/>
    </row>
    <row r="156" spans="1:14" x14ac:dyDescent="0.2">
      <c r="A156" s="15"/>
      <c r="B156" s="15"/>
      <c r="N156" s="131"/>
    </row>
    <row r="157" spans="1:14" x14ac:dyDescent="0.2">
      <c r="A157" s="15"/>
      <c r="B157" s="15"/>
      <c r="N157" s="131"/>
    </row>
    <row r="158" spans="1:14" x14ac:dyDescent="0.2">
      <c r="A158" s="15"/>
      <c r="B158" s="15"/>
      <c r="N158" s="131"/>
    </row>
    <row r="159" spans="1:14" x14ac:dyDescent="0.2">
      <c r="A159" s="15"/>
      <c r="B159" s="15"/>
      <c r="N159" s="131"/>
    </row>
    <row r="160" spans="1:14" x14ac:dyDescent="0.2">
      <c r="A160" s="15"/>
      <c r="B160" s="15"/>
      <c r="N160" s="131"/>
    </row>
    <row r="161" spans="1:14" x14ac:dyDescent="0.2">
      <c r="A161" s="15"/>
      <c r="B161" s="15"/>
      <c r="N161" s="131"/>
    </row>
    <row r="162" spans="1:14" x14ac:dyDescent="0.2">
      <c r="A162" s="15"/>
      <c r="B162" s="15"/>
      <c r="N162" s="131"/>
    </row>
    <row r="163" spans="1:14" x14ac:dyDescent="0.2">
      <c r="A163" s="15"/>
      <c r="B163" s="15"/>
      <c r="N163" s="131"/>
    </row>
    <row r="164" spans="1:14" x14ac:dyDescent="0.2">
      <c r="A164" s="15"/>
      <c r="B164" s="15"/>
      <c r="N164" s="131"/>
    </row>
    <row r="165" spans="1:14" x14ac:dyDescent="0.2">
      <c r="A165" s="15"/>
      <c r="B165" s="15"/>
      <c r="N165" s="131"/>
    </row>
    <row r="166" spans="1:14" x14ac:dyDescent="0.2">
      <c r="A166" s="15"/>
      <c r="B166" s="15"/>
      <c r="N166" s="131"/>
    </row>
    <row r="167" spans="1:14" x14ac:dyDescent="0.2">
      <c r="A167" s="15"/>
      <c r="B167" s="15"/>
      <c r="N167" s="131"/>
    </row>
    <row r="168" spans="1:14" x14ac:dyDescent="0.2">
      <c r="A168" s="15"/>
      <c r="B168" s="15"/>
      <c r="N168" s="131"/>
    </row>
    <row r="169" spans="1:14" x14ac:dyDescent="0.2">
      <c r="A169" s="15"/>
      <c r="B169" s="15"/>
      <c r="N169" s="131"/>
    </row>
    <row r="170" spans="1:14" x14ac:dyDescent="0.2">
      <c r="A170" s="15"/>
      <c r="B170" s="15"/>
      <c r="N170" s="131"/>
    </row>
    <row r="171" spans="1:14" x14ac:dyDescent="0.2">
      <c r="A171" s="15"/>
      <c r="B171" s="15"/>
      <c r="N171" s="131"/>
    </row>
    <row r="172" spans="1:14" x14ac:dyDescent="0.2">
      <c r="A172" s="15"/>
      <c r="B172" s="15"/>
      <c r="N172" s="131"/>
    </row>
    <row r="173" spans="1:14" x14ac:dyDescent="0.2">
      <c r="A173" s="15"/>
      <c r="B173" s="15"/>
      <c r="N173" s="131"/>
    </row>
    <row r="174" spans="1:14" x14ac:dyDescent="0.2">
      <c r="A174" s="15"/>
      <c r="B174" s="15"/>
      <c r="N174" s="131"/>
    </row>
    <row r="175" spans="1:14" x14ac:dyDescent="0.2">
      <c r="A175" s="15"/>
      <c r="B175" s="15"/>
      <c r="N175" s="131"/>
    </row>
    <row r="176" spans="1:14" x14ac:dyDescent="0.2">
      <c r="A176" s="15"/>
      <c r="B176" s="15"/>
      <c r="N176" s="131"/>
    </row>
    <row r="177" spans="1:14" x14ac:dyDescent="0.2">
      <c r="A177" s="15"/>
      <c r="B177" s="15"/>
      <c r="N177" s="131"/>
    </row>
    <row r="178" spans="1:14" x14ac:dyDescent="0.2">
      <c r="A178" s="15"/>
      <c r="B178" s="15"/>
      <c r="N178" s="131"/>
    </row>
    <row r="179" spans="1:14" x14ac:dyDescent="0.2">
      <c r="A179" s="15"/>
      <c r="B179" s="15"/>
      <c r="N179" s="131"/>
    </row>
    <row r="180" spans="1:14" x14ac:dyDescent="0.2">
      <c r="A180" s="15"/>
      <c r="B180" s="15"/>
      <c r="N180" s="131"/>
    </row>
    <row r="181" spans="1:14" x14ac:dyDescent="0.2">
      <c r="A181" s="15"/>
      <c r="B181" s="15"/>
      <c r="N181" s="131"/>
    </row>
    <row r="182" spans="1:14" x14ac:dyDescent="0.2">
      <c r="A182" s="15"/>
      <c r="B182" s="15"/>
      <c r="N182" s="131"/>
    </row>
    <row r="183" spans="1:14" x14ac:dyDescent="0.2">
      <c r="A183" s="15"/>
      <c r="B183" s="15"/>
      <c r="N183" s="131"/>
    </row>
    <row r="184" spans="1:14" x14ac:dyDescent="0.2">
      <c r="A184" s="15"/>
      <c r="B184" s="15"/>
      <c r="N184" s="131"/>
    </row>
    <row r="185" spans="1:14" x14ac:dyDescent="0.2">
      <c r="A185" s="15"/>
      <c r="B185" s="15"/>
      <c r="N185" s="131"/>
    </row>
    <row r="186" spans="1:14" x14ac:dyDescent="0.2">
      <c r="A186" s="15"/>
      <c r="B186" s="15"/>
      <c r="N186" s="131"/>
    </row>
    <row r="187" spans="1:14" x14ac:dyDescent="0.2">
      <c r="A187" s="15"/>
      <c r="B187" s="15"/>
      <c r="N187" s="131"/>
    </row>
    <row r="188" spans="1:14" x14ac:dyDescent="0.2">
      <c r="A188" s="15"/>
      <c r="B188" s="15"/>
      <c r="N188" s="131"/>
    </row>
    <row r="189" spans="1:14" x14ac:dyDescent="0.2">
      <c r="A189" s="15"/>
      <c r="B189" s="15"/>
      <c r="N189" s="131"/>
    </row>
    <row r="190" spans="1:14" x14ac:dyDescent="0.2">
      <c r="A190" s="15"/>
      <c r="B190" s="15"/>
      <c r="N190" s="131"/>
    </row>
    <row r="191" spans="1:14" x14ac:dyDescent="0.2">
      <c r="A191" s="15"/>
      <c r="B191" s="15"/>
      <c r="N191" s="131"/>
    </row>
    <row r="192" spans="1:14" x14ac:dyDescent="0.2">
      <c r="A192" s="15"/>
      <c r="B192" s="15"/>
      <c r="N192" s="131"/>
    </row>
    <row r="193" spans="1:14" x14ac:dyDescent="0.2">
      <c r="A193" s="15"/>
      <c r="B193" s="15"/>
      <c r="N193" s="131"/>
    </row>
    <row r="194" spans="1:14" x14ac:dyDescent="0.2">
      <c r="A194" s="15"/>
      <c r="B194" s="15"/>
      <c r="N194" s="131"/>
    </row>
    <row r="195" spans="1:14" x14ac:dyDescent="0.2">
      <c r="A195" s="15"/>
      <c r="B195" s="15"/>
      <c r="N195" s="131"/>
    </row>
    <row r="196" spans="1:14" x14ac:dyDescent="0.2">
      <c r="A196" s="15"/>
      <c r="B196" s="15"/>
      <c r="N196" s="131"/>
    </row>
    <row r="197" spans="1:14" x14ac:dyDescent="0.2">
      <c r="A197" s="15"/>
      <c r="B197" s="15"/>
      <c r="N197" s="131"/>
    </row>
    <row r="198" spans="1:14" x14ac:dyDescent="0.2">
      <c r="A198" s="15"/>
      <c r="B198" s="15"/>
      <c r="N198" s="131"/>
    </row>
    <row r="199" spans="1:14" x14ac:dyDescent="0.2">
      <c r="A199" s="15"/>
      <c r="B199" s="15"/>
      <c r="N199" s="131"/>
    </row>
    <row r="200" spans="1:14" x14ac:dyDescent="0.2">
      <c r="A200" s="15"/>
      <c r="B200" s="15"/>
      <c r="N200" s="131"/>
    </row>
    <row r="201" spans="1:14" x14ac:dyDescent="0.2">
      <c r="A201" s="15"/>
      <c r="B201" s="15"/>
      <c r="N201" s="131"/>
    </row>
    <row r="202" spans="1:14" x14ac:dyDescent="0.2">
      <c r="A202" s="15"/>
      <c r="B202" s="15"/>
      <c r="N202" s="131"/>
    </row>
    <row r="203" spans="1:14" x14ac:dyDescent="0.2">
      <c r="A203" s="15"/>
      <c r="B203" s="15"/>
      <c r="N203" s="131"/>
    </row>
    <row r="204" spans="1:14" x14ac:dyDescent="0.2">
      <c r="A204" s="15"/>
      <c r="B204" s="15"/>
      <c r="N204" s="131"/>
    </row>
    <row r="205" spans="1:14" x14ac:dyDescent="0.2">
      <c r="A205" s="15"/>
      <c r="B205" s="15"/>
      <c r="N205" s="131"/>
    </row>
    <row r="206" spans="1:14" x14ac:dyDescent="0.2">
      <c r="A206" s="15"/>
      <c r="B206" s="15"/>
      <c r="N206" s="131"/>
    </row>
    <row r="207" spans="1:14" x14ac:dyDescent="0.2">
      <c r="A207" s="15"/>
      <c r="B207" s="15"/>
      <c r="N207" s="131"/>
    </row>
    <row r="208" spans="1:14" x14ac:dyDescent="0.2">
      <c r="A208" s="15"/>
      <c r="B208" s="15"/>
      <c r="N208" s="131"/>
    </row>
    <row r="209" spans="1:14" x14ac:dyDescent="0.2">
      <c r="A209" s="15"/>
      <c r="B209" s="15"/>
      <c r="N209" s="131"/>
    </row>
    <row r="210" spans="1:14" x14ac:dyDescent="0.2">
      <c r="A210" s="15"/>
      <c r="B210" s="15"/>
      <c r="N210" s="131"/>
    </row>
    <row r="211" spans="1:14" x14ac:dyDescent="0.2">
      <c r="A211" s="15"/>
      <c r="B211" s="15"/>
      <c r="N211" s="131"/>
    </row>
    <row r="212" spans="1:14" x14ac:dyDescent="0.2">
      <c r="A212" s="15"/>
      <c r="B212" s="15"/>
      <c r="N212" s="131"/>
    </row>
    <row r="213" spans="1:14" x14ac:dyDescent="0.2">
      <c r="A213" s="15"/>
      <c r="B213" s="15"/>
      <c r="N213" s="131"/>
    </row>
    <row r="214" spans="1:14" x14ac:dyDescent="0.2">
      <c r="A214" s="15"/>
      <c r="B214" s="15"/>
      <c r="N214" s="131"/>
    </row>
    <row r="215" spans="1:14" x14ac:dyDescent="0.2">
      <c r="A215" s="15"/>
      <c r="B215" s="15"/>
      <c r="N215" s="131"/>
    </row>
    <row r="216" spans="1:14" x14ac:dyDescent="0.2">
      <c r="A216" s="15"/>
      <c r="B216" s="15"/>
      <c r="N216" s="131"/>
    </row>
    <row r="217" spans="1:14" x14ac:dyDescent="0.2">
      <c r="A217" s="15"/>
      <c r="B217" s="15"/>
      <c r="N217" s="131"/>
    </row>
    <row r="218" spans="1:14" x14ac:dyDescent="0.2">
      <c r="A218" s="15"/>
      <c r="B218" s="15"/>
      <c r="N218" s="131"/>
    </row>
    <row r="219" spans="1:14" x14ac:dyDescent="0.2">
      <c r="A219" s="15"/>
      <c r="B219" s="15"/>
      <c r="N219" s="131"/>
    </row>
    <row r="220" spans="1:14" x14ac:dyDescent="0.2">
      <c r="A220" s="15"/>
      <c r="B220" s="15"/>
      <c r="N220" s="131"/>
    </row>
    <row r="221" spans="1:14" x14ac:dyDescent="0.2">
      <c r="A221" s="15"/>
      <c r="B221" s="15"/>
      <c r="N221" s="131"/>
    </row>
    <row r="222" spans="1:14" x14ac:dyDescent="0.2">
      <c r="A222" s="15"/>
      <c r="B222" s="15"/>
      <c r="N222" s="131"/>
    </row>
    <row r="223" spans="1:14" x14ac:dyDescent="0.2">
      <c r="A223" s="15"/>
      <c r="B223" s="15"/>
      <c r="N223" s="131"/>
    </row>
    <row r="224" spans="1:14" x14ac:dyDescent="0.2">
      <c r="A224" s="15"/>
      <c r="B224" s="15"/>
      <c r="N224" s="131"/>
    </row>
    <row r="225" spans="1:14" x14ac:dyDescent="0.2">
      <c r="A225" s="15"/>
      <c r="B225" s="15"/>
      <c r="N225" s="131"/>
    </row>
    <row r="226" spans="1:14" x14ac:dyDescent="0.2">
      <c r="A226" s="15"/>
      <c r="B226" s="15"/>
      <c r="N226" s="131"/>
    </row>
    <row r="227" spans="1:14" x14ac:dyDescent="0.2">
      <c r="A227" s="15"/>
      <c r="B227" s="15"/>
      <c r="N227" s="131"/>
    </row>
    <row r="228" spans="1:14" x14ac:dyDescent="0.2">
      <c r="A228" s="15"/>
      <c r="B228" s="15"/>
      <c r="N228" s="131"/>
    </row>
    <row r="229" spans="1:14" x14ac:dyDescent="0.2">
      <c r="A229" s="15"/>
      <c r="B229" s="15"/>
      <c r="N229" s="131"/>
    </row>
    <row r="230" spans="1:14" x14ac:dyDescent="0.2">
      <c r="A230" s="15"/>
      <c r="B230" s="15"/>
      <c r="N230" s="131"/>
    </row>
    <row r="231" spans="1:14" x14ac:dyDescent="0.2">
      <c r="A231" s="15"/>
      <c r="B231" s="15"/>
      <c r="N231" s="131"/>
    </row>
    <row r="232" spans="1:14" x14ac:dyDescent="0.2">
      <c r="A232" s="15"/>
      <c r="B232" s="15"/>
      <c r="N232" s="131"/>
    </row>
    <row r="233" spans="1:14" x14ac:dyDescent="0.2">
      <c r="A233" s="15"/>
      <c r="B233" s="15"/>
      <c r="N233" s="131"/>
    </row>
    <row r="234" spans="1:14" x14ac:dyDescent="0.2">
      <c r="A234" s="15"/>
      <c r="B234" s="15"/>
      <c r="N234" s="131"/>
    </row>
    <row r="235" spans="1:14" x14ac:dyDescent="0.2">
      <c r="A235" s="15"/>
      <c r="B235" s="15"/>
      <c r="N235" s="131"/>
    </row>
    <row r="236" spans="1:14" x14ac:dyDescent="0.2">
      <c r="A236" s="15"/>
      <c r="B236" s="15"/>
      <c r="N236" s="131"/>
    </row>
    <row r="237" spans="1:14" x14ac:dyDescent="0.2">
      <c r="A237" s="15"/>
      <c r="B237" s="15"/>
      <c r="N237" s="131"/>
    </row>
    <row r="238" spans="1:14" x14ac:dyDescent="0.2">
      <c r="A238" s="15"/>
      <c r="B238" s="15"/>
      <c r="N238" s="131"/>
    </row>
    <row r="239" spans="1:14" x14ac:dyDescent="0.2">
      <c r="A239" s="15"/>
      <c r="B239" s="15"/>
      <c r="N239" s="131"/>
    </row>
    <row r="240" spans="1:14" x14ac:dyDescent="0.2">
      <c r="A240" s="15"/>
      <c r="B240" s="15"/>
      <c r="N240" s="131"/>
    </row>
    <row r="241" spans="1:14" x14ac:dyDescent="0.2">
      <c r="A241" s="15"/>
      <c r="B241" s="15"/>
      <c r="N241" s="131"/>
    </row>
    <row r="242" spans="1:14" x14ac:dyDescent="0.2">
      <c r="A242" s="15"/>
      <c r="B242" s="15"/>
      <c r="N242" s="131"/>
    </row>
    <row r="243" spans="1:14" x14ac:dyDescent="0.2">
      <c r="A243" s="15"/>
      <c r="B243" s="15"/>
      <c r="N243" s="131"/>
    </row>
    <row r="244" spans="1:14" x14ac:dyDescent="0.2">
      <c r="A244" s="15"/>
      <c r="B244" s="15"/>
      <c r="N244" s="131"/>
    </row>
    <row r="245" spans="1:14" x14ac:dyDescent="0.2">
      <c r="A245" s="15"/>
      <c r="B245" s="15"/>
      <c r="N245" s="131"/>
    </row>
    <row r="246" spans="1:14" x14ac:dyDescent="0.2">
      <c r="A246" s="15"/>
      <c r="B246" s="15"/>
      <c r="N246" s="131"/>
    </row>
    <row r="247" spans="1:14" x14ac:dyDescent="0.2">
      <c r="A247" s="15"/>
      <c r="B247" s="15"/>
      <c r="N247" s="131"/>
    </row>
    <row r="248" spans="1:14" x14ac:dyDescent="0.2">
      <c r="A248" s="15"/>
      <c r="B248" s="15"/>
      <c r="N248" s="131"/>
    </row>
    <row r="249" spans="1:14" x14ac:dyDescent="0.2">
      <c r="A249" s="15"/>
      <c r="B249" s="15"/>
      <c r="N249" s="131"/>
    </row>
    <row r="250" spans="1:14" x14ac:dyDescent="0.2">
      <c r="A250" s="15"/>
      <c r="B250" s="15"/>
      <c r="N250" s="131"/>
    </row>
    <row r="251" spans="1:14" x14ac:dyDescent="0.2">
      <c r="A251" s="15"/>
      <c r="B251" s="15"/>
      <c r="N251" s="131"/>
    </row>
    <row r="252" spans="1:14" x14ac:dyDescent="0.2">
      <c r="A252" s="15"/>
      <c r="B252" s="15"/>
      <c r="N252" s="131"/>
    </row>
    <row r="253" spans="1:14" x14ac:dyDescent="0.2">
      <c r="A253" s="15"/>
      <c r="B253" s="15"/>
      <c r="N253" s="131"/>
    </row>
    <row r="254" spans="1:14" x14ac:dyDescent="0.2">
      <c r="A254" s="15"/>
      <c r="B254" s="15"/>
      <c r="N254" s="131"/>
    </row>
    <row r="255" spans="1:14" x14ac:dyDescent="0.2">
      <c r="A255" s="15"/>
      <c r="B255" s="15"/>
      <c r="N255" s="131"/>
    </row>
    <row r="256" spans="1:14" x14ac:dyDescent="0.2">
      <c r="A256" s="15"/>
      <c r="B256" s="15"/>
      <c r="N256" s="131"/>
    </row>
    <row r="257" spans="1:14" x14ac:dyDescent="0.2">
      <c r="A257" s="15"/>
      <c r="B257" s="15"/>
      <c r="N257" s="131"/>
    </row>
    <row r="258" spans="1:14" x14ac:dyDescent="0.2">
      <c r="A258" s="15"/>
      <c r="B258" s="15"/>
      <c r="N258" s="131"/>
    </row>
    <row r="259" spans="1:14" x14ac:dyDescent="0.2">
      <c r="A259" s="15"/>
      <c r="B259" s="15"/>
      <c r="N259" s="131"/>
    </row>
    <row r="260" spans="1:14" x14ac:dyDescent="0.2">
      <c r="A260" s="15"/>
      <c r="B260" s="15"/>
      <c r="N260" s="131"/>
    </row>
    <row r="261" spans="1:14" x14ac:dyDescent="0.2">
      <c r="A261" s="15"/>
      <c r="B261" s="15"/>
      <c r="N261" s="131"/>
    </row>
    <row r="262" spans="1:14" x14ac:dyDescent="0.2">
      <c r="A262" s="15"/>
      <c r="B262" s="15"/>
      <c r="N262" s="131"/>
    </row>
    <row r="263" spans="1:14" x14ac:dyDescent="0.2">
      <c r="A263" s="15"/>
      <c r="B263" s="15"/>
      <c r="N263" s="131"/>
    </row>
    <row r="264" spans="1:14" x14ac:dyDescent="0.2">
      <c r="A264" s="15"/>
      <c r="B264" s="15"/>
      <c r="N264" s="131"/>
    </row>
    <row r="265" spans="1:14" x14ac:dyDescent="0.2">
      <c r="A265" s="15"/>
      <c r="B265" s="15"/>
      <c r="N265" s="131"/>
    </row>
    <row r="266" spans="1:14" x14ac:dyDescent="0.2">
      <c r="A266" s="15"/>
      <c r="B266" s="15"/>
      <c r="N266" s="131"/>
    </row>
    <row r="267" spans="1:14" x14ac:dyDescent="0.2">
      <c r="A267" s="15"/>
      <c r="B267" s="15"/>
      <c r="N267" s="131"/>
    </row>
    <row r="268" spans="1:14" x14ac:dyDescent="0.2">
      <c r="A268" s="15"/>
      <c r="B268" s="15"/>
      <c r="N268" s="131"/>
    </row>
    <row r="269" spans="1:14" x14ac:dyDescent="0.2">
      <c r="A269" s="15"/>
      <c r="B269" s="15"/>
      <c r="N269" s="131"/>
    </row>
    <row r="270" spans="1:14" x14ac:dyDescent="0.2">
      <c r="A270" s="15"/>
      <c r="B270" s="15"/>
      <c r="N270" s="131"/>
    </row>
    <row r="271" spans="1:14" x14ac:dyDescent="0.2">
      <c r="A271" s="15"/>
      <c r="B271" s="15"/>
      <c r="N271" s="131"/>
    </row>
    <row r="272" spans="1:14" x14ac:dyDescent="0.2">
      <c r="A272" s="15"/>
      <c r="B272" s="15"/>
      <c r="N272" s="131"/>
    </row>
    <row r="273" spans="1:14" x14ac:dyDescent="0.2">
      <c r="A273" s="15"/>
      <c r="B273" s="15"/>
      <c r="N273" s="131"/>
    </row>
    <row r="274" spans="1:14" x14ac:dyDescent="0.2">
      <c r="A274" s="15"/>
      <c r="B274" s="15"/>
      <c r="N274" s="131"/>
    </row>
    <row r="275" spans="1:14" x14ac:dyDescent="0.2">
      <c r="A275" s="15"/>
      <c r="B275" s="15"/>
      <c r="N275" s="131"/>
    </row>
    <row r="276" spans="1:14" x14ac:dyDescent="0.2">
      <c r="A276" s="15"/>
      <c r="B276" s="15"/>
      <c r="N276" s="131"/>
    </row>
    <row r="277" spans="1:14" x14ac:dyDescent="0.2">
      <c r="A277" s="15"/>
      <c r="B277" s="15"/>
      <c r="N277" s="131"/>
    </row>
    <row r="278" spans="1:14" x14ac:dyDescent="0.2">
      <c r="A278" s="15"/>
      <c r="B278" s="15"/>
      <c r="N278" s="131"/>
    </row>
    <row r="279" spans="1:14" x14ac:dyDescent="0.2">
      <c r="A279" s="15"/>
      <c r="B279" s="15"/>
      <c r="N279" s="131"/>
    </row>
    <row r="280" spans="1:14" x14ac:dyDescent="0.2">
      <c r="A280" s="15"/>
      <c r="B280" s="15"/>
      <c r="N280" s="131"/>
    </row>
    <row r="281" spans="1:14" x14ac:dyDescent="0.2">
      <c r="A281" s="15"/>
      <c r="B281" s="15"/>
      <c r="N281" s="131"/>
    </row>
    <row r="282" spans="1:14" x14ac:dyDescent="0.2">
      <c r="A282" s="15"/>
      <c r="B282" s="15"/>
      <c r="N282" s="131"/>
    </row>
    <row r="283" spans="1:14" x14ac:dyDescent="0.2">
      <c r="A283" s="15"/>
      <c r="B283" s="15"/>
      <c r="N283" s="131"/>
    </row>
    <row r="284" spans="1:14" x14ac:dyDescent="0.2">
      <c r="A284" s="15"/>
      <c r="B284" s="15"/>
      <c r="N284" s="131"/>
    </row>
    <row r="285" spans="1:14" x14ac:dyDescent="0.2">
      <c r="A285" s="15"/>
      <c r="B285" s="15"/>
      <c r="N285" s="131"/>
    </row>
    <row r="286" spans="1:14" x14ac:dyDescent="0.2">
      <c r="A286" s="15"/>
      <c r="B286" s="15"/>
      <c r="N286" s="131"/>
    </row>
    <row r="287" spans="1:14" x14ac:dyDescent="0.2">
      <c r="A287" s="15"/>
      <c r="B287" s="15"/>
      <c r="N287" s="131"/>
    </row>
    <row r="288" spans="1:14" x14ac:dyDescent="0.2">
      <c r="A288" s="15"/>
      <c r="B288" s="15"/>
      <c r="N288" s="131"/>
    </row>
    <row r="289" spans="1:14" x14ac:dyDescent="0.2">
      <c r="A289" s="15"/>
      <c r="B289" s="15"/>
      <c r="N289" s="131"/>
    </row>
    <row r="290" spans="1:14" x14ac:dyDescent="0.2">
      <c r="A290" s="15"/>
      <c r="B290" s="15"/>
      <c r="N290" s="131"/>
    </row>
    <row r="291" spans="1:14" x14ac:dyDescent="0.2">
      <c r="A291" s="15"/>
      <c r="B291" s="15"/>
      <c r="N291" s="131"/>
    </row>
    <row r="292" spans="1:14" x14ac:dyDescent="0.2">
      <c r="A292" s="15"/>
      <c r="B292" s="15"/>
      <c r="N292" s="131"/>
    </row>
    <row r="293" spans="1:14" x14ac:dyDescent="0.2">
      <c r="A293" s="15"/>
      <c r="B293" s="15"/>
      <c r="N293" s="131"/>
    </row>
    <row r="294" spans="1:14" x14ac:dyDescent="0.2">
      <c r="A294" s="15"/>
      <c r="B294" s="15"/>
      <c r="N294" s="131"/>
    </row>
    <row r="295" spans="1:14" x14ac:dyDescent="0.2">
      <c r="A295" s="15"/>
      <c r="B295" s="15"/>
      <c r="N295" s="131"/>
    </row>
    <row r="296" spans="1:14" x14ac:dyDescent="0.2">
      <c r="A296" s="15"/>
      <c r="B296" s="15"/>
      <c r="N296" s="131"/>
    </row>
    <row r="297" spans="1:14" x14ac:dyDescent="0.2">
      <c r="A297" s="15"/>
      <c r="B297" s="15"/>
      <c r="N297" s="131"/>
    </row>
    <row r="298" spans="1:14" x14ac:dyDescent="0.2">
      <c r="A298" s="15"/>
      <c r="B298" s="15"/>
      <c r="N298" s="131"/>
    </row>
    <row r="299" spans="1:14" x14ac:dyDescent="0.2">
      <c r="A299" s="15"/>
      <c r="B299" s="15"/>
      <c r="N299" s="131"/>
    </row>
    <row r="300" spans="1:14" x14ac:dyDescent="0.2">
      <c r="A300" s="15"/>
      <c r="B300" s="15"/>
      <c r="N300" s="131"/>
    </row>
    <row r="301" spans="1:14" x14ac:dyDescent="0.2">
      <c r="A301" s="15"/>
      <c r="B301" s="15"/>
      <c r="N301" s="131"/>
    </row>
    <row r="302" spans="1:14" x14ac:dyDescent="0.2">
      <c r="A302" s="15"/>
      <c r="B302" s="15"/>
      <c r="N302" s="131"/>
    </row>
    <row r="303" spans="1:14" x14ac:dyDescent="0.2">
      <c r="A303" s="15"/>
      <c r="B303" s="15"/>
      <c r="N303" s="131"/>
    </row>
    <row r="304" spans="1:14" x14ac:dyDescent="0.2">
      <c r="A304" s="15"/>
      <c r="B304" s="15"/>
      <c r="N304" s="131"/>
    </row>
    <row r="305" spans="1:14" x14ac:dyDescent="0.2">
      <c r="A305" s="15"/>
      <c r="B305" s="15"/>
      <c r="N305" s="131"/>
    </row>
    <row r="306" spans="1:14" x14ac:dyDescent="0.2">
      <c r="A306" s="15"/>
      <c r="B306" s="15"/>
      <c r="N306" s="131"/>
    </row>
    <row r="307" spans="1:14" x14ac:dyDescent="0.2">
      <c r="A307" s="15"/>
      <c r="B307" s="15"/>
      <c r="N307" s="131"/>
    </row>
    <row r="308" spans="1:14" x14ac:dyDescent="0.2">
      <c r="A308" s="15"/>
      <c r="B308" s="15"/>
      <c r="N308" s="131"/>
    </row>
    <row r="309" spans="1:14" x14ac:dyDescent="0.2">
      <c r="A309" s="15"/>
      <c r="B309" s="15"/>
      <c r="N309" s="131"/>
    </row>
    <row r="310" spans="1:14" x14ac:dyDescent="0.2">
      <c r="A310" s="15"/>
      <c r="B310" s="15"/>
      <c r="N310" s="131"/>
    </row>
    <row r="311" spans="1:14" x14ac:dyDescent="0.2">
      <c r="A311" s="15"/>
      <c r="B311" s="15"/>
      <c r="N311" s="131"/>
    </row>
    <row r="312" spans="1:14" x14ac:dyDescent="0.2">
      <c r="A312" s="15"/>
      <c r="B312" s="15"/>
      <c r="N312" s="131"/>
    </row>
    <row r="313" spans="1:14" x14ac:dyDescent="0.2">
      <c r="A313" s="15"/>
      <c r="B313" s="15"/>
      <c r="N313" s="131"/>
    </row>
    <row r="314" spans="1:14" x14ac:dyDescent="0.2">
      <c r="A314" s="15"/>
      <c r="B314" s="15"/>
      <c r="N314" s="131"/>
    </row>
    <row r="315" spans="1:14" x14ac:dyDescent="0.2">
      <c r="A315" s="15"/>
      <c r="B315" s="15"/>
      <c r="N315" s="131"/>
    </row>
    <row r="316" spans="1:14" x14ac:dyDescent="0.2">
      <c r="A316" s="15"/>
      <c r="B316" s="15"/>
      <c r="N316" s="131"/>
    </row>
    <row r="317" spans="1:14" x14ac:dyDescent="0.2">
      <c r="A317" s="15"/>
      <c r="B317" s="15"/>
      <c r="N317" s="131"/>
    </row>
    <row r="318" spans="1:14" x14ac:dyDescent="0.2">
      <c r="A318" s="15"/>
      <c r="B318" s="15"/>
      <c r="N318" s="131"/>
    </row>
    <row r="319" spans="1:14" x14ac:dyDescent="0.2">
      <c r="A319" s="15"/>
      <c r="B319" s="15"/>
      <c r="N319" s="131"/>
    </row>
    <row r="320" spans="1:14" x14ac:dyDescent="0.2">
      <c r="A320" s="15"/>
      <c r="B320" s="15"/>
      <c r="N320" s="131"/>
    </row>
    <row r="321" spans="1:14" x14ac:dyDescent="0.2">
      <c r="A321" s="15"/>
      <c r="B321" s="15"/>
      <c r="N321" s="131"/>
    </row>
    <row r="322" spans="1:14" x14ac:dyDescent="0.2">
      <c r="A322" s="15"/>
      <c r="B322" s="15"/>
      <c r="N322" s="131"/>
    </row>
    <row r="323" spans="1:14" x14ac:dyDescent="0.2">
      <c r="A323" s="15"/>
      <c r="B323" s="15"/>
      <c r="N323" s="131"/>
    </row>
    <row r="324" spans="1:14" x14ac:dyDescent="0.2">
      <c r="A324" s="15"/>
      <c r="B324" s="15"/>
      <c r="N324" s="131"/>
    </row>
    <row r="325" spans="1:14" x14ac:dyDescent="0.2">
      <c r="A325" s="15"/>
      <c r="B325" s="15"/>
      <c r="N325" s="131"/>
    </row>
    <row r="326" spans="1:14" x14ac:dyDescent="0.2">
      <c r="A326" s="15"/>
      <c r="B326" s="15"/>
      <c r="N326" s="131"/>
    </row>
    <row r="327" spans="1:14" x14ac:dyDescent="0.2">
      <c r="A327" s="15"/>
      <c r="B327" s="15"/>
      <c r="N327" s="131"/>
    </row>
    <row r="328" spans="1:14" x14ac:dyDescent="0.2">
      <c r="A328" s="15"/>
      <c r="B328" s="15"/>
      <c r="N328" s="131"/>
    </row>
    <row r="329" spans="1:14" x14ac:dyDescent="0.2">
      <c r="A329" s="15"/>
      <c r="B329" s="15"/>
      <c r="N329" s="131"/>
    </row>
    <row r="330" spans="1:14" x14ac:dyDescent="0.2">
      <c r="A330" s="15"/>
      <c r="B330" s="15"/>
      <c r="N330" s="131"/>
    </row>
    <row r="331" spans="1:14" x14ac:dyDescent="0.2">
      <c r="A331" s="15"/>
      <c r="B331" s="15"/>
      <c r="N331" s="131"/>
    </row>
    <row r="332" spans="1:14" x14ac:dyDescent="0.2">
      <c r="A332" s="15"/>
      <c r="B332" s="15"/>
      <c r="N332" s="131"/>
    </row>
    <row r="333" spans="1:14" x14ac:dyDescent="0.2">
      <c r="A333" s="15"/>
      <c r="B333" s="15"/>
      <c r="N333" s="131"/>
    </row>
    <row r="334" spans="1:14" x14ac:dyDescent="0.2">
      <c r="A334" s="15"/>
      <c r="B334" s="15"/>
      <c r="N334" s="131"/>
    </row>
    <row r="335" spans="1:14" x14ac:dyDescent="0.2">
      <c r="A335" s="15"/>
      <c r="B335" s="15"/>
      <c r="N335" s="131"/>
    </row>
    <row r="336" spans="1:14" x14ac:dyDescent="0.2">
      <c r="A336" s="15"/>
      <c r="B336" s="15"/>
      <c r="N336" s="131"/>
    </row>
    <row r="337" spans="1:14" x14ac:dyDescent="0.2">
      <c r="A337" s="15"/>
      <c r="B337" s="15"/>
      <c r="N337" s="131"/>
    </row>
    <row r="338" spans="1:14" x14ac:dyDescent="0.2">
      <c r="A338" s="15"/>
      <c r="B338" s="15"/>
      <c r="N338" s="131"/>
    </row>
    <row r="339" spans="1:14" x14ac:dyDescent="0.2">
      <c r="N339" s="131"/>
    </row>
    <row r="340" spans="1:14" x14ac:dyDescent="0.2">
      <c r="N340" s="131"/>
    </row>
    <row r="341" spans="1:14" x14ac:dyDescent="0.2">
      <c r="N341" s="131"/>
    </row>
    <row r="342" spans="1:14" x14ac:dyDescent="0.2">
      <c r="N342" s="131"/>
    </row>
    <row r="343" spans="1:14" x14ac:dyDescent="0.2">
      <c r="N343" s="131"/>
    </row>
    <row r="344" spans="1:14" x14ac:dyDescent="0.2">
      <c r="N344" s="131"/>
    </row>
    <row r="345" spans="1:14" x14ac:dyDescent="0.2">
      <c r="N345" s="131"/>
    </row>
    <row r="346" spans="1:14" x14ac:dyDescent="0.2">
      <c r="N346" s="131"/>
    </row>
    <row r="347" spans="1:14" x14ac:dyDescent="0.2">
      <c r="N347" s="131"/>
    </row>
    <row r="348" spans="1:14" x14ac:dyDescent="0.2">
      <c r="N348" s="131"/>
    </row>
    <row r="349" spans="1:14" x14ac:dyDescent="0.2">
      <c r="N349" s="131"/>
    </row>
    <row r="350" spans="1:14" x14ac:dyDescent="0.2">
      <c r="N350" s="131"/>
    </row>
    <row r="351" spans="1:14" x14ac:dyDescent="0.2">
      <c r="N351" s="131"/>
    </row>
    <row r="352" spans="1:14" x14ac:dyDescent="0.2">
      <c r="N352" s="131"/>
    </row>
    <row r="353" spans="14:14" x14ac:dyDescent="0.2">
      <c r="N353" s="131"/>
    </row>
    <row r="354" spans="14:14" x14ac:dyDescent="0.2">
      <c r="N354" s="131"/>
    </row>
    <row r="355" spans="14:14" x14ac:dyDescent="0.2">
      <c r="N355" s="131"/>
    </row>
    <row r="356" spans="14:14" x14ac:dyDescent="0.2">
      <c r="N356" s="131"/>
    </row>
    <row r="357" spans="14:14" x14ac:dyDescent="0.2">
      <c r="N357" s="131"/>
    </row>
    <row r="358" spans="14:14" x14ac:dyDescent="0.2">
      <c r="N358" s="131"/>
    </row>
    <row r="359" spans="14:14" x14ac:dyDescent="0.2">
      <c r="N359" s="131"/>
    </row>
    <row r="360" spans="14:14" x14ac:dyDescent="0.2">
      <c r="N360" s="131"/>
    </row>
    <row r="361" spans="14:14" x14ac:dyDescent="0.2">
      <c r="N361" s="131"/>
    </row>
    <row r="362" spans="14:14" x14ac:dyDescent="0.2">
      <c r="N362" s="131"/>
    </row>
    <row r="363" spans="14:14" x14ac:dyDescent="0.2">
      <c r="N363" s="131"/>
    </row>
    <row r="364" spans="14:14" x14ac:dyDescent="0.2">
      <c r="N364" s="131"/>
    </row>
    <row r="365" spans="14:14" x14ac:dyDescent="0.2">
      <c r="N365" s="131"/>
    </row>
    <row r="366" spans="14:14" x14ac:dyDescent="0.2">
      <c r="N366" s="131"/>
    </row>
    <row r="367" spans="14:14" x14ac:dyDescent="0.2">
      <c r="N367" s="131"/>
    </row>
    <row r="368" spans="14:14" x14ac:dyDescent="0.2">
      <c r="N368" s="131"/>
    </row>
    <row r="369" spans="14:14" x14ac:dyDescent="0.2">
      <c r="N369" s="131"/>
    </row>
    <row r="370" spans="14:14" x14ac:dyDescent="0.2">
      <c r="N370" s="131"/>
    </row>
    <row r="371" spans="14:14" x14ac:dyDescent="0.2">
      <c r="N371" s="131"/>
    </row>
    <row r="372" spans="14:14" x14ac:dyDescent="0.2">
      <c r="N372" s="131"/>
    </row>
    <row r="373" spans="14:14" x14ac:dyDescent="0.2">
      <c r="N373" s="131"/>
    </row>
    <row r="374" spans="14:14" x14ac:dyDescent="0.2">
      <c r="N374" s="131"/>
    </row>
    <row r="375" spans="14:14" x14ac:dyDescent="0.2">
      <c r="N375" s="131"/>
    </row>
    <row r="376" spans="14:14" x14ac:dyDescent="0.2">
      <c r="N376" s="131"/>
    </row>
    <row r="377" spans="14:14" x14ac:dyDescent="0.2">
      <c r="N377" s="131"/>
    </row>
    <row r="378" spans="14:14" x14ac:dyDescent="0.2">
      <c r="N378" s="131"/>
    </row>
    <row r="379" spans="14:14" x14ac:dyDescent="0.2">
      <c r="N379" s="131"/>
    </row>
    <row r="380" spans="14:14" x14ac:dyDescent="0.2">
      <c r="N380" s="131"/>
    </row>
    <row r="381" spans="14:14" x14ac:dyDescent="0.2">
      <c r="N381" s="131"/>
    </row>
    <row r="382" spans="14:14" x14ac:dyDescent="0.2">
      <c r="N382" s="131"/>
    </row>
    <row r="383" spans="14:14" x14ac:dyDescent="0.2">
      <c r="N383" s="131"/>
    </row>
    <row r="384" spans="14:14" x14ac:dyDescent="0.2">
      <c r="N384" s="131"/>
    </row>
    <row r="385" spans="14:14" x14ac:dyDescent="0.2">
      <c r="N385" s="131"/>
    </row>
    <row r="386" spans="14:14" x14ac:dyDescent="0.2">
      <c r="N386" s="131"/>
    </row>
    <row r="387" spans="14:14" x14ac:dyDescent="0.2">
      <c r="N387" s="131"/>
    </row>
    <row r="388" spans="14:14" x14ac:dyDescent="0.2">
      <c r="N388" s="131"/>
    </row>
    <row r="389" spans="14:14" x14ac:dyDescent="0.2">
      <c r="N389" s="131"/>
    </row>
    <row r="390" spans="14:14" x14ac:dyDescent="0.2">
      <c r="N390" s="131"/>
    </row>
    <row r="391" spans="14:14" x14ac:dyDescent="0.2">
      <c r="N391" s="131"/>
    </row>
    <row r="392" spans="14:14" x14ac:dyDescent="0.2">
      <c r="N392" s="131"/>
    </row>
    <row r="393" spans="14:14" x14ac:dyDescent="0.2">
      <c r="N393" s="131"/>
    </row>
    <row r="394" spans="14:14" x14ac:dyDescent="0.2">
      <c r="N394" s="131"/>
    </row>
    <row r="395" spans="14:14" x14ac:dyDescent="0.2">
      <c r="N395" s="131"/>
    </row>
    <row r="396" spans="14:14" x14ac:dyDescent="0.2">
      <c r="N396" s="131"/>
    </row>
    <row r="397" spans="14:14" x14ac:dyDescent="0.2">
      <c r="N397" s="131"/>
    </row>
    <row r="398" spans="14:14" x14ac:dyDescent="0.2">
      <c r="N398" s="131"/>
    </row>
    <row r="399" spans="14:14" x14ac:dyDescent="0.2">
      <c r="N399" s="131"/>
    </row>
    <row r="400" spans="14:14" x14ac:dyDescent="0.2">
      <c r="N400" s="131"/>
    </row>
    <row r="401" spans="14:14" x14ac:dyDescent="0.2">
      <c r="N401" s="131"/>
    </row>
    <row r="402" spans="14:14" x14ac:dyDescent="0.2">
      <c r="N402" s="131"/>
    </row>
    <row r="403" spans="14:14" x14ac:dyDescent="0.2">
      <c r="N403" s="131"/>
    </row>
    <row r="404" spans="14:14" x14ac:dyDescent="0.2">
      <c r="N404" s="131"/>
    </row>
    <row r="405" spans="14:14" x14ac:dyDescent="0.2">
      <c r="N405" s="131"/>
    </row>
    <row r="406" spans="14:14" x14ac:dyDescent="0.2">
      <c r="N406" s="131"/>
    </row>
    <row r="407" spans="14:14" x14ac:dyDescent="0.2">
      <c r="N407" s="131"/>
    </row>
    <row r="408" spans="14:14" x14ac:dyDescent="0.2">
      <c r="N408" s="131"/>
    </row>
    <row r="409" spans="14:14" x14ac:dyDescent="0.2">
      <c r="N409" s="131"/>
    </row>
    <row r="410" spans="14:14" x14ac:dyDescent="0.2">
      <c r="N410" s="131"/>
    </row>
    <row r="411" spans="14:14" x14ac:dyDescent="0.2">
      <c r="N411" s="131"/>
    </row>
    <row r="412" spans="14:14" x14ac:dyDescent="0.2">
      <c r="N412" s="131"/>
    </row>
    <row r="413" spans="14:14" x14ac:dyDescent="0.2">
      <c r="N413" s="131"/>
    </row>
    <row r="414" spans="14:14" x14ac:dyDescent="0.2">
      <c r="N414" s="131"/>
    </row>
    <row r="415" spans="14:14" x14ac:dyDescent="0.2">
      <c r="N415" s="131"/>
    </row>
    <row r="416" spans="14:14" x14ac:dyDescent="0.2">
      <c r="N416" s="131"/>
    </row>
    <row r="417" spans="14:14" x14ac:dyDescent="0.2">
      <c r="N417" s="131"/>
    </row>
    <row r="418" spans="14:14" x14ac:dyDescent="0.2">
      <c r="N418" s="131"/>
    </row>
    <row r="419" spans="14:14" x14ac:dyDescent="0.2">
      <c r="N419" s="131"/>
    </row>
    <row r="420" spans="14:14" x14ac:dyDescent="0.2">
      <c r="N420" s="131"/>
    </row>
    <row r="421" spans="14:14" x14ac:dyDescent="0.2">
      <c r="N421" s="131"/>
    </row>
    <row r="422" spans="14:14" x14ac:dyDescent="0.2">
      <c r="N422" s="131"/>
    </row>
    <row r="423" spans="14:14" x14ac:dyDescent="0.2">
      <c r="N423" s="131"/>
    </row>
    <row r="424" spans="14:14" x14ac:dyDescent="0.2">
      <c r="N424" s="131"/>
    </row>
    <row r="425" spans="14:14" x14ac:dyDescent="0.2">
      <c r="N425" s="131"/>
    </row>
    <row r="426" spans="14:14" x14ac:dyDescent="0.2">
      <c r="N426" s="131"/>
    </row>
    <row r="427" spans="14:14" x14ac:dyDescent="0.2">
      <c r="N427" s="131"/>
    </row>
    <row r="428" spans="14:14" x14ac:dyDescent="0.2">
      <c r="N428" s="131"/>
    </row>
    <row r="429" spans="14:14" x14ac:dyDescent="0.2">
      <c r="N429" s="131"/>
    </row>
    <row r="430" spans="14:14" x14ac:dyDescent="0.2">
      <c r="N430" s="131"/>
    </row>
    <row r="431" spans="14:14" x14ac:dyDescent="0.2">
      <c r="N431" s="131"/>
    </row>
    <row r="432" spans="14:14" x14ac:dyDescent="0.2">
      <c r="N432" s="131"/>
    </row>
    <row r="433" spans="14:14" x14ac:dyDescent="0.2">
      <c r="N433" s="131"/>
    </row>
    <row r="434" spans="14:14" x14ac:dyDescent="0.2">
      <c r="N434" s="131"/>
    </row>
    <row r="435" spans="14:14" x14ac:dyDescent="0.2">
      <c r="N435" s="131"/>
    </row>
    <row r="436" spans="14:14" x14ac:dyDescent="0.2">
      <c r="N436" s="131"/>
    </row>
    <row r="437" spans="14:14" x14ac:dyDescent="0.2">
      <c r="N437" s="131"/>
    </row>
    <row r="438" spans="14:14" x14ac:dyDescent="0.2">
      <c r="N438" s="131"/>
    </row>
    <row r="439" spans="14:14" x14ac:dyDescent="0.2">
      <c r="N439" s="131"/>
    </row>
    <row r="440" spans="14:14" x14ac:dyDescent="0.2">
      <c r="N440" s="131"/>
    </row>
    <row r="441" spans="14:14" x14ac:dyDescent="0.2">
      <c r="N441" s="131"/>
    </row>
    <row r="442" spans="14:14" x14ac:dyDescent="0.2">
      <c r="N442" s="131"/>
    </row>
    <row r="443" spans="14:14" x14ac:dyDescent="0.2">
      <c r="N443" s="131"/>
    </row>
    <row r="444" spans="14:14" x14ac:dyDescent="0.2">
      <c r="N444" s="131"/>
    </row>
    <row r="445" spans="14:14" x14ac:dyDescent="0.2">
      <c r="N445" s="131"/>
    </row>
    <row r="446" spans="14:14" x14ac:dyDescent="0.2">
      <c r="N446" s="131"/>
    </row>
    <row r="447" spans="14:14" x14ac:dyDescent="0.2">
      <c r="N447" s="131"/>
    </row>
    <row r="448" spans="14:14" x14ac:dyDescent="0.2">
      <c r="N448" s="131"/>
    </row>
    <row r="449" spans="14:14" x14ac:dyDescent="0.2">
      <c r="N449" s="131"/>
    </row>
    <row r="450" spans="14:14" x14ac:dyDescent="0.2">
      <c r="N450" s="131"/>
    </row>
    <row r="451" spans="14:14" x14ac:dyDescent="0.2">
      <c r="N451" s="131"/>
    </row>
    <row r="452" spans="14:14" x14ac:dyDescent="0.2">
      <c r="N452" s="131"/>
    </row>
    <row r="453" spans="14:14" x14ac:dyDescent="0.2">
      <c r="N453" s="131"/>
    </row>
    <row r="454" spans="14:14" x14ac:dyDescent="0.2">
      <c r="N454" s="131"/>
    </row>
    <row r="455" spans="14:14" x14ac:dyDescent="0.2">
      <c r="N455" s="131"/>
    </row>
    <row r="456" spans="14:14" x14ac:dyDescent="0.2">
      <c r="N456" s="131"/>
    </row>
    <row r="457" spans="14:14" x14ac:dyDescent="0.2">
      <c r="N457" s="131"/>
    </row>
    <row r="458" spans="14:14" x14ac:dyDescent="0.2">
      <c r="N458" s="131"/>
    </row>
    <row r="459" spans="14:14" x14ac:dyDescent="0.2">
      <c r="N459" s="131"/>
    </row>
    <row r="460" spans="14:14" x14ac:dyDescent="0.2">
      <c r="N460" s="131"/>
    </row>
    <row r="461" spans="14:14" x14ac:dyDescent="0.2">
      <c r="N461" s="131"/>
    </row>
    <row r="462" spans="14:14" x14ac:dyDescent="0.2">
      <c r="N462" s="131"/>
    </row>
    <row r="463" spans="14:14" x14ac:dyDescent="0.2">
      <c r="N463" s="131"/>
    </row>
    <row r="464" spans="14:14" x14ac:dyDescent="0.2">
      <c r="N464" s="131"/>
    </row>
    <row r="465" spans="14:14" x14ac:dyDescent="0.2">
      <c r="N465" s="131"/>
    </row>
    <row r="466" spans="14:14" x14ac:dyDescent="0.2">
      <c r="N466" s="131"/>
    </row>
    <row r="467" spans="14:14" x14ac:dyDescent="0.2">
      <c r="N467" s="131"/>
    </row>
    <row r="468" spans="14:14" x14ac:dyDescent="0.2">
      <c r="N468" s="131"/>
    </row>
    <row r="469" spans="14:14" x14ac:dyDescent="0.2">
      <c r="N469" s="131"/>
    </row>
    <row r="470" spans="14:14" x14ac:dyDescent="0.2">
      <c r="N470" s="131"/>
    </row>
    <row r="471" spans="14:14" x14ac:dyDescent="0.2">
      <c r="N471" s="131"/>
    </row>
    <row r="472" spans="14:14" x14ac:dyDescent="0.2">
      <c r="N472" s="131"/>
    </row>
    <row r="473" spans="14:14" x14ac:dyDescent="0.2">
      <c r="N473" s="131"/>
    </row>
    <row r="474" spans="14:14" x14ac:dyDescent="0.2">
      <c r="N474" s="131"/>
    </row>
    <row r="475" spans="14:14" x14ac:dyDescent="0.2">
      <c r="N475" s="131"/>
    </row>
    <row r="476" spans="14:14" x14ac:dyDescent="0.2">
      <c r="N476" s="131"/>
    </row>
    <row r="477" spans="14:14" x14ac:dyDescent="0.2">
      <c r="N477" s="131"/>
    </row>
    <row r="478" spans="14:14" x14ac:dyDescent="0.2">
      <c r="N478" s="131"/>
    </row>
    <row r="479" spans="14:14" x14ac:dyDescent="0.2">
      <c r="N479" s="131"/>
    </row>
    <row r="480" spans="14:14" x14ac:dyDescent="0.2">
      <c r="N480" s="131"/>
    </row>
    <row r="481" spans="14:14" x14ac:dyDescent="0.2">
      <c r="N481" s="131"/>
    </row>
    <row r="482" spans="14:14" x14ac:dyDescent="0.2">
      <c r="N482" s="131"/>
    </row>
    <row r="483" spans="14:14" x14ac:dyDescent="0.2">
      <c r="N483" s="131"/>
    </row>
    <row r="484" spans="14:14" x14ac:dyDescent="0.2">
      <c r="N484" s="131"/>
    </row>
    <row r="485" spans="14:14" x14ac:dyDescent="0.2">
      <c r="N485" s="131"/>
    </row>
    <row r="486" spans="14:14" x14ac:dyDescent="0.2">
      <c r="N486" s="131"/>
    </row>
    <row r="487" spans="14:14" x14ac:dyDescent="0.2">
      <c r="N487" s="131"/>
    </row>
    <row r="488" spans="14:14" x14ac:dyDescent="0.2">
      <c r="N488" s="131"/>
    </row>
    <row r="489" spans="14:14" x14ac:dyDescent="0.2">
      <c r="N489" s="131"/>
    </row>
    <row r="490" spans="14:14" x14ac:dyDescent="0.2">
      <c r="N490" s="131"/>
    </row>
    <row r="491" spans="14:14" x14ac:dyDescent="0.2">
      <c r="N491" s="131"/>
    </row>
    <row r="492" spans="14:14" x14ac:dyDescent="0.2">
      <c r="N492" s="131"/>
    </row>
    <row r="493" spans="14:14" x14ac:dyDescent="0.2">
      <c r="N493" s="131"/>
    </row>
    <row r="494" spans="14:14" x14ac:dyDescent="0.2">
      <c r="N494" s="131"/>
    </row>
    <row r="495" spans="14:14" x14ac:dyDescent="0.2">
      <c r="N495" s="131"/>
    </row>
    <row r="496" spans="14:14" x14ac:dyDescent="0.2">
      <c r="N496" s="131"/>
    </row>
    <row r="497" spans="14:14" x14ac:dyDescent="0.2">
      <c r="N497" s="131"/>
    </row>
    <row r="498" spans="14:14" x14ac:dyDescent="0.2">
      <c r="N498" s="131"/>
    </row>
    <row r="499" spans="14:14" x14ac:dyDescent="0.2">
      <c r="N499" s="131"/>
    </row>
    <row r="500" spans="14:14" x14ac:dyDescent="0.2">
      <c r="N500" s="131"/>
    </row>
    <row r="501" spans="14:14" x14ac:dyDescent="0.2">
      <c r="N501" s="131"/>
    </row>
    <row r="502" spans="14:14" x14ac:dyDescent="0.2">
      <c r="N502" s="131"/>
    </row>
    <row r="503" spans="14:14" x14ac:dyDescent="0.2">
      <c r="N503" s="131"/>
    </row>
    <row r="504" spans="14:14" x14ac:dyDescent="0.2">
      <c r="N504" s="131"/>
    </row>
    <row r="505" spans="14:14" x14ac:dyDescent="0.2">
      <c r="N505" s="131"/>
    </row>
    <row r="506" spans="14:14" x14ac:dyDescent="0.2">
      <c r="N506" s="131"/>
    </row>
    <row r="507" spans="14:14" x14ac:dyDescent="0.2">
      <c r="N507" s="131"/>
    </row>
    <row r="508" spans="14:14" x14ac:dyDescent="0.2">
      <c r="N508" s="131"/>
    </row>
    <row r="509" spans="14:14" x14ac:dyDescent="0.2">
      <c r="N509" s="131"/>
    </row>
    <row r="510" spans="14:14" x14ac:dyDescent="0.2">
      <c r="N510" s="131"/>
    </row>
    <row r="511" spans="14:14" x14ac:dyDescent="0.2">
      <c r="N511" s="131"/>
    </row>
    <row r="512" spans="14:14" x14ac:dyDescent="0.2">
      <c r="N512" s="131"/>
    </row>
    <row r="513" spans="14:14" x14ac:dyDescent="0.2">
      <c r="N513" s="131"/>
    </row>
    <row r="514" spans="14:14" x14ac:dyDescent="0.2">
      <c r="N514" s="131"/>
    </row>
    <row r="515" spans="14:14" x14ac:dyDescent="0.2">
      <c r="N515" s="131"/>
    </row>
    <row r="516" spans="14:14" x14ac:dyDescent="0.2">
      <c r="N516" s="131"/>
    </row>
    <row r="517" spans="14:14" x14ac:dyDescent="0.2">
      <c r="N517" s="131"/>
    </row>
    <row r="518" spans="14:14" x14ac:dyDescent="0.2">
      <c r="N518" s="131"/>
    </row>
    <row r="519" spans="14:14" x14ac:dyDescent="0.2">
      <c r="N519" s="131"/>
    </row>
    <row r="520" spans="14:14" x14ac:dyDescent="0.2">
      <c r="N520" s="131"/>
    </row>
    <row r="521" spans="14:14" x14ac:dyDescent="0.2">
      <c r="N521" s="131"/>
    </row>
    <row r="522" spans="14:14" x14ac:dyDescent="0.2">
      <c r="N522" s="131"/>
    </row>
    <row r="523" spans="14:14" x14ac:dyDescent="0.2">
      <c r="N523" s="131"/>
    </row>
    <row r="524" spans="14:14" x14ac:dyDescent="0.2">
      <c r="N524" s="131"/>
    </row>
    <row r="525" spans="14:14" x14ac:dyDescent="0.2">
      <c r="N525" s="131"/>
    </row>
    <row r="526" spans="14:14" x14ac:dyDescent="0.2">
      <c r="N526" s="131"/>
    </row>
    <row r="527" spans="14:14" x14ac:dyDescent="0.2">
      <c r="N527" s="131"/>
    </row>
    <row r="528" spans="14:14" x14ac:dyDescent="0.2">
      <c r="N528" s="131"/>
    </row>
    <row r="529" spans="14:14" x14ac:dyDescent="0.2">
      <c r="N529" s="131"/>
    </row>
    <row r="530" spans="14:14" x14ac:dyDescent="0.2">
      <c r="N530" s="131"/>
    </row>
    <row r="531" spans="14:14" x14ac:dyDescent="0.2">
      <c r="N531" s="131"/>
    </row>
    <row r="532" spans="14:14" x14ac:dyDescent="0.2">
      <c r="N532" s="131"/>
    </row>
    <row r="533" spans="14:14" x14ac:dyDescent="0.2">
      <c r="N533" s="131"/>
    </row>
    <row r="534" spans="14:14" x14ac:dyDescent="0.2">
      <c r="N534" s="131"/>
    </row>
    <row r="535" spans="14:14" x14ac:dyDescent="0.2">
      <c r="N535" s="131"/>
    </row>
    <row r="536" spans="14:14" x14ac:dyDescent="0.2">
      <c r="N536" s="131"/>
    </row>
    <row r="537" spans="14:14" x14ac:dyDescent="0.2">
      <c r="N537" s="131"/>
    </row>
    <row r="538" spans="14:14" x14ac:dyDescent="0.2">
      <c r="N538" s="131"/>
    </row>
    <row r="539" spans="14:14" x14ac:dyDescent="0.2">
      <c r="N539" s="131"/>
    </row>
    <row r="540" spans="14:14" x14ac:dyDescent="0.2">
      <c r="N540" s="131"/>
    </row>
    <row r="541" spans="14:14" x14ac:dyDescent="0.2">
      <c r="N541" s="131"/>
    </row>
    <row r="542" spans="14:14" x14ac:dyDescent="0.2">
      <c r="N542" s="131"/>
    </row>
    <row r="543" spans="14:14" x14ac:dyDescent="0.2">
      <c r="N543" s="131"/>
    </row>
    <row r="544" spans="14:14" x14ac:dyDescent="0.2">
      <c r="N544" s="131"/>
    </row>
    <row r="545" spans="14:14" x14ac:dyDescent="0.2">
      <c r="N545" s="131"/>
    </row>
    <row r="546" spans="14:14" x14ac:dyDescent="0.2">
      <c r="N546" s="131"/>
    </row>
    <row r="547" spans="14:14" x14ac:dyDescent="0.2">
      <c r="N547" s="131"/>
    </row>
    <row r="548" spans="14:14" x14ac:dyDescent="0.2">
      <c r="N548" s="131"/>
    </row>
    <row r="549" spans="14:14" x14ac:dyDescent="0.2">
      <c r="N549" s="131"/>
    </row>
    <row r="550" spans="14:14" x14ac:dyDescent="0.2">
      <c r="N550" s="131"/>
    </row>
    <row r="551" spans="14:14" x14ac:dyDescent="0.2">
      <c r="N551" s="131"/>
    </row>
    <row r="552" spans="14:14" x14ac:dyDescent="0.2">
      <c r="N552" s="131"/>
    </row>
    <row r="553" spans="14:14" x14ac:dyDescent="0.2">
      <c r="N553" s="131"/>
    </row>
    <row r="554" spans="14:14" x14ac:dyDescent="0.2">
      <c r="N554" s="131"/>
    </row>
    <row r="555" spans="14:14" x14ac:dyDescent="0.2">
      <c r="N555" s="131"/>
    </row>
    <row r="556" spans="14:14" x14ac:dyDescent="0.2">
      <c r="N556" s="131"/>
    </row>
    <row r="557" spans="14:14" x14ac:dyDescent="0.2">
      <c r="N557" s="131"/>
    </row>
    <row r="558" spans="14:14" x14ac:dyDescent="0.2">
      <c r="N558" s="131"/>
    </row>
    <row r="559" spans="14:14" x14ac:dyDescent="0.2">
      <c r="N559" s="131"/>
    </row>
    <row r="560" spans="14:14" x14ac:dyDescent="0.2">
      <c r="N560" s="131"/>
    </row>
    <row r="561" spans="14:14" x14ac:dyDescent="0.2">
      <c r="N561" s="131"/>
    </row>
    <row r="562" spans="14:14" x14ac:dyDescent="0.2">
      <c r="N562" s="131"/>
    </row>
    <row r="563" spans="14:14" x14ac:dyDescent="0.2">
      <c r="N563" s="131"/>
    </row>
    <row r="564" spans="14:14" x14ac:dyDescent="0.2">
      <c r="N564" s="131"/>
    </row>
    <row r="565" spans="14:14" x14ac:dyDescent="0.2">
      <c r="N565" s="131"/>
    </row>
    <row r="566" spans="14:14" x14ac:dyDescent="0.2">
      <c r="N566" s="131"/>
    </row>
    <row r="567" spans="14:14" x14ac:dyDescent="0.2">
      <c r="N567" s="131"/>
    </row>
    <row r="568" spans="14:14" x14ac:dyDescent="0.2">
      <c r="N568" s="131"/>
    </row>
    <row r="569" spans="14:14" x14ac:dyDescent="0.2">
      <c r="N569" s="131"/>
    </row>
    <row r="570" spans="14:14" x14ac:dyDescent="0.2">
      <c r="N570" s="131"/>
    </row>
    <row r="571" spans="14:14" x14ac:dyDescent="0.2">
      <c r="N571" s="131"/>
    </row>
    <row r="572" spans="14:14" x14ac:dyDescent="0.2">
      <c r="N572" s="131"/>
    </row>
    <row r="573" spans="14:14" x14ac:dyDescent="0.2">
      <c r="N573" s="131"/>
    </row>
    <row r="574" spans="14:14" x14ac:dyDescent="0.2">
      <c r="N574" s="131"/>
    </row>
    <row r="575" spans="14:14" x14ac:dyDescent="0.2">
      <c r="N575" s="131"/>
    </row>
    <row r="576" spans="14:14" x14ac:dyDescent="0.2">
      <c r="N576" s="131"/>
    </row>
    <row r="577" spans="14:14" x14ac:dyDescent="0.2">
      <c r="N577" s="131"/>
    </row>
    <row r="578" spans="14:14" x14ac:dyDescent="0.2">
      <c r="N578" s="131"/>
    </row>
    <row r="579" spans="14:14" x14ac:dyDescent="0.2">
      <c r="N579" s="131"/>
    </row>
    <row r="580" spans="14:14" x14ac:dyDescent="0.2">
      <c r="N580" s="131"/>
    </row>
    <row r="581" spans="14:14" x14ac:dyDescent="0.2">
      <c r="N581" s="131"/>
    </row>
    <row r="582" spans="14:14" x14ac:dyDescent="0.2">
      <c r="N582" s="131"/>
    </row>
    <row r="583" spans="14:14" x14ac:dyDescent="0.2">
      <c r="N583" s="131"/>
    </row>
    <row r="584" spans="14:14" x14ac:dyDescent="0.2">
      <c r="N584" s="131"/>
    </row>
    <row r="585" spans="14:14" x14ac:dyDescent="0.2">
      <c r="N585" s="131"/>
    </row>
    <row r="586" spans="14:14" x14ac:dyDescent="0.2">
      <c r="N586" s="131"/>
    </row>
    <row r="587" spans="14:14" x14ac:dyDescent="0.2">
      <c r="N587" s="131"/>
    </row>
    <row r="588" spans="14:14" x14ac:dyDescent="0.2">
      <c r="N588" s="131"/>
    </row>
    <row r="589" spans="14:14" x14ac:dyDescent="0.2">
      <c r="N589" s="131"/>
    </row>
    <row r="590" spans="14:14" x14ac:dyDescent="0.2">
      <c r="N590" s="131"/>
    </row>
    <row r="591" spans="14:14" x14ac:dyDescent="0.2">
      <c r="N591" s="131"/>
    </row>
    <row r="592" spans="14:14" x14ac:dyDescent="0.2">
      <c r="N592" s="131"/>
    </row>
    <row r="593" spans="14:14" x14ac:dyDescent="0.2">
      <c r="N593" s="131"/>
    </row>
    <row r="594" spans="14:14" x14ac:dyDescent="0.2">
      <c r="N594" s="131"/>
    </row>
    <row r="595" spans="14:14" x14ac:dyDescent="0.2">
      <c r="N595" s="131"/>
    </row>
    <row r="596" spans="14:14" x14ac:dyDescent="0.2">
      <c r="N596" s="131"/>
    </row>
    <row r="597" spans="14:14" x14ac:dyDescent="0.2">
      <c r="N597" s="131"/>
    </row>
    <row r="598" spans="14:14" x14ac:dyDescent="0.2">
      <c r="N598" s="131"/>
    </row>
    <row r="599" spans="14:14" x14ac:dyDescent="0.2">
      <c r="N599" s="131"/>
    </row>
    <row r="600" spans="14:14" x14ac:dyDescent="0.2">
      <c r="N600" s="131"/>
    </row>
    <row r="601" spans="14:14" x14ac:dyDescent="0.2">
      <c r="N601" s="131"/>
    </row>
    <row r="602" spans="14:14" x14ac:dyDescent="0.2">
      <c r="N602" s="131"/>
    </row>
    <row r="603" spans="14:14" x14ac:dyDescent="0.2">
      <c r="N603" s="131"/>
    </row>
    <row r="604" spans="14:14" x14ac:dyDescent="0.2">
      <c r="N604" s="131"/>
    </row>
    <row r="605" spans="14:14" x14ac:dyDescent="0.2">
      <c r="N605" s="131"/>
    </row>
    <row r="606" spans="14:14" x14ac:dyDescent="0.2">
      <c r="N606" s="131"/>
    </row>
    <row r="607" spans="14:14" x14ac:dyDescent="0.2">
      <c r="N607" s="131"/>
    </row>
    <row r="608" spans="14:14" x14ac:dyDescent="0.2">
      <c r="N608" s="131"/>
    </row>
    <row r="609" spans="14:14" x14ac:dyDescent="0.2">
      <c r="N609" s="131"/>
    </row>
    <row r="610" spans="14:14" x14ac:dyDescent="0.2">
      <c r="N610" s="131"/>
    </row>
    <row r="611" spans="14:14" x14ac:dyDescent="0.2">
      <c r="N611" s="131"/>
    </row>
    <row r="612" spans="14:14" x14ac:dyDescent="0.2">
      <c r="N612" s="131"/>
    </row>
    <row r="613" spans="14:14" x14ac:dyDescent="0.2">
      <c r="N613" s="131"/>
    </row>
    <row r="614" spans="14:14" x14ac:dyDescent="0.2">
      <c r="N614" s="131"/>
    </row>
    <row r="615" spans="14:14" x14ac:dyDescent="0.2">
      <c r="N615" s="131"/>
    </row>
    <row r="616" spans="14:14" x14ac:dyDescent="0.2">
      <c r="N616" s="131"/>
    </row>
    <row r="617" spans="14:14" x14ac:dyDescent="0.2">
      <c r="N617" s="131"/>
    </row>
    <row r="618" spans="14:14" x14ac:dyDescent="0.2">
      <c r="N618" s="131"/>
    </row>
    <row r="619" spans="14:14" x14ac:dyDescent="0.2">
      <c r="N619" s="131"/>
    </row>
    <row r="620" spans="14:14" x14ac:dyDescent="0.2">
      <c r="N620" s="131"/>
    </row>
    <row r="621" spans="14:14" x14ac:dyDescent="0.2">
      <c r="N621" s="131"/>
    </row>
    <row r="622" spans="14:14" x14ac:dyDescent="0.2">
      <c r="N622" s="131"/>
    </row>
    <row r="623" spans="14:14" x14ac:dyDescent="0.2">
      <c r="N623" s="131"/>
    </row>
    <row r="624" spans="14:14" x14ac:dyDescent="0.2">
      <c r="N624" s="131"/>
    </row>
    <row r="625" spans="14:14" x14ac:dyDescent="0.2">
      <c r="N625" s="131"/>
    </row>
    <row r="626" spans="14:14" x14ac:dyDescent="0.2">
      <c r="N626" s="131"/>
    </row>
    <row r="627" spans="14:14" x14ac:dyDescent="0.2">
      <c r="N627" s="131"/>
    </row>
    <row r="628" spans="14:14" x14ac:dyDescent="0.2">
      <c r="N628" s="131"/>
    </row>
    <row r="629" spans="14:14" x14ac:dyDescent="0.2">
      <c r="N629" s="131"/>
    </row>
    <row r="630" spans="14:14" x14ac:dyDescent="0.2">
      <c r="N630" s="131"/>
    </row>
    <row r="631" spans="14:14" x14ac:dyDescent="0.2">
      <c r="N631" s="131"/>
    </row>
    <row r="632" spans="14:14" x14ac:dyDescent="0.2">
      <c r="N632" s="131"/>
    </row>
    <row r="633" spans="14:14" x14ac:dyDescent="0.2">
      <c r="N633" s="131"/>
    </row>
    <row r="634" spans="14:14" x14ac:dyDescent="0.2">
      <c r="N634" s="131"/>
    </row>
    <row r="635" spans="14:14" x14ac:dyDescent="0.2">
      <c r="N635" s="131"/>
    </row>
    <row r="636" spans="14:14" x14ac:dyDescent="0.2">
      <c r="N636" s="131"/>
    </row>
    <row r="637" spans="14:14" x14ac:dyDescent="0.2">
      <c r="N637" s="131"/>
    </row>
    <row r="638" spans="14:14" x14ac:dyDescent="0.2">
      <c r="N638" s="131"/>
    </row>
    <row r="639" spans="14:14" x14ac:dyDescent="0.2">
      <c r="N639" s="131"/>
    </row>
    <row r="640" spans="14:14" x14ac:dyDescent="0.2">
      <c r="N640" s="131"/>
    </row>
    <row r="641" spans="14:14" x14ac:dyDescent="0.2">
      <c r="N641" s="131"/>
    </row>
    <row r="642" spans="14:14" x14ac:dyDescent="0.2">
      <c r="N642" s="131"/>
    </row>
    <row r="643" spans="14:14" x14ac:dyDescent="0.2">
      <c r="N643" s="131"/>
    </row>
    <row r="644" spans="14:14" x14ac:dyDescent="0.2">
      <c r="N644" s="131"/>
    </row>
    <row r="645" spans="14:14" x14ac:dyDescent="0.2">
      <c r="N645" s="131"/>
    </row>
    <row r="646" spans="14:14" x14ac:dyDescent="0.2">
      <c r="N646" s="131"/>
    </row>
    <row r="647" spans="14:14" x14ac:dyDescent="0.2">
      <c r="N647" s="131"/>
    </row>
    <row r="648" spans="14:14" x14ac:dyDescent="0.2">
      <c r="N648" s="131"/>
    </row>
    <row r="649" spans="14:14" x14ac:dyDescent="0.2">
      <c r="N649" s="131"/>
    </row>
    <row r="650" spans="14:14" x14ac:dyDescent="0.2">
      <c r="N650" s="131"/>
    </row>
    <row r="651" spans="14:14" x14ac:dyDescent="0.2">
      <c r="N651" s="131"/>
    </row>
    <row r="652" spans="14:14" x14ac:dyDescent="0.2">
      <c r="N652" s="131"/>
    </row>
    <row r="653" spans="14:14" x14ac:dyDescent="0.2">
      <c r="N653" s="131"/>
    </row>
    <row r="654" spans="14:14" x14ac:dyDescent="0.2">
      <c r="N654" s="131"/>
    </row>
    <row r="655" spans="14:14" x14ac:dyDescent="0.2">
      <c r="N655" s="131"/>
    </row>
    <row r="656" spans="14:14" x14ac:dyDescent="0.2">
      <c r="N656" s="131"/>
    </row>
    <row r="657" spans="14:14" x14ac:dyDescent="0.2">
      <c r="N657" s="131"/>
    </row>
    <row r="658" spans="14:14" x14ac:dyDescent="0.2">
      <c r="N658" s="131"/>
    </row>
    <row r="659" spans="14:14" x14ac:dyDescent="0.2">
      <c r="N659" s="131"/>
    </row>
    <row r="660" spans="14:14" x14ac:dyDescent="0.2">
      <c r="N660" s="131"/>
    </row>
    <row r="661" spans="14:14" x14ac:dyDescent="0.2">
      <c r="N661" s="131"/>
    </row>
    <row r="662" spans="14:14" x14ac:dyDescent="0.2">
      <c r="N662" s="131"/>
    </row>
    <row r="663" spans="14:14" x14ac:dyDescent="0.2">
      <c r="N663" s="131"/>
    </row>
    <row r="664" spans="14:14" x14ac:dyDescent="0.2">
      <c r="N664" s="131"/>
    </row>
    <row r="665" spans="14:14" x14ac:dyDescent="0.2">
      <c r="N665" s="131"/>
    </row>
    <row r="666" spans="14:14" x14ac:dyDescent="0.2">
      <c r="N666" s="131"/>
    </row>
    <row r="667" spans="14:14" x14ac:dyDescent="0.2">
      <c r="N667" s="131"/>
    </row>
    <row r="668" spans="14:14" x14ac:dyDescent="0.2">
      <c r="N668" s="131"/>
    </row>
    <row r="669" spans="14:14" x14ac:dyDescent="0.2">
      <c r="N669" s="131"/>
    </row>
    <row r="670" spans="14:14" x14ac:dyDescent="0.2">
      <c r="N670" s="131"/>
    </row>
    <row r="671" spans="14:14" x14ac:dyDescent="0.2">
      <c r="N671" s="131"/>
    </row>
    <row r="672" spans="14:14" x14ac:dyDescent="0.2">
      <c r="N672" s="131"/>
    </row>
    <row r="673" spans="14:14" x14ac:dyDescent="0.2">
      <c r="N673" s="131"/>
    </row>
    <row r="674" spans="14:14" x14ac:dyDescent="0.2">
      <c r="N674" s="131"/>
    </row>
    <row r="675" spans="14:14" x14ac:dyDescent="0.2">
      <c r="N675" s="131"/>
    </row>
    <row r="676" spans="14:14" x14ac:dyDescent="0.2">
      <c r="N676" s="131"/>
    </row>
    <row r="677" spans="14:14" x14ac:dyDescent="0.2">
      <c r="N677" s="131"/>
    </row>
    <row r="678" spans="14:14" x14ac:dyDescent="0.2">
      <c r="N678" s="131"/>
    </row>
    <row r="679" spans="14:14" x14ac:dyDescent="0.2">
      <c r="N679" s="131"/>
    </row>
    <row r="680" spans="14:14" x14ac:dyDescent="0.2">
      <c r="N680" s="131"/>
    </row>
    <row r="681" spans="14:14" x14ac:dyDescent="0.2">
      <c r="N681" s="131"/>
    </row>
    <row r="682" spans="14:14" x14ac:dyDescent="0.2">
      <c r="N682" s="131"/>
    </row>
    <row r="683" spans="14:14" x14ac:dyDescent="0.2">
      <c r="N683" s="131"/>
    </row>
    <row r="684" spans="14:14" x14ac:dyDescent="0.2">
      <c r="N684" s="131"/>
    </row>
    <row r="685" spans="14:14" x14ac:dyDescent="0.2">
      <c r="N685" s="131"/>
    </row>
    <row r="686" spans="14:14" x14ac:dyDescent="0.2">
      <c r="N686" s="131"/>
    </row>
    <row r="687" spans="14:14" x14ac:dyDescent="0.2">
      <c r="N687" s="131"/>
    </row>
    <row r="688" spans="14:14" x14ac:dyDescent="0.2">
      <c r="N688" s="131"/>
    </row>
    <row r="689" spans="14:14" x14ac:dyDescent="0.2">
      <c r="N689" s="131"/>
    </row>
    <row r="690" spans="14:14" x14ac:dyDescent="0.2">
      <c r="N690" s="131"/>
    </row>
    <row r="691" spans="14:14" x14ac:dyDescent="0.2">
      <c r="N691" s="131"/>
    </row>
    <row r="692" spans="14:14" x14ac:dyDescent="0.2">
      <c r="N692" s="131"/>
    </row>
    <row r="693" spans="14:14" x14ac:dyDescent="0.2">
      <c r="N693" s="131"/>
    </row>
    <row r="694" spans="14:14" x14ac:dyDescent="0.2">
      <c r="N694" s="131"/>
    </row>
    <row r="695" spans="14:14" x14ac:dyDescent="0.2">
      <c r="N695" s="131"/>
    </row>
    <row r="696" spans="14:14" x14ac:dyDescent="0.2">
      <c r="N696" s="131"/>
    </row>
    <row r="697" spans="14:14" x14ac:dyDescent="0.2">
      <c r="N697" s="131"/>
    </row>
    <row r="698" spans="14:14" x14ac:dyDescent="0.2">
      <c r="N698" s="131"/>
    </row>
    <row r="699" spans="14:14" x14ac:dyDescent="0.2">
      <c r="N699" s="131"/>
    </row>
    <row r="700" spans="14:14" x14ac:dyDescent="0.2">
      <c r="N700" s="131"/>
    </row>
    <row r="701" spans="14:14" x14ac:dyDescent="0.2">
      <c r="N701" s="131"/>
    </row>
    <row r="702" spans="14:14" x14ac:dyDescent="0.2">
      <c r="N702" s="131"/>
    </row>
    <row r="703" spans="14:14" x14ac:dyDescent="0.2">
      <c r="N703" s="131"/>
    </row>
    <row r="704" spans="14:14" x14ac:dyDescent="0.2">
      <c r="N704" s="131"/>
    </row>
    <row r="705" spans="14:14" x14ac:dyDescent="0.2">
      <c r="N705" s="131"/>
    </row>
    <row r="706" spans="14:14" x14ac:dyDescent="0.2">
      <c r="N706" s="131"/>
    </row>
    <row r="707" spans="14:14" x14ac:dyDescent="0.2">
      <c r="N707" s="131"/>
    </row>
    <row r="708" spans="14:14" x14ac:dyDescent="0.2">
      <c r="N708" s="131"/>
    </row>
    <row r="709" spans="14:14" x14ac:dyDescent="0.2">
      <c r="N709" s="131"/>
    </row>
    <row r="710" spans="14:14" x14ac:dyDescent="0.2">
      <c r="N710" s="131"/>
    </row>
    <row r="711" spans="14:14" x14ac:dyDescent="0.2">
      <c r="N711" s="131"/>
    </row>
    <row r="712" spans="14:14" x14ac:dyDescent="0.2">
      <c r="N712" s="131"/>
    </row>
    <row r="713" spans="14:14" x14ac:dyDescent="0.2">
      <c r="N713" s="131"/>
    </row>
    <row r="714" spans="14:14" x14ac:dyDescent="0.2">
      <c r="N714" s="131"/>
    </row>
    <row r="715" spans="14:14" x14ac:dyDescent="0.2">
      <c r="N715" s="131"/>
    </row>
    <row r="716" spans="14:14" x14ac:dyDescent="0.2">
      <c r="N716" s="131"/>
    </row>
    <row r="717" spans="14:14" x14ac:dyDescent="0.2">
      <c r="N717" s="131"/>
    </row>
    <row r="718" spans="14:14" x14ac:dyDescent="0.2">
      <c r="N718" s="131"/>
    </row>
    <row r="719" spans="14:14" x14ac:dyDescent="0.2">
      <c r="N719" s="131"/>
    </row>
    <row r="720" spans="14:14" x14ac:dyDescent="0.2">
      <c r="N720" s="131"/>
    </row>
    <row r="721" spans="14:14" x14ac:dyDescent="0.2">
      <c r="N721" s="131"/>
    </row>
    <row r="722" spans="14:14" x14ac:dyDescent="0.2">
      <c r="N722" s="131"/>
    </row>
    <row r="723" spans="14:14" x14ac:dyDescent="0.2">
      <c r="N723" s="131"/>
    </row>
    <row r="724" spans="14:14" x14ac:dyDescent="0.2">
      <c r="N724" s="131"/>
    </row>
    <row r="725" spans="14:14" x14ac:dyDescent="0.2">
      <c r="N725" s="131"/>
    </row>
    <row r="726" spans="14:14" x14ac:dyDescent="0.2">
      <c r="N726" s="131"/>
    </row>
    <row r="727" spans="14:14" x14ac:dyDescent="0.2">
      <c r="N727" s="131"/>
    </row>
    <row r="728" spans="14:14" x14ac:dyDescent="0.2">
      <c r="N728" s="131"/>
    </row>
    <row r="729" spans="14:14" x14ac:dyDescent="0.2">
      <c r="N729" s="131"/>
    </row>
    <row r="730" spans="14:14" x14ac:dyDescent="0.2">
      <c r="N730" s="131"/>
    </row>
    <row r="731" spans="14:14" x14ac:dyDescent="0.2">
      <c r="N731" s="131"/>
    </row>
    <row r="732" spans="14:14" x14ac:dyDescent="0.2">
      <c r="N732" s="131"/>
    </row>
    <row r="733" spans="14:14" x14ac:dyDescent="0.2">
      <c r="N733" s="131"/>
    </row>
    <row r="734" spans="14:14" x14ac:dyDescent="0.2">
      <c r="N734" s="131"/>
    </row>
    <row r="735" spans="14:14" x14ac:dyDescent="0.2">
      <c r="N735" s="131"/>
    </row>
    <row r="736" spans="14:14" x14ac:dyDescent="0.2">
      <c r="N736" s="131"/>
    </row>
    <row r="737" spans="14:14" x14ac:dyDescent="0.2">
      <c r="N737" s="131"/>
    </row>
    <row r="738" spans="14:14" x14ac:dyDescent="0.2">
      <c r="N738" s="131"/>
    </row>
    <row r="739" spans="14:14" x14ac:dyDescent="0.2">
      <c r="N739" s="131"/>
    </row>
    <row r="740" spans="14:14" x14ac:dyDescent="0.2">
      <c r="N740" s="131"/>
    </row>
    <row r="741" spans="14:14" x14ac:dyDescent="0.2">
      <c r="N741" s="131"/>
    </row>
    <row r="742" spans="14:14" x14ac:dyDescent="0.2">
      <c r="N742" s="131"/>
    </row>
    <row r="743" spans="14:14" x14ac:dyDescent="0.2">
      <c r="N743" s="131"/>
    </row>
    <row r="744" spans="14:14" x14ac:dyDescent="0.2">
      <c r="N744" s="131"/>
    </row>
    <row r="745" spans="14:14" x14ac:dyDescent="0.2">
      <c r="N745" s="131"/>
    </row>
    <row r="746" spans="14:14" x14ac:dyDescent="0.2">
      <c r="N746" s="131"/>
    </row>
    <row r="747" spans="14:14" x14ac:dyDescent="0.2">
      <c r="N747" s="131"/>
    </row>
    <row r="748" spans="14:14" x14ac:dyDescent="0.2">
      <c r="N748" s="131"/>
    </row>
    <row r="749" spans="14:14" x14ac:dyDescent="0.2">
      <c r="N749" s="131"/>
    </row>
    <row r="750" spans="14:14" x14ac:dyDescent="0.2">
      <c r="N750" s="131"/>
    </row>
    <row r="751" spans="14:14" x14ac:dyDescent="0.2">
      <c r="N751" s="131"/>
    </row>
    <row r="752" spans="14:14" x14ac:dyDescent="0.2">
      <c r="N752" s="131"/>
    </row>
    <row r="753" spans="14:14" x14ac:dyDescent="0.2">
      <c r="N753" s="131"/>
    </row>
    <row r="754" spans="14:14" x14ac:dyDescent="0.2">
      <c r="N754" s="131"/>
    </row>
    <row r="755" spans="14:14" x14ac:dyDescent="0.2">
      <c r="N755" s="131"/>
    </row>
    <row r="756" spans="14:14" x14ac:dyDescent="0.2">
      <c r="N756" s="131"/>
    </row>
    <row r="757" spans="14:14" x14ac:dyDescent="0.2">
      <c r="N757" s="131"/>
    </row>
    <row r="758" spans="14:14" x14ac:dyDescent="0.2">
      <c r="N758" s="131"/>
    </row>
    <row r="759" spans="14:14" x14ac:dyDescent="0.2">
      <c r="N759" s="131"/>
    </row>
    <row r="760" spans="14:14" x14ac:dyDescent="0.2">
      <c r="N760" s="131"/>
    </row>
    <row r="761" spans="14:14" x14ac:dyDescent="0.2">
      <c r="N761" s="131"/>
    </row>
    <row r="762" spans="14:14" x14ac:dyDescent="0.2">
      <c r="N762" s="131"/>
    </row>
    <row r="763" spans="14:14" x14ac:dyDescent="0.2">
      <c r="N763" s="131"/>
    </row>
    <row r="764" spans="14:14" x14ac:dyDescent="0.2">
      <c r="N764" s="131"/>
    </row>
    <row r="765" spans="14:14" x14ac:dyDescent="0.2">
      <c r="N765" s="131"/>
    </row>
    <row r="766" spans="14:14" x14ac:dyDescent="0.2">
      <c r="N766" s="131"/>
    </row>
    <row r="767" spans="14:14" x14ac:dyDescent="0.2">
      <c r="N767" s="131"/>
    </row>
    <row r="768" spans="14:14" x14ac:dyDescent="0.2">
      <c r="N768" s="131"/>
    </row>
    <row r="769" spans="14:14" x14ac:dyDescent="0.2">
      <c r="N769" s="131"/>
    </row>
    <row r="770" spans="14:14" x14ac:dyDescent="0.2">
      <c r="N770" s="131"/>
    </row>
    <row r="771" spans="14:14" x14ac:dyDescent="0.2">
      <c r="N771" s="131"/>
    </row>
    <row r="772" spans="14:14" x14ac:dyDescent="0.2">
      <c r="N772" s="131"/>
    </row>
    <row r="773" spans="14:14" x14ac:dyDescent="0.2">
      <c r="N773" s="131"/>
    </row>
    <row r="774" spans="14:14" x14ac:dyDescent="0.2">
      <c r="N774" s="131"/>
    </row>
    <row r="775" spans="14:14" x14ac:dyDescent="0.2">
      <c r="N775" s="131"/>
    </row>
    <row r="776" spans="14:14" x14ac:dyDescent="0.2">
      <c r="N776" s="131"/>
    </row>
    <row r="777" spans="14:14" x14ac:dyDescent="0.2">
      <c r="N777" s="131"/>
    </row>
    <row r="778" spans="14:14" x14ac:dyDescent="0.2">
      <c r="N778" s="131"/>
    </row>
    <row r="779" spans="14:14" x14ac:dyDescent="0.2">
      <c r="N779" s="131"/>
    </row>
    <row r="780" spans="14:14" x14ac:dyDescent="0.2">
      <c r="N780" s="131"/>
    </row>
    <row r="781" spans="14:14" x14ac:dyDescent="0.2">
      <c r="N781" s="131"/>
    </row>
    <row r="782" spans="14:14" x14ac:dyDescent="0.2">
      <c r="N782" s="131"/>
    </row>
    <row r="783" spans="14:14" x14ac:dyDescent="0.2">
      <c r="N783" s="131"/>
    </row>
    <row r="784" spans="14:14" x14ac:dyDescent="0.2">
      <c r="N784" s="131"/>
    </row>
    <row r="785" spans="14:14" x14ac:dyDescent="0.2">
      <c r="N785" s="131"/>
    </row>
    <row r="786" spans="14:14" x14ac:dyDescent="0.2">
      <c r="N786" s="131"/>
    </row>
    <row r="787" spans="14:14" x14ac:dyDescent="0.2">
      <c r="N787" s="131"/>
    </row>
    <row r="788" spans="14:14" x14ac:dyDescent="0.2">
      <c r="N788" s="131"/>
    </row>
    <row r="789" spans="14:14" x14ac:dyDescent="0.2">
      <c r="N789" s="131"/>
    </row>
    <row r="790" spans="14:14" x14ac:dyDescent="0.2">
      <c r="N790" s="131"/>
    </row>
    <row r="791" spans="14:14" x14ac:dyDescent="0.2">
      <c r="N791" s="131"/>
    </row>
    <row r="792" spans="14:14" x14ac:dyDescent="0.2">
      <c r="N792" s="131"/>
    </row>
    <row r="793" spans="14:14" x14ac:dyDescent="0.2">
      <c r="N793" s="131"/>
    </row>
    <row r="794" spans="14:14" x14ac:dyDescent="0.2">
      <c r="N794" s="131"/>
    </row>
    <row r="795" spans="14:14" x14ac:dyDescent="0.2">
      <c r="N795" s="131"/>
    </row>
    <row r="796" spans="14:14" x14ac:dyDescent="0.2">
      <c r="N796" s="131"/>
    </row>
    <row r="797" spans="14:14" x14ac:dyDescent="0.2">
      <c r="N797" s="131"/>
    </row>
    <row r="798" spans="14:14" x14ac:dyDescent="0.2">
      <c r="N798" s="131"/>
    </row>
    <row r="799" spans="14:14" x14ac:dyDescent="0.2">
      <c r="N799" s="131"/>
    </row>
    <row r="800" spans="14:14" x14ac:dyDescent="0.2">
      <c r="N800" s="131"/>
    </row>
    <row r="801" spans="14:14" x14ac:dyDescent="0.2">
      <c r="N801" s="131"/>
    </row>
    <row r="802" spans="14:14" x14ac:dyDescent="0.2">
      <c r="N802" s="131"/>
    </row>
    <row r="803" spans="14:14" x14ac:dyDescent="0.2">
      <c r="N803" s="131"/>
    </row>
    <row r="804" spans="14:14" x14ac:dyDescent="0.2">
      <c r="N804" s="131"/>
    </row>
    <row r="805" spans="14:14" x14ac:dyDescent="0.2">
      <c r="N805" s="131"/>
    </row>
    <row r="806" spans="14:14" x14ac:dyDescent="0.2">
      <c r="N806" s="131"/>
    </row>
    <row r="807" spans="14:14" x14ac:dyDescent="0.2">
      <c r="N807" s="131"/>
    </row>
    <row r="808" spans="14:14" x14ac:dyDescent="0.2">
      <c r="N808" s="131"/>
    </row>
    <row r="809" spans="14:14" x14ac:dyDescent="0.2">
      <c r="N809" s="131"/>
    </row>
    <row r="810" spans="14:14" x14ac:dyDescent="0.2">
      <c r="N810" s="131"/>
    </row>
    <row r="811" spans="14:14" x14ac:dyDescent="0.2">
      <c r="N811" s="131"/>
    </row>
    <row r="812" spans="14:14" x14ac:dyDescent="0.2">
      <c r="N812" s="131"/>
    </row>
    <row r="813" spans="14:14" x14ac:dyDescent="0.2">
      <c r="N813" s="131"/>
    </row>
    <row r="814" spans="14:14" x14ac:dyDescent="0.2">
      <c r="N814" s="131"/>
    </row>
    <row r="815" spans="14:14" x14ac:dyDescent="0.2">
      <c r="N815" s="131"/>
    </row>
    <row r="816" spans="14:14" x14ac:dyDescent="0.2">
      <c r="N816" s="131"/>
    </row>
    <row r="817" spans="14:14" x14ac:dyDescent="0.2">
      <c r="N817" s="131"/>
    </row>
    <row r="818" spans="14:14" x14ac:dyDescent="0.2">
      <c r="N818" s="131"/>
    </row>
    <row r="819" spans="14:14" x14ac:dyDescent="0.2">
      <c r="N819" s="131"/>
    </row>
    <row r="820" spans="14:14" x14ac:dyDescent="0.2">
      <c r="N820" s="131"/>
    </row>
    <row r="821" spans="14:14" x14ac:dyDescent="0.2">
      <c r="N821" s="131"/>
    </row>
    <row r="822" spans="14:14" x14ac:dyDescent="0.2">
      <c r="N822" s="131"/>
    </row>
    <row r="823" spans="14:14" x14ac:dyDescent="0.2">
      <c r="N823" s="131"/>
    </row>
    <row r="824" spans="14:14" x14ac:dyDescent="0.2">
      <c r="N824" s="131"/>
    </row>
    <row r="825" spans="14:14" x14ac:dyDescent="0.2">
      <c r="N825" s="131"/>
    </row>
    <row r="826" spans="14:14" x14ac:dyDescent="0.2">
      <c r="N826" s="131"/>
    </row>
    <row r="827" spans="14:14" x14ac:dyDescent="0.2">
      <c r="N827" s="131"/>
    </row>
    <row r="828" spans="14:14" x14ac:dyDescent="0.2">
      <c r="N828" s="131"/>
    </row>
    <row r="829" spans="14:14" x14ac:dyDescent="0.2">
      <c r="N829" s="131"/>
    </row>
    <row r="830" spans="14:14" x14ac:dyDescent="0.2">
      <c r="N830" s="131"/>
    </row>
    <row r="831" spans="14:14" x14ac:dyDescent="0.2">
      <c r="N831" s="131"/>
    </row>
    <row r="832" spans="14:14" x14ac:dyDescent="0.2">
      <c r="N832" s="131"/>
    </row>
    <row r="833" spans="14:14" x14ac:dyDescent="0.2">
      <c r="N833" s="131"/>
    </row>
    <row r="834" spans="14:14" x14ac:dyDescent="0.2">
      <c r="N834" s="131"/>
    </row>
    <row r="835" spans="14:14" x14ac:dyDescent="0.2">
      <c r="N835" s="131"/>
    </row>
    <row r="836" spans="14:14" x14ac:dyDescent="0.2">
      <c r="N836" s="131"/>
    </row>
    <row r="837" spans="14:14" x14ac:dyDescent="0.2">
      <c r="N837" s="131"/>
    </row>
    <row r="838" spans="14:14" x14ac:dyDescent="0.2">
      <c r="N838" s="131"/>
    </row>
    <row r="839" spans="14:14" x14ac:dyDescent="0.2">
      <c r="N839" s="131"/>
    </row>
    <row r="840" spans="14:14" x14ac:dyDescent="0.2">
      <c r="N840" s="131"/>
    </row>
    <row r="841" spans="14:14" x14ac:dyDescent="0.2">
      <c r="N841" s="131"/>
    </row>
    <row r="842" spans="14:14" x14ac:dyDescent="0.2">
      <c r="N842" s="131"/>
    </row>
    <row r="843" spans="14:14" x14ac:dyDescent="0.2">
      <c r="N843" s="131"/>
    </row>
    <row r="844" spans="14:14" x14ac:dyDescent="0.2">
      <c r="N844" s="131"/>
    </row>
    <row r="845" spans="14:14" x14ac:dyDescent="0.2">
      <c r="N845" s="131"/>
    </row>
    <row r="846" spans="14:14" x14ac:dyDescent="0.2">
      <c r="N846" s="131"/>
    </row>
    <row r="847" spans="14:14" x14ac:dyDescent="0.2">
      <c r="N847" s="131"/>
    </row>
    <row r="848" spans="14:14" x14ac:dyDescent="0.2">
      <c r="N848" s="131"/>
    </row>
    <row r="849" spans="14:14" x14ac:dyDescent="0.2">
      <c r="N849" s="131"/>
    </row>
    <row r="850" spans="14:14" x14ac:dyDescent="0.2">
      <c r="N850" s="131"/>
    </row>
    <row r="851" spans="14:14" x14ac:dyDescent="0.2">
      <c r="N851" s="131"/>
    </row>
    <row r="852" spans="14:14" x14ac:dyDescent="0.2">
      <c r="N852" s="131"/>
    </row>
    <row r="853" spans="14:14" x14ac:dyDescent="0.2">
      <c r="N853" s="131"/>
    </row>
    <row r="854" spans="14:14" x14ac:dyDescent="0.2">
      <c r="N854" s="131"/>
    </row>
    <row r="855" spans="14:14" x14ac:dyDescent="0.2">
      <c r="N855" s="131"/>
    </row>
    <row r="856" spans="14:14" x14ac:dyDescent="0.2">
      <c r="N856" s="131"/>
    </row>
    <row r="857" spans="14:14" x14ac:dyDescent="0.2">
      <c r="N857" s="131"/>
    </row>
    <row r="858" spans="14:14" x14ac:dyDescent="0.2">
      <c r="N858" s="131"/>
    </row>
    <row r="859" spans="14:14" x14ac:dyDescent="0.2">
      <c r="N859" s="131"/>
    </row>
    <row r="860" spans="14:14" x14ac:dyDescent="0.2">
      <c r="N860" s="131"/>
    </row>
    <row r="861" spans="14:14" x14ac:dyDescent="0.2">
      <c r="N861" s="131"/>
    </row>
    <row r="862" spans="14:14" x14ac:dyDescent="0.2">
      <c r="N862" s="131"/>
    </row>
    <row r="863" spans="14:14" x14ac:dyDescent="0.2">
      <c r="N863" s="131"/>
    </row>
    <row r="864" spans="14:14" x14ac:dyDescent="0.2">
      <c r="N864" s="131"/>
    </row>
    <row r="865" spans="14:14" x14ac:dyDescent="0.2">
      <c r="N865" s="131"/>
    </row>
    <row r="866" spans="14:14" x14ac:dyDescent="0.2">
      <c r="N866" s="131"/>
    </row>
    <row r="867" spans="14:14" x14ac:dyDescent="0.2">
      <c r="N867" s="131"/>
    </row>
    <row r="868" spans="14:14" x14ac:dyDescent="0.2">
      <c r="N868" s="131"/>
    </row>
    <row r="869" spans="14:14" x14ac:dyDescent="0.2">
      <c r="N869" s="131"/>
    </row>
    <row r="870" spans="14:14" x14ac:dyDescent="0.2">
      <c r="N870" s="131"/>
    </row>
    <row r="871" spans="14:14" x14ac:dyDescent="0.2">
      <c r="N871" s="131"/>
    </row>
    <row r="872" spans="14:14" x14ac:dyDescent="0.2">
      <c r="N872" s="131"/>
    </row>
    <row r="873" spans="14:14" x14ac:dyDescent="0.2">
      <c r="N873" s="131"/>
    </row>
    <row r="874" spans="14:14" x14ac:dyDescent="0.2">
      <c r="N874" s="131"/>
    </row>
    <row r="875" spans="14:14" x14ac:dyDescent="0.2">
      <c r="N875" s="131"/>
    </row>
    <row r="876" spans="14:14" x14ac:dyDescent="0.2">
      <c r="N876" s="131"/>
    </row>
    <row r="877" spans="14:14" x14ac:dyDescent="0.2">
      <c r="N877" s="131"/>
    </row>
    <row r="878" spans="14:14" x14ac:dyDescent="0.2">
      <c r="N878" s="131"/>
    </row>
    <row r="879" spans="14:14" x14ac:dyDescent="0.2">
      <c r="N879" s="131"/>
    </row>
    <row r="880" spans="14:14" x14ac:dyDescent="0.2">
      <c r="N880" s="131"/>
    </row>
    <row r="881" spans="14:14" x14ac:dyDescent="0.2">
      <c r="N881" s="131"/>
    </row>
    <row r="882" spans="14:14" x14ac:dyDescent="0.2">
      <c r="N882" s="131"/>
    </row>
    <row r="883" spans="14:14" x14ac:dyDescent="0.2">
      <c r="N883" s="131"/>
    </row>
    <row r="884" spans="14:14" x14ac:dyDescent="0.2">
      <c r="N884" s="131"/>
    </row>
    <row r="885" spans="14:14" x14ac:dyDescent="0.2">
      <c r="N885" s="131"/>
    </row>
    <row r="886" spans="14:14" x14ac:dyDescent="0.2">
      <c r="N886" s="131"/>
    </row>
    <row r="887" spans="14:14" x14ac:dyDescent="0.2">
      <c r="N887" s="131"/>
    </row>
    <row r="888" spans="14:14" x14ac:dyDescent="0.2">
      <c r="N888" s="131"/>
    </row>
    <row r="889" spans="14:14" x14ac:dyDescent="0.2">
      <c r="N889" s="131"/>
    </row>
    <row r="890" spans="14:14" x14ac:dyDescent="0.2">
      <c r="N890" s="131"/>
    </row>
    <row r="891" spans="14:14" x14ac:dyDescent="0.2">
      <c r="N891" s="131"/>
    </row>
    <row r="892" spans="14:14" x14ac:dyDescent="0.2">
      <c r="N892" s="131"/>
    </row>
    <row r="893" spans="14:14" x14ac:dyDescent="0.2">
      <c r="N893" s="131"/>
    </row>
    <row r="894" spans="14:14" x14ac:dyDescent="0.2">
      <c r="N894" s="131"/>
    </row>
    <row r="895" spans="14:14" x14ac:dyDescent="0.2">
      <c r="N895" s="131"/>
    </row>
    <row r="896" spans="14:14" x14ac:dyDescent="0.2">
      <c r="N896" s="131"/>
    </row>
    <row r="897" spans="14:14" x14ac:dyDescent="0.2">
      <c r="N897" s="131"/>
    </row>
    <row r="898" spans="14:14" x14ac:dyDescent="0.2">
      <c r="N898" s="131"/>
    </row>
    <row r="899" spans="14:14" x14ac:dyDescent="0.2">
      <c r="N899" s="131"/>
    </row>
    <row r="900" spans="14:14" x14ac:dyDescent="0.2">
      <c r="N900" s="131"/>
    </row>
    <row r="901" spans="14:14" x14ac:dyDescent="0.2">
      <c r="N901" s="131"/>
    </row>
    <row r="902" spans="14:14" x14ac:dyDescent="0.2">
      <c r="N902" s="131"/>
    </row>
    <row r="903" spans="14:14" x14ac:dyDescent="0.2">
      <c r="N903" s="131"/>
    </row>
    <row r="904" spans="14:14" x14ac:dyDescent="0.2">
      <c r="N904" s="131"/>
    </row>
    <row r="905" spans="14:14" x14ac:dyDescent="0.2">
      <c r="N905" s="131"/>
    </row>
    <row r="906" spans="14:14" x14ac:dyDescent="0.2">
      <c r="N906" s="131"/>
    </row>
    <row r="907" spans="14:14" x14ac:dyDescent="0.2">
      <c r="N907" s="131"/>
    </row>
    <row r="908" spans="14:14" x14ac:dyDescent="0.2">
      <c r="N908" s="131"/>
    </row>
    <row r="909" spans="14:14" x14ac:dyDescent="0.2">
      <c r="N909" s="131"/>
    </row>
    <row r="910" spans="14:14" x14ac:dyDescent="0.2">
      <c r="N910" s="131"/>
    </row>
    <row r="911" spans="14:14" x14ac:dyDescent="0.2">
      <c r="N911" s="131"/>
    </row>
    <row r="912" spans="14:14" x14ac:dyDescent="0.2">
      <c r="N912" s="131"/>
    </row>
    <row r="913" spans="14:14" x14ac:dyDescent="0.2">
      <c r="N913" s="131"/>
    </row>
    <row r="914" spans="14:14" x14ac:dyDescent="0.2">
      <c r="N914" s="131"/>
    </row>
    <row r="915" spans="14:14" x14ac:dyDescent="0.2">
      <c r="N915" s="131"/>
    </row>
    <row r="916" spans="14:14" x14ac:dyDescent="0.2">
      <c r="N916" s="131"/>
    </row>
    <row r="917" spans="14:14" x14ac:dyDescent="0.2">
      <c r="N917" s="131"/>
    </row>
    <row r="918" spans="14:14" x14ac:dyDescent="0.2">
      <c r="N918" s="131"/>
    </row>
    <row r="919" spans="14:14" x14ac:dyDescent="0.2">
      <c r="N919" s="131"/>
    </row>
    <row r="920" spans="14:14" x14ac:dyDescent="0.2">
      <c r="N920" s="131"/>
    </row>
    <row r="921" spans="14:14" x14ac:dyDescent="0.2">
      <c r="N921" s="131"/>
    </row>
    <row r="922" spans="14:14" x14ac:dyDescent="0.2">
      <c r="N922" s="131"/>
    </row>
    <row r="923" spans="14:14" x14ac:dyDescent="0.2">
      <c r="N923" s="131"/>
    </row>
    <row r="924" spans="14:14" x14ac:dyDescent="0.2">
      <c r="N924" s="131"/>
    </row>
    <row r="925" spans="14:14" x14ac:dyDescent="0.2">
      <c r="N925" s="131"/>
    </row>
    <row r="926" spans="14:14" x14ac:dyDescent="0.2">
      <c r="N926" s="131"/>
    </row>
    <row r="927" spans="14:14" x14ac:dyDescent="0.2">
      <c r="N927" s="131"/>
    </row>
    <row r="928" spans="14:14" x14ac:dyDescent="0.2">
      <c r="N928" s="131"/>
    </row>
    <row r="929" spans="14:14" x14ac:dyDescent="0.2">
      <c r="N929" s="131"/>
    </row>
    <row r="930" spans="14:14" x14ac:dyDescent="0.2">
      <c r="N930" s="131"/>
    </row>
    <row r="931" spans="14:14" x14ac:dyDescent="0.2">
      <c r="N931" s="131"/>
    </row>
    <row r="932" spans="14:14" x14ac:dyDescent="0.2">
      <c r="N932" s="131"/>
    </row>
    <row r="933" spans="14:14" x14ac:dyDescent="0.2">
      <c r="N933" s="131"/>
    </row>
    <row r="934" spans="14:14" x14ac:dyDescent="0.2">
      <c r="N934" s="131"/>
    </row>
    <row r="935" spans="14:14" x14ac:dyDescent="0.2">
      <c r="N935" s="131"/>
    </row>
    <row r="936" spans="14:14" x14ac:dyDescent="0.2">
      <c r="N936" s="131"/>
    </row>
    <row r="937" spans="14:14" x14ac:dyDescent="0.2">
      <c r="N937" s="131"/>
    </row>
    <row r="938" spans="14:14" x14ac:dyDescent="0.2">
      <c r="N938" s="131"/>
    </row>
    <row r="939" spans="14:14" x14ac:dyDescent="0.2">
      <c r="N939" s="131"/>
    </row>
    <row r="940" spans="14:14" x14ac:dyDescent="0.2">
      <c r="N940" s="131"/>
    </row>
    <row r="941" spans="14:14" x14ac:dyDescent="0.2">
      <c r="N941" s="131"/>
    </row>
    <row r="942" spans="14:14" x14ac:dyDescent="0.2">
      <c r="N942" s="131"/>
    </row>
    <row r="943" spans="14:14" x14ac:dyDescent="0.2">
      <c r="N943" s="131"/>
    </row>
    <row r="944" spans="14:14" x14ac:dyDescent="0.2">
      <c r="N944" s="131"/>
    </row>
    <row r="945" spans="14:14" x14ac:dyDescent="0.2">
      <c r="N945" s="131"/>
    </row>
    <row r="946" spans="14:14" x14ac:dyDescent="0.2">
      <c r="N946" s="131"/>
    </row>
    <row r="947" spans="14:14" x14ac:dyDescent="0.2">
      <c r="N947" s="131"/>
    </row>
    <row r="948" spans="14:14" x14ac:dyDescent="0.2">
      <c r="N948" s="131"/>
    </row>
    <row r="949" spans="14:14" x14ac:dyDescent="0.2">
      <c r="N949" s="131"/>
    </row>
    <row r="950" spans="14:14" x14ac:dyDescent="0.2">
      <c r="N950" s="131"/>
    </row>
    <row r="951" spans="14:14" x14ac:dyDescent="0.2">
      <c r="N951" s="131"/>
    </row>
    <row r="952" spans="14:14" x14ac:dyDescent="0.2">
      <c r="N952" s="131"/>
    </row>
    <row r="953" spans="14:14" x14ac:dyDescent="0.2">
      <c r="N953" s="131"/>
    </row>
    <row r="954" spans="14:14" x14ac:dyDescent="0.2">
      <c r="N954" s="131"/>
    </row>
    <row r="955" spans="14:14" x14ac:dyDescent="0.2">
      <c r="N955" s="131"/>
    </row>
    <row r="956" spans="14:14" x14ac:dyDescent="0.2">
      <c r="N956" s="131"/>
    </row>
    <row r="957" spans="14:14" x14ac:dyDescent="0.2">
      <c r="N957" s="131"/>
    </row>
    <row r="958" spans="14:14" x14ac:dyDescent="0.2">
      <c r="N958" s="131"/>
    </row>
    <row r="959" spans="14:14" x14ac:dyDescent="0.2">
      <c r="N959" s="131"/>
    </row>
    <row r="960" spans="14:14" x14ac:dyDescent="0.2">
      <c r="N960" s="131"/>
    </row>
    <row r="961" spans="14:14" x14ac:dyDescent="0.2">
      <c r="N961" s="131"/>
    </row>
    <row r="962" spans="14:14" x14ac:dyDescent="0.2">
      <c r="N962" s="131"/>
    </row>
    <row r="963" spans="14:14" x14ac:dyDescent="0.2">
      <c r="N963" s="131"/>
    </row>
    <row r="964" spans="14:14" x14ac:dyDescent="0.2">
      <c r="N964" s="131"/>
    </row>
    <row r="965" spans="14:14" x14ac:dyDescent="0.2">
      <c r="N965" s="131"/>
    </row>
    <row r="966" spans="14:14" x14ac:dyDescent="0.2">
      <c r="N966" s="131"/>
    </row>
    <row r="967" spans="14:14" x14ac:dyDescent="0.2">
      <c r="N967" s="131"/>
    </row>
    <row r="968" spans="14:14" x14ac:dyDescent="0.2">
      <c r="N968" s="131"/>
    </row>
    <row r="969" spans="14:14" x14ac:dyDescent="0.2">
      <c r="N969" s="131"/>
    </row>
    <row r="970" spans="14:14" x14ac:dyDescent="0.2">
      <c r="N970" s="131"/>
    </row>
    <row r="971" spans="14:14" x14ac:dyDescent="0.2">
      <c r="N971" s="131"/>
    </row>
    <row r="972" spans="14:14" x14ac:dyDescent="0.2">
      <c r="N972" s="131"/>
    </row>
    <row r="973" spans="14:14" x14ac:dyDescent="0.2">
      <c r="N973" s="131"/>
    </row>
    <row r="974" spans="14:14" x14ac:dyDescent="0.2">
      <c r="N974" s="131"/>
    </row>
    <row r="975" spans="14:14" x14ac:dyDescent="0.2">
      <c r="N975" s="131"/>
    </row>
    <row r="976" spans="14:14" x14ac:dyDescent="0.2">
      <c r="N976" s="131"/>
    </row>
    <row r="977" spans="14:14" x14ac:dyDescent="0.2">
      <c r="N977" s="131"/>
    </row>
    <row r="978" spans="14:14" x14ac:dyDescent="0.2">
      <c r="N978" s="131"/>
    </row>
    <row r="979" spans="14:14" x14ac:dyDescent="0.2">
      <c r="N979" s="131"/>
    </row>
    <row r="980" spans="14:14" x14ac:dyDescent="0.2">
      <c r="N980" s="131"/>
    </row>
    <row r="981" spans="14:14" x14ac:dyDescent="0.2">
      <c r="N981" s="131"/>
    </row>
    <row r="982" spans="14:14" x14ac:dyDescent="0.2">
      <c r="N982" s="131"/>
    </row>
    <row r="983" spans="14:14" x14ac:dyDescent="0.2">
      <c r="N983" s="131"/>
    </row>
    <row r="984" spans="14:14" x14ac:dyDescent="0.2">
      <c r="N984" s="131"/>
    </row>
    <row r="985" spans="14:14" x14ac:dyDescent="0.2">
      <c r="N985" s="131"/>
    </row>
    <row r="986" spans="14:14" x14ac:dyDescent="0.2">
      <c r="N986" s="131"/>
    </row>
    <row r="987" spans="14:14" x14ac:dyDescent="0.2">
      <c r="N987" s="131"/>
    </row>
    <row r="988" spans="14:14" x14ac:dyDescent="0.2">
      <c r="N988" s="131"/>
    </row>
    <row r="989" spans="14:14" x14ac:dyDescent="0.2">
      <c r="N989" s="131"/>
    </row>
    <row r="990" spans="14:14" x14ac:dyDescent="0.2">
      <c r="N990" s="131"/>
    </row>
    <row r="991" spans="14:14" x14ac:dyDescent="0.2">
      <c r="N991" s="131"/>
    </row>
    <row r="992" spans="14:14" x14ac:dyDescent="0.2">
      <c r="N992" s="131"/>
    </row>
    <row r="993" spans="14:14" x14ac:dyDescent="0.2">
      <c r="N993" s="131"/>
    </row>
    <row r="994" spans="14:14" x14ac:dyDescent="0.2">
      <c r="N994" s="131"/>
    </row>
    <row r="995" spans="14:14" x14ac:dyDescent="0.2">
      <c r="N995" s="131"/>
    </row>
    <row r="996" spans="14:14" x14ac:dyDescent="0.2">
      <c r="N996" s="131"/>
    </row>
    <row r="997" spans="14:14" x14ac:dyDescent="0.2">
      <c r="N997" s="131"/>
    </row>
    <row r="998" spans="14:14" x14ac:dyDescent="0.2">
      <c r="N998" s="131"/>
    </row>
    <row r="999" spans="14:14" x14ac:dyDescent="0.2">
      <c r="N999" s="131"/>
    </row>
    <row r="1000" spans="14:14" x14ac:dyDescent="0.2">
      <c r="N1000" s="131"/>
    </row>
    <row r="1001" spans="14:14" x14ac:dyDescent="0.2">
      <c r="N1001" s="131"/>
    </row>
    <row r="1002" spans="14:14" x14ac:dyDescent="0.2">
      <c r="N1002" s="131"/>
    </row>
    <row r="1003" spans="14:14" x14ac:dyDescent="0.2">
      <c r="N1003" s="131"/>
    </row>
    <row r="1004" spans="14:14" x14ac:dyDescent="0.2">
      <c r="N1004" s="131"/>
    </row>
    <row r="1005" spans="14:14" x14ac:dyDescent="0.2">
      <c r="N1005" s="131"/>
    </row>
    <row r="1006" spans="14:14" x14ac:dyDescent="0.2">
      <c r="N1006" s="131"/>
    </row>
    <row r="1007" spans="14:14" x14ac:dyDescent="0.2">
      <c r="N1007" s="131"/>
    </row>
    <row r="1008" spans="14:14" x14ac:dyDescent="0.2">
      <c r="N1008" s="131"/>
    </row>
    <row r="1009" spans="14:14" x14ac:dyDescent="0.2">
      <c r="N1009" s="131"/>
    </row>
    <row r="1010" spans="14:14" x14ac:dyDescent="0.2">
      <c r="N1010" s="131"/>
    </row>
    <row r="1011" spans="14:14" x14ac:dyDescent="0.2">
      <c r="N1011" s="131"/>
    </row>
    <row r="1012" spans="14:14" x14ac:dyDescent="0.2">
      <c r="N1012" s="131"/>
    </row>
    <row r="1013" spans="14:14" x14ac:dyDescent="0.2">
      <c r="N1013" s="131"/>
    </row>
    <row r="1014" spans="14:14" x14ac:dyDescent="0.2">
      <c r="N1014" s="131"/>
    </row>
    <row r="1015" spans="14:14" x14ac:dyDescent="0.2">
      <c r="N1015" s="131"/>
    </row>
    <row r="1016" spans="14:14" x14ac:dyDescent="0.2">
      <c r="N1016" s="131"/>
    </row>
    <row r="1017" spans="14:14" x14ac:dyDescent="0.2">
      <c r="N1017" s="131"/>
    </row>
    <row r="1018" spans="14:14" x14ac:dyDescent="0.2">
      <c r="N1018" s="131"/>
    </row>
    <row r="1019" spans="14:14" x14ac:dyDescent="0.2">
      <c r="N1019" s="131"/>
    </row>
    <row r="1020" spans="14:14" x14ac:dyDescent="0.2">
      <c r="N1020" s="131"/>
    </row>
    <row r="1021" spans="14:14" x14ac:dyDescent="0.2">
      <c r="N1021" s="131"/>
    </row>
    <row r="1022" spans="14:14" x14ac:dyDescent="0.2">
      <c r="N1022" s="131"/>
    </row>
    <row r="1023" spans="14:14" x14ac:dyDescent="0.2">
      <c r="N1023" s="131"/>
    </row>
    <row r="1024" spans="14:14" x14ac:dyDescent="0.2">
      <c r="N1024" s="131"/>
    </row>
    <row r="1025" spans="14:14" x14ac:dyDescent="0.2">
      <c r="N1025" s="131"/>
    </row>
    <row r="1026" spans="14:14" x14ac:dyDescent="0.2">
      <c r="N1026" s="131"/>
    </row>
    <row r="1027" spans="14:14" x14ac:dyDescent="0.2">
      <c r="N1027" s="131"/>
    </row>
    <row r="1028" spans="14:14" x14ac:dyDescent="0.2">
      <c r="N1028" s="131"/>
    </row>
    <row r="1029" spans="14:14" x14ac:dyDescent="0.2">
      <c r="N1029" s="131"/>
    </row>
    <row r="1030" spans="14:14" x14ac:dyDescent="0.2">
      <c r="N1030" s="131"/>
    </row>
    <row r="1031" spans="14:14" x14ac:dyDescent="0.2">
      <c r="N1031" s="131"/>
    </row>
    <row r="1032" spans="14:14" x14ac:dyDescent="0.2">
      <c r="N1032" s="131"/>
    </row>
    <row r="1033" spans="14:14" x14ac:dyDescent="0.2">
      <c r="N1033" s="131"/>
    </row>
    <row r="1034" spans="14:14" x14ac:dyDescent="0.2">
      <c r="N1034" s="131"/>
    </row>
    <row r="1035" spans="14:14" x14ac:dyDescent="0.2">
      <c r="N1035" s="131"/>
    </row>
    <row r="1036" spans="14:14" x14ac:dyDescent="0.2">
      <c r="N1036" s="131"/>
    </row>
    <row r="1037" spans="14:14" x14ac:dyDescent="0.2">
      <c r="N1037" s="131"/>
    </row>
    <row r="1038" spans="14:14" x14ac:dyDescent="0.2">
      <c r="N1038" s="131"/>
    </row>
    <row r="1039" spans="14:14" x14ac:dyDescent="0.2">
      <c r="N1039" s="131"/>
    </row>
    <row r="1040" spans="14:14" x14ac:dyDescent="0.2">
      <c r="N1040" s="131"/>
    </row>
    <row r="1041" spans="14:14" x14ac:dyDescent="0.2">
      <c r="N1041" s="131"/>
    </row>
    <row r="1042" spans="14:14" x14ac:dyDescent="0.2">
      <c r="N1042" s="131"/>
    </row>
    <row r="1043" spans="14:14" x14ac:dyDescent="0.2">
      <c r="N1043" s="131"/>
    </row>
    <row r="1044" spans="14:14" x14ac:dyDescent="0.2">
      <c r="N1044" s="131"/>
    </row>
    <row r="1045" spans="14:14" x14ac:dyDescent="0.2">
      <c r="N1045" s="131"/>
    </row>
    <row r="1046" spans="14:14" x14ac:dyDescent="0.2">
      <c r="N1046" s="131"/>
    </row>
    <row r="1047" spans="14:14" x14ac:dyDescent="0.2">
      <c r="N1047" s="131"/>
    </row>
    <row r="1048" spans="14:14" x14ac:dyDescent="0.2">
      <c r="N1048" s="131"/>
    </row>
    <row r="1049" spans="14:14" x14ac:dyDescent="0.2">
      <c r="N1049" s="131"/>
    </row>
    <row r="1050" spans="14:14" x14ac:dyDescent="0.2">
      <c r="N1050" s="131"/>
    </row>
    <row r="1051" spans="14:14" x14ac:dyDescent="0.2">
      <c r="N1051" s="131"/>
    </row>
    <row r="1052" spans="14:14" x14ac:dyDescent="0.2">
      <c r="N1052" s="131"/>
    </row>
    <row r="1053" spans="14:14" x14ac:dyDescent="0.2">
      <c r="N1053" s="131"/>
    </row>
    <row r="1054" spans="14:14" x14ac:dyDescent="0.2">
      <c r="N1054" s="131"/>
    </row>
    <row r="1055" spans="14:14" x14ac:dyDescent="0.2">
      <c r="N1055" s="131"/>
    </row>
    <row r="1056" spans="14:14" x14ac:dyDescent="0.2">
      <c r="N1056" s="131"/>
    </row>
    <row r="1057" spans="14:14" x14ac:dyDescent="0.2">
      <c r="N1057" s="131"/>
    </row>
    <row r="1058" spans="14:14" x14ac:dyDescent="0.2">
      <c r="N1058" s="131"/>
    </row>
    <row r="1059" spans="14:14" x14ac:dyDescent="0.2">
      <c r="N1059" s="131"/>
    </row>
    <row r="1060" spans="14:14" x14ac:dyDescent="0.2">
      <c r="N1060" s="131"/>
    </row>
    <row r="1061" spans="14:14" x14ac:dyDescent="0.2">
      <c r="N1061" s="131"/>
    </row>
    <row r="1062" spans="14:14" x14ac:dyDescent="0.2">
      <c r="N1062" s="131"/>
    </row>
    <row r="1063" spans="14:14" x14ac:dyDescent="0.2">
      <c r="N1063" s="131"/>
    </row>
    <row r="1064" spans="14:14" x14ac:dyDescent="0.2">
      <c r="N1064" s="131"/>
    </row>
    <row r="1065" spans="14:14" x14ac:dyDescent="0.2">
      <c r="N1065" s="131"/>
    </row>
    <row r="1066" spans="14:14" x14ac:dyDescent="0.2">
      <c r="N1066" s="131"/>
    </row>
    <row r="1067" spans="14:14" x14ac:dyDescent="0.2">
      <c r="N1067" s="131"/>
    </row>
    <row r="1068" spans="14:14" x14ac:dyDescent="0.2">
      <c r="N1068" s="131"/>
    </row>
    <row r="1069" spans="14:14" x14ac:dyDescent="0.2">
      <c r="N1069" s="131"/>
    </row>
    <row r="1070" spans="14:14" x14ac:dyDescent="0.2">
      <c r="N1070" s="131"/>
    </row>
    <row r="1071" spans="14:14" x14ac:dyDescent="0.2">
      <c r="N1071" s="131"/>
    </row>
    <row r="1072" spans="14:14" x14ac:dyDescent="0.2">
      <c r="N1072" s="131"/>
    </row>
    <row r="1073" spans="14:14" x14ac:dyDescent="0.2">
      <c r="N1073" s="131"/>
    </row>
    <row r="1074" spans="14:14" x14ac:dyDescent="0.2">
      <c r="N1074" s="131"/>
    </row>
    <row r="1075" spans="14:14" x14ac:dyDescent="0.2">
      <c r="N1075" s="131"/>
    </row>
    <row r="1076" spans="14:14" x14ac:dyDescent="0.2">
      <c r="N1076" s="131"/>
    </row>
    <row r="1077" spans="14:14" x14ac:dyDescent="0.2">
      <c r="N1077" s="131"/>
    </row>
    <row r="1078" spans="14:14" x14ac:dyDescent="0.2">
      <c r="N1078" s="131"/>
    </row>
    <row r="1079" spans="14:14" x14ac:dyDescent="0.2">
      <c r="N1079" s="131"/>
    </row>
    <row r="1080" spans="14:14" x14ac:dyDescent="0.2">
      <c r="N1080" s="131"/>
    </row>
    <row r="1081" spans="14:14" x14ac:dyDescent="0.2">
      <c r="N1081" s="131"/>
    </row>
    <row r="1082" spans="14:14" x14ac:dyDescent="0.2">
      <c r="N1082" s="131"/>
    </row>
    <row r="1083" spans="14:14" x14ac:dyDescent="0.2">
      <c r="N1083" s="131"/>
    </row>
    <row r="1084" spans="14:14" x14ac:dyDescent="0.2">
      <c r="N1084" s="131"/>
    </row>
    <row r="1085" spans="14:14" x14ac:dyDescent="0.2">
      <c r="N1085" s="131"/>
    </row>
    <row r="1086" spans="14:14" x14ac:dyDescent="0.2">
      <c r="N1086" s="131"/>
    </row>
    <row r="1087" spans="14:14" x14ac:dyDescent="0.2">
      <c r="N1087" s="131"/>
    </row>
    <row r="1088" spans="14:14" x14ac:dyDescent="0.2">
      <c r="N1088" s="131"/>
    </row>
    <row r="1089" spans="14:14" x14ac:dyDescent="0.2">
      <c r="N1089" s="131"/>
    </row>
    <row r="1090" spans="14:14" x14ac:dyDescent="0.2">
      <c r="N1090" s="131"/>
    </row>
    <row r="1091" spans="14:14" x14ac:dyDescent="0.2">
      <c r="N1091" s="131"/>
    </row>
    <row r="1092" spans="14:14" x14ac:dyDescent="0.2">
      <c r="N1092" s="131"/>
    </row>
    <row r="1093" spans="14:14" x14ac:dyDescent="0.2">
      <c r="N1093" s="131"/>
    </row>
    <row r="1094" spans="14:14" x14ac:dyDescent="0.2">
      <c r="N1094" s="131"/>
    </row>
    <row r="1095" spans="14:14" x14ac:dyDescent="0.2">
      <c r="N1095" s="131"/>
    </row>
    <row r="1096" spans="14:14" x14ac:dyDescent="0.2">
      <c r="N1096" s="131"/>
    </row>
    <row r="1097" spans="14:14" x14ac:dyDescent="0.2">
      <c r="N1097" s="131"/>
    </row>
    <row r="1098" spans="14:14" x14ac:dyDescent="0.2">
      <c r="N1098" s="131"/>
    </row>
    <row r="1099" spans="14:14" x14ac:dyDescent="0.2">
      <c r="N1099" s="131"/>
    </row>
    <row r="1100" spans="14:14" x14ac:dyDescent="0.2">
      <c r="N1100" s="131"/>
    </row>
    <row r="1101" spans="14:14" x14ac:dyDescent="0.2">
      <c r="N1101" s="131"/>
    </row>
    <row r="1102" spans="14:14" x14ac:dyDescent="0.2">
      <c r="N1102" s="131"/>
    </row>
    <row r="1103" spans="14:14" x14ac:dyDescent="0.2">
      <c r="N1103" s="131"/>
    </row>
    <row r="1104" spans="14:14" x14ac:dyDescent="0.2">
      <c r="N1104" s="131"/>
    </row>
    <row r="1105" spans="14:14" x14ac:dyDescent="0.2">
      <c r="N1105" s="131"/>
    </row>
    <row r="1106" spans="14:14" x14ac:dyDescent="0.2">
      <c r="N1106" s="131"/>
    </row>
    <row r="1107" spans="14:14" x14ac:dyDescent="0.2">
      <c r="N1107" s="131"/>
    </row>
    <row r="1108" spans="14:14" x14ac:dyDescent="0.2">
      <c r="N1108" s="131"/>
    </row>
    <row r="1109" spans="14:14" x14ac:dyDescent="0.2">
      <c r="N1109" s="131"/>
    </row>
    <row r="1110" spans="14:14" x14ac:dyDescent="0.2">
      <c r="N1110" s="131"/>
    </row>
    <row r="1111" spans="14:14" x14ac:dyDescent="0.2">
      <c r="N1111" s="131"/>
    </row>
    <row r="1112" spans="14:14" x14ac:dyDescent="0.2">
      <c r="N1112" s="131"/>
    </row>
    <row r="1113" spans="14:14" x14ac:dyDescent="0.2">
      <c r="N1113" s="131"/>
    </row>
    <row r="1114" spans="14:14" x14ac:dyDescent="0.2">
      <c r="N1114" s="131"/>
    </row>
    <row r="1115" spans="14:14" x14ac:dyDescent="0.2">
      <c r="N1115" s="131"/>
    </row>
    <row r="1116" spans="14:14" x14ac:dyDescent="0.2">
      <c r="N1116" s="131"/>
    </row>
    <row r="1117" spans="14:14" x14ac:dyDescent="0.2">
      <c r="N1117" s="131"/>
    </row>
    <row r="1118" spans="14:14" x14ac:dyDescent="0.2">
      <c r="N1118" s="131"/>
    </row>
    <row r="1119" spans="14:14" x14ac:dyDescent="0.2">
      <c r="N1119" s="131"/>
    </row>
    <row r="1120" spans="14:14" x14ac:dyDescent="0.2">
      <c r="N1120" s="131"/>
    </row>
    <row r="1121" spans="14:14" x14ac:dyDescent="0.2">
      <c r="N1121" s="131"/>
    </row>
    <row r="1122" spans="14:14" x14ac:dyDescent="0.2">
      <c r="N1122" s="131"/>
    </row>
    <row r="1123" spans="14:14" x14ac:dyDescent="0.2">
      <c r="N1123" s="131"/>
    </row>
    <row r="1124" spans="14:14" x14ac:dyDescent="0.2">
      <c r="N1124" s="131"/>
    </row>
    <row r="1125" spans="14:14" x14ac:dyDescent="0.2">
      <c r="N1125" s="131"/>
    </row>
    <row r="1126" spans="14:14" x14ac:dyDescent="0.2">
      <c r="N1126" s="131"/>
    </row>
    <row r="1127" spans="14:14" x14ac:dyDescent="0.2">
      <c r="N1127" s="131"/>
    </row>
    <row r="1128" spans="14:14" x14ac:dyDescent="0.2">
      <c r="N1128" s="131"/>
    </row>
    <row r="1129" spans="14:14" x14ac:dyDescent="0.2">
      <c r="N1129" s="131"/>
    </row>
    <row r="1130" spans="14:14" x14ac:dyDescent="0.2">
      <c r="N1130" s="131"/>
    </row>
    <row r="1131" spans="14:14" x14ac:dyDescent="0.2">
      <c r="N1131" s="131"/>
    </row>
    <row r="1132" spans="14:14" x14ac:dyDescent="0.2">
      <c r="N1132" s="131"/>
    </row>
    <row r="1133" spans="14:14" x14ac:dyDescent="0.2">
      <c r="N1133" s="131"/>
    </row>
    <row r="1134" spans="14:14" x14ac:dyDescent="0.2">
      <c r="N1134" s="131"/>
    </row>
    <row r="1135" spans="14:14" x14ac:dyDescent="0.2">
      <c r="N1135" s="131"/>
    </row>
    <row r="1136" spans="14:14" x14ac:dyDescent="0.2">
      <c r="N1136" s="131"/>
    </row>
    <row r="1137" spans="14:14" x14ac:dyDescent="0.2">
      <c r="N1137" s="131"/>
    </row>
    <row r="1138" spans="14:14" x14ac:dyDescent="0.2">
      <c r="N1138" s="131"/>
    </row>
    <row r="1139" spans="14:14" x14ac:dyDescent="0.2">
      <c r="N1139" s="131"/>
    </row>
    <row r="1140" spans="14:14" x14ac:dyDescent="0.2">
      <c r="N1140" s="131"/>
    </row>
    <row r="1141" spans="14:14" x14ac:dyDescent="0.2">
      <c r="N1141" s="131"/>
    </row>
    <row r="1142" spans="14:14" x14ac:dyDescent="0.2">
      <c r="N1142" s="131"/>
    </row>
    <row r="1143" spans="14:14" x14ac:dyDescent="0.2">
      <c r="N1143" s="131"/>
    </row>
    <row r="1144" spans="14:14" x14ac:dyDescent="0.2">
      <c r="N1144" s="131"/>
    </row>
    <row r="1145" spans="14:14" x14ac:dyDescent="0.2">
      <c r="N1145" s="131"/>
    </row>
    <row r="1146" spans="14:14" x14ac:dyDescent="0.2">
      <c r="N1146" s="131"/>
    </row>
    <row r="1147" spans="14:14" x14ac:dyDescent="0.2">
      <c r="N1147" s="131"/>
    </row>
    <row r="1148" spans="14:14" x14ac:dyDescent="0.2">
      <c r="N1148" s="131"/>
    </row>
    <row r="1149" spans="14:14" x14ac:dyDescent="0.2">
      <c r="N1149" s="131"/>
    </row>
    <row r="1150" spans="14:14" x14ac:dyDescent="0.2">
      <c r="N1150" s="131"/>
    </row>
    <row r="1151" spans="14:14" x14ac:dyDescent="0.2">
      <c r="N1151" s="131"/>
    </row>
    <row r="1152" spans="14:14" x14ac:dyDescent="0.2">
      <c r="N1152" s="131"/>
    </row>
    <row r="1153" spans="14:14" x14ac:dyDescent="0.2">
      <c r="N1153" s="131"/>
    </row>
    <row r="1154" spans="14:14" x14ac:dyDescent="0.2">
      <c r="N1154" s="131"/>
    </row>
    <row r="1155" spans="14:14" x14ac:dyDescent="0.2">
      <c r="N1155" s="131"/>
    </row>
    <row r="1156" spans="14:14" x14ac:dyDescent="0.2">
      <c r="N1156" s="131"/>
    </row>
    <row r="1157" spans="14:14" x14ac:dyDescent="0.2">
      <c r="N1157" s="131"/>
    </row>
    <row r="1158" spans="14:14" x14ac:dyDescent="0.2">
      <c r="N1158" s="131"/>
    </row>
    <row r="1159" spans="14:14" x14ac:dyDescent="0.2">
      <c r="N1159" s="131"/>
    </row>
    <row r="1160" spans="14:14" x14ac:dyDescent="0.2">
      <c r="N1160" s="131"/>
    </row>
    <row r="1161" spans="14:14" x14ac:dyDescent="0.2">
      <c r="N1161" s="131"/>
    </row>
    <row r="1162" spans="14:14" x14ac:dyDescent="0.2">
      <c r="N1162" s="131"/>
    </row>
    <row r="1163" spans="14:14" x14ac:dyDescent="0.2">
      <c r="N1163" s="131"/>
    </row>
    <row r="1164" spans="14:14" x14ac:dyDescent="0.2">
      <c r="N1164" s="131"/>
    </row>
    <row r="1165" spans="14:14" x14ac:dyDescent="0.2">
      <c r="N1165" s="131"/>
    </row>
    <row r="1166" spans="14:14" x14ac:dyDescent="0.2">
      <c r="N1166" s="131"/>
    </row>
    <row r="1167" spans="14:14" x14ac:dyDescent="0.2">
      <c r="N1167" s="131"/>
    </row>
    <row r="1168" spans="14:14" x14ac:dyDescent="0.2">
      <c r="N1168" s="131"/>
    </row>
    <row r="1169" spans="14:14" x14ac:dyDescent="0.2">
      <c r="N1169" s="131"/>
    </row>
    <row r="1170" spans="14:14" x14ac:dyDescent="0.2">
      <c r="N1170" s="131"/>
    </row>
    <row r="1171" spans="14:14" x14ac:dyDescent="0.2">
      <c r="N1171" s="131"/>
    </row>
    <row r="1172" spans="14:14" x14ac:dyDescent="0.2">
      <c r="N1172" s="131"/>
    </row>
    <row r="1173" spans="14:14" x14ac:dyDescent="0.2">
      <c r="N1173" s="131"/>
    </row>
    <row r="1174" spans="14:14" x14ac:dyDescent="0.2">
      <c r="N1174" s="131"/>
    </row>
    <row r="1175" spans="14:14" x14ac:dyDescent="0.2">
      <c r="N1175" s="131"/>
    </row>
    <row r="1176" spans="14:14" x14ac:dyDescent="0.2">
      <c r="N1176" s="131"/>
    </row>
    <row r="1177" spans="14:14" x14ac:dyDescent="0.2">
      <c r="N1177" s="131"/>
    </row>
    <row r="1178" spans="14:14" x14ac:dyDescent="0.2">
      <c r="N1178" s="131"/>
    </row>
    <row r="1179" spans="14:14" x14ac:dyDescent="0.2">
      <c r="N1179" s="131"/>
    </row>
    <row r="1180" spans="14:14" x14ac:dyDescent="0.2">
      <c r="N1180" s="131"/>
    </row>
    <row r="1181" spans="14:14" x14ac:dyDescent="0.2">
      <c r="N1181" s="131"/>
    </row>
    <row r="1182" spans="14:14" x14ac:dyDescent="0.2">
      <c r="N1182" s="131"/>
    </row>
    <row r="1183" spans="14:14" x14ac:dyDescent="0.2">
      <c r="N1183" s="131"/>
    </row>
    <row r="1184" spans="14:14" x14ac:dyDescent="0.2">
      <c r="N1184" s="131"/>
    </row>
    <row r="1185" spans="14:14" x14ac:dyDescent="0.2">
      <c r="N1185" s="131"/>
    </row>
    <row r="1186" spans="14:14" x14ac:dyDescent="0.2">
      <c r="N1186" s="131"/>
    </row>
    <row r="1187" spans="14:14" x14ac:dyDescent="0.2">
      <c r="N1187" s="131"/>
    </row>
    <row r="1188" spans="14:14" x14ac:dyDescent="0.2">
      <c r="N1188" s="131"/>
    </row>
    <row r="1189" spans="14:14" x14ac:dyDescent="0.2">
      <c r="N1189" s="131"/>
    </row>
    <row r="1190" spans="14:14" x14ac:dyDescent="0.2">
      <c r="N1190" s="131"/>
    </row>
    <row r="1191" spans="14:14" x14ac:dyDescent="0.2">
      <c r="N1191" s="131"/>
    </row>
    <row r="1192" spans="14:14" x14ac:dyDescent="0.2">
      <c r="N1192" s="131"/>
    </row>
    <row r="1193" spans="14:14" x14ac:dyDescent="0.2">
      <c r="N1193" s="131"/>
    </row>
    <row r="1194" spans="14:14" x14ac:dyDescent="0.2">
      <c r="N1194" s="131"/>
    </row>
    <row r="1195" spans="14:14" x14ac:dyDescent="0.2">
      <c r="N1195" s="131"/>
    </row>
    <row r="1196" spans="14:14" x14ac:dyDescent="0.2">
      <c r="N1196" s="131"/>
    </row>
    <row r="1197" spans="14:14" x14ac:dyDescent="0.2">
      <c r="N1197" s="131"/>
    </row>
    <row r="1198" spans="14:14" x14ac:dyDescent="0.2">
      <c r="N1198" s="131"/>
    </row>
    <row r="1199" spans="14:14" x14ac:dyDescent="0.2">
      <c r="N1199" s="131"/>
    </row>
    <row r="1200" spans="14:14" x14ac:dyDescent="0.2">
      <c r="N1200" s="131"/>
    </row>
    <row r="1201" spans="14:14" x14ac:dyDescent="0.2">
      <c r="N1201" s="131"/>
    </row>
    <row r="1202" spans="14:14" x14ac:dyDescent="0.2">
      <c r="N1202" s="131"/>
    </row>
    <row r="1203" spans="14:14" x14ac:dyDescent="0.2">
      <c r="N1203" s="131"/>
    </row>
    <row r="1204" spans="14:14" x14ac:dyDescent="0.2">
      <c r="N1204" s="131"/>
    </row>
    <row r="1205" spans="14:14" x14ac:dyDescent="0.2">
      <c r="N1205" s="131"/>
    </row>
    <row r="1206" spans="14:14" x14ac:dyDescent="0.2">
      <c r="N1206" s="131"/>
    </row>
    <row r="1207" spans="14:14" x14ac:dyDescent="0.2">
      <c r="N1207" s="131"/>
    </row>
    <row r="1208" spans="14:14" x14ac:dyDescent="0.2">
      <c r="N1208" s="131"/>
    </row>
    <row r="1209" spans="14:14" x14ac:dyDescent="0.2">
      <c r="N1209" s="131"/>
    </row>
    <row r="1210" spans="14:14" x14ac:dyDescent="0.2">
      <c r="N1210" s="131"/>
    </row>
    <row r="1211" spans="14:14" x14ac:dyDescent="0.2">
      <c r="N1211" s="131"/>
    </row>
    <row r="1212" spans="14:14" x14ac:dyDescent="0.2">
      <c r="N1212" s="131"/>
    </row>
    <row r="1213" spans="14:14" x14ac:dyDescent="0.2">
      <c r="N1213" s="131"/>
    </row>
    <row r="1214" spans="14:14" x14ac:dyDescent="0.2">
      <c r="N1214" s="131"/>
    </row>
    <row r="1215" spans="14:14" x14ac:dyDescent="0.2">
      <c r="N1215" s="131"/>
    </row>
    <row r="1216" spans="14:14" x14ac:dyDescent="0.2">
      <c r="N1216" s="131"/>
    </row>
    <row r="1217" spans="14:14" x14ac:dyDescent="0.2">
      <c r="N1217" s="131"/>
    </row>
    <row r="1218" spans="14:14" x14ac:dyDescent="0.2">
      <c r="N1218" s="131"/>
    </row>
    <row r="1219" spans="14:14" x14ac:dyDescent="0.2">
      <c r="N1219" s="131"/>
    </row>
    <row r="1220" spans="14:14" x14ac:dyDescent="0.2">
      <c r="N1220" s="131"/>
    </row>
    <row r="1221" spans="14:14" x14ac:dyDescent="0.2">
      <c r="N1221" s="131"/>
    </row>
    <row r="1222" spans="14:14" x14ac:dyDescent="0.2">
      <c r="N1222" s="131"/>
    </row>
    <row r="1223" spans="14:14" x14ac:dyDescent="0.2">
      <c r="N1223" s="131"/>
    </row>
    <row r="1224" spans="14:14" x14ac:dyDescent="0.2">
      <c r="N1224" s="131"/>
    </row>
    <row r="1225" spans="14:14" x14ac:dyDescent="0.2">
      <c r="N1225" s="131"/>
    </row>
    <row r="1226" spans="14:14" x14ac:dyDescent="0.2">
      <c r="N1226" s="131"/>
    </row>
    <row r="1227" spans="14:14" x14ac:dyDescent="0.2">
      <c r="N1227" s="131"/>
    </row>
    <row r="1228" spans="14:14" x14ac:dyDescent="0.2">
      <c r="N1228" s="131"/>
    </row>
    <row r="1229" spans="14:14" x14ac:dyDescent="0.2">
      <c r="N1229" s="131"/>
    </row>
    <row r="1230" spans="14:14" x14ac:dyDescent="0.2">
      <c r="N1230" s="131"/>
    </row>
    <row r="1231" spans="14:14" x14ac:dyDescent="0.2">
      <c r="N1231" s="131"/>
    </row>
    <row r="1232" spans="14:14" x14ac:dyDescent="0.2">
      <c r="N1232" s="131"/>
    </row>
    <row r="1233" spans="14:14" x14ac:dyDescent="0.2">
      <c r="N1233" s="131"/>
    </row>
    <row r="1234" spans="14:14" x14ac:dyDescent="0.2">
      <c r="N1234" s="131"/>
    </row>
    <row r="1235" spans="14:14" x14ac:dyDescent="0.2">
      <c r="N1235" s="131"/>
    </row>
    <row r="1236" spans="14:14" x14ac:dyDescent="0.2">
      <c r="N1236" s="131"/>
    </row>
    <row r="1237" spans="14:14" x14ac:dyDescent="0.2">
      <c r="N1237" s="131"/>
    </row>
    <row r="1238" spans="14:14" x14ac:dyDescent="0.2">
      <c r="N1238" s="131"/>
    </row>
    <row r="1239" spans="14:14" x14ac:dyDescent="0.2">
      <c r="N1239" s="131"/>
    </row>
    <row r="1240" spans="14:14" x14ac:dyDescent="0.2">
      <c r="N1240" s="131"/>
    </row>
    <row r="1241" spans="14:14" x14ac:dyDescent="0.2">
      <c r="N1241" s="131"/>
    </row>
    <row r="1242" spans="14:14" x14ac:dyDescent="0.2">
      <c r="N1242" s="131"/>
    </row>
    <row r="1243" spans="14:14" x14ac:dyDescent="0.2">
      <c r="N1243" s="131"/>
    </row>
    <row r="1244" spans="14:14" x14ac:dyDescent="0.2">
      <c r="N1244" s="131"/>
    </row>
    <row r="1245" spans="14:14" x14ac:dyDescent="0.2">
      <c r="N1245" s="131"/>
    </row>
    <row r="1246" spans="14:14" x14ac:dyDescent="0.2">
      <c r="N1246" s="131"/>
    </row>
    <row r="1247" spans="14:14" x14ac:dyDescent="0.2">
      <c r="N1247" s="131"/>
    </row>
    <row r="1248" spans="14:14" x14ac:dyDescent="0.2">
      <c r="N1248" s="131"/>
    </row>
    <row r="1249" spans="14:14" x14ac:dyDescent="0.2">
      <c r="N1249" s="131"/>
    </row>
    <row r="1250" spans="14:14" x14ac:dyDescent="0.2">
      <c r="N1250" s="131"/>
    </row>
    <row r="1251" spans="14:14" x14ac:dyDescent="0.2">
      <c r="N1251" s="131"/>
    </row>
    <row r="1252" spans="14:14" x14ac:dyDescent="0.2">
      <c r="N1252" s="131"/>
    </row>
    <row r="1253" spans="14:14" x14ac:dyDescent="0.2">
      <c r="N1253" s="131"/>
    </row>
    <row r="1254" spans="14:14" x14ac:dyDescent="0.2">
      <c r="N1254" s="131"/>
    </row>
    <row r="1255" spans="14:14" x14ac:dyDescent="0.2">
      <c r="N1255" s="131"/>
    </row>
    <row r="1256" spans="14:14" x14ac:dyDescent="0.2">
      <c r="N1256" s="131"/>
    </row>
    <row r="1257" spans="14:14" x14ac:dyDescent="0.2">
      <c r="N1257" s="131"/>
    </row>
    <row r="1258" spans="14:14" x14ac:dyDescent="0.2">
      <c r="N1258" s="131"/>
    </row>
    <row r="1259" spans="14:14" x14ac:dyDescent="0.2">
      <c r="N1259" s="131"/>
    </row>
    <row r="1260" spans="14:14" x14ac:dyDescent="0.2">
      <c r="N1260" s="131"/>
    </row>
    <row r="1261" spans="14:14" x14ac:dyDescent="0.2">
      <c r="N1261" s="131"/>
    </row>
    <row r="1262" spans="14:14" x14ac:dyDescent="0.2">
      <c r="N1262" s="131"/>
    </row>
    <row r="1263" spans="14:14" x14ac:dyDescent="0.2">
      <c r="N1263" s="131"/>
    </row>
    <row r="1264" spans="14:14" x14ac:dyDescent="0.2">
      <c r="N1264" s="131"/>
    </row>
    <row r="1265" spans="14:14" x14ac:dyDescent="0.2">
      <c r="N1265" s="131"/>
    </row>
    <row r="1266" spans="14:14" x14ac:dyDescent="0.2">
      <c r="N1266" s="131"/>
    </row>
    <row r="1267" spans="14:14" x14ac:dyDescent="0.2">
      <c r="N1267" s="131"/>
    </row>
    <row r="1268" spans="14:14" x14ac:dyDescent="0.2">
      <c r="N1268" s="131"/>
    </row>
    <row r="1269" spans="14:14" x14ac:dyDescent="0.2">
      <c r="N1269" s="131"/>
    </row>
    <row r="1270" spans="14:14" x14ac:dyDescent="0.2">
      <c r="N1270" s="131"/>
    </row>
    <row r="1271" spans="14:14" x14ac:dyDescent="0.2">
      <c r="N1271" s="131"/>
    </row>
    <row r="1272" spans="14:14" x14ac:dyDescent="0.2">
      <c r="N1272" s="131"/>
    </row>
    <row r="1273" spans="14:14" x14ac:dyDescent="0.2">
      <c r="N1273" s="131"/>
    </row>
    <row r="1274" spans="14:14" x14ac:dyDescent="0.2">
      <c r="N1274" s="131"/>
    </row>
    <row r="1275" spans="14:14" x14ac:dyDescent="0.2">
      <c r="N1275" s="131"/>
    </row>
    <row r="1276" spans="14:14" x14ac:dyDescent="0.2">
      <c r="N1276" s="131"/>
    </row>
    <row r="1277" spans="14:14" x14ac:dyDescent="0.2">
      <c r="N1277" s="131"/>
    </row>
    <row r="1278" spans="14:14" x14ac:dyDescent="0.2">
      <c r="N1278" s="131"/>
    </row>
    <row r="1279" spans="14:14" x14ac:dyDescent="0.2">
      <c r="N1279" s="131"/>
    </row>
    <row r="1280" spans="14:14" x14ac:dyDescent="0.2">
      <c r="N1280" s="131"/>
    </row>
    <row r="1281" spans="14:14" x14ac:dyDescent="0.2">
      <c r="N1281" s="131"/>
    </row>
    <row r="1282" spans="14:14" x14ac:dyDescent="0.2">
      <c r="N1282" s="131"/>
    </row>
    <row r="1283" spans="14:14" x14ac:dyDescent="0.2">
      <c r="N1283" s="131"/>
    </row>
    <row r="1284" spans="14:14" x14ac:dyDescent="0.2">
      <c r="N1284" s="131"/>
    </row>
    <row r="1285" spans="14:14" x14ac:dyDescent="0.2">
      <c r="N1285" s="131"/>
    </row>
    <row r="1286" spans="14:14" x14ac:dyDescent="0.2">
      <c r="N1286" s="131"/>
    </row>
    <row r="1287" spans="14:14" x14ac:dyDescent="0.2">
      <c r="N1287" s="131"/>
    </row>
    <row r="1288" spans="14:14" x14ac:dyDescent="0.2">
      <c r="N1288" s="131"/>
    </row>
    <row r="1289" spans="14:14" x14ac:dyDescent="0.2">
      <c r="N1289" s="131"/>
    </row>
    <row r="1290" spans="14:14" x14ac:dyDescent="0.2">
      <c r="N1290" s="131"/>
    </row>
    <row r="1291" spans="14:14" x14ac:dyDescent="0.2">
      <c r="N1291" s="131"/>
    </row>
    <row r="1292" spans="14:14" x14ac:dyDescent="0.2">
      <c r="N1292" s="131"/>
    </row>
    <row r="1293" spans="14:14" x14ac:dyDescent="0.2">
      <c r="N1293" s="131"/>
    </row>
    <row r="1294" spans="14:14" x14ac:dyDescent="0.2">
      <c r="N1294" s="131"/>
    </row>
    <row r="1295" spans="14:14" x14ac:dyDescent="0.2">
      <c r="N1295" s="131"/>
    </row>
    <row r="1296" spans="14:14" x14ac:dyDescent="0.2">
      <c r="N1296" s="131"/>
    </row>
    <row r="1297" spans="14:14" x14ac:dyDescent="0.2">
      <c r="N1297" s="131"/>
    </row>
    <row r="1298" spans="14:14" x14ac:dyDescent="0.2">
      <c r="N1298" s="131"/>
    </row>
    <row r="1299" spans="14:14" x14ac:dyDescent="0.2">
      <c r="N1299" s="131"/>
    </row>
    <row r="1300" spans="14:14" x14ac:dyDescent="0.2">
      <c r="N1300" s="131"/>
    </row>
    <row r="1301" spans="14:14" x14ac:dyDescent="0.2">
      <c r="N1301" s="131"/>
    </row>
    <row r="1302" spans="14:14" x14ac:dyDescent="0.2">
      <c r="N1302" s="131"/>
    </row>
    <row r="1303" spans="14:14" x14ac:dyDescent="0.2">
      <c r="N1303" s="131"/>
    </row>
    <row r="1304" spans="14:14" x14ac:dyDescent="0.2">
      <c r="N1304" s="131"/>
    </row>
    <row r="1305" spans="14:14" x14ac:dyDescent="0.2">
      <c r="N1305" s="131"/>
    </row>
    <row r="1306" spans="14:14" x14ac:dyDescent="0.2">
      <c r="N1306" s="131"/>
    </row>
    <row r="1307" spans="14:14" x14ac:dyDescent="0.2">
      <c r="N1307" s="131"/>
    </row>
    <row r="1308" spans="14:14" x14ac:dyDescent="0.2">
      <c r="N1308" s="131"/>
    </row>
    <row r="1309" spans="14:14" x14ac:dyDescent="0.2">
      <c r="N1309" s="131"/>
    </row>
    <row r="1310" spans="14:14" x14ac:dyDescent="0.2">
      <c r="N1310" s="131"/>
    </row>
    <row r="1311" spans="14:14" x14ac:dyDescent="0.2">
      <c r="N1311" s="131"/>
    </row>
    <row r="1312" spans="14:14" x14ac:dyDescent="0.2">
      <c r="N1312" s="131"/>
    </row>
    <row r="1313" spans="14:14" x14ac:dyDescent="0.2">
      <c r="N1313" s="131"/>
    </row>
    <row r="1314" spans="14:14" x14ac:dyDescent="0.2">
      <c r="N1314" s="131"/>
    </row>
    <row r="1315" spans="14:14" x14ac:dyDescent="0.2">
      <c r="N1315" s="131"/>
    </row>
    <row r="1316" spans="14:14" x14ac:dyDescent="0.2">
      <c r="N1316" s="131"/>
    </row>
    <row r="1317" spans="14:14" x14ac:dyDescent="0.2">
      <c r="N1317" s="131"/>
    </row>
    <row r="1318" spans="14:14" x14ac:dyDescent="0.2">
      <c r="N1318" s="131"/>
    </row>
    <row r="1319" spans="14:14" x14ac:dyDescent="0.2">
      <c r="N1319" s="131"/>
    </row>
    <row r="1320" spans="14:14" x14ac:dyDescent="0.2">
      <c r="N1320" s="131"/>
    </row>
    <row r="1321" spans="14:14" x14ac:dyDescent="0.2">
      <c r="N1321" s="131"/>
    </row>
    <row r="1322" spans="14:14" x14ac:dyDescent="0.2">
      <c r="N1322" s="131"/>
    </row>
    <row r="1323" spans="14:14" x14ac:dyDescent="0.2">
      <c r="N1323" s="131"/>
    </row>
    <row r="1324" spans="14:14" x14ac:dyDescent="0.2">
      <c r="N1324" s="131"/>
    </row>
    <row r="1325" spans="14:14" x14ac:dyDescent="0.2">
      <c r="N1325" s="131"/>
    </row>
    <row r="1326" spans="14:14" x14ac:dyDescent="0.2">
      <c r="N1326" s="131"/>
    </row>
    <row r="1327" spans="14:14" x14ac:dyDescent="0.2">
      <c r="N1327" s="131"/>
    </row>
    <row r="1328" spans="14:14" x14ac:dyDescent="0.2">
      <c r="N1328" s="131"/>
    </row>
    <row r="1329" spans="14:14" x14ac:dyDescent="0.2">
      <c r="N1329" s="131"/>
    </row>
    <row r="1330" spans="14:14" x14ac:dyDescent="0.2">
      <c r="N1330" s="131"/>
    </row>
    <row r="1331" spans="14:14" x14ac:dyDescent="0.2">
      <c r="N1331" s="131"/>
    </row>
    <row r="1332" spans="14:14" x14ac:dyDescent="0.2">
      <c r="N1332" s="131"/>
    </row>
    <row r="1333" spans="14:14" x14ac:dyDescent="0.2">
      <c r="N1333" s="131"/>
    </row>
    <row r="1334" spans="14:14" x14ac:dyDescent="0.2">
      <c r="N1334" s="131"/>
    </row>
    <row r="1335" spans="14:14" x14ac:dyDescent="0.2">
      <c r="N1335" s="131"/>
    </row>
    <row r="1336" spans="14:14" x14ac:dyDescent="0.2">
      <c r="N1336" s="131"/>
    </row>
    <row r="1337" spans="14:14" x14ac:dyDescent="0.2">
      <c r="N1337" s="131"/>
    </row>
    <row r="1338" spans="14:14" x14ac:dyDescent="0.2">
      <c r="N1338" s="131"/>
    </row>
    <row r="1339" spans="14:14" x14ac:dyDescent="0.2">
      <c r="N1339" s="131"/>
    </row>
    <row r="1340" spans="14:14" x14ac:dyDescent="0.2">
      <c r="N1340" s="131"/>
    </row>
    <row r="1341" spans="14:14" x14ac:dyDescent="0.2">
      <c r="N1341" s="131"/>
    </row>
    <row r="1342" spans="14:14" x14ac:dyDescent="0.2">
      <c r="N1342" s="131"/>
    </row>
    <row r="1343" spans="14:14" x14ac:dyDescent="0.2">
      <c r="N1343" s="131"/>
    </row>
    <row r="1344" spans="14:14" x14ac:dyDescent="0.2">
      <c r="N1344" s="131"/>
    </row>
    <row r="1345" spans="14:14" x14ac:dyDescent="0.2">
      <c r="N1345" s="131"/>
    </row>
    <row r="1346" spans="14:14" x14ac:dyDescent="0.2">
      <c r="N1346" s="131"/>
    </row>
    <row r="1347" spans="14:14" x14ac:dyDescent="0.2">
      <c r="N1347" s="131"/>
    </row>
    <row r="1348" spans="14:14" x14ac:dyDescent="0.2">
      <c r="N1348" s="131"/>
    </row>
    <row r="1349" spans="14:14" x14ac:dyDescent="0.2">
      <c r="N1349" s="131"/>
    </row>
    <row r="1350" spans="14:14" x14ac:dyDescent="0.2">
      <c r="N1350" s="131"/>
    </row>
    <row r="1351" spans="14:14" x14ac:dyDescent="0.2">
      <c r="N1351" s="131"/>
    </row>
    <row r="1352" spans="14:14" x14ac:dyDescent="0.2">
      <c r="N1352" s="131"/>
    </row>
    <row r="1353" spans="14:14" x14ac:dyDescent="0.2">
      <c r="N1353" s="131"/>
    </row>
    <row r="1354" spans="14:14" x14ac:dyDescent="0.2">
      <c r="N1354" s="131"/>
    </row>
    <row r="1355" spans="14:14" x14ac:dyDescent="0.2">
      <c r="N1355" s="131"/>
    </row>
    <row r="1356" spans="14:14" x14ac:dyDescent="0.2">
      <c r="N1356" s="131"/>
    </row>
    <row r="1357" spans="14:14" x14ac:dyDescent="0.2">
      <c r="N1357" s="131"/>
    </row>
    <row r="1358" spans="14:14" x14ac:dyDescent="0.2">
      <c r="N1358" s="131"/>
    </row>
    <row r="1359" spans="14:14" x14ac:dyDescent="0.2">
      <c r="N1359" s="131"/>
    </row>
    <row r="1360" spans="14:14" x14ac:dyDescent="0.2">
      <c r="N1360" s="131"/>
    </row>
    <row r="1361" spans="14:14" x14ac:dyDescent="0.2">
      <c r="N1361" s="131"/>
    </row>
    <row r="1362" spans="14:14" x14ac:dyDescent="0.2">
      <c r="N1362" s="131"/>
    </row>
    <row r="1363" spans="14:14" x14ac:dyDescent="0.2">
      <c r="N1363" s="131"/>
    </row>
    <row r="1364" spans="14:14" x14ac:dyDescent="0.2">
      <c r="N1364" s="131"/>
    </row>
    <row r="1365" spans="14:14" x14ac:dyDescent="0.2">
      <c r="N1365" s="131"/>
    </row>
    <row r="1366" spans="14:14" x14ac:dyDescent="0.2">
      <c r="N1366" s="131"/>
    </row>
    <row r="1367" spans="14:14" x14ac:dyDescent="0.2">
      <c r="N1367" s="131"/>
    </row>
    <row r="1368" spans="14:14" x14ac:dyDescent="0.2">
      <c r="N1368" s="131"/>
    </row>
    <row r="1369" spans="14:14" x14ac:dyDescent="0.2">
      <c r="N1369" s="131"/>
    </row>
    <row r="1370" spans="14:14" x14ac:dyDescent="0.2">
      <c r="N1370" s="131"/>
    </row>
    <row r="1371" spans="14:14" x14ac:dyDescent="0.2">
      <c r="N1371" s="131"/>
    </row>
    <row r="1372" spans="14:14" x14ac:dyDescent="0.2">
      <c r="N1372" s="131"/>
    </row>
    <row r="1373" spans="14:14" x14ac:dyDescent="0.2">
      <c r="N1373" s="131"/>
    </row>
    <row r="1374" spans="14:14" x14ac:dyDescent="0.2">
      <c r="N1374" s="131"/>
    </row>
    <row r="1375" spans="14:14" x14ac:dyDescent="0.2">
      <c r="N1375" s="131"/>
    </row>
    <row r="1376" spans="14:14" x14ac:dyDescent="0.2">
      <c r="N1376" s="131"/>
    </row>
    <row r="1377" spans="14:14" x14ac:dyDescent="0.2">
      <c r="N1377" s="131"/>
    </row>
    <row r="1378" spans="14:14" x14ac:dyDescent="0.2">
      <c r="N1378" s="131"/>
    </row>
    <row r="1379" spans="14:14" x14ac:dyDescent="0.2">
      <c r="N1379" s="131"/>
    </row>
    <row r="1380" spans="14:14" x14ac:dyDescent="0.2">
      <c r="N1380" s="131"/>
    </row>
    <row r="1381" spans="14:14" x14ac:dyDescent="0.2">
      <c r="N1381" s="131"/>
    </row>
    <row r="1382" spans="14:14" x14ac:dyDescent="0.2">
      <c r="N1382" s="131"/>
    </row>
    <row r="1383" spans="14:14" x14ac:dyDescent="0.2">
      <c r="N1383" s="131"/>
    </row>
    <row r="1384" spans="14:14" x14ac:dyDescent="0.2">
      <c r="N1384" s="131"/>
    </row>
    <row r="1385" spans="14:14" x14ac:dyDescent="0.2">
      <c r="N1385" s="131"/>
    </row>
    <row r="1386" spans="14:14" x14ac:dyDescent="0.2">
      <c r="N1386" s="131"/>
    </row>
    <row r="1387" spans="14:14" x14ac:dyDescent="0.2">
      <c r="N1387" s="131"/>
    </row>
    <row r="1388" spans="14:14" x14ac:dyDescent="0.2">
      <c r="N1388" s="131"/>
    </row>
    <row r="1389" spans="14:14" x14ac:dyDescent="0.2">
      <c r="N1389" s="131"/>
    </row>
    <row r="1390" spans="14:14" x14ac:dyDescent="0.2">
      <c r="N1390" s="131"/>
    </row>
    <row r="1391" spans="14:14" x14ac:dyDescent="0.2">
      <c r="N1391" s="131"/>
    </row>
    <row r="1392" spans="14:14" x14ac:dyDescent="0.2">
      <c r="N1392" s="131"/>
    </row>
    <row r="1393" spans="14:14" x14ac:dyDescent="0.2">
      <c r="N1393" s="131"/>
    </row>
    <row r="1394" spans="14:14" x14ac:dyDescent="0.2">
      <c r="N1394" s="131"/>
    </row>
    <row r="1395" spans="14:14" x14ac:dyDescent="0.2">
      <c r="N1395" s="131"/>
    </row>
    <row r="1396" spans="14:14" x14ac:dyDescent="0.2">
      <c r="N1396" s="131"/>
    </row>
    <row r="1397" spans="14:14" x14ac:dyDescent="0.2">
      <c r="N1397" s="131"/>
    </row>
    <row r="1398" spans="14:14" x14ac:dyDescent="0.2">
      <c r="N1398" s="131"/>
    </row>
    <row r="1399" spans="14:14" x14ac:dyDescent="0.2">
      <c r="N1399" s="131"/>
    </row>
    <row r="1400" spans="14:14" x14ac:dyDescent="0.2">
      <c r="N1400" s="131"/>
    </row>
    <row r="1401" spans="14:14" x14ac:dyDescent="0.2">
      <c r="N1401" s="131"/>
    </row>
    <row r="1402" spans="14:14" x14ac:dyDescent="0.2">
      <c r="N1402" s="131"/>
    </row>
    <row r="1403" spans="14:14" x14ac:dyDescent="0.2">
      <c r="N1403" s="131"/>
    </row>
    <row r="1404" spans="14:14" x14ac:dyDescent="0.2">
      <c r="N1404" s="131"/>
    </row>
    <row r="1405" spans="14:14" x14ac:dyDescent="0.2">
      <c r="N1405" s="131"/>
    </row>
    <row r="1406" spans="14:14" x14ac:dyDescent="0.2">
      <c r="N1406" s="131"/>
    </row>
    <row r="1407" spans="14:14" x14ac:dyDescent="0.2">
      <c r="N1407" s="131"/>
    </row>
    <row r="1408" spans="14:14" x14ac:dyDescent="0.2">
      <c r="N1408" s="131"/>
    </row>
    <row r="1409" spans="14:14" x14ac:dyDescent="0.2">
      <c r="N1409" s="131"/>
    </row>
    <row r="1410" spans="14:14" x14ac:dyDescent="0.2">
      <c r="N1410" s="131"/>
    </row>
    <row r="1411" spans="14:14" x14ac:dyDescent="0.2">
      <c r="N1411" s="131"/>
    </row>
    <row r="1412" spans="14:14" x14ac:dyDescent="0.2">
      <c r="N1412" s="131"/>
    </row>
    <row r="1413" spans="14:14" x14ac:dyDescent="0.2">
      <c r="N1413" s="131"/>
    </row>
    <row r="1414" spans="14:14" x14ac:dyDescent="0.2">
      <c r="N1414" s="131"/>
    </row>
    <row r="1415" spans="14:14" x14ac:dyDescent="0.2">
      <c r="N1415" s="131"/>
    </row>
    <row r="1416" spans="14:14" x14ac:dyDescent="0.2">
      <c r="N1416" s="131"/>
    </row>
    <row r="1417" spans="14:14" x14ac:dyDescent="0.2">
      <c r="N1417" s="131"/>
    </row>
    <row r="1418" spans="14:14" x14ac:dyDescent="0.2">
      <c r="N1418" s="131"/>
    </row>
    <row r="1419" spans="14:14" x14ac:dyDescent="0.2">
      <c r="N1419" s="131"/>
    </row>
    <row r="1420" spans="14:14" x14ac:dyDescent="0.2">
      <c r="N1420" s="131"/>
    </row>
    <row r="1421" spans="14:14" x14ac:dyDescent="0.2">
      <c r="N1421" s="131"/>
    </row>
    <row r="1422" spans="14:14" x14ac:dyDescent="0.2">
      <c r="N1422" s="131"/>
    </row>
    <row r="1423" spans="14:14" x14ac:dyDescent="0.2">
      <c r="N1423" s="131"/>
    </row>
    <row r="1424" spans="14:14" x14ac:dyDescent="0.2">
      <c r="N1424" s="131"/>
    </row>
    <row r="1425" spans="14:14" x14ac:dyDescent="0.2">
      <c r="N1425" s="131"/>
    </row>
    <row r="1426" spans="14:14" x14ac:dyDescent="0.2">
      <c r="N1426" s="131"/>
    </row>
    <row r="1427" spans="14:14" x14ac:dyDescent="0.2">
      <c r="N1427" s="131"/>
    </row>
    <row r="1428" spans="14:14" x14ac:dyDescent="0.2">
      <c r="N1428" s="131"/>
    </row>
    <row r="1429" spans="14:14" x14ac:dyDescent="0.2">
      <c r="N1429" s="131"/>
    </row>
    <row r="1430" spans="14:14" x14ac:dyDescent="0.2">
      <c r="N1430" s="131"/>
    </row>
    <row r="1431" spans="14:14" x14ac:dyDescent="0.2">
      <c r="N1431" s="131"/>
    </row>
    <row r="1432" spans="14:14" x14ac:dyDescent="0.2">
      <c r="N1432" s="131"/>
    </row>
    <row r="1433" spans="14:14" x14ac:dyDescent="0.2">
      <c r="N1433" s="131"/>
    </row>
    <row r="1434" spans="14:14" x14ac:dyDescent="0.2">
      <c r="N1434" s="131"/>
    </row>
    <row r="1435" spans="14:14" x14ac:dyDescent="0.2">
      <c r="N1435" s="131"/>
    </row>
    <row r="1436" spans="14:14" x14ac:dyDescent="0.2">
      <c r="N1436" s="131"/>
    </row>
    <row r="1437" spans="14:14" x14ac:dyDescent="0.2">
      <c r="N1437" s="131"/>
    </row>
    <row r="1438" spans="14:14" x14ac:dyDescent="0.2">
      <c r="N1438" s="131"/>
    </row>
    <row r="1439" spans="14:14" x14ac:dyDescent="0.2">
      <c r="N1439" s="131"/>
    </row>
    <row r="1440" spans="14:14" x14ac:dyDescent="0.2">
      <c r="N1440" s="131"/>
    </row>
    <row r="1441" spans="14:14" x14ac:dyDescent="0.2">
      <c r="N1441" s="131"/>
    </row>
    <row r="1442" spans="14:14" x14ac:dyDescent="0.2">
      <c r="N1442" s="131"/>
    </row>
    <row r="1443" spans="14:14" x14ac:dyDescent="0.2">
      <c r="N1443" s="131"/>
    </row>
    <row r="1444" spans="14:14" x14ac:dyDescent="0.2">
      <c r="N1444" s="131"/>
    </row>
    <row r="1445" spans="14:14" x14ac:dyDescent="0.2">
      <c r="N1445" s="131"/>
    </row>
    <row r="1446" spans="14:14" x14ac:dyDescent="0.2">
      <c r="N1446" s="131"/>
    </row>
    <row r="1447" spans="14:14" x14ac:dyDescent="0.2">
      <c r="N1447" s="131"/>
    </row>
    <row r="1448" spans="14:14" x14ac:dyDescent="0.2">
      <c r="N1448" s="131"/>
    </row>
    <row r="1449" spans="14:14" x14ac:dyDescent="0.2">
      <c r="N1449" s="131"/>
    </row>
    <row r="1450" spans="14:14" x14ac:dyDescent="0.2">
      <c r="N1450" s="131"/>
    </row>
    <row r="1451" spans="14:14" x14ac:dyDescent="0.2">
      <c r="N1451" s="131"/>
    </row>
    <row r="1452" spans="14:14" x14ac:dyDescent="0.2">
      <c r="N1452" s="131"/>
    </row>
    <row r="1453" spans="14:14" x14ac:dyDescent="0.2">
      <c r="N1453" s="131"/>
    </row>
    <row r="1454" spans="14:14" x14ac:dyDescent="0.2">
      <c r="N1454" s="131"/>
    </row>
    <row r="1455" spans="14:14" x14ac:dyDescent="0.2">
      <c r="N1455" s="131"/>
    </row>
    <row r="1456" spans="14:14" x14ac:dyDescent="0.2">
      <c r="N1456" s="131"/>
    </row>
    <row r="1457" spans="14:14" x14ac:dyDescent="0.2">
      <c r="N1457" s="131"/>
    </row>
    <row r="1458" spans="14:14" x14ac:dyDescent="0.2">
      <c r="N1458" s="131"/>
    </row>
    <row r="1459" spans="14:14" x14ac:dyDescent="0.2">
      <c r="N1459" s="131"/>
    </row>
    <row r="1460" spans="14:14" x14ac:dyDescent="0.2">
      <c r="N1460" s="131"/>
    </row>
    <row r="1461" spans="14:14" x14ac:dyDescent="0.2">
      <c r="N1461" s="131"/>
    </row>
    <row r="1462" spans="14:14" x14ac:dyDescent="0.2">
      <c r="N1462" s="131"/>
    </row>
    <row r="1463" spans="14:14" x14ac:dyDescent="0.2">
      <c r="N1463" s="131"/>
    </row>
    <row r="1464" spans="14:14" x14ac:dyDescent="0.2">
      <c r="N1464" s="131"/>
    </row>
    <row r="1465" spans="14:14" x14ac:dyDescent="0.2">
      <c r="N1465" s="131"/>
    </row>
    <row r="1466" spans="14:14" x14ac:dyDescent="0.2">
      <c r="N1466" s="131"/>
    </row>
    <row r="1467" spans="14:14" x14ac:dyDescent="0.2">
      <c r="N1467" s="131"/>
    </row>
    <row r="1468" spans="14:14" x14ac:dyDescent="0.2">
      <c r="N1468" s="131"/>
    </row>
    <row r="1469" spans="14:14" x14ac:dyDescent="0.2">
      <c r="N1469" s="131"/>
    </row>
    <row r="1470" spans="14:14" x14ac:dyDescent="0.2">
      <c r="N1470" s="131"/>
    </row>
    <row r="1471" spans="14:14" x14ac:dyDescent="0.2">
      <c r="N1471" s="131"/>
    </row>
    <row r="1472" spans="14:14" x14ac:dyDescent="0.2">
      <c r="N1472" s="131"/>
    </row>
    <row r="1473" spans="14:14" x14ac:dyDescent="0.2">
      <c r="N1473" s="131"/>
    </row>
    <row r="1474" spans="14:14" x14ac:dyDescent="0.2">
      <c r="N1474" s="131"/>
    </row>
    <row r="1475" spans="14:14" x14ac:dyDescent="0.2">
      <c r="N1475" s="131"/>
    </row>
    <row r="1476" spans="14:14" x14ac:dyDescent="0.2">
      <c r="N1476" s="131"/>
    </row>
    <row r="1477" spans="14:14" x14ac:dyDescent="0.2">
      <c r="N1477" s="131"/>
    </row>
    <row r="1478" spans="14:14" x14ac:dyDescent="0.2">
      <c r="N1478" s="131"/>
    </row>
    <row r="1479" spans="14:14" x14ac:dyDescent="0.2">
      <c r="N1479" s="131"/>
    </row>
    <row r="1480" spans="14:14" x14ac:dyDescent="0.2">
      <c r="N1480" s="131"/>
    </row>
    <row r="1481" spans="14:14" x14ac:dyDescent="0.2">
      <c r="N1481" s="131"/>
    </row>
    <row r="1482" spans="14:14" x14ac:dyDescent="0.2">
      <c r="N1482" s="131"/>
    </row>
    <row r="1483" spans="14:14" x14ac:dyDescent="0.2">
      <c r="N1483" s="131"/>
    </row>
    <row r="1484" spans="14:14" x14ac:dyDescent="0.2">
      <c r="N1484" s="131"/>
    </row>
    <row r="1485" spans="14:14" x14ac:dyDescent="0.2">
      <c r="N1485" s="131"/>
    </row>
    <row r="1486" spans="14:14" x14ac:dyDescent="0.2">
      <c r="N1486" s="131"/>
    </row>
    <row r="1487" spans="14:14" x14ac:dyDescent="0.2">
      <c r="N1487" s="131"/>
    </row>
    <row r="1488" spans="14:14" x14ac:dyDescent="0.2">
      <c r="N1488" s="131"/>
    </row>
    <row r="1489" spans="14:14" x14ac:dyDescent="0.2">
      <c r="N1489" s="131"/>
    </row>
    <row r="1490" spans="14:14" x14ac:dyDescent="0.2">
      <c r="N1490" s="131"/>
    </row>
    <row r="1491" spans="14:14" x14ac:dyDescent="0.2">
      <c r="N1491" s="131"/>
    </row>
    <row r="1492" spans="14:14" x14ac:dyDescent="0.2">
      <c r="N1492" s="131"/>
    </row>
    <row r="1493" spans="14:14" x14ac:dyDescent="0.2">
      <c r="N1493" s="131"/>
    </row>
    <row r="1494" spans="14:14" x14ac:dyDescent="0.2">
      <c r="N1494" s="131"/>
    </row>
    <row r="1495" spans="14:14" x14ac:dyDescent="0.2">
      <c r="N1495" s="131"/>
    </row>
    <row r="1496" spans="14:14" x14ac:dyDescent="0.2">
      <c r="N1496" s="131"/>
    </row>
    <row r="1497" spans="14:14" x14ac:dyDescent="0.2">
      <c r="N1497" s="131"/>
    </row>
    <row r="1498" spans="14:14" x14ac:dyDescent="0.2">
      <c r="N1498" s="131"/>
    </row>
    <row r="1499" spans="14:14" x14ac:dyDescent="0.2">
      <c r="N1499" s="131"/>
    </row>
    <row r="1500" spans="14:14" x14ac:dyDescent="0.2">
      <c r="N1500" s="131"/>
    </row>
    <row r="1501" spans="14:14" x14ac:dyDescent="0.2">
      <c r="N1501" s="131"/>
    </row>
    <row r="1502" spans="14:14" x14ac:dyDescent="0.2">
      <c r="N1502" s="131"/>
    </row>
    <row r="1503" spans="14:14" x14ac:dyDescent="0.2">
      <c r="N1503" s="131"/>
    </row>
    <row r="1504" spans="14:14" x14ac:dyDescent="0.2">
      <c r="N1504" s="131"/>
    </row>
    <row r="1505" spans="14:14" x14ac:dyDescent="0.2">
      <c r="N1505" s="131"/>
    </row>
    <row r="1506" spans="14:14" x14ac:dyDescent="0.2">
      <c r="N1506" s="131"/>
    </row>
    <row r="1507" spans="14:14" x14ac:dyDescent="0.2">
      <c r="N1507" s="131"/>
    </row>
    <row r="1508" spans="14:14" x14ac:dyDescent="0.2">
      <c r="N1508" s="131"/>
    </row>
    <row r="1509" spans="14:14" x14ac:dyDescent="0.2">
      <c r="N1509" s="131"/>
    </row>
    <row r="1510" spans="14:14" x14ac:dyDescent="0.2">
      <c r="N1510" s="131"/>
    </row>
    <row r="1511" spans="14:14" x14ac:dyDescent="0.2">
      <c r="N1511" s="131"/>
    </row>
    <row r="1512" spans="14:14" x14ac:dyDescent="0.2">
      <c r="N1512" s="131"/>
    </row>
    <row r="1513" spans="14:14" x14ac:dyDescent="0.2">
      <c r="N1513" s="131"/>
    </row>
    <row r="1514" spans="14:14" x14ac:dyDescent="0.2">
      <c r="N1514" s="131"/>
    </row>
    <row r="1515" spans="14:14" x14ac:dyDescent="0.2">
      <c r="N1515" s="131"/>
    </row>
    <row r="1516" spans="14:14" x14ac:dyDescent="0.2">
      <c r="N1516" s="131"/>
    </row>
    <row r="1517" spans="14:14" x14ac:dyDescent="0.2">
      <c r="N1517" s="131"/>
    </row>
    <row r="1518" spans="14:14" x14ac:dyDescent="0.2">
      <c r="N1518" s="131"/>
    </row>
    <row r="1519" spans="14:14" x14ac:dyDescent="0.2">
      <c r="N1519" s="131"/>
    </row>
    <row r="1520" spans="14:14" x14ac:dyDescent="0.2">
      <c r="N1520" s="131"/>
    </row>
    <row r="1521" spans="14:14" x14ac:dyDescent="0.2">
      <c r="N1521" s="131"/>
    </row>
    <row r="1522" spans="14:14" x14ac:dyDescent="0.2">
      <c r="N1522" s="131"/>
    </row>
    <row r="1523" spans="14:14" x14ac:dyDescent="0.2">
      <c r="N1523" s="131"/>
    </row>
    <row r="1524" spans="14:14" x14ac:dyDescent="0.2">
      <c r="N1524" s="131"/>
    </row>
    <row r="1525" spans="14:14" x14ac:dyDescent="0.2">
      <c r="N1525" s="131"/>
    </row>
    <row r="1526" spans="14:14" x14ac:dyDescent="0.2">
      <c r="N1526" s="131"/>
    </row>
    <row r="1527" spans="14:14" x14ac:dyDescent="0.2">
      <c r="N1527" s="131"/>
    </row>
    <row r="1528" spans="14:14" x14ac:dyDescent="0.2">
      <c r="N1528" s="131"/>
    </row>
    <row r="1529" spans="14:14" x14ac:dyDescent="0.2">
      <c r="N1529" s="131"/>
    </row>
    <row r="1530" spans="14:14" x14ac:dyDescent="0.2">
      <c r="N1530" s="131"/>
    </row>
    <row r="1531" spans="14:14" x14ac:dyDescent="0.2">
      <c r="N1531" s="131"/>
    </row>
    <row r="1532" spans="14:14" x14ac:dyDescent="0.2">
      <c r="N1532" s="131"/>
    </row>
    <row r="1533" spans="14:14" x14ac:dyDescent="0.2">
      <c r="N1533" s="131"/>
    </row>
    <row r="1534" spans="14:14" x14ac:dyDescent="0.2">
      <c r="N1534" s="131"/>
    </row>
    <row r="1535" spans="14:14" x14ac:dyDescent="0.2">
      <c r="N1535" s="131"/>
    </row>
    <row r="1536" spans="14:14" x14ac:dyDescent="0.2">
      <c r="N1536" s="131"/>
    </row>
    <row r="1537" spans="14:14" x14ac:dyDescent="0.2">
      <c r="N1537" s="131"/>
    </row>
    <row r="1538" spans="14:14" x14ac:dyDescent="0.2">
      <c r="N1538" s="131"/>
    </row>
    <row r="1539" spans="14:14" x14ac:dyDescent="0.2">
      <c r="N1539" s="131"/>
    </row>
    <row r="1540" spans="14:14" x14ac:dyDescent="0.2">
      <c r="N1540" s="131"/>
    </row>
    <row r="1541" spans="14:14" x14ac:dyDescent="0.2">
      <c r="N1541" s="131"/>
    </row>
    <row r="1542" spans="14:14" x14ac:dyDescent="0.2">
      <c r="N1542" s="131"/>
    </row>
    <row r="1543" spans="14:14" x14ac:dyDescent="0.2">
      <c r="N1543" s="131"/>
    </row>
    <row r="1544" spans="14:14" x14ac:dyDescent="0.2">
      <c r="N1544" s="131"/>
    </row>
    <row r="1545" spans="14:14" x14ac:dyDescent="0.2">
      <c r="N1545" s="131"/>
    </row>
    <row r="1546" spans="14:14" x14ac:dyDescent="0.2">
      <c r="N1546" s="131"/>
    </row>
    <row r="1547" spans="14:14" x14ac:dyDescent="0.2">
      <c r="N1547" s="131"/>
    </row>
    <row r="1548" spans="14:14" x14ac:dyDescent="0.2">
      <c r="N1548" s="131"/>
    </row>
    <row r="1549" spans="14:14" x14ac:dyDescent="0.2">
      <c r="N1549" s="131"/>
    </row>
    <row r="1550" spans="14:14" x14ac:dyDescent="0.2">
      <c r="N1550" s="131"/>
    </row>
    <row r="1551" spans="14:14" x14ac:dyDescent="0.2">
      <c r="N1551" s="131"/>
    </row>
    <row r="1552" spans="14:14" x14ac:dyDescent="0.2">
      <c r="N1552" s="131"/>
    </row>
    <row r="1553" spans="14:14" x14ac:dyDescent="0.2">
      <c r="N1553" s="131"/>
    </row>
    <row r="1554" spans="14:14" x14ac:dyDescent="0.2">
      <c r="N1554" s="131"/>
    </row>
    <row r="1555" spans="14:14" x14ac:dyDescent="0.2">
      <c r="N1555" s="131"/>
    </row>
    <row r="1556" spans="14:14" x14ac:dyDescent="0.2">
      <c r="N1556" s="131"/>
    </row>
    <row r="1557" spans="14:14" x14ac:dyDescent="0.2">
      <c r="N1557" s="131"/>
    </row>
    <row r="1558" spans="14:14" x14ac:dyDescent="0.2">
      <c r="N1558" s="131"/>
    </row>
    <row r="1559" spans="14:14" x14ac:dyDescent="0.2">
      <c r="N1559" s="131"/>
    </row>
    <row r="1560" spans="14:14" x14ac:dyDescent="0.2">
      <c r="N1560" s="131"/>
    </row>
    <row r="1561" spans="14:14" x14ac:dyDescent="0.2">
      <c r="N1561" s="131"/>
    </row>
    <row r="1562" spans="14:14" x14ac:dyDescent="0.2">
      <c r="N1562" s="131"/>
    </row>
    <row r="1563" spans="14:14" x14ac:dyDescent="0.2">
      <c r="N1563" s="131"/>
    </row>
    <row r="1564" spans="14:14" x14ac:dyDescent="0.2">
      <c r="N1564" s="131"/>
    </row>
    <row r="1565" spans="14:14" x14ac:dyDescent="0.2">
      <c r="N1565" s="131"/>
    </row>
    <row r="1566" spans="14:14" x14ac:dyDescent="0.2">
      <c r="N1566" s="131"/>
    </row>
    <row r="1567" spans="14:14" x14ac:dyDescent="0.2">
      <c r="N1567" s="131"/>
    </row>
    <row r="1568" spans="14:14" x14ac:dyDescent="0.2">
      <c r="N1568" s="131"/>
    </row>
    <row r="1569" spans="14:14" x14ac:dyDescent="0.2">
      <c r="N1569" s="131"/>
    </row>
    <row r="1570" spans="14:14" x14ac:dyDescent="0.2">
      <c r="N1570" s="131"/>
    </row>
    <row r="1571" spans="14:14" x14ac:dyDescent="0.2">
      <c r="N1571" s="131"/>
    </row>
    <row r="1572" spans="14:14" x14ac:dyDescent="0.2">
      <c r="N1572" s="131"/>
    </row>
    <row r="1573" spans="14:14" x14ac:dyDescent="0.2">
      <c r="N1573" s="131"/>
    </row>
    <row r="1574" spans="14:14" x14ac:dyDescent="0.2">
      <c r="N1574" s="131"/>
    </row>
    <row r="1575" spans="14:14" x14ac:dyDescent="0.2">
      <c r="N1575" s="131"/>
    </row>
    <row r="1576" spans="14:14" x14ac:dyDescent="0.2">
      <c r="N1576" s="131"/>
    </row>
    <row r="1577" spans="14:14" x14ac:dyDescent="0.2">
      <c r="N1577" s="131"/>
    </row>
    <row r="1578" spans="14:14" x14ac:dyDescent="0.2">
      <c r="N1578" s="131"/>
    </row>
    <row r="1579" spans="14:14" x14ac:dyDescent="0.2">
      <c r="N1579" s="131"/>
    </row>
    <row r="1580" spans="14:14" x14ac:dyDescent="0.2">
      <c r="N1580" s="131"/>
    </row>
    <row r="1581" spans="14:14" x14ac:dyDescent="0.2">
      <c r="N1581" s="131"/>
    </row>
    <row r="1582" spans="14:14" x14ac:dyDescent="0.2">
      <c r="N1582" s="131"/>
    </row>
    <row r="1583" spans="14:14" x14ac:dyDescent="0.2">
      <c r="N1583" s="131"/>
    </row>
    <row r="1584" spans="14:14" x14ac:dyDescent="0.2">
      <c r="N1584" s="131"/>
    </row>
    <row r="1585" spans="14:14" x14ac:dyDescent="0.2">
      <c r="N1585" s="131"/>
    </row>
    <row r="1586" spans="14:14" x14ac:dyDescent="0.2">
      <c r="N1586" s="131"/>
    </row>
    <row r="1587" spans="14:14" x14ac:dyDescent="0.2">
      <c r="N1587" s="131"/>
    </row>
    <row r="1588" spans="14:14" x14ac:dyDescent="0.2">
      <c r="N1588" s="131"/>
    </row>
    <row r="1589" spans="14:14" x14ac:dyDescent="0.2">
      <c r="N1589" s="131"/>
    </row>
    <row r="1590" spans="14:14" x14ac:dyDescent="0.2">
      <c r="N1590" s="131"/>
    </row>
    <row r="1591" spans="14:14" x14ac:dyDescent="0.2">
      <c r="N1591" s="131"/>
    </row>
    <row r="1592" spans="14:14" x14ac:dyDescent="0.2">
      <c r="N1592" s="131"/>
    </row>
    <row r="1593" spans="14:14" x14ac:dyDescent="0.2">
      <c r="N1593" s="131"/>
    </row>
    <row r="1594" spans="14:14" x14ac:dyDescent="0.2">
      <c r="N1594" s="131"/>
    </row>
    <row r="1595" spans="14:14" x14ac:dyDescent="0.2">
      <c r="N1595" s="131"/>
    </row>
    <row r="1596" spans="14:14" x14ac:dyDescent="0.2">
      <c r="N1596" s="131"/>
    </row>
    <row r="1597" spans="14:14" x14ac:dyDescent="0.2">
      <c r="N1597" s="131"/>
    </row>
    <row r="1598" spans="14:14" x14ac:dyDescent="0.2">
      <c r="N1598" s="131"/>
    </row>
    <row r="1599" spans="14:14" x14ac:dyDescent="0.2">
      <c r="N1599" s="131"/>
    </row>
    <row r="1600" spans="14:14" x14ac:dyDescent="0.2">
      <c r="N1600" s="131"/>
    </row>
    <row r="1601" spans="14:14" x14ac:dyDescent="0.2">
      <c r="N1601" s="131"/>
    </row>
    <row r="1602" spans="14:14" x14ac:dyDescent="0.2">
      <c r="N1602" s="131"/>
    </row>
    <row r="1603" spans="14:14" x14ac:dyDescent="0.2">
      <c r="N1603" s="131"/>
    </row>
    <row r="1604" spans="14:14" x14ac:dyDescent="0.2">
      <c r="N1604" s="131"/>
    </row>
    <row r="1605" spans="14:14" x14ac:dyDescent="0.2">
      <c r="N1605" s="131"/>
    </row>
    <row r="1606" spans="14:14" x14ac:dyDescent="0.2">
      <c r="N1606" s="131"/>
    </row>
    <row r="1607" spans="14:14" x14ac:dyDescent="0.2">
      <c r="N1607" s="131"/>
    </row>
    <row r="1608" spans="14:14" x14ac:dyDescent="0.2">
      <c r="N1608" s="131"/>
    </row>
    <row r="1609" spans="14:14" x14ac:dyDescent="0.2">
      <c r="N1609" s="131"/>
    </row>
    <row r="1610" spans="14:14" x14ac:dyDescent="0.2">
      <c r="N1610" s="131"/>
    </row>
    <row r="1611" spans="14:14" x14ac:dyDescent="0.2">
      <c r="N1611" s="131"/>
    </row>
    <row r="1612" spans="14:14" x14ac:dyDescent="0.2">
      <c r="N1612" s="131"/>
    </row>
    <row r="1613" spans="14:14" x14ac:dyDescent="0.2">
      <c r="N1613" s="131"/>
    </row>
    <row r="1614" spans="14:14" x14ac:dyDescent="0.2">
      <c r="N1614" s="131"/>
    </row>
    <row r="1615" spans="14:14" x14ac:dyDescent="0.2">
      <c r="N1615" s="131"/>
    </row>
    <row r="1616" spans="14:14" x14ac:dyDescent="0.2">
      <c r="N1616" s="131"/>
    </row>
    <row r="1617" spans="14:14" x14ac:dyDescent="0.2">
      <c r="N1617" s="131"/>
    </row>
    <row r="1618" spans="14:14" x14ac:dyDescent="0.2">
      <c r="N1618" s="131"/>
    </row>
    <row r="1619" spans="14:14" x14ac:dyDescent="0.2">
      <c r="N1619" s="131"/>
    </row>
    <row r="1620" spans="14:14" x14ac:dyDescent="0.2">
      <c r="N1620" s="131"/>
    </row>
    <row r="1621" spans="14:14" x14ac:dyDescent="0.2">
      <c r="N1621" s="131"/>
    </row>
    <row r="1622" spans="14:14" x14ac:dyDescent="0.2">
      <c r="N1622" s="131"/>
    </row>
    <row r="1623" spans="14:14" x14ac:dyDescent="0.2">
      <c r="N1623" s="131"/>
    </row>
    <row r="1624" spans="14:14" x14ac:dyDescent="0.2">
      <c r="N1624" s="131"/>
    </row>
    <row r="1625" spans="14:14" x14ac:dyDescent="0.2">
      <c r="N1625" s="131"/>
    </row>
    <row r="1626" spans="14:14" x14ac:dyDescent="0.2">
      <c r="N1626" s="131"/>
    </row>
    <row r="1627" spans="14:14" x14ac:dyDescent="0.2">
      <c r="N1627" s="131"/>
    </row>
    <row r="1628" spans="14:14" x14ac:dyDescent="0.2">
      <c r="N1628" s="131"/>
    </row>
    <row r="1629" spans="14:14" x14ac:dyDescent="0.2">
      <c r="N1629" s="131"/>
    </row>
    <row r="1630" spans="14:14" x14ac:dyDescent="0.2">
      <c r="N1630" s="131"/>
    </row>
    <row r="1631" spans="14:14" x14ac:dyDescent="0.2">
      <c r="N1631" s="131"/>
    </row>
    <row r="1632" spans="14:14" x14ac:dyDescent="0.2">
      <c r="N1632" s="131"/>
    </row>
    <row r="1633" spans="14:14" x14ac:dyDescent="0.2">
      <c r="N1633" s="131"/>
    </row>
    <row r="1634" spans="14:14" x14ac:dyDescent="0.2">
      <c r="N1634" s="131"/>
    </row>
    <row r="1635" spans="14:14" x14ac:dyDescent="0.2">
      <c r="N1635" s="131"/>
    </row>
    <row r="1636" spans="14:14" x14ac:dyDescent="0.2">
      <c r="N1636" s="131"/>
    </row>
    <row r="1637" spans="14:14" x14ac:dyDescent="0.2">
      <c r="N1637" s="131"/>
    </row>
    <row r="1638" spans="14:14" x14ac:dyDescent="0.2">
      <c r="N1638" s="131"/>
    </row>
    <row r="1639" spans="14:14" x14ac:dyDescent="0.2">
      <c r="N1639" s="131"/>
    </row>
    <row r="1640" spans="14:14" x14ac:dyDescent="0.2">
      <c r="N1640" s="131"/>
    </row>
    <row r="1641" spans="14:14" x14ac:dyDescent="0.2">
      <c r="N1641" s="131"/>
    </row>
    <row r="1642" spans="14:14" x14ac:dyDescent="0.2">
      <c r="N1642" s="131"/>
    </row>
    <row r="1643" spans="14:14" x14ac:dyDescent="0.2">
      <c r="N1643" s="131"/>
    </row>
    <row r="1644" spans="14:14" x14ac:dyDescent="0.2">
      <c r="N1644" s="131"/>
    </row>
    <row r="1645" spans="14:14" x14ac:dyDescent="0.2">
      <c r="N1645" s="131"/>
    </row>
    <row r="1646" spans="14:14" x14ac:dyDescent="0.2">
      <c r="N1646" s="131"/>
    </row>
    <row r="1647" spans="14:14" x14ac:dyDescent="0.2">
      <c r="N1647" s="131"/>
    </row>
    <row r="1648" spans="14:14" x14ac:dyDescent="0.2">
      <c r="N1648" s="131"/>
    </row>
    <row r="1649" spans="14:14" x14ac:dyDescent="0.2">
      <c r="N1649" s="131"/>
    </row>
    <row r="1650" spans="14:14" x14ac:dyDescent="0.2">
      <c r="N1650" s="131"/>
    </row>
    <row r="1651" spans="14:14" x14ac:dyDescent="0.2">
      <c r="N1651" s="131"/>
    </row>
    <row r="1652" spans="14:14" x14ac:dyDescent="0.2">
      <c r="N1652" s="131"/>
    </row>
    <row r="1653" spans="14:14" x14ac:dyDescent="0.2">
      <c r="N1653" s="131"/>
    </row>
    <row r="1654" spans="14:14" x14ac:dyDescent="0.2">
      <c r="N1654" s="131"/>
    </row>
    <row r="1655" spans="14:14" x14ac:dyDescent="0.2">
      <c r="N1655" s="131"/>
    </row>
    <row r="1656" spans="14:14" x14ac:dyDescent="0.2">
      <c r="N1656" s="131"/>
    </row>
    <row r="1657" spans="14:14" x14ac:dyDescent="0.2">
      <c r="N1657" s="131"/>
    </row>
    <row r="1658" spans="14:14" x14ac:dyDescent="0.2">
      <c r="N1658" s="131"/>
    </row>
    <row r="1659" spans="14:14" x14ac:dyDescent="0.2">
      <c r="N1659" s="131"/>
    </row>
    <row r="1660" spans="14:14" x14ac:dyDescent="0.2">
      <c r="N1660" s="131"/>
    </row>
    <row r="1661" spans="14:14" x14ac:dyDescent="0.2">
      <c r="N1661" s="131"/>
    </row>
    <row r="1662" spans="14:14" x14ac:dyDescent="0.2">
      <c r="N1662" s="131"/>
    </row>
    <row r="1663" spans="14:14" x14ac:dyDescent="0.2">
      <c r="N1663" s="131"/>
    </row>
    <row r="1664" spans="14:14" x14ac:dyDescent="0.2">
      <c r="N1664" s="131"/>
    </row>
    <row r="1665" spans="14:14" x14ac:dyDescent="0.2">
      <c r="N1665" s="131"/>
    </row>
    <row r="1666" spans="14:14" x14ac:dyDescent="0.2">
      <c r="N1666" s="131"/>
    </row>
    <row r="1667" spans="14:14" x14ac:dyDescent="0.2">
      <c r="N1667" s="131"/>
    </row>
    <row r="1668" spans="14:14" x14ac:dyDescent="0.2">
      <c r="N1668" s="131"/>
    </row>
    <row r="1669" spans="14:14" x14ac:dyDescent="0.2">
      <c r="N1669" s="131"/>
    </row>
    <row r="1670" spans="14:14" x14ac:dyDescent="0.2">
      <c r="N1670" s="131"/>
    </row>
    <row r="1671" spans="14:14" x14ac:dyDescent="0.2">
      <c r="N1671" s="131"/>
    </row>
    <row r="1672" spans="14:14" x14ac:dyDescent="0.2">
      <c r="N1672" s="131"/>
    </row>
    <row r="1673" spans="14:14" x14ac:dyDescent="0.2">
      <c r="N1673" s="131"/>
    </row>
    <row r="1674" spans="14:14" x14ac:dyDescent="0.2">
      <c r="N1674" s="131"/>
    </row>
    <row r="1675" spans="14:14" x14ac:dyDescent="0.2">
      <c r="N1675" s="131"/>
    </row>
    <row r="1676" spans="14:14" x14ac:dyDescent="0.2">
      <c r="N1676" s="131"/>
    </row>
    <row r="1677" spans="14:14" x14ac:dyDescent="0.2">
      <c r="N1677" s="131"/>
    </row>
    <row r="1678" spans="14:14" x14ac:dyDescent="0.2">
      <c r="N1678" s="131"/>
    </row>
    <row r="1679" spans="14:14" x14ac:dyDescent="0.2">
      <c r="N1679" s="131"/>
    </row>
    <row r="1680" spans="14:14" x14ac:dyDescent="0.2">
      <c r="N1680" s="131"/>
    </row>
    <row r="1681" spans="14:14" x14ac:dyDescent="0.2">
      <c r="N1681" s="131"/>
    </row>
    <row r="1682" spans="14:14" x14ac:dyDescent="0.2">
      <c r="N1682" s="131"/>
    </row>
    <row r="1683" spans="14:14" x14ac:dyDescent="0.2">
      <c r="N1683" s="131"/>
    </row>
    <row r="1684" spans="14:14" x14ac:dyDescent="0.2">
      <c r="N1684" s="131"/>
    </row>
    <row r="1685" spans="14:14" x14ac:dyDescent="0.2">
      <c r="N1685" s="131"/>
    </row>
    <row r="1686" spans="14:14" x14ac:dyDescent="0.2">
      <c r="N1686" s="131"/>
    </row>
    <row r="1687" spans="14:14" x14ac:dyDescent="0.2">
      <c r="N1687" s="131"/>
    </row>
    <row r="1688" spans="14:14" x14ac:dyDescent="0.2">
      <c r="N1688" s="131"/>
    </row>
    <row r="1689" spans="14:14" x14ac:dyDescent="0.2">
      <c r="N1689" s="131"/>
    </row>
    <row r="1690" spans="14:14" x14ac:dyDescent="0.2">
      <c r="N1690" s="131"/>
    </row>
    <row r="1691" spans="14:14" x14ac:dyDescent="0.2">
      <c r="N1691" s="131"/>
    </row>
    <row r="1692" spans="14:14" x14ac:dyDescent="0.2">
      <c r="N1692" s="131"/>
    </row>
    <row r="1693" spans="14:14" x14ac:dyDescent="0.2">
      <c r="N1693" s="131"/>
    </row>
    <row r="1694" spans="14:14" x14ac:dyDescent="0.2">
      <c r="N1694" s="131"/>
    </row>
    <row r="1695" spans="14:14" x14ac:dyDescent="0.2">
      <c r="N1695" s="131"/>
    </row>
    <row r="1696" spans="14:14" x14ac:dyDescent="0.2">
      <c r="N1696" s="131"/>
    </row>
    <row r="1697" spans="14:14" x14ac:dyDescent="0.2">
      <c r="N1697" s="131"/>
    </row>
    <row r="1698" spans="14:14" x14ac:dyDescent="0.2">
      <c r="N1698" s="131"/>
    </row>
    <row r="1699" spans="14:14" x14ac:dyDescent="0.2">
      <c r="N1699" s="131"/>
    </row>
    <row r="1700" spans="14:14" x14ac:dyDescent="0.2">
      <c r="N1700" s="131"/>
    </row>
    <row r="1701" spans="14:14" x14ac:dyDescent="0.2">
      <c r="N1701" s="131"/>
    </row>
    <row r="1702" spans="14:14" x14ac:dyDescent="0.2">
      <c r="N1702" s="131"/>
    </row>
    <row r="1703" spans="14:14" x14ac:dyDescent="0.2">
      <c r="N1703" s="131"/>
    </row>
    <row r="1704" spans="14:14" x14ac:dyDescent="0.2">
      <c r="N1704" s="131"/>
    </row>
    <row r="1705" spans="14:14" x14ac:dyDescent="0.2">
      <c r="N1705" s="131"/>
    </row>
    <row r="1706" spans="14:14" x14ac:dyDescent="0.2">
      <c r="N1706" s="131"/>
    </row>
    <row r="1707" spans="14:14" x14ac:dyDescent="0.2">
      <c r="N1707" s="131"/>
    </row>
    <row r="1708" spans="14:14" x14ac:dyDescent="0.2">
      <c r="N1708" s="131"/>
    </row>
    <row r="1709" spans="14:14" x14ac:dyDescent="0.2">
      <c r="N1709" s="131"/>
    </row>
    <row r="1710" spans="14:14" x14ac:dyDescent="0.2">
      <c r="N1710" s="131"/>
    </row>
    <row r="1711" spans="14:14" x14ac:dyDescent="0.2">
      <c r="N1711" s="131"/>
    </row>
    <row r="1712" spans="14:14" x14ac:dyDescent="0.2">
      <c r="N1712" s="131"/>
    </row>
    <row r="1713" spans="14:14" x14ac:dyDescent="0.2">
      <c r="N1713" s="131"/>
    </row>
    <row r="1714" spans="14:14" x14ac:dyDescent="0.2">
      <c r="N1714" s="131"/>
    </row>
    <row r="1715" spans="14:14" x14ac:dyDescent="0.2">
      <c r="N1715" s="131"/>
    </row>
    <row r="1716" spans="14:14" x14ac:dyDescent="0.2">
      <c r="N1716" s="131"/>
    </row>
    <row r="1717" spans="14:14" x14ac:dyDescent="0.2">
      <c r="N1717" s="131"/>
    </row>
    <row r="1718" spans="14:14" x14ac:dyDescent="0.2">
      <c r="N1718" s="131"/>
    </row>
    <row r="1719" spans="14:14" x14ac:dyDescent="0.2">
      <c r="N1719" s="131"/>
    </row>
    <row r="1720" spans="14:14" x14ac:dyDescent="0.2">
      <c r="N1720" s="131"/>
    </row>
    <row r="1721" spans="14:14" x14ac:dyDescent="0.2">
      <c r="N1721" s="131"/>
    </row>
    <row r="1722" spans="14:14" x14ac:dyDescent="0.2">
      <c r="N1722" s="131"/>
    </row>
    <row r="1723" spans="14:14" x14ac:dyDescent="0.2">
      <c r="N1723" s="131"/>
    </row>
    <row r="1724" spans="14:14" x14ac:dyDescent="0.2">
      <c r="N1724" s="131"/>
    </row>
    <row r="1725" spans="14:14" x14ac:dyDescent="0.2">
      <c r="N1725" s="131"/>
    </row>
    <row r="1726" spans="14:14" x14ac:dyDescent="0.2">
      <c r="N1726" s="131"/>
    </row>
    <row r="1727" spans="14:14" x14ac:dyDescent="0.2">
      <c r="N1727" s="131"/>
    </row>
    <row r="1728" spans="14:14" x14ac:dyDescent="0.2">
      <c r="N1728" s="131"/>
    </row>
    <row r="1729" spans="14:14" x14ac:dyDescent="0.2">
      <c r="N1729" s="131"/>
    </row>
    <row r="1730" spans="14:14" x14ac:dyDescent="0.2">
      <c r="N1730" s="131"/>
    </row>
    <row r="1731" spans="14:14" x14ac:dyDescent="0.2">
      <c r="N1731" s="131"/>
    </row>
    <row r="1732" spans="14:14" x14ac:dyDescent="0.2">
      <c r="N1732" s="131"/>
    </row>
    <row r="1733" spans="14:14" x14ac:dyDescent="0.2">
      <c r="N1733" s="131"/>
    </row>
    <row r="1734" spans="14:14" x14ac:dyDescent="0.2">
      <c r="N1734" s="131"/>
    </row>
    <row r="1735" spans="14:14" x14ac:dyDescent="0.2">
      <c r="N1735" s="131"/>
    </row>
    <row r="1736" spans="14:14" x14ac:dyDescent="0.2">
      <c r="N1736" s="131"/>
    </row>
    <row r="1737" spans="14:14" x14ac:dyDescent="0.2">
      <c r="N1737" s="131"/>
    </row>
    <row r="1738" spans="14:14" x14ac:dyDescent="0.2">
      <c r="N1738" s="131"/>
    </row>
    <row r="1739" spans="14:14" x14ac:dyDescent="0.2">
      <c r="N1739" s="131"/>
    </row>
    <row r="1740" spans="14:14" x14ac:dyDescent="0.2">
      <c r="N1740" s="131"/>
    </row>
    <row r="1741" spans="14:14" x14ac:dyDescent="0.2">
      <c r="N1741" s="131"/>
    </row>
    <row r="1742" spans="14:14" x14ac:dyDescent="0.2">
      <c r="N1742" s="131"/>
    </row>
    <row r="1743" spans="14:14" x14ac:dyDescent="0.2">
      <c r="N1743" s="131"/>
    </row>
    <row r="1744" spans="14:14" x14ac:dyDescent="0.2">
      <c r="N1744" s="131"/>
    </row>
    <row r="1745" spans="14:14" x14ac:dyDescent="0.2">
      <c r="N1745" s="131"/>
    </row>
    <row r="1746" spans="14:14" x14ac:dyDescent="0.2">
      <c r="N1746" s="131"/>
    </row>
    <row r="1747" spans="14:14" x14ac:dyDescent="0.2">
      <c r="N1747" s="131"/>
    </row>
    <row r="1748" spans="14:14" x14ac:dyDescent="0.2">
      <c r="N1748" s="131"/>
    </row>
    <row r="1749" spans="14:14" x14ac:dyDescent="0.2">
      <c r="N1749" s="131"/>
    </row>
    <row r="1750" spans="14:14" x14ac:dyDescent="0.2">
      <c r="N1750" s="131"/>
    </row>
    <row r="1751" spans="14:14" x14ac:dyDescent="0.2">
      <c r="N1751" s="131"/>
    </row>
    <row r="1752" spans="14:14" x14ac:dyDescent="0.2">
      <c r="N1752" s="131"/>
    </row>
    <row r="1753" spans="14:14" x14ac:dyDescent="0.2">
      <c r="N1753" s="131"/>
    </row>
    <row r="1754" spans="14:14" x14ac:dyDescent="0.2">
      <c r="N1754" s="131"/>
    </row>
    <row r="1755" spans="14:14" x14ac:dyDescent="0.2">
      <c r="N1755" s="131"/>
    </row>
    <row r="1756" spans="14:14" x14ac:dyDescent="0.2">
      <c r="N1756" s="131"/>
    </row>
    <row r="1757" spans="14:14" x14ac:dyDescent="0.2">
      <c r="N1757" s="131"/>
    </row>
    <row r="1758" spans="14:14" x14ac:dyDescent="0.2">
      <c r="N1758" s="131"/>
    </row>
    <row r="1759" spans="14:14" x14ac:dyDescent="0.2">
      <c r="N1759" s="131"/>
    </row>
    <row r="1760" spans="14:14" x14ac:dyDescent="0.2">
      <c r="N1760" s="131"/>
    </row>
    <row r="1761" spans="14:14" x14ac:dyDescent="0.2">
      <c r="N1761" s="131"/>
    </row>
    <row r="1762" spans="14:14" x14ac:dyDescent="0.2">
      <c r="N1762" s="131"/>
    </row>
    <row r="1763" spans="14:14" x14ac:dyDescent="0.2">
      <c r="N1763" s="131"/>
    </row>
    <row r="1764" spans="14:14" x14ac:dyDescent="0.2">
      <c r="N1764" s="131"/>
    </row>
    <row r="1765" spans="14:14" x14ac:dyDescent="0.2">
      <c r="N1765" s="131"/>
    </row>
    <row r="1766" spans="14:14" x14ac:dyDescent="0.2">
      <c r="N1766" s="131"/>
    </row>
    <row r="1767" spans="14:14" x14ac:dyDescent="0.2">
      <c r="N1767" s="131"/>
    </row>
    <row r="1768" spans="14:14" x14ac:dyDescent="0.2">
      <c r="N1768" s="131"/>
    </row>
    <row r="1769" spans="14:14" x14ac:dyDescent="0.2">
      <c r="N1769" s="131"/>
    </row>
    <row r="1770" spans="14:14" x14ac:dyDescent="0.2">
      <c r="N1770" s="131"/>
    </row>
    <row r="1771" spans="14:14" x14ac:dyDescent="0.2">
      <c r="N1771" s="131"/>
    </row>
    <row r="1772" spans="14:14" x14ac:dyDescent="0.2">
      <c r="N1772" s="131"/>
    </row>
    <row r="1773" spans="14:14" x14ac:dyDescent="0.2">
      <c r="N1773" s="131"/>
    </row>
    <row r="1774" spans="14:14" x14ac:dyDescent="0.2">
      <c r="N1774" s="131"/>
    </row>
    <row r="1775" spans="14:14" x14ac:dyDescent="0.2">
      <c r="N1775" s="131"/>
    </row>
    <row r="1776" spans="14:14" x14ac:dyDescent="0.2">
      <c r="N1776" s="131"/>
    </row>
    <row r="1777" spans="14:14" x14ac:dyDescent="0.2">
      <c r="N1777" s="131"/>
    </row>
    <row r="1778" spans="14:14" x14ac:dyDescent="0.2">
      <c r="N1778" s="131"/>
    </row>
    <row r="1779" spans="14:14" x14ac:dyDescent="0.2">
      <c r="N1779" s="131"/>
    </row>
    <row r="1780" spans="14:14" x14ac:dyDescent="0.2">
      <c r="N1780" s="131"/>
    </row>
    <row r="1781" spans="14:14" x14ac:dyDescent="0.2">
      <c r="N1781" s="131"/>
    </row>
    <row r="1782" spans="14:14" x14ac:dyDescent="0.2">
      <c r="N1782" s="131"/>
    </row>
    <row r="1783" spans="14:14" x14ac:dyDescent="0.2">
      <c r="N1783" s="131"/>
    </row>
    <row r="1784" spans="14:14" x14ac:dyDescent="0.2">
      <c r="N1784" s="131"/>
    </row>
    <row r="1785" spans="14:14" x14ac:dyDescent="0.2">
      <c r="N1785" s="131"/>
    </row>
    <row r="1786" spans="14:14" x14ac:dyDescent="0.2">
      <c r="N1786" s="131"/>
    </row>
    <row r="1787" spans="14:14" x14ac:dyDescent="0.2">
      <c r="N1787" s="131"/>
    </row>
    <row r="1788" spans="14:14" x14ac:dyDescent="0.2">
      <c r="N1788" s="131"/>
    </row>
    <row r="1789" spans="14:14" x14ac:dyDescent="0.2">
      <c r="N1789" s="131"/>
    </row>
    <row r="1790" spans="14:14" x14ac:dyDescent="0.2">
      <c r="N1790" s="131"/>
    </row>
    <row r="1791" spans="14:14" x14ac:dyDescent="0.2">
      <c r="N1791" s="131"/>
    </row>
    <row r="1792" spans="14:14" x14ac:dyDescent="0.2">
      <c r="N1792" s="131"/>
    </row>
    <row r="1793" spans="14:14" x14ac:dyDescent="0.2">
      <c r="N1793" s="131"/>
    </row>
    <row r="1794" spans="14:14" x14ac:dyDescent="0.2">
      <c r="N1794" s="131"/>
    </row>
    <row r="1795" spans="14:14" x14ac:dyDescent="0.2">
      <c r="N1795" s="131"/>
    </row>
    <row r="1796" spans="14:14" x14ac:dyDescent="0.2">
      <c r="N1796" s="131"/>
    </row>
    <row r="1797" spans="14:14" x14ac:dyDescent="0.2">
      <c r="N1797" s="131"/>
    </row>
    <row r="1798" spans="14:14" x14ac:dyDescent="0.2">
      <c r="N1798" s="131"/>
    </row>
    <row r="1799" spans="14:14" x14ac:dyDescent="0.2">
      <c r="N1799" s="131"/>
    </row>
    <row r="1800" spans="14:14" x14ac:dyDescent="0.2">
      <c r="N1800" s="131"/>
    </row>
    <row r="1801" spans="14:14" x14ac:dyDescent="0.2">
      <c r="N1801" s="131"/>
    </row>
    <row r="1802" spans="14:14" x14ac:dyDescent="0.2">
      <c r="N1802" s="131"/>
    </row>
    <row r="1803" spans="14:14" x14ac:dyDescent="0.2">
      <c r="N1803" s="131"/>
    </row>
    <row r="1804" spans="14:14" x14ac:dyDescent="0.2">
      <c r="N1804" s="131"/>
    </row>
    <row r="1805" spans="14:14" x14ac:dyDescent="0.2">
      <c r="N1805" s="131"/>
    </row>
    <row r="1806" spans="14:14" x14ac:dyDescent="0.2">
      <c r="N1806" s="131"/>
    </row>
    <row r="1807" spans="14:14" x14ac:dyDescent="0.2">
      <c r="N1807" s="131"/>
    </row>
    <row r="1808" spans="14:14" x14ac:dyDescent="0.2">
      <c r="N1808" s="131"/>
    </row>
    <row r="1809" spans="14:14" x14ac:dyDescent="0.2">
      <c r="N1809" s="131"/>
    </row>
    <row r="1810" spans="14:14" x14ac:dyDescent="0.2">
      <c r="N1810" s="131"/>
    </row>
    <row r="1811" spans="14:14" x14ac:dyDescent="0.2">
      <c r="N1811" s="131"/>
    </row>
    <row r="1812" spans="14:14" x14ac:dyDescent="0.2">
      <c r="N1812" s="131"/>
    </row>
    <row r="1813" spans="14:14" x14ac:dyDescent="0.2">
      <c r="N1813" s="131"/>
    </row>
    <row r="1814" spans="14:14" x14ac:dyDescent="0.2">
      <c r="N1814" s="131"/>
    </row>
    <row r="1815" spans="14:14" x14ac:dyDescent="0.2">
      <c r="N1815" s="131"/>
    </row>
    <row r="1816" spans="14:14" x14ac:dyDescent="0.2">
      <c r="N1816" s="131"/>
    </row>
    <row r="1817" spans="14:14" x14ac:dyDescent="0.2">
      <c r="N1817" s="131"/>
    </row>
    <row r="1818" spans="14:14" x14ac:dyDescent="0.2">
      <c r="N1818" s="131"/>
    </row>
    <row r="1819" spans="14:14" x14ac:dyDescent="0.2">
      <c r="N1819" s="131"/>
    </row>
    <row r="1820" spans="14:14" x14ac:dyDescent="0.2">
      <c r="N1820" s="131"/>
    </row>
    <row r="1821" spans="14:14" x14ac:dyDescent="0.2">
      <c r="N1821" s="131"/>
    </row>
    <row r="1822" spans="14:14" x14ac:dyDescent="0.2">
      <c r="N1822" s="131"/>
    </row>
    <row r="1823" spans="14:14" x14ac:dyDescent="0.2">
      <c r="N1823" s="131"/>
    </row>
    <row r="1824" spans="14:14" x14ac:dyDescent="0.2">
      <c r="N1824" s="131"/>
    </row>
    <row r="1825" spans="14:14" x14ac:dyDescent="0.2">
      <c r="N1825" s="131"/>
    </row>
    <row r="1826" spans="14:14" x14ac:dyDescent="0.2">
      <c r="N1826" s="131"/>
    </row>
    <row r="1827" spans="14:14" x14ac:dyDescent="0.2">
      <c r="N1827" s="131"/>
    </row>
    <row r="1828" spans="14:14" x14ac:dyDescent="0.2">
      <c r="N1828" s="131"/>
    </row>
    <row r="1829" spans="14:14" x14ac:dyDescent="0.2">
      <c r="N1829" s="131"/>
    </row>
    <row r="1830" spans="14:14" x14ac:dyDescent="0.2">
      <c r="N1830" s="131"/>
    </row>
    <row r="1831" spans="14:14" x14ac:dyDescent="0.2">
      <c r="N1831" s="131"/>
    </row>
    <row r="1832" spans="14:14" x14ac:dyDescent="0.2">
      <c r="N1832" s="131"/>
    </row>
    <row r="1833" spans="14:14" x14ac:dyDescent="0.2">
      <c r="N1833" s="131"/>
    </row>
    <row r="1834" spans="14:14" x14ac:dyDescent="0.2">
      <c r="N1834" s="131"/>
    </row>
    <row r="1835" spans="14:14" x14ac:dyDescent="0.2">
      <c r="N1835" s="131"/>
    </row>
    <row r="1836" spans="14:14" x14ac:dyDescent="0.2">
      <c r="N1836" s="131"/>
    </row>
    <row r="1837" spans="14:14" x14ac:dyDescent="0.2">
      <c r="N1837" s="131"/>
    </row>
    <row r="1838" spans="14:14" x14ac:dyDescent="0.2">
      <c r="N1838" s="131"/>
    </row>
    <row r="1839" spans="14:14" x14ac:dyDescent="0.2">
      <c r="N1839" s="131"/>
    </row>
    <row r="1840" spans="14:14" x14ac:dyDescent="0.2">
      <c r="N1840" s="131"/>
    </row>
    <row r="1841" spans="14:14" x14ac:dyDescent="0.2">
      <c r="N1841" s="131"/>
    </row>
    <row r="1842" spans="14:14" x14ac:dyDescent="0.2">
      <c r="N1842" s="131"/>
    </row>
    <row r="1843" spans="14:14" x14ac:dyDescent="0.2">
      <c r="N1843" s="131"/>
    </row>
    <row r="1844" spans="14:14" x14ac:dyDescent="0.2">
      <c r="N1844" s="131"/>
    </row>
    <row r="1845" spans="14:14" x14ac:dyDescent="0.2">
      <c r="N1845" s="131"/>
    </row>
    <row r="1846" spans="14:14" x14ac:dyDescent="0.2">
      <c r="N1846" s="131"/>
    </row>
    <row r="1847" spans="14:14" x14ac:dyDescent="0.2">
      <c r="N1847" s="131"/>
    </row>
    <row r="1848" spans="14:14" x14ac:dyDescent="0.2">
      <c r="N1848" s="131"/>
    </row>
    <row r="1849" spans="14:14" x14ac:dyDescent="0.2">
      <c r="N1849" s="131"/>
    </row>
    <row r="1850" spans="14:14" x14ac:dyDescent="0.2">
      <c r="N1850" s="131"/>
    </row>
    <row r="1851" spans="14:14" x14ac:dyDescent="0.2">
      <c r="N1851" s="131"/>
    </row>
    <row r="1852" spans="14:14" x14ac:dyDescent="0.2">
      <c r="N1852" s="131"/>
    </row>
    <row r="1853" spans="14:14" x14ac:dyDescent="0.2">
      <c r="N1853" s="131"/>
    </row>
    <row r="1854" spans="14:14" x14ac:dyDescent="0.2">
      <c r="N1854" s="131"/>
    </row>
    <row r="1855" spans="14:14" x14ac:dyDescent="0.2">
      <c r="N1855" s="131"/>
    </row>
    <row r="1856" spans="14:14" x14ac:dyDescent="0.2">
      <c r="N1856" s="131"/>
    </row>
    <row r="1857" spans="14:14" x14ac:dyDescent="0.2">
      <c r="N1857" s="131"/>
    </row>
    <row r="1858" spans="14:14" x14ac:dyDescent="0.2">
      <c r="N1858" s="131"/>
    </row>
    <row r="1859" spans="14:14" x14ac:dyDescent="0.2">
      <c r="N1859" s="131"/>
    </row>
    <row r="1860" spans="14:14" x14ac:dyDescent="0.2">
      <c r="N1860" s="131"/>
    </row>
    <row r="1861" spans="14:14" x14ac:dyDescent="0.2">
      <c r="N1861" s="131"/>
    </row>
    <row r="1862" spans="14:14" x14ac:dyDescent="0.2">
      <c r="N1862" s="131"/>
    </row>
    <row r="1863" spans="14:14" x14ac:dyDescent="0.2">
      <c r="N1863" s="131"/>
    </row>
    <row r="1864" spans="14:14" x14ac:dyDescent="0.2">
      <c r="N1864" s="131"/>
    </row>
    <row r="1865" spans="14:14" x14ac:dyDescent="0.2">
      <c r="N1865" s="131"/>
    </row>
    <row r="1866" spans="14:14" x14ac:dyDescent="0.2">
      <c r="N1866" s="131"/>
    </row>
    <row r="1867" spans="14:14" x14ac:dyDescent="0.2">
      <c r="N1867" s="131"/>
    </row>
    <row r="1868" spans="14:14" x14ac:dyDescent="0.2">
      <c r="N1868" s="131"/>
    </row>
    <row r="1869" spans="14:14" x14ac:dyDescent="0.2">
      <c r="N1869" s="131"/>
    </row>
    <row r="1870" spans="14:14" x14ac:dyDescent="0.2">
      <c r="N1870" s="131"/>
    </row>
    <row r="1871" spans="14:14" x14ac:dyDescent="0.2">
      <c r="N1871" s="131"/>
    </row>
    <row r="1872" spans="14:14" x14ac:dyDescent="0.2">
      <c r="N1872" s="131"/>
    </row>
    <row r="1873" spans="14:14" x14ac:dyDescent="0.2">
      <c r="N1873" s="131"/>
    </row>
    <row r="1874" spans="14:14" x14ac:dyDescent="0.2">
      <c r="N1874" s="131"/>
    </row>
    <row r="1875" spans="14:14" x14ac:dyDescent="0.2">
      <c r="N1875" s="131"/>
    </row>
    <row r="1876" spans="14:14" x14ac:dyDescent="0.2">
      <c r="N1876" s="131"/>
    </row>
    <row r="1877" spans="14:14" x14ac:dyDescent="0.2">
      <c r="N1877" s="131"/>
    </row>
    <row r="1878" spans="14:14" x14ac:dyDescent="0.2">
      <c r="N1878" s="131"/>
    </row>
    <row r="1879" spans="14:14" x14ac:dyDescent="0.2">
      <c r="N1879" s="131"/>
    </row>
    <row r="1880" spans="14:14" x14ac:dyDescent="0.2">
      <c r="N1880" s="131"/>
    </row>
    <row r="1881" spans="14:14" x14ac:dyDescent="0.2">
      <c r="N1881" s="131"/>
    </row>
    <row r="1882" spans="14:14" x14ac:dyDescent="0.2">
      <c r="N1882" s="131"/>
    </row>
    <row r="1883" spans="14:14" x14ac:dyDescent="0.2">
      <c r="N1883" s="131"/>
    </row>
    <row r="1884" spans="14:14" x14ac:dyDescent="0.2">
      <c r="N1884" s="131"/>
    </row>
    <row r="1885" spans="14:14" x14ac:dyDescent="0.2">
      <c r="N1885" s="131"/>
    </row>
    <row r="1886" spans="14:14" x14ac:dyDescent="0.2">
      <c r="N1886" s="131"/>
    </row>
    <row r="1887" spans="14:14" x14ac:dyDescent="0.2">
      <c r="N1887" s="131"/>
    </row>
    <row r="1888" spans="14:14" x14ac:dyDescent="0.2">
      <c r="N1888" s="131"/>
    </row>
    <row r="1889" spans="14:14" x14ac:dyDescent="0.2">
      <c r="N1889" s="131"/>
    </row>
    <row r="1890" spans="14:14" x14ac:dyDescent="0.2">
      <c r="N1890" s="131"/>
    </row>
    <row r="1891" spans="14:14" x14ac:dyDescent="0.2">
      <c r="N1891" s="131"/>
    </row>
    <row r="1892" spans="14:14" x14ac:dyDescent="0.2">
      <c r="N1892" s="131"/>
    </row>
    <row r="1893" spans="14:14" x14ac:dyDescent="0.2">
      <c r="N1893" s="131"/>
    </row>
    <row r="1894" spans="14:14" x14ac:dyDescent="0.2">
      <c r="N1894" s="131"/>
    </row>
    <row r="1895" spans="14:14" x14ac:dyDescent="0.2">
      <c r="N1895" s="131"/>
    </row>
    <row r="1896" spans="14:14" x14ac:dyDescent="0.2">
      <c r="N1896" s="131"/>
    </row>
    <row r="1897" spans="14:14" x14ac:dyDescent="0.2">
      <c r="N1897" s="131"/>
    </row>
    <row r="1898" spans="14:14" x14ac:dyDescent="0.2">
      <c r="N1898" s="131"/>
    </row>
    <row r="1899" spans="14:14" x14ac:dyDescent="0.2">
      <c r="N1899" s="131"/>
    </row>
    <row r="1900" spans="14:14" x14ac:dyDescent="0.2">
      <c r="N1900" s="131"/>
    </row>
    <row r="1901" spans="14:14" x14ac:dyDescent="0.2">
      <c r="N1901" s="131"/>
    </row>
    <row r="1902" spans="14:14" x14ac:dyDescent="0.2">
      <c r="N1902" s="131"/>
    </row>
    <row r="1903" spans="14:14" x14ac:dyDescent="0.2">
      <c r="N1903" s="131"/>
    </row>
    <row r="1904" spans="14:14" x14ac:dyDescent="0.2">
      <c r="N1904" s="131"/>
    </row>
    <row r="1905" spans="14:14" x14ac:dyDescent="0.2">
      <c r="N1905" s="131"/>
    </row>
    <row r="1906" spans="14:14" x14ac:dyDescent="0.2">
      <c r="N1906" s="131"/>
    </row>
    <row r="1907" spans="14:14" x14ac:dyDescent="0.2">
      <c r="N1907" s="131"/>
    </row>
    <row r="1908" spans="14:14" x14ac:dyDescent="0.2">
      <c r="N1908" s="131"/>
    </row>
    <row r="1909" spans="14:14" x14ac:dyDescent="0.2">
      <c r="N1909" s="131"/>
    </row>
    <row r="1910" spans="14:14" x14ac:dyDescent="0.2">
      <c r="N1910" s="131"/>
    </row>
    <row r="1911" spans="14:14" x14ac:dyDescent="0.2">
      <c r="N1911" s="131"/>
    </row>
    <row r="1912" spans="14:14" x14ac:dyDescent="0.2">
      <c r="N1912" s="131"/>
    </row>
    <row r="1913" spans="14:14" x14ac:dyDescent="0.2">
      <c r="N1913" s="131"/>
    </row>
    <row r="1914" spans="14:14" x14ac:dyDescent="0.2">
      <c r="N1914" s="131"/>
    </row>
    <row r="1915" spans="14:14" x14ac:dyDescent="0.2">
      <c r="N1915" s="131"/>
    </row>
    <row r="1916" spans="14:14" x14ac:dyDescent="0.2">
      <c r="N1916" s="131"/>
    </row>
    <row r="1917" spans="14:14" x14ac:dyDescent="0.2">
      <c r="N1917" s="131"/>
    </row>
    <row r="1918" spans="14:14" x14ac:dyDescent="0.2">
      <c r="N1918" s="131"/>
    </row>
    <row r="1919" spans="14:14" x14ac:dyDescent="0.2">
      <c r="N1919" s="131"/>
    </row>
    <row r="1920" spans="14:14" x14ac:dyDescent="0.2">
      <c r="N1920" s="131"/>
    </row>
    <row r="1921" spans="14:14" x14ac:dyDescent="0.2">
      <c r="N1921" s="131"/>
    </row>
    <row r="1922" spans="14:14" x14ac:dyDescent="0.2">
      <c r="N1922" s="131"/>
    </row>
    <row r="1923" spans="14:14" x14ac:dyDescent="0.2">
      <c r="N1923" s="131"/>
    </row>
    <row r="1924" spans="14:14" x14ac:dyDescent="0.2">
      <c r="N1924" s="131"/>
    </row>
    <row r="1925" spans="14:14" x14ac:dyDescent="0.2">
      <c r="N1925" s="131"/>
    </row>
    <row r="1926" spans="14:14" x14ac:dyDescent="0.2">
      <c r="N1926" s="131"/>
    </row>
    <row r="1927" spans="14:14" x14ac:dyDescent="0.2">
      <c r="N1927" s="131"/>
    </row>
    <row r="1928" spans="14:14" x14ac:dyDescent="0.2">
      <c r="N1928" s="131"/>
    </row>
    <row r="1929" spans="14:14" x14ac:dyDescent="0.2">
      <c r="N1929" s="131"/>
    </row>
    <row r="1930" spans="14:14" x14ac:dyDescent="0.2">
      <c r="N1930" s="131"/>
    </row>
    <row r="1931" spans="14:14" x14ac:dyDescent="0.2">
      <c r="N1931" s="131"/>
    </row>
    <row r="1932" spans="14:14" x14ac:dyDescent="0.2">
      <c r="N1932" s="131"/>
    </row>
    <row r="1933" spans="14:14" x14ac:dyDescent="0.2">
      <c r="N1933" s="131"/>
    </row>
    <row r="1934" spans="14:14" x14ac:dyDescent="0.2">
      <c r="N1934" s="131"/>
    </row>
    <row r="1935" spans="14:14" x14ac:dyDescent="0.2">
      <c r="N1935" s="131"/>
    </row>
    <row r="1936" spans="14:14" x14ac:dyDescent="0.2">
      <c r="N1936" s="131"/>
    </row>
    <row r="1937" spans="14:14" x14ac:dyDescent="0.2">
      <c r="N1937" s="131"/>
    </row>
    <row r="1938" spans="14:14" x14ac:dyDescent="0.2">
      <c r="N1938" s="131"/>
    </row>
    <row r="1939" spans="14:14" x14ac:dyDescent="0.2">
      <c r="N1939" s="131"/>
    </row>
    <row r="1940" spans="14:14" x14ac:dyDescent="0.2">
      <c r="N1940" s="131"/>
    </row>
    <row r="1941" spans="14:14" x14ac:dyDescent="0.2">
      <c r="N1941" s="131"/>
    </row>
    <row r="1942" spans="14:14" x14ac:dyDescent="0.2">
      <c r="N1942" s="131"/>
    </row>
    <row r="1943" spans="14:14" x14ac:dyDescent="0.2">
      <c r="N1943" s="131"/>
    </row>
    <row r="1944" spans="14:14" x14ac:dyDescent="0.2">
      <c r="N1944" s="131"/>
    </row>
    <row r="1945" spans="14:14" x14ac:dyDescent="0.2">
      <c r="N1945" s="131"/>
    </row>
    <row r="1946" spans="14:14" x14ac:dyDescent="0.2">
      <c r="N1946" s="131"/>
    </row>
    <row r="1947" spans="14:14" x14ac:dyDescent="0.2">
      <c r="N1947" s="131"/>
    </row>
    <row r="1948" spans="14:14" x14ac:dyDescent="0.2">
      <c r="N1948" s="131"/>
    </row>
    <row r="1949" spans="14:14" x14ac:dyDescent="0.2">
      <c r="N1949" s="131"/>
    </row>
    <row r="1950" spans="14:14" x14ac:dyDescent="0.2">
      <c r="N1950" s="131"/>
    </row>
    <row r="1951" spans="14:14" x14ac:dyDescent="0.2">
      <c r="N1951" s="131"/>
    </row>
    <row r="1952" spans="14:14" x14ac:dyDescent="0.2">
      <c r="N1952" s="131"/>
    </row>
    <row r="1953" spans="14:14" x14ac:dyDescent="0.2">
      <c r="N1953" s="131"/>
    </row>
    <row r="1954" spans="14:14" x14ac:dyDescent="0.2">
      <c r="N1954" s="131"/>
    </row>
    <row r="1955" spans="14:14" x14ac:dyDescent="0.2">
      <c r="N1955" s="131"/>
    </row>
    <row r="1956" spans="14:14" x14ac:dyDescent="0.2">
      <c r="N1956" s="131"/>
    </row>
    <row r="1957" spans="14:14" x14ac:dyDescent="0.2">
      <c r="N1957" s="131"/>
    </row>
    <row r="1958" spans="14:14" x14ac:dyDescent="0.2">
      <c r="N1958" s="131"/>
    </row>
    <row r="1959" spans="14:14" x14ac:dyDescent="0.2">
      <c r="N1959" s="131"/>
    </row>
    <row r="1960" spans="14:14" x14ac:dyDescent="0.2">
      <c r="N1960" s="131"/>
    </row>
    <row r="1961" spans="14:14" x14ac:dyDescent="0.2">
      <c r="N1961" s="131"/>
    </row>
    <row r="1962" spans="14:14" x14ac:dyDescent="0.2">
      <c r="N1962" s="131"/>
    </row>
    <row r="1963" spans="14:14" x14ac:dyDescent="0.2">
      <c r="N1963" s="131"/>
    </row>
    <row r="1964" spans="14:14" x14ac:dyDescent="0.2">
      <c r="N1964" s="131"/>
    </row>
    <row r="1965" spans="14:14" x14ac:dyDescent="0.2">
      <c r="N1965" s="131"/>
    </row>
    <row r="1966" spans="14:14" x14ac:dyDescent="0.2">
      <c r="N1966" s="131"/>
    </row>
    <row r="1967" spans="14:14" x14ac:dyDescent="0.2">
      <c r="N1967" s="131"/>
    </row>
    <row r="1968" spans="14:14" x14ac:dyDescent="0.2">
      <c r="N1968" s="131"/>
    </row>
    <row r="1969" spans="14:14" x14ac:dyDescent="0.2">
      <c r="N1969" s="131"/>
    </row>
    <row r="1970" spans="14:14" x14ac:dyDescent="0.2">
      <c r="N1970" s="131"/>
    </row>
    <row r="1971" spans="14:14" x14ac:dyDescent="0.2">
      <c r="N1971" s="131"/>
    </row>
    <row r="1972" spans="14:14" x14ac:dyDescent="0.2">
      <c r="N1972" s="131"/>
    </row>
    <row r="1973" spans="14:14" x14ac:dyDescent="0.2">
      <c r="N1973" s="131"/>
    </row>
    <row r="1974" spans="14:14" x14ac:dyDescent="0.2">
      <c r="N1974" s="131"/>
    </row>
    <row r="1975" spans="14:14" x14ac:dyDescent="0.2">
      <c r="N1975" s="131"/>
    </row>
    <row r="1976" spans="14:14" x14ac:dyDescent="0.2">
      <c r="N1976" s="131"/>
    </row>
    <row r="1977" spans="14:14" x14ac:dyDescent="0.2">
      <c r="N1977" s="131"/>
    </row>
    <row r="1978" spans="14:14" x14ac:dyDescent="0.2">
      <c r="N1978" s="131"/>
    </row>
    <row r="1979" spans="14:14" x14ac:dyDescent="0.2">
      <c r="N1979" s="131"/>
    </row>
    <row r="1980" spans="14:14" x14ac:dyDescent="0.2">
      <c r="N1980" s="131"/>
    </row>
    <row r="1981" spans="14:14" x14ac:dyDescent="0.2">
      <c r="N1981" s="131"/>
    </row>
    <row r="1982" spans="14:14" x14ac:dyDescent="0.2">
      <c r="N1982" s="131"/>
    </row>
    <row r="1983" spans="14:14" x14ac:dyDescent="0.2">
      <c r="N1983" s="131"/>
    </row>
    <row r="1984" spans="14:14" x14ac:dyDescent="0.2">
      <c r="N1984" s="131"/>
    </row>
    <row r="1985" spans="14:14" x14ac:dyDescent="0.2">
      <c r="N1985" s="131"/>
    </row>
    <row r="1986" spans="14:14" x14ac:dyDescent="0.2">
      <c r="N1986" s="131"/>
    </row>
    <row r="1987" spans="14:14" x14ac:dyDescent="0.2">
      <c r="N1987" s="131"/>
    </row>
    <row r="1988" spans="14:14" x14ac:dyDescent="0.2">
      <c r="N1988" s="131"/>
    </row>
    <row r="1989" spans="14:14" x14ac:dyDescent="0.2">
      <c r="N1989" s="131"/>
    </row>
    <row r="1990" spans="14:14" x14ac:dyDescent="0.2">
      <c r="N1990" s="131"/>
    </row>
    <row r="1991" spans="14:14" x14ac:dyDescent="0.2">
      <c r="N1991" s="131"/>
    </row>
    <row r="1992" spans="14:14" x14ac:dyDescent="0.2">
      <c r="N1992" s="131"/>
    </row>
    <row r="1993" spans="14:14" x14ac:dyDescent="0.2">
      <c r="N1993" s="131"/>
    </row>
    <row r="1994" spans="14:14" x14ac:dyDescent="0.2">
      <c r="N1994" s="131"/>
    </row>
    <row r="1995" spans="14:14" x14ac:dyDescent="0.2">
      <c r="N1995" s="131"/>
    </row>
    <row r="1996" spans="14:14" x14ac:dyDescent="0.2">
      <c r="N1996" s="131"/>
    </row>
    <row r="1997" spans="14:14" x14ac:dyDescent="0.2">
      <c r="N1997" s="131"/>
    </row>
    <row r="1998" spans="14:14" x14ac:dyDescent="0.2">
      <c r="N1998" s="131"/>
    </row>
    <row r="1999" spans="14:14" x14ac:dyDescent="0.2">
      <c r="N1999" s="131"/>
    </row>
    <row r="2000" spans="14:14" x14ac:dyDescent="0.2">
      <c r="N2000" s="131"/>
    </row>
    <row r="2001" spans="14:14" x14ac:dyDescent="0.2">
      <c r="N2001" s="131"/>
    </row>
    <row r="2002" spans="14:14" x14ac:dyDescent="0.2">
      <c r="N2002" s="131"/>
    </row>
    <row r="2003" spans="14:14" x14ac:dyDescent="0.2">
      <c r="N2003" s="131"/>
    </row>
    <row r="2004" spans="14:14" x14ac:dyDescent="0.2">
      <c r="N2004" s="131"/>
    </row>
    <row r="2005" spans="14:14" x14ac:dyDescent="0.2">
      <c r="N2005" s="131"/>
    </row>
    <row r="2006" spans="14:14" x14ac:dyDescent="0.2">
      <c r="N2006" s="131"/>
    </row>
    <row r="2007" spans="14:14" x14ac:dyDescent="0.2">
      <c r="N2007" s="131"/>
    </row>
    <row r="2008" spans="14:14" x14ac:dyDescent="0.2">
      <c r="N2008" s="131"/>
    </row>
    <row r="2009" spans="14:14" x14ac:dyDescent="0.2">
      <c r="N2009" s="131"/>
    </row>
    <row r="2010" spans="14:14" x14ac:dyDescent="0.2">
      <c r="N2010" s="131"/>
    </row>
    <row r="2011" spans="14:14" x14ac:dyDescent="0.2">
      <c r="N2011" s="131"/>
    </row>
    <row r="2012" spans="14:14" x14ac:dyDescent="0.2">
      <c r="N2012" s="131"/>
    </row>
    <row r="2013" spans="14:14" x14ac:dyDescent="0.2">
      <c r="N2013" s="131"/>
    </row>
    <row r="2014" spans="14:14" x14ac:dyDescent="0.2">
      <c r="N2014" s="131"/>
    </row>
    <row r="2015" spans="14:14" x14ac:dyDescent="0.2">
      <c r="N2015" s="131"/>
    </row>
    <row r="2016" spans="14:14" x14ac:dyDescent="0.2">
      <c r="N2016" s="131"/>
    </row>
    <row r="2017" spans="14:14" x14ac:dyDescent="0.2">
      <c r="N2017" s="131"/>
    </row>
    <row r="2018" spans="14:14" x14ac:dyDescent="0.2">
      <c r="N2018" s="131"/>
    </row>
    <row r="2019" spans="14:14" x14ac:dyDescent="0.2">
      <c r="N2019" s="131"/>
    </row>
    <row r="2020" spans="14:14" x14ac:dyDescent="0.2">
      <c r="N2020" s="131"/>
    </row>
    <row r="2021" spans="14:14" x14ac:dyDescent="0.2">
      <c r="N2021" s="131"/>
    </row>
    <row r="2022" spans="14:14" x14ac:dyDescent="0.2">
      <c r="N2022" s="131"/>
    </row>
    <row r="2023" spans="14:14" x14ac:dyDescent="0.2">
      <c r="N2023" s="131"/>
    </row>
    <row r="2024" spans="14:14" x14ac:dyDescent="0.2">
      <c r="N2024" s="131"/>
    </row>
    <row r="2025" spans="14:14" x14ac:dyDescent="0.2">
      <c r="N2025" s="131"/>
    </row>
    <row r="2026" spans="14:14" x14ac:dyDescent="0.2">
      <c r="N2026" s="131"/>
    </row>
    <row r="2027" spans="14:14" x14ac:dyDescent="0.2">
      <c r="N2027" s="131"/>
    </row>
    <row r="2028" spans="14:14" x14ac:dyDescent="0.2">
      <c r="N2028" s="131"/>
    </row>
    <row r="2029" spans="14:14" x14ac:dyDescent="0.2">
      <c r="N2029" s="131"/>
    </row>
    <row r="2030" spans="14:14" x14ac:dyDescent="0.2">
      <c r="N2030" s="131"/>
    </row>
    <row r="2031" spans="14:14" x14ac:dyDescent="0.2">
      <c r="N2031" s="131"/>
    </row>
    <row r="2032" spans="14:14" x14ac:dyDescent="0.2">
      <c r="N2032" s="131"/>
    </row>
    <row r="2033" spans="14:14" x14ac:dyDescent="0.2">
      <c r="N2033" s="131"/>
    </row>
    <row r="2034" spans="14:14" x14ac:dyDescent="0.2">
      <c r="N2034" s="131"/>
    </row>
    <row r="2035" spans="14:14" x14ac:dyDescent="0.2">
      <c r="N2035" s="131"/>
    </row>
    <row r="2036" spans="14:14" x14ac:dyDescent="0.2">
      <c r="N2036" s="131"/>
    </row>
    <row r="2037" spans="14:14" x14ac:dyDescent="0.2">
      <c r="N2037" s="131"/>
    </row>
    <row r="2038" spans="14:14" x14ac:dyDescent="0.2">
      <c r="N2038" s="131"/>
    </row>
    <row r="2039" spans="14:14" x14ac:dyDescent="0.2">
      <c r="N2039" s="131"/>
    </row>
    <row r="2040" spans="14:14" x14ac:dyDescent="0.2">
      <c r="N2040" s="131"/>
    </row>
    <row r="2041" spans="14:14" x14ac:dyDescent="0.2">
      <c r="N2041" s="131"/>
    </row>
    <row r="2042" spans="14:14" x14ac:dyDescent="0.2">
      <c r="N2042" s="131"/>
    </row>
    <row r="2043" spans="14:14" x14ac:dyDescent="0.2">
      <c r="N2043" s="131"/>
    </row>
    <row r="2044" spans="14:14" x14ac:dyDescent="0.2">
      <c r="N2044" s="131"/>
    </row>
    <row r="2045" spans="14:14" x14ac:dyDescent="0.2">
      <c r="N2045" s="131"/>
    </row>
    <row r="2046" spans="14:14" x14ac:dyDescent="0.2">
      <c r="N2046" s="131"/>
    </row>
    <row r="2047" spans="14:14" x14ac:dyDescent="0.2">
      <c r="N2047" s="131"/>
    </row>
    <row r="2048" spans="14:14" x14ac:dyDescent="0.2">
      <c r="N2048" s="131"/>
    </row>
    <row r="2049" spans="14:14" x14ac:dyDescent="0.2">
      <c r="N2049" s="131"/>
    </row>
    <row r="2050" spans="14:14" x14ac:dyDescent="0.2">
      <c r="N2050" s="131"/>
    </row>
    <row r="2051" spans="14:14" x14ac:dyDescent="0.2">
      <c r="N2051" s="131"/>
    </row>
    <row r="2052" spans="14:14" x14ac:dyDescent="0.2">
      <c r="N2052" s="131"/>
    </row>
    <row r="2053" spans="14:14" x14ac:dyDescent="0.2">
      <c r="N2053" s="131"/>
    </row>
    <row r="2054" spans="14:14" x14ac:dyDescent="0.2">
      <c r="N2054" s="131"/>
    </row>
    <row r="2055" spans="14:14" x14ac:dyDescent="0.2">
      <c r="N2055" s="131"/>
    </row>
    <row r="2056" spans="14:14" x14ac:dyDescent="0.2">
      <c r="N2056" s="131"/>
    </row>
    <row r="2057" spans="14:14" x14ac:dyDescent="0.2">
      <c r="N2057" s="131"/>
    </row>
    <row r="2058" spans="14:14" x14ac:dyDescent="0.2">
      <c r="N2058" s="131"/>
    </row>
    <row r="2059" spans="14:14" x14ac:dyDescent="0.2">
      <c r="N2059" s="131"/>
    </row>
    <row r="2060" spans="14:14" x14ac:dyDescent="0.2">
      <c r="N2060" s="131"/>
    </row>
    <row r="2061" spans="14:14" x14ac:dyDescent="0.2">
      <c r="N2061" s="131"/>
    </row>
    <row r="2062" spans="14:14" x14ac:dyDescent="0.2">
      <c r="N2062" s="131"/>
    </row>
    <row r="2063" spans="14:14" x14ac:dyDescent="0.2">
      <c r="N2063" s="131"/>
    </row>
    <row r="2064" spans="14:14" x14ac:dyDescent="0.2">
      <c r="N2064" s="131"/>
    </row>
    <row r="2065" spans="14:14" x14ac:dyDescent="0.2">
      <c r="N2065" s="131"/>
    </row>
    <row r="2066" spans="14:14" x14ac:dyDescent="0.2">
      <c r="N2066" s="131"/>
    </row>
    <row r="2067" spans="14:14" x14ac:dyDescent="0.2">
      <c r="N2067" s="131"/>
    </row>
    <row r="2068" spans="14:14" x14ac:dyDescent="0.2">
      <c r="N2068" s="131"/>
    </row>
    <row r="2069" spans="14:14" x14ac:dyDescent="0.2">
      <c r="N2069" s="131"/>
    </row>
    <row r="2070" spans="14:14" x14ac:dyDescent="0.2">
      <c r="N2070" s="131"/>
    </row>
    <row r="2071" spans="14:14" x14ac:dyDescent="0.2">
      <c r="N2071" s="131"/>
    </row>
    <row r="2072" spans="14:14" x14ac:dyDescent="0.2">
      <c r="N2072" s="131"/>
    </row>
    <row r="2073" spans="14:14" x14ac:dyDescent="0.2">
      <c r="N2073" s="131"/>
    </row>
    <row r="2074" spans="14:14" x14ac:dyDescent="0.2">
      <c r="N2074" s="131"/>
    </row>
    <row r="2075" spans="14:14" x14ac:dyDescent="0.2">
      <c r="N2075" s="131"/>
    </row>
    <row r="2076" spans="14:14" x14ac:dyDescent="0.2">
      <c r="N2076" s="131"/>
    </row>
    <row r="2077" spans="14:14" x14ac:dyDescent="0.2">
      <c r="N2077" s="131"/>
    </row>
    <row r="2078" spans="14:14" x14ac:dyDescent="0.2">
      <c r="N2078" s="131"/>
    </row>
    <row r="2079" spans="14:14" x14ac:dyDescent="0.2">
      <c r="N2079" s="131"/>
    </row>
    <row r="2080" spans="14:14" x14ac:dyDescent="0.2">
      <c r="N2080" s="131"/>
    </row>
    <row r="2081" spans="14:14" x14ac:dyDescent="0.2">
      <c r="N2081" s="131"/>
    </row>
    <row r="2082" spans="14:14" x14ac:dyDescent="0.2">
      <c r="N2082" s="131"/>
    </row>
    <row r="2083" spans="14:14" x14ac:dyDescent="0.2">
      <c r="N2083" s="131"/>
    </row>
    <row r="2084" spans="14:14" x14ac:dyDescent="0.2">
      <c r="N2084" s="131"/>
    </row>
    <row r="2085" spans="14:14" x14ac:dyDescent="0.2">
      <c r="N2085" s="131"/>
    </row>
    <row r="2086" spans="14:14" x14ac:dyDescent="0.2">
      <c r="N2086" s="131"/>
    </row>
    <row r="2087" spans="14:14" x14ac:dyDescent="0.2">
      <c r="N2087" s="131"/>
    </row>
    <row r="2088" spans="14:14" x14ac:dyDescent="0.2">
      <c r="N2088" s="131"/>
    </row>
    <row r="2089" spans="14:14" x14ac:dyDescent="0.2">
      <c r="N2089" s="131"/>
    </row>
    <row r="2090" spans="14:14" x14ac:dyDescent="0.2">
      <c r="N2090" s="131"/>
    </row>
    <row r="2091" spans="14:14" x14ac:dyDescent="0.2">
      <c r="N2091" s="131"/>
    </row>
    <row r="2092" spans="14:14" x14ac:dyDescent="0.2">
      <c r="N2092" s="131"/>
    </row>
    <row r="2093" spans="14:14" x14ac:dyDescent="0.2">
      <c r="N2093" s="131"/>
    </row>
    <row r="2094" spans="14:14" x14ac:dyDescent="0.2">
      <c r="N2094" s="131"/>
    </row>
    <row r="2095" spans="14:14" x14ac:dyDescent="0.2">
      <c r="N2095" s="131"/>
    </row>
    <row r="2096" spans="14:14" x14ac:dyDescent="0.2">
      <c r="N2096" s="131"/>
    </row>
    <row r="2097" spans="14:14" x14ac:dyDescent="0.2">
      <c r="N2097" s="131"/>
    </row>
    <row r="2098" spans="14:14" x14ac:dyDescent="0.2">
      <c r="N2098" s="131"/>
    </row>
    <row r="2099" spans="14:14" x14ac:dyDescent="0.2">
      <c r="N2099" s="131"/>
    </row>
    <row r="2100" spans="14:14" x14ac:dyDescent="0.2">
      <c r="N2100" s="131"/>
    </row>
    <row r="2101" spans="14:14" x14ac:dyDescent="0.2">
      <c r="N2101" s="131"/>
    </row>
    <row r="2102" spans="14:14" x14ac:dyDescent="0.2">
      <c r="N2102" s="131"/>
    </row>
    <row r="2103" spans="14:14" x14ac:dyDescent="0.2">
      <c r="N2103" s="131"/>
    </row>
    <row r="2104" spans="14:14" x14ac:dyDescent="0.2">
      <c r="N2104" s="131"/>
    </row>
    <row r="2105" spans="14:14" x14ac:dyDescent="0.2">
      <c r="N2105" s="131"/>
    </row>
    <row r="2106" spans="14:14" x14ac:dyDescent="0.2">
      <c r="N2106" s="131"/>
    </row>
    <row r="2107" spans="14:14" x14ac:dyDescent="0.2">
      <c r="N2107" s="131"/>
    </row>
    <row r="2108" spans="14:14" x14ac:dyDescent="0.2">
      <c r="N2108" s="131"/>
    </row>
    <row r="2109" spans="14:14" x14ac:dyDescent="0.2">
      <c r="N2109" s="131"/>
    </row>
    <row r="2110" spans="14:14" x14ac:dyDescent="0.2">
      <c r="N2110" s="131"/>
    </row>
    <row r="2111" spans="14:14" x14ac:dyDescent="0.2">
      <c r="N2111" s="131"/>
    </row>
    <row r="2112" spans="14:14" x14ac:dyDescent="0.2">
      <c r="N2112" s="131"/>
    </row>
    <row r="2113" spans="14:14" x14ac:dyDescent="0.2">
      <c r="N2113" s="131"/>
    </row>
    <row r="2114" spans="14:14" x14ac:dyDescent="0.2">
      <c r="N2114" s="131"/>
    </row>
    <row r="2115" spans="14:14" x14ac:dyDescent="0.2">
      <c r="N2115" s="131"/>
    </row>
    <row r="2116" spans="14:14" x14ac:dyDescent="0.2">
      <c r="N2116" s="131"/>
    </row>
    <row r="2117" spans="14:14" x14ac:dyDescent="0.2">
      <c r="N2117" s="131"/>
    </row>
    <row r="2118" spans="14:14" x14ac:dyDescent="0.2">
      <c r="N2118" s="131"/>
    </row>
    <row r="2119" spans="14:14" x14ac:dyDescent="0.2">
      <c r="N2119" s="131"/>
    </row>
    <row r="2120" spans="14:14" x14ac:dyDescent="0.2">
      <c r="N2120" s="131"/>
    </row>
    <row r="2121" spans="14:14" x14ac:dyDescent="0.2">
      <c r="N2121" s="131"/>
    </row>
    <row r="2122" spans="14:14" x14ac:dyDescent="0.2">
      <c r="N2122" s="131"/>
    </row>
    <row r="2123" spans="14:14" x14ac:dyDescent="0.2">
      <c r="N2123" s="131"/>
    </row>
    <row r="2124" spans="14:14" x14ac:dyDescent="0.2">
      <c r="N2124" s="131"/>
    </row>
    <row r="2125" spans="14:14" x14ac:dyDescent="0.2">
      <c r="N2125" s="131"/>
    </row>
    <row r="2126" spans="14:14" x14ac:dyDescent="0.2">
      <c r="N2126" s="131"/>
    </row>
    <row r="2127" spans="14:14" x14ac:dyDescent="0.2">
      <c r="N2127" s="131"/>
    </row>
    <row r="2128" spans="14:14" x14ac:dyDescent="0.2">
      <c r="N2128" s="131"/>
    </row>
    <row r="2129" spans="14:14" x14ac:dyDescent="0.2">
      <c r="N2129" s="131"/>
    </row>
    <row r="2130" spans="14:14" x14ac:dyDescent="0.2">
      <c r="N2130" s="131"/>
    </row>
    <row r="2131" spans="14:14" x14ac:dyDescent="0.2">
      <c r="N2131" s="131"/>
    </row>
    <row r="2132" spans="14:14" x14ac:dyDescent="0.2">
      <c r="N2132" s="131"/>
    </row>
    <row r="2133" spans="14:14" x14ac:dyDescent="0.2">
      <c r="N2133" s="131"/>
    </row>
    <row r="2134" spans="14:14" x14ac:dyDescent="0.2">
      <c r="N2134" s="131"/>
    </row>
    <row r="2135" spans="14:14" x14ac:dyDescent="0.2">
      <c r="N2135" s="131"/>
    </row>
    <row r="2136" spans="14:14" x14ac:dyDescent="0.2">
      <c r="N2136" s="131"/>
    </row>
    <row r="2137" spans="14:14" x14ac:dyDescent="0.2">
      <c r="N2137" s="131"/>
    </row>
    <row r="2138" spans="14:14" x14ac:dyDescent="0.2">
      <c r="N2138" s="131"/>
    </row>
    <row r="2139" spans="14:14" x14ac:dyDescent="0.2">
      <c r="N2139" s="131"/>
    </row>
    <row r="2140" spans="14:14" x14ac:dyDescent="0.2">
      <c r="N2140" s="131"/>
    </row>
    <row r="2141" spans="14:14" x14ac:dyDescent="0.2">
      <c r="N2141" s="131"/>
    </row>
    <row r="2142" spans="14:14" x14ac:dyDescent="0.2">
      <c r="N2142" s="131"/>
    </row>
    <row r="2143" spans="14:14" x14ac:dyDescent="0.2">
      <c r="N2143" s="131"/>
    </row>
    <row r="2144" spans="14:14" x14ac:dyDescent="0.2">
      <c r="N2144" s="131"/>
    </row>
    <row r="2145" spans="14:14" x14ac:dyDescent="0.2">
      <c r="N2145" s="131"/>
    </row>
    <row r="2146" spans="14:14" x14ac:dyDescent="0.2">
      <c r="N2146" s="131"/>
    </row>
    <row r="2147" spans="14:14" x14ac:dyDescent="0.2">
      <c r="N2147" s="131"/>
    </row>
    <row r="2148" spans="14:14" x14ac:dyDescent="0.2">
      <c r="N2148" s="131"/>
    </row>
    <row r="2149" spans="14:14" x14ac:dyDescent="0.2">
      <c r="N2149" s="131"/>
    </row>
    <row r="2150" spans="14:14" x14ac:dyDescent="0.2">
      <c r="N2150" s="131"/>
    </row>
    <row r="2151" spans="14:14" x14ac:dyDescent="0.2">
      <c r="N2151" s="131"/>
    </row>
    <row r="2152" spans="14:14" x14ac:dyDescent="0.2">
      <c r="N2152" s="131"/>
    </row>
    <row r="2153" spans="14:14" x14ac:dyDescent="0.2">
      <c r="N2153" s="131"/>
    </row>
    <row r="2154" spans="14:14" x14ac:dyDescent="0.2">
      <c r="N2154" s="131"/>
    </row>
    <row r="2155" spans="14:14" x14ac:dyDescent="0.2">
      <c r="N2155" s="131"/>
    </row>
    <row r="2156" spans="14:14" x14ac:dyDescent="0.2">
      <c r="N2156" s="131"/>
    </row>
    <row r="2157" spans="14:14" x14ac:dyDescent="0.2">
      <c r="N2157" s="131"/>
    </row>
    <row r="2158" spans="14:14" x14ac:dyDescent="0.2">
      <c r="N2158" s="131"/>
    </row>
    <row r="2159" spans="14:14" x14ac:dyDescent="0.2">
      <c r="N2159" s="131"/>
    </row>
    <row r="2160" spans="14:14" x14ac:dyDescent="0.2">
      <c r="N2160" s="131"/>
    </row>
    <row r="2161" spans="14:14" x14ac:dyDescent="0.2">
      <c r="N2161" s="131"/>
    </row>
    <row r="2162" spans="14:14" x14ac:dyDescent="0.2">
      <c r="N2162" s="131"/>
    </row>
    <row r="2163" spans="14:14" x14ac:dyDescent="0.2">
      <c r="N2163" s="131"/>
    </row>
    <row r="2164" spans="14:14" x14ac:dyDescent="0.2">
      <c r="N2164" s="131"/>
    </row>
    <row r="2165" spans="14:14" x14ac:dyDescent="0.2">
      <c r="N2165" s="131"/>
    </row>
    <row r="2166" spans="14:14" x14ac:dyDescent="0.2">
      <c r="N2166" s="131"/>
    </row>
    <row r="2167" spans="14:14" x14ac:dyDescent="0.2">
      <c r="N2167" s="131"/>
    </row>
    <row r="2168" spans="14:14" x14ac:dyDescent="0.2">
      <c r="N2168" s="131"/>
    </row>
    <row r="2169" spans="14:14" x14ac:dyDescent="0.2">
      <c r="N2169" s="131"/>
    </row>
    <row r="2170" spans="14:14" x14ac:dyDescent="0.2">
      <c r="N2170" s="131"/>
    </row>
    <row r="2171" spans="14:14" x14ac:dyDescent="0.2">
      <c r="N2171" s="131"/>
    </row>
    <row r="2172" spans="14:14" x14ac:dyDescent="0.2">
      <c r="N2172" s="131"/>
    </row>
    <row r="2173" spans="14:14" x14ac:dyDescent="0.2">
      <c r="N2173" s="131"/>
    </row>
    <row r="2174" spans="14:14" x14ac:dyDescent="0.2">
      <c r="N2174" s="131"/>
    </row>
    <row r="2175" spans="14:14" x14ac:dyDescent="0.2">
      <c r="N2175" s="131"/>
    </row>
    <row r="2176" spans="14:14" x14ac:dyDescent="0.2">
      <c r="N2176" s="131"/>
    </row>
    <row r="2177" spans="14:14" x14ac:dyDescent="0.2">
      <c r="N2177" s="131"/>
    </row>
    <row r="2178" spans="14:14" x14ac:dyDescent="0.2">
      <c r="N2178" s="131"/>
    </row>
    <row r="2179" spans="14:14" x14ac:dyDescent="0.2">
      <c r="N2179" s="131"/>
    </row>
    <row r="2180" spans="14:14" x14ac:dyDescent="0.2">
      <c r="N2180" s="131"/>
    </row>
    <row r="2181" spans="14:14" x14ac:dyDescent="0.2">
      <c r="N2181" s="131"/>
    </row>
    <row r="2182" spans="14:14" x14ac:dyDescent="0.2">
      <c r="N2182" s="131"/>
    </row>
    <row r="2183" spans="14:14" x14ac:dyDescent="0.2">
      <c r="N2183" s="131"/>
    </row>
    <row r="2184" spans="14:14" x14ac:dyDescent="0.2">
      <c r="N2184" s="131"/>
    </row>
    <row r="2185" spans="14:14" x14ac:dyDescent="0.2">
      <c r="N2185" s="131"/>
    </row>
    <row r="2186" spans="14:14" x14ac:dyDescent="0.2">
      <c r="N2186" s="131"/>
    </row>
    <row r="2187" spans="14:14" x14ac:dyDescent="0.2">
      <c r="N2187" s="131"/>
    </row>
    <row r="2188" spans="14:14" x14ac:dyDescent="0.2">
      <c r="N2188" s="131"/>
    </row>
    <row r="2189" spans="14:14" x14ac:dyDescent="0.2">
      <c r="N2189" s="131"/>
    </row>
    <row r="2190" spans="14:14" x14ac:dyDescent="0.2">
      <c r="N2190" s="131"/>
    </row>
    <row r="2191" spans="14:14" x14ac:dyDescent="0.2">
      <c r="N2191" s="131"/>
    </row>
    <row r="2192" spans="14:14" x14ac:dyDescent="0.2">
      <c r="N2192" s="131"/>
    </row>
    <row r="2193" spans="14:14" x14ac:dyDescent="0.2">
      <c r="N2193" s="131"/>
    </row>
    <row r="2194" spans="14:14" x14ac:dyDescent="0.2">
      <c r="N2194" s="131"/>
    </row>
    <row r="2195" spans="14:14" x14ac:dyDescent="0.2">
      <c r="N2195" s="131"/>
    </row>
    <row r="2196" spans="14:14" x14ac:dyDescent="0.2">
      <c r="N2196" s="131"/>
    </row>
    <row r="2197" spans="14:14" x14ac:dyDescent="0.2">
      <c r="N2197" s="131"/>
    </row>
    <row r="2198" spans="14:14" x14ac:dyDescent="0.2">
      <c r="N2198" s="131"/>
    </row>
    <row r="2199" spans="14:14" x14ac:dyDescent="0.2">
      <c r="N2199" s="131"/>
    </row>
    <row r="2200" spans="14:14" x14ac:dyDescent="0.2">
      <c r="N2200" s="131"/>
    </row>
    <row r="2201" spans="14:14" x14ac:dyDescent="0.2">
      <c r="N2201" s="131"/>
    </row>
    <row r="2202" spans="14:14" x14ac:dyDescent="0.2">
      <c r="N2202" s="131"/>
    </row>
    <row r="2203" spans="14:14" x14ac:dyDescent="0.2">
      <c r="N2203" s="131"/>
    </row>
    <row r="2204" spans="14:14" x14ac:dyDescent="0.2">
      <c r="N2204" s="131"/>
    </row>
    <row r="2205" spans="14:14" x14ac:dyDescent="0.2">
      <c r="N2205" s="131"/>
    </row>
    <row r="2206" spans="14:14" x14ac:dyDescent="0.2">
      <c r="N2206" s="131"/>
    </row>
    <row r="2207" spans="14:14" x14ac:dyDescent="0.2">
      <c r="N2207" s="131"/>
    </row>
    <row r="2208" spans="14:14" x14ac:dyDescent="0.2">
      <c r="N2208" s="131"/>
    </row>
    <row r="2209" spans="14:14" x14ac:dyDescent="0.2">
      <c r="N2209" s="131"/>
    </row>
    <row r="2210" spans="14:14" x14ac:dyDescent="0.2">
      <c r="N2210" s="131"/>
    </row>
    <row r="2211" spans="14:14" x14ac:dyDescent="0.2">
      <c r="N2211" s="131"/>
    </row>
    <row r="2212" spans="14:14" x14ac:dyDescent="0.2">
      <c r="N2212" s="131"/>
    </row>
    <row r="2213" spans="14:14" x14ac:dyDescent="0.2">
      <c r="N2213" s="131"/>
    </row>
    <row r="2214" spans="14:14" x14ac:dyDescent="0.2">
      <c r="N2214" s="131"/>
    </row>
    <row r="2215" spans="14:14" x14ac:dyDescent="0.2">
      <c r="N2215" s="131"/>
    </row>
    <row r="2216" spans="14:14" x14ac:dyDescent="0.2">
      <c r="N2216" s="131"/>
    </row>
    <row r="2217" spans="14:14" x14ac:dyDescent="0.2">
      <c r="N2217" s="131"/>
    </row>
    <row r="2218" spans="14:14" x14ac:dyDescent="0.2">
      <c r="N2218" s="131"/>
    </row>
    <row r="2219" spans="14:14" x14ac:dyDescent="0.2">
      <c r="N2219" s="131"/>
    </row>
    <row r="2220" spans="14:14" x14ac:dyDescent="0.2">
      <c r="N2220" s="131"/>
    </row>
    <row r="2221" spans="14:14" x14ac:dyDescent="0.2">
      <c r="N2221" s="131"/>
    </row>
    <row r="2222" spans="14:14" x14ac:dyDescent="0.2">
      <c r="N2222" s="131"/>
    </row>
    <row r="2223" spans="14:14" x14ac:dyDescent="0.2">
      <c r="N2223" s="131"/>
    </row>
    <row r="2224" spans="14:14" x14ac:dyDescent="0.2">
      <c r="N2224" s="131"/>
    </row>
    <row r="2225" spans="14:14" x14ac:dyDescent="0.2">
      <c r="N2225" s="131"/>
    </row>
    <row r="2226" spans="14:14" x14ac:dyDescent="0.2">
      <c r="N2226" s="131"/>
    </row>
    <row r="2227" spans="14:14" x14ac:dyDescent="0.2">
      <c r="N2227" s="131"/>
    </row>
    <row r="2228" spans="14:14" x14ac:dyDescent="0.2">
      <c r="N2228" s="131"/>
    </row>
    <row r="2229" spans="14:14" x14ac:dyDescent="0.2">
      <c r="N2229" s="131"/>
    </row>
    <row r="2230" spans="14:14" x14ac:dyDescent="0.2">
      <c r="N2230" s="131"/>
    </row>
    <row r="2231" spans="14:14" x14ac:dyDescent="0.2">
      <c r="N2231" s="131"/>
    </row>
    <row r="2232" spans="14:14" x14ac:dyDescent="0.2">
      <c r="N2232" s="131"/>
    </row>
    <row r="2233" spans="14:14" x14ac:dyDescent="0.2">
      <c r="N2233" s="131"/>
    </row>
    <row r="2234" spans="14:14" x14ac:dyDescent="0.2">
      <c r="N2234" s="131"/>
    </row>
    <row r="2235" spans="14:14" x14ac:dyDescent="0.2">
      <c r="N2235" s="131"/>
    </row>
    <row r="2236" spans="14:14" x14ac:dyDescent="0.2">
      <c r="N2236" s="131"/>
    </row>
    <row r="2237" spans="14:14" x14ac:dyDescent="0.2">
      <c r="N2237" s="131"/>
    </row>
    <row r="2238" spans="14:14" x14ac:dyDescent="0.2">
      <c r="N2238" s="131"/>
    </row>
    <row r="2239" spans="14:14" x14ac:dyDescent="0.2">
      <c r="N2239" s="131"/>
    </row>
    <row r="2240" spans="14:14" x14ac:dyDescent="0.2">
      <c r="N2240" s="131"/>
    </row>
    <row r="2241" spans="14:14" x14ac:dyDescent="0.2">
      <c r="N2241" s="131"/>
    </row>
    <row r="2242" spans="14:14" x14ac:dyDescent="0.2">
      <c r="N2242" s="131"/>
    </row>
    <row r="2243" spans="14:14" x14ac:dyDescent="0.2">
      <c r="N2243" s="131"/>
    </row>
    <row r="2244" spans="14:14" x14ac:dyDescent="0.2">
      <c r="N2244" s="131"/>
    </row>
    <row r="2245" spans="14:14" x14ac:dyDescent="0.2">
      <c r="N2245" s="131"/>
    </row>
    <row r="2246" spans="14:14" x14ac:dyDescent="0.2">
      <c r="N2246" s="131"/>
    </row>
    <row r="2247" spans="14:14" x14ac:dyDescent="0.2">
      <c r="N2247" s="131"/>
    </row>
    <row r="2248" spans="14:14" x14ac:dyDescent="0.2">
      <c r="N2248" s="131"/>
    </row>
    <row r="2249" spans="14:14" x14ac:dyDescent="0.2">
      <c r="N2249" s="131"/>
    </row>
    <row r="2250" spans="14:14" x14ac:dyDescent="0.2">
      <c r="N2250" s="131"/>
    </row>
    <row r="2251" spans="14:14" x14ac:dyDescent="0.2">
      <c r="N2251" s="131"/>
    </row>
    <row r="2252" spans="14:14" x14ac:dyDescent="0.2">
      <c r="N2252" s="131"/>
    </row>
    <row r="2253" spans="14:14" x14ac:dyDescent="0.2">
      <c r="N2253" s="131"/>
    </row>
    <row r="2254" spans="14:14" x14ac:dyDescent="0.2">
      <c r="N2254" s="131"/>
    </row>
    <row r="2255" spans="14:14" x14ac:dyDescent="0.2">
      <c r="N2255" s="131"/>
    </row>
    <row r="2256" spans="14:14" x14ac:dyDescent="0.2">
      <c r="N2256" s="131"/>
    </row>
    <row r="2257" spans="14:14" x14ac:dyDescent="0.2">
      <c r="N2257" s="131"/>
    </row>
    <row r="2258" spans="14:14" x14ac:dyDescent="0.2">
      <c r="N2258" s="131"/>
    </row>
    <row r="2259" spans="14:14" x14ac:dyDescent="0.2">
      <c r="N2259" s="131"/>
    </row>
    <row r="2260" spans="14:14" x14ac:dyDescent="0.2">
      <c r="N2260" s="131"/>
    </row>
    <row r="2261" spans="14:14" x14ac:dyDescent="0.2">
      <c r="N2261" s="131"/>
    </row>
    <row r="2262" spans="14:14" x14ac:dyDescent="0.2">
      <c r="N2262" s="131"/>
    </row>
    <row r="2263" spans="14:14" x14ac:dyDescent="0.2">
      <c r="N2263" s="131"/>
    </row>
    <row r="2264" spans="14:14" x14ac:dyDescent="0.2">
      <c r="N2264" s="131"/>
    </row>
    <row r="2265" spans="14:14" x14ac:dyDescent="0.2">
      <c r="N2265" s="131"/>
    </row>
    <row r="2266" spans="14:14" x14ac:dyDescent="0.2">
      <c r="N2266" s="131"/>
    </row>
    <row r="2267" spans="14:14" x14ac:dyDescent="0.2">
      <c r="N2267" s="131"/>
    </row>
    <row r="2268" spans="14:14" x14ac:dyDescent="0.2">
      <c r="N2268" s="131"/>
    </row>
    <row r="2269" spans="14:14" x14ac:dyDescent="0.2">
      <c r="N2269" s="131"/>
    </row>
    <row r="2270" spans="14:14" x14ac:dyDescent="0.2">
      <c r="N2270" s="131"/>
    </row>
    <row r="2271" spans="14:14" x14ac:dyDescent="0.2">
      <c r="N2271" s="131"/>
    </row>
    <row r="2272" spans="14:14" x14ac:dyDescent="0.2">
      <c r="N2272" s="131"/>
    </row>
    <row r="2273" spans="14:14" x14ac:dyDescent="0.2">
      <c r="N2273" s="131"/>
    </row>
    <row r="2274" spans="14:14" x14ac:dyDescent="0.2">
      <c r="N2274" s="131"/>
    </row>
    <row r="2275" spans="14:14" x14ac:dyDescent="0.2">
      <c r="N2275" s="131"/>
    </row>
    <row r="2276" spans="14:14" x14ac:dyDescent="0.2">
      <c r="N2276" s="131"/>
    </row>
    <row r="2277" spans="14:14" x14ac:dyDescent="0.2">
      <c r="N2277" s="131"/>
    </row>
    <row r="2278" spans="14:14" x14ac:dyDescent="0.2">
      <c r="N2278" s="131"/>
    </row>
    <row r="2279" spans="14:14" x14ac:dyDescent="0.2">
      <c r="N2279" s="131"/>
    </row>
    <row r="2280" spans="14:14" x14ac:dyDescent="0.2">
      <c r="N2280" s="131"/>
    </row>
    <row r="2281" spans="14:14" x14ac:dyDescent="0.2">
      <c r="N2281" s="131"/>
    </row>
    <row r="2282" spans="14:14" x14ac:dyDescent="0.2">
      <c r="N2282" s="131"/>
    </row>
    <row r="2283" spans="14:14" x14ac:dyDescent="0.2">
      <c r="N2283" s="131"/>
    </row>
    <row r="2284" spans="14:14" x14ac:dyDescent="0.2">
      <c r="N2284" s="131"/>
    </row>
    <row r="2285" spans="14:14" x14ac:dyDescent="0.2">
      <c r="N2285" s="131"/>
    </row>
    <row r="2286" spans="14:14" x14ac:dyDescent="0.2">
      <c r="N2286" s="131"/>
    </row>
    <row r="2287" spans="14:14" x14ac:dyDescent="0.2">
      <c r="N2287" s="131"/>
    </row>
    <row r="2288" spans="14:14" x14ac:dyDescent="0.2">
      <c r="N2288" s="131"/>
    </row>
    <row r="2289" spans="14:14" x14ac:dyDescent="0.2">
      <c r="N2289" s="131"/>
    </row>
    <row r="2290" spans="14:14" x14ac:dyDescent="0.2">
      <c r="N2290" s="131"/>
    </row>
    <row r="2291" spans="14:14" x14ac:dyDescent="0.2">
      <c r="N2291" s="131"/>
    </row>
    <row r="2292" spans="14:14" x14ac:dyDescent="0.2">
      <c r="N2292" s="131"/>
    </row>
    <row r="2293" spans="14:14" x14ac:dyDescent="0.2">
      <c r="N2293" s="131"/>
    </row>
    <row r="2294" spans="14:14" x14ac:dyDescent="0.2">
      <c r="N2294" s="131"/>
    </row>
    <row r="2295" spans="14:14" x14ac:dyDescent="0.2">
      <c r="N2295" s="131"/>
    </row>
    <row r="2296" spans="14:14" x14ac:dyDescent="0.2">
      <c r="N2296" s="131"/>
    </row>
    <row r="2297" spans="14:14" x14ac:dyDescent="0.2">
      <c r="N2297" s="131"/>
    </row>
    <row r="2298" spans="14:14" x14ac:dyDescent="0.2">
      <c r="N2298" s="131"/>
    </row>
    <row r="2299" spans="14:14" x14ac:dyDescent="0.2">
      <c r="N2299" s="131"/>
    </row>
    <row r="2300" spans="14:14" x14ac:dyDescent="0.2">
      <c r="N2300" s="131"/>
    </row>
    <row r="2301" spans="14:14" x14ac:dyDescent="0.2">
      <c r="N2301" s="131"/>
    </row>
    <row r="2302" spans="14:14" x14ac:dyDescent="0.2">
      <c r="N2302" s="131"/>
    </row>
    <row r="2303" spans="14:14" x14ac:dyDescent="0.2">
      <c r="N2303" s="131"/>
    </row>
    <row r="2304" spans="14:14" x14ac:dyDescent="0.2">
      <c r="N2304" s="131"/>
    </row>
    <row r="2305" spans="14:14" x14ac:dyDescent="0.2">
      <c r="N2305" s="131"/>
    </row>
    <row r="2306" spans="14:14" x14ac:dyDescent="0.2">
      <c r="N2306" s="131"/>
    </row>
    <row r="2307" spans="14:14" x14ac:dyDescent="0.2">
      <c r="N2307" s="131"/>
    </row>
    <row r="2308" spans="14:14" x14ac:dyDescent="0.2">
      <c r="N2308" s="131"/>
    </row>
    <row r="2309" spans="14:14" x14ac:dyDescent="0.2">
      <c r="N2309" s="131"/>
    </row>
    <row r="2310" spans="14:14" x14ac:dyDescent="0.2">
      <c r="N2310" s="131"/>
    </row>
    <row r="2311" spans="14:14" x14ac:dyDescent="0.2">
      <c r="N2311" s="131"/>
    </row>
    <row r="2312" spans="14:14" x14ac:dyDescent="0.2">
      <c r="N2312" s="131"/>
    </row>
    <row r="2313" spans="14:14" x14ac:dyDescent="0.2">
      <c r="N2313" s="131"/>
    </row>
    <row r="2314" spans="14:14" x14ac:dyDescent="0.2">
      <c r="N2314" s="131"/>
    </row>
    <row r="2315" spans="14:14" x14ac:dyDescent="0.2">
      <c r="N2315" s="131"/>
    </row>
    <row r="2316" spans="14:14" x14ac:dyDescent="0.2">
      <c r="N2316" s="131"/>
    </row>
    <row r="2317" spans="14:14" x14ac:dyDescent="0.2">
      <c r="N2317" s="131"/>
    </row>
    <row r="2318" spans="14:14" x14ac:dyDescent="0.2">
      <c r="N2318" s="131"/>
    </row>
    <row r="2319" spans="14:14" x14ac:dyDescent="0.2">
      <c r="N2319" s="131"/>
    </row>
    <row r="2320" spans="14:14" x14ac:dyDescent="0.2">
      <c r="N2320" s="131"/>
    </row>
    <row r="2321" spans="14:14" x14ac:dyDescent="0.2">
      <c r="N2321" s="131"/>
    </row>
    <row r="2322" spans="14:14" x14ac:dyDescent="0.2">
      <c r="N2322" s="131"/>
    </row>
    <row r="2323" spans="14:14" x14ac:dyDescent="0.2">
      <c r="N2323" s="131"/>
    </row>
    <row r="2324" spans="14:14" x14ac:dyDescent="0.2">
      <c r="N2324" s="131"/>
    </row>
    <row r="2325" spans="14:14" x14ac:dyDescent="0.2">
      <c r="N2325" s="131"/>
    </row>
    <row r="2326" spans="14:14" x14ac:dyDescent="0.2">
      <c r="N2326" s="131"/>
    </row>
    <row r="2327" spans="14:14" x14ac:dyDescent="0.2">
      <c r="N2327" s="131"/>
    </row>
    <row r="2328" spans="14:14" x14ac:dyDescent="0.2">
      <c r="N2328" s="131"/>
    </row>
    <row r="2329" spans="14:14" x14ac:dyDescent="0.2">
      <c r="N2329" s="131"/>
    </row>
    <row r="2330" spans="14:14" x14ac:dyDescent="0.2">
      <c r="N2330" s="131"/>
    </row>
    <row r="2331" spans="14:14" x14ac:dyDescent="0.2">
      <c r="N2331" s="131"/>
    </row>
    <row r="2332" spans="14:14" x14ac:dyDescent="0.2">
      <c r="N2332" s="131"/>
    </row>
    <row r="2333" spans="14:14" x14ac:dyDescent="0.2">
      <c r="N2333" s="131"/>
    </row>
    <row r="2334" spans="14:14" x14ac:dyDescent="0.2">
      <c r="N2334" s="131"/>
    </row>
    <row r="2335" spans="14:14" x14ac:dyDescent="0.2">
      <c r="N2335" s="131"/>
    </row>
    <row r="2336" spans="14:14" x14ac:dyDescent="0.2">
      <c r="N2336" s="131"/>
    </row>
    <row r="2337" spans="14:14" x14ac:dyDescent="0.2">
      <c r="N2337" s="131"/>
    </row>
    <row r="2338" spans="14:14" x14ac:dyDescent="0.2">
      <c r="N2338" s="131"/>
    </row>
    <row r="2339" spans="14:14" x14ac:dyDescent="0.2">
      <c r="N2339" s="131"/>
    </row>
    <row r="2340" spans="14:14" x14ac:dyDescent="0.2">
      <c r="N2340" s="131"/>
    </row>
    <row r="2341" spans="14:14" x14ac:dyDescent="0.2">
      <c r="N2341" s="131"/>
    </row>
    <row r="2342" spans="14:14" x14ac:dyDescent="0.2">
      <c r="N2342" s="131"/>
    </row>
    <row r="2343" spans="14:14" x14ac:dyDescent="0.2">
      <c r="N2343" s="131"/>
    </row>
    <row r="2344" spans="14:14" x14ac:dyDescent="0.2">
      <c r="N2344" s="131"/>
    </row>
    <row r="2345" spans="14:14" x14ac:dyDescent="0.2">
      <c r="N2345" s="131"/>
    </row>
    <row r="2346" spans="14:14" x14ac:dyDescent="0.2">
      <c r="N2346" s="131"/>
    </row>
    <row r="2347" spans="14:14" x14ac:dyDescent="0.2">
      <c r="N2347" s="131"/>
    </row>
    <row r="2348" spans="14:14" x14ac:dyDescent="0.2">
      <c r="N2348" s="131"/>
    </row>
    <row r="2349" spans="14:14" x14ac:dyDescent="0.2">
      <c r="N2349" s="131"/>
    </row>
    <row r="2350" spans="14:14" x14ac:dyDescent="0.2">
      <c r="N2350" s="131"/>
    </row>
    <row r="2351" spans="14:14" x14ac:dyDescent="0.2">
      <c r="N2351" s="131"/>
    </row>
    <row r="2352" spans="14:14" x14ac:dyDescent="0.2">
      <c r="N2352" s="131"/>
    </row>
    <row r="2353" spans="14:14" x14ac:dyDescent="0.2">
      <c r="N2353" s="131"/>
    </row>
    <row r="2354" spans="14:14" x14ac:dyDescent="0.2">
      <c r="N2354" s="131"/>
    </row>
    <row r="2355" spans="14:14" x14ac:dyDescent="0.2">
      <c r="N2355" s="131"/>
    </row>
    <row r="2356" spans="14:14" x14ac:dyDescent="0.2">
      <c r="N2356" s="131"/>
    </row>
    <row r="2357" spans="14:14" x14ac:dyDescent="0.2">
      <c r="N2357" s="131"/>
    </row>
    <row r="2358" spans="14:14" x14ac:dyDescent="0.2">
      <c r="N2358" s="131"/>
    </row>
    <row r="2359" spans="14:14" x14ac:dyDescent="0.2">
      <c r="N2359" s="131"/>
    </row>
    <row r="2360" spans="14:14" x14ac:dyDescent="0.2">
      <c r="N2360" s="131"/>
    </row>
    <row r="2361" spans="14:14" x14ac:dyDescent="0.2">
      <c r="N2361" s="131"/>
    </row>
    <row r="2362" spans="14:14" x14ac:dyDescent="0.2">
      <c r="N2362" s="131"/>
    </row>
    <row r="2363" spans="14:14" x14ac:dyDescent="0.2">
      <c r="N2363" s="131"/>
    </row>
    <row r="2364" spans="14:14" x14ac:dyDescent="0.2">
      <c r="N2364" s="131"/>
    </row>
    <row r="2365" spans="14:14" x14ac:dyDescent="0.2">
      <c r="N2365" s="131"/>
    </row>
    <row r="2366" spans="14:14" x14ac:dyDescent="0.2">
      <c r="N2366" s="131"/>
    </row>
    <row r="2367" spans="14:14" x14ac:dyDescent="0.2">
      <c r="N2367" s="131"/>
    </row>
    <row r="2368" spans="14:14" x14ac:dyDescent="0.2">
      <c r="N2368" s="131"/>
    </row>
    <row r="2369" spans="14:14" x14ac:dyDescent="0.2">
      <c r="N2369" s="131"/>
    </row>
    <row r="2370" spans="14:14" x14ac:dyDescent="0.2">
      <c r="N2370" s="131"/>
    </row>
    <row r="2371" spans="14:14" x14ac:dyDescent="0.2">
      <c r="N2371" s="131"/>
    </row>
    <row r="2372" spans="14:14" x14ac:dyDescent="0.2">
      <c r="N2372" s="131"/>
    </row>
    <row r="2373" spans="14:14" x14ac:dyDescent="0.2">
      <c r="N2373" s="131"/>
    </row>
    <row r="2374" spans="14:14" x14ac:dyDescent="0.2">
      <c r="N2374" s="131"/>
    </row>
    <row r="2375" spans="14:14" x14ac:dyDescent="0.2">
      <c r="N2375" s="131"/>
    </row>
    <row r="2376" spans="14:14" x14ac:dyDescent="0.2">
      <c r="N2376" s="131"/>
    </row>
    <row r="2377" spans="14:14" x14ac:dyDescent="0.2">
      <c r="N2377" s="131"/>
    </row>
    <row r="2378" spans="14:14" x14ac:dyDescent="0.2">
      <c r="N2378" s="131"/>
    </row>
    <row r="2379" spans="14:14" x14ac:dyDescent="0.2">
      <c r="N2379" s="131"/>
    </row>
    <row r="2380" spans="14:14" x14ac:dyDescent="0.2">
      <c r="N2380" s="131"/>
    </row>
    <row r="2381" spans="14:14" x14ac:dyDescent="0.2">
      <c r="N2381" s="131"/>
    </row>
    <row r="2382" spans="14:14" x14ac:dyDescent="0.2">
      <c r="N2382" s="131"/>
    </row>
    <row r="2383" spans="14:14" x14ac:dyDescent="0.2">
      <c r="N2383" s="131"/>
    </row>
    <row r="2384" spans="14:14" x14ac:dyDescent="0.2">
      <c r="N2384" s="131"/>
    </row>
    <row r="2385" spans="14:14" x14ac:dyDescent="0.2">
      <c r="N2385" s="131"/>
    </row>
    <row r="2386" spans="14:14" x14ac:dyDescent="0.2">
      <c r="N2386" s="131"/>
    </row>
    <row r="2387" spans="14:14" x14ac:dyDescent="0.2">
      <c r="N2387" s="131"/>
    </row>
    <row r="2388" spans="14:14" x14ac:dyDescent="0.2">
      <c r="N2388" s="131"/>
    </row>
    <row r="2389" spans="14:14" x14ac:dyDescent="0.2">
      <c r="N2389" s="131"/>
    </row>
    <row r="2390" spans="14:14" x14ac:dyDescent="0.2">
      <c r="N2390" s="131"/>
    </row>
    <row r="2391" spans="14:14" x14ac:dyDescent="0.2">
      <c r="N2391" s="131"/>
    </row>
    <row r="2392" spans="14:14" x14ac:dyDescent="0.2">
      <c r="N2392" s="131"/>
    </row>
    <row r="2393" spans="14:14" x14ac:dyDescent="0.2">
      <c r="N2393" s="131"/>
    </row>
    <row r="2394" spans="14:14" x14ac:dyDescent="0.2">
      <c r="N2394" s="131"/>
    </row>
    <row r="2395" spans="14:14" x14ac:dyDescent="0.2">
      <c r="N2395" s="131"/>
    </row>
    <row r="2396" spans="14:14" x14ac:dyDescent="0.2">
      <c r="N2396" s="131"/>
    </row>
    <row r="2397" spans="14:14" x14ac:dyDescent="0.2">
      <c r="N2397" s="131"/>
    </row>
    <row r="2398" spans="14:14" x14ac:dyDescent="0.2">
      <c r="N2398" s="131"/>
    </row>
    <row r="2399" spans="14:14" x14ac:dyDescent="0.2">
      <c r="N2399" s="131"/>
    </row>
    <row r="2400" spans="14:14" x14ac:dyDescent="0.2">
      <c r="N2400" s="131"/>
    </row>
    <row r="2401" spans="14:14" x14ac:dyDescent="0.2">
      <c r="N2401" s="131"/>
    </row>
    <row r="2402" spans="14:14" x14ac:dyDescent="0.2">
      <c r="N2402" s="131"/>
    </row>
    <row r="2403" spans="14:14" x14ac:dyDescent="0.2">
      <c r="N2403" s="131"/>
    </row>
    <row r="2404" spans="14:14" x14ac:dyDescent="0.2">
      <c r="N2404" s="131"/>
    </row>
    <row r="2405" spans="14:14" x14ac:dyDescent="0.2">
      <c r="N2405" s="131"/>
    </row>
    <row r="2406" spans="14:14" x14ac:dyDescent="0.2">
      <c r="N2406" s="131"/>
    </row>
    <row r="2407" spans="14:14" x14ac:dyDescent="0.2">
      <c r="N2407" s="131"/>
    </row>
    <row r="2408" spans="14:14" x14ac:dyDescent="0.2">
      <c r="N2408" s="131"/>
    </row>
    <row r="2409" spans="14:14" x14ac:dyDescent="0.2">
      <c r="N2409" s="131"/>
    </row>
    <row r="2410" spans="14:14" x14ac:dyDescent="0.2">
      <c r="N2410" s="131"/>
    </row>
    <row r="2411" spans="14:14" x14ac:dyDescent="0.2">
      <c r="N2411" s="131"/>
    </row>
    <row r="2412" spans="14:14" x14ac:dyDescent="0.2">
      <c r="N2412" s="131"/>
    </row>
    <row r="2413" spans="14:14" x14ac:dyDescent="0.2">
      <c r="N2413" s="131"/>
    </row>
    <row r="2414" spans="14:14" x14ac:dyDescent="0.2">
      <c r="N2414" s="131"/>
    </row>
    <row r="2415" spans="14:14" x14ac:dyDescent="0.2">
      <c r="N2415" s="131"/>
    </row>
    <row r="2416" spans="14:14" x14ac:dyDescent="0.2">
      <c r="N2416" s="131"/>
    </row>
    <row r="2417" spans="14:14" x14ac:dyDescent="0.2">
      <c r="N2417" s="131"/>
    </row>
    <row r="2418" spans="14:14" x14ac:dyDescent="0.2">
      <c r="N2418" s="131"/>
    </row>
    <row r="2419" spans="14:14" x14ac:dyDescent="0.2">
      <c r="N2419" s="131"/>
    </row>
    <row r="2420" spans="14:14" x14ac:dyDescent="0.2">
      <c r="N2420" s="131"/>
    </row>
    <row r="2421" spans="14:14" x14ac:dyDescent="0.2">
      <c r="N2421" s="131"/>
    </row>
    <row r="2422" spans="14:14" x14ac:dyDescent="0.2">
      <c r="N2422" s="131"/>
    </row>
    <row r="2423" spans="14:14" x14ac:dyDescent="0.2">
      <c r="N2423" s="131"/>
    </row>
    <row r="2424" spans="14:14" x14ac:dyDescent="0.2">
      <c r="N2424" s="131"/>
    </row>
    <row r="2425" spans="14:14" x14ac:dyDescent="0.2">
      <c r="N2425" s="131"/>
    </row>
    <row r="2426" spans="14:14" x14ac:dyDescent="0.2">
      <c r="N2426" s="131"/>
    </row>
    <row r="2427" spans="14:14" x14ac:dyDescent="0.2">
      <c r="N2427" s="131"/>
    </row>
    <row r="2428" spans="14:14" x14ac:dyDescent="0.2">
      <c r="N2428" s="131"/>
    </row>
    <row r="2429" spans="14:14" x14ac:dyDescent="0.2">
      <c r="N2429" s="131"/>
    </row>
    <row r="2430" spans="14:14" x14ac:dyDescent="0.2">
      <c r="N2430" s="131"/>
    </row>
    <row r="2431" spans="14:14" x14ac:dyDescent="0.2">
      <c r="N2431" s="131"/>
    </row>
    <row r="2432" spans="14:14" x14ac:dyDescent="0.2">
      <c r="N2432" s="131"/>
    </row>
    <row r="2433" spans="14:14" x14ac:dyDescent="0.2">
      <c r="N2433" s="131"/>
    </row>
    <row r="2434" spans="14:14" x14ac:dyDescent="0.2">
      <c r="N2434" s="131"/>
    </row>
    <row r="2435" spans="14:14" x14ac:dyDescent="0.2">
      <c r="N2435" s="131"/>
    </row>
    <row r="2436" spans="14:14" x14ac:dyDescent="0.2">
      <c r="N2436" s="131"/>
    </row>
    <row r="2437" spans="14:14" x14ac:dyDescent="0.2">
      <c r="N2437" s="131"/>
    </row>
    <row r="2438" spans="14:14" x14ac:dyDescent="0.2">
      <c r="N2438" s="131"/>
    </row>
    <row r="2439" spans="14:14" x14ac:dyDescent="0.2">
      <c r="N2439" s="131"/>
    </row>
    <row r="2440" spans="14:14" x14ac:dyDescent="0.2">
      <c r="N2440" s="131"/>
    </row>
    <row r="2441" spans="14:14" x14ac:dyDescent="0.2">
      <c r="N2441" s="131"/>
    </row>
    <row r="2442" spans="14:14" x14ac:dyDescent="0.2">
      <c r="N2442" s="131"/>
    </row>
    <row r="2443" spans="14:14" x14ac:dyDescent="0.2">
      <c r="N2443" s="131"/>
    </row>
    <row r="2444" spans="14:14" x14ac:dyDescent="0.2">
      <c r="N2444" s="131"/>
    </row>
    <row r="2445" spans="14:14" x14ac:dyDescent="0.2">
      <c r="N2445" s="131"/>
    </row>
    <row r="2446" spans="14:14" x14ac:dyDescent="0.2">
      <c r="N2446" s="131"/>
    </row>
    <row r="2447" spans="14:14" x14ac:dyDescent="0.2">
      <c r="N2447" s="131"/>
    </row>
    <row r="2448" spans="14:14" x14ac:dyDescent="0.2">
      <c r="N2448" s="131"/>
    </row>
    <row r="2449" spans="14:14" x14ac:dyDescent="0.2">
      <c r="N2449" s="131"/>
    </row>
    <row r="2450" spans="14:14" x14ac:dyDescent="0.2">
      <c r="N2450" s="131"/>
    </row>
    <row r="2451" spans="14:14" x14ac:dyDescent="0.2">
      <c r="N2451" s="131"/>
    </row>
    <row r="2452" spans="14:14" x14ac:dyDescent="0.2">
      <c r="N2452" s="131"/>
    </row>
    <row r="2453" spans="14:14" x14ac:dyDescent="0.2">
      <c r="N2453" s="131"/>
    </row>
    <row r="2454" spans="14:14" x14ac:dyDescent="0.2">
      <c r="N2454" s="131"/>
    </row>
    <row r="2455" spans="14:14" x14ac:dyDescent="0.2">
      <c r="N2455" s="131"/>
    </row>
    <row r="2456" spans="14:14" x14ac:dyDescent="0.2">
      <c r="N2456" s="131"/>
    </row>
    <row r="2457" spans="14:14" x14ac:dyDescent="0.2">
      <c r="N2457" s="131"/>
    </row>
    <row r="2458" spans="14:14" x14ac:dyDescent="0.2">
      <c r="N2458" s="131"/>
    </row>
    <row r="2459" spans="14:14" x14ac:dyDescent="0.2">
      <c r="N2459" s="131"/>
    </row>
    <row r="2460" spans="14:14" x14ac:dyDescent="0.2">
      <c r="N2460" s="131"/>
    </row>
    <row r="2461" spans="14:14" x14ac:dyDescent="0.2">
      <c r="N2461" s="131"/>
    </row>
    <row r="2462" spans="14:14" x14ac:dyDescent="0.2">
      <c r="N2462" s="131"/>
    </row>
    <row r="2463" spans="14:14" x14ac:dyDescent="0.2">
      <c r="N2463" s="131"/>
    </row>
    <row r="2464" spans="14:14" x14ac:dyDescent="0.2">
      <c r="N2464" s="131"/>
    </row>
    <row r="2465" spans="14:14" x14ac:dyDescent="0.2">
      <c r="N2465" s="131"/>
    </row>
    <row r="2466" spans="14:14" x14ac:dyDescent="0.2">
      <c r="N2466" s="131"/>
    </row>
    <row r="2467" spans="14:14" x14ac:dyDescent="0.2">
      <c r="N2467" s="131"/>
    </row>
    <row r="2468" spans="14:14" x14ac:dyDescent="0.2">
      <c r="N2468" s="131"/>
    </row>
    <row r="2469" spans="14:14" x14ac:dyDescent="0.2">
      <c r="N2469" s="131"/>
    </row>
    <row r="2470" spans="14:14" x14ac:dyDescent="0.2">
      <c r="N2470" s="131"/>
    </row>
    <row r="2471" spans="14:14" x14ac:dyDescent="0.2">
      <c r="N2471" s="131"/>
    </row>
    <row r="2472" spans="14:14" x14ac:dyDescent="0.2">
      <c r="N2472" s="131"/>
    </row>
    <row r="2473" spans="14:14" x14ac:dyDescent="0.2">
      <c r="N2473" s="131"/>
    </row>
    <row r="2474" spans="14:14" x14ac:dyDescent="0.2">
      <c r="N2474" s="131"/>
    </row>
    <row r="2475" spans="14:14" x14ac:dyDescent="0.2">
      <c r="N2475" s="131"/>
    </row>
    <row r="2476" spans="14:14" x14ac:dyDescent="0.2">
      <c r="N2476" s="131"/>
    </row>
    <row r="2477" spans="14:14" x14ac:dyDescent="0.2">
      <c r="N2477" s="131"/>
    </row>
    <row r="2478" spans="14:14" x14ac:dyDescent="0.2">
      <c r="N2478" s="131"/>
    </row>
    <row r="2479" spans="14:14" x14ac:dyDescent="0.2">
      <c r="N2479" s="131"/>
    </row>
    <row r="2480" spans="14:14" x14ac:dyDescent="0.2">
      <c r="N2480" s="131"/>
    </row>
    <row r="2481" spans="14:14" x14ac:dyDescent="0.2">
      <c r="N2481" s="131"/>
    </row>
    <row r="2482" spans="14:14" x14ac:dyDescent="0.2">
      <c r="N2482" s="131"/>
    </row>
    <row r="2483" spans="14:14" x14ac:dyDescent="0.2">
      <c r="N2483" s="131"/>
    </row>
    <row r="2484" spans="14:14" x14ac:dyDescent="0.2">
      <c r="N2484" s="131"/>
    </row>
    <row r="2485" spans="14:14" x14ac:dyDescent="0.2">
      <c r="N2485" s="131"/>
    </row>
    <row r="2486" spans="14:14" x14ac:dyDescent="0.2">
      <c r="N2486" s="131"/>
    </row>
    <row r="2487" spans="14:14" x14ac:dyDescent="0.2">
      <c r="N2487" s="131"/>
    </row>
    <row r="2488" spans="14:14" x14ac:dyDescent="0.2">
      <c r="N2488" s="131"/>
    </row>
    <row r="2489" spans="14:14" x14ac:dyDescent="0.2">
      <c r="N2489" s="131"/>
    </row>
    <row r="2490" spans="14:14" x14ac:dyDescent="0.2">
      <c r="N2490" s="131"/>
    </row>
    <row r="2491" spans="14:14" x14ac:dyDescent="0.2">
      <c r="N2491" s="131"/>
    </row>
    <row r="2492" spans="14:14" x14ac:dyDescent="0.2">
      <c r="N2492" s="131"/>
    </row>
    <row r="2493" spans="14:14" x14ac:dyDescent="0.2">
      <c r="N2493" s="131"/>
    </row>
    <row r="2494" spans="14:14" x14ac:dyDescent="0.2">
      <c r="N2494" s="131"/>
    </row>
    <row r="2495" spans="14:14" x14ac:dyDescent="0.2">
      <c r="N2495" s="131"/>
    </row>
    <row r="2496" spans="14:14" x14ac:dyDescent="0.2">
      <c r="N2496" s="131"/>
    </row>
    <row r="2497" spans="14:14" x14ac:dyDescent="0.2">
      <c r="N2497" s="131"/>
    </row>
    <row r="2498" spans="14:14" x14ac:dyDescent="0.2">
      <c r="N2498" s="131"/>
    </row>
    <row r="2499" spans="14:14" x14ac:dyDescent="0.2">
      <c r="N2499" s="131"/>
    </row>
    <row r="2500" spans="14:14" x14ac:dyDescent="0.2">
      <c r="N2500" s="131"/>
    </row>
    <row r="2501" spans="14:14" x14ac:dyDescent="0.2">
      <c r="N2501" s="131"/>
    </row>
    <row r="2502" spans="14:14" x14ac:dyDescent="0.2">
      <c r="N2502" s="131"/>
    </row>
    <row r="2503" spans="14:14" x14ac:dyDescent="0.2">
      <c r="N2503" s="131"/>
    </row>
    <row r="2504" spans="14:14" x14ac:dyDescent="0.2">
      <c r="N2504" s="131"/>
    </row>
    <row r="2505" spans="14:14" x14ac:dyDescent="0.2">
      <c r="N2505" s="131"/>
    </row>
    <row r="2506" spans="14:14" x14ac:dyDescent="0.2">
      <c r="N2506" s="131"/>
    </row>
    <row r="2507" spans="14:14" x14ac:dyDescent="0.2">
      <c r="N2507" s="131"/>
    </row>
    <row r="2508" spans="14:14" x14ac:dyDescent="0.2">
      <c r="N2508" s="131"/>
    </row>
    <row r="2509" spans="14:14" x14ac:dyDescent="0.2">
      <c r="N2509" s="131"/>
    </row>
    <row r="2510" spans="14:14" x14ac:dyDescent="0.2">
      <c r="N2510" s="131"/>
    </row>
    <row r="2511" spans="14:14" x14ac:dyDescent="0.2">
      <c r="N2511" s="131"/>
    </row>
    <row r="2512" spans="14:14" x14ac:dyDescent="0.2">
      <c r="N2512" s="131"/>
    </row>
    <row r="2513" spans="14:14" x14ac:dyDescent="0.2">
      <c r="N2513" s="131"/>
    </row>
    <row r="2514" spans="14:14" x14ac:dyDescent="0.2">
      <c r="N2514" s="131"/>
    </row>
    <row r="2515" spans="14:14" x14ac:dyDescent="0.2">
      <c r="N2515" s="131"/>
    </row>
    <row r="2516" spans="14:14" x14ac:dyDescent="0.2">
      <c r="N2516" s="131"/>
    </row>
    <row r="2517" spans="14:14" x14ac:dyDescent="0.2">
      <c r="N2517" s="131"/>
    </row>
    <row r="2518" spans="14:14" x14ac:dyDescent="0.2">
      <c r="N2518" s="131"/>
    </row>
    <row r="2519" spans="14:14" x14ac:dyDescent="0.2">
      <c r="N2519" s="131"/>
    </row>
    <row r="2520" spans="14:14" x14ac:dyDescent="0.2">
      <c r="N2520" s="131"/>
    </row>
    <row r="2521" spans="14:14" x14ac:dyDescent="0.2">
      <c r="N2521" s="131"/>
    </row>
    <row r="2522" spans="14:14" x14ac:dyDescent="0.2">
      <c r="N2522" s="131"/>
    </row>
    <row r="2523" spans="14:14" x14ac:dyDescent="0.2">
      <c r="N2523" s="131"/>
    </row>
    <row r="2524" spans="14:14" x14ac:dyDescent="0.2">
      <c r="N2524" s="131"/>
    </row>
    <row r="2525" spans="14:14" x14ac:dyDescent="0.2">
      <c r="N2525" s="131"/>
    </row>
    <row r="2526" spans="14:14" x14ac:dyDescent="0.2">
      <c r="N2526" s="131"/>
    </row>
    <row r="2527" spans="14:14" x14ac:dyDescent="0.2">
      <c r="N2527" s="131"/>
    </row>
    <row r="2528" spans="14:14" x14ac:dyDescent="0.2">
      <c r="N2528" s="131"/>
    </row>
    <row r="2529" spans="14:14" x14ac:dyDescent="0.2">
      <c r="N2529" s="131"/>
    </row>
    <row r="2530" spans="14:14" x14ac:dyDescent="0.2">
      <c r="N2530" s="131"/>
    </row>
    <row r="2531" spans="14:14" x14ac:dyDescent="0.2">
      <c r="N2531" s="131"/>
    </row>
    <row r="2532" spans="14:14" x14ac:dyDescent="0.2">
      <c r="N2532" s="131"/>
    </row>
    <row r="2533" spans="14:14" x14ac:dyDescent="0.2">
      <c r="N2533" s="131"/>
    </row>
    <row r="2534" spans="14:14" x14ac:dyDescent="0.2">
      <c r="N2534" s="131"/>
    </row>
    <row r="2535" spans="14:14" x14ac:dyDescent="0.2">
      <c r="N2535" s="131"/>
    </row>
    <row r="2536" spans="14:14" x14ac:dyDescent="0.2">
      <c r="N2536" s="131"/>
    </row>
    <row r="2537" spans="14:14" x14ac:dyDescent="0.2">
      <c r="N2537" s="131"/>
    </row>
    <row r="2538" spans="14:14" x14ac:dyDescent="0.2">
      <c r="N2538" s="131"/>
    </row>
    <row r="2539" spans="14:14" x14ac:dyDescent="0.2">
      <c r="N2539" s="131"/>
    </row>
    <row r="2540" spans="14:14" x14ac:dyDescent="0.2">
      <c r="N2540" s="131"/>
    </row>
    <row r="2541" spans="14:14" x14ac:dyDescent="0.2">
      <c r="N2541" s="131"/>
    </row>
    <row r="2542" spans="14:14" x14ac:dyDescent="0.2">
      <c r="N2542" s="131"/>
    </row>
    <row r="2543" spans="14:14" x14ac:dyDescent="0.2">
      <c r="N2543" s="131"/>
    </row>
    <row r="2544" spans="14:14" x14ac:dyDescent="0.2">
      <c r="N2544" s="131"/>
    </row>
    <row r="2545" spans="14:14" x14ac:dyDescent="0.2">
      <c r="N2545" s="131"/>
    </row>
    <row r="2546" spans="14:14" x14ac:dyDescent="0.2">
      <c r="N2546" s="131"/>
    </row>
    <row r="2547" spans="14:14" x14ac:dyDescent="0.2">
      <c r="N2547" s="131"/>
    </row>
    <row r="2548" spans="14:14" x14ac:dyDescent="0.2">
      <c r="N2548" s="131"/>
    </row>
    <row r="2549" spans="14:14" x14ac:dyDescent="0.2">
      <c r="N2549" s="131"/>
    </row>
    <row r="2550" spans="14:14" x14ac:dyDescent="0.2">
      <c r="N2550" s="131"/>
    </row>
    <row r="2551" spans="14:14" x14ac:dyDescent="0.2">
      <c r="N2551" s="131"/>
    </row>
    <row r="2552" spans="14:14" x14ac:dyDescent="0.2">
      <c r="N2552" s="131"/>
    </row>
    <row r="2553" spans="14:14" x14ac:dyDescent="0.2">
      <c r="N2553" s="131"/>
    </row>
    <row r="2554" spans="14:14" x14ac:dyDescent="0.2">
      <c r="N2554" s="131"/>
    </row>
    <row r="2555" spans="14:14" x14ac:dyDescent="0.2">
      <c r="N2555" s="131"/>
    </row>
    <row r="2556" spans="14:14" x14ac:dyDescent="0.2">
      <c r="N2556" s="131"/>
    </row>
    <row r="2557" spans="14:14" x14ac:dyDescent="0.2">
      <c r="N2557" s="131"/>
    </row>
    <row r="2558" spans="14:14" x14ac:dyDescent="0.2">
      <c r="N2558" s="131"/>
    </row>
    <row r="2559" spans="14:14" x14ac:dyDescent="0.2">
      <c r="N2559" s="131"/>
    </row>
    <row r="2560" spans="14:14" x14ac:dyDescent="0.2">
      <c r="N2560" s="131"/>
    </row>
    <row r="2561" spans="14:14" x14ac:dyDescent="0.2">
      <c r="N2561" s="131"/>
    </row>
    <row r="2562" spans="14:14" x14ac:dyDescent="0.2">
      <c r="N2562" s="131"/>
    </row>
    <row r="2563" spans="14:14" x14ac:dyDescent="0.2">
      <c r="N2563" s="131"/>
    </row>
    <row r="2564" spans="14:14" x14ac:dyDescent="0.2">
      <c r="N2564" s="131"/>
    </row>
    <row r="2565" spans="14:14" x14ac:dyDescent="0.2">
      <c r="N2565" s="131"/>
    </row>
    <row r="2566" spans="14:14" x14ac:dyDescent="0.2">
      <c r="N2566" s="131"/>
    </row>
    <row r="2567" spans="14:14" x14ac:dyDescent="0.2">
      <c r="N2567" s="131"/>
    </row>
    <row r="2568" spans="14:14" x14ac:dyDescent="0.2">
      <c r="N2568" s="131"/>
    </row>
    <row r="2569" spans="14:14" x14ac:dyDescent="0.2">
      <c r="N2569" s="131"/>
    </row>
    <row r="2570" spans="14:14" x14ac:dyDescent="0.2">
      <c r="N2570" s="131"/>
    </row>
    <row r="2571" spans="14:14" x14ac:dyDescent="0.2">
      <c r="N2571" s="131"/>
    </row>
    <row r="2572" spans="14:14" x14ac:dyDescent="0.2">
      <c r="N2572" s="131"/>
    </row>
    <row r="2573" spans="14:14" x14ac:dyDescent="0.2">
      <c r="N2573" s="131"/>
    </row>
    <row r="2574" spans="14:14" x14ac:dyDescent="0.2">
      <c r="N2574" s="131"/>
    </row>
    <row r="2575" spans="14:14" x14ac:dyDescent="0.2">
      <c r="N2575" s="131"/>
    </row>
    <row r="2576" spans="14:14" x14ac:dyDescent="0.2">
      <c r="N2576" s="131"/>
    </row>
    <row r="2577" spans="14:14" x14ac:dyDescent="0.2">
      <c r="N2577" s="131"/>
    </row>
    <row r="2578" spans="14:14" x14ac:dyDescent="0.2">
      <c r="N2578" s="131"/>
    </row>
    <row r="2579" spans="14:14" x14ac:dyDescent="0.2">
      <c r="N2579" s="131"/>
    </row>
    <row r="2580" spans="14:14" x14ac:dyDescent="0.2">
      <c r="N2580" s="131"/>
    </row>
    <row r="2581" spans="14:14" x14ac:dyDescent="0.2">
      <c r="N2581" s="131"/>
    </row>
    <row r="2582" spans="14:14" x14ac:dyDescent="0.2">
      <c r="N2582" s="131"/>
    </row>
    <row r="2583" spans="14:14" x14ac:dyDescent="0.2">
      <c r="N2583" s="131"/>
    </row>
    <row r="2584" spans="14:14" x14ac:dyDescent="0.2">
      <c r="N2584" s="131"/>
    </row>
    <row r="2585" spans="14:14" x14ac:dyDescent="0.2">
      <c r="N2585" s="131"/>
    </row>
    <row r="2586" spans="14:14" x14ac:dyDescent="0.2">
      <c r="N2586" s="131"/>
    </row>
    <row r="2587" spans="14:14" x14ac:dyDescent="0.2">
      <c r="N2587" s="131"/>
    </row>
    <row r="2588" spans="14:14" x14ac:dyDescent="0.2">
      <c r="N2588" s="131"/>
    </row>
    <row r="2589" spans="14:14" x14ac:dyDescent="0.2">
      <c r="N2589" s="131"/>
    </row>
    <row r="2590" spans="14:14" x14ac:dyDescent="0.2">
      <c r="N2590" s="131"/>
    </row>
    <row r="2591" spans="14:14" x14ac:dyDescent="0.2">
      <c r="N2591" s="131"/>
    </row>
    <row r="2592" spans="14:14" x14ac:dyDescent="0.2">
      <c r="N2592" s="131"/>
    </row>
    <row r="2593" spans="14:14" x14ac:dyDescent="0.2">
      <c r="N2593" s="131"/>
    </row>
    <row r="2594" spans="14:14" x14ac:dyDescent="0.2">
      <c r="N2594" s="131"/>
    </row>
    <row r="2595" spans="14:14" x14ac:dyDescent="0.2">
      <c r="N2595" s="131"/>
    </row>
    <row r="2596" spans="14:14" x14ac:dyDescent="0.2">
      <c r="N2596" s="131"/>
    </row>
    <row r="2597" spans="14:14" x14ac:dyDescent="0.2">
      <c r="N2597" s="131"/>
    </row>
    <row r="2598" spans="14:14" x14ac:dyDescent="0.2">
      <c r="N2598" s="131"/>
    </row>
    <row r="2599" spans="14:14" x14ac:dyDescent="0.2">
      <c r="N2599" s="131"/>
    </row>
    <row r="2600" spans="14:14" x14ac:dyDescent="0.2">
      <c r="N2600" s="131"/>
    </row>
    <row r="2601" spans="14:14" x14ac:dyDescent="0.2">
      <c r="N2601" s="131"/>
    </row>
    <row r="2602" spans="14:14" x14ac:dyDescent="0.2">
      <c r="N2602" s="131"/>
    </row>
    <row r="2603" spans="14:14" x14ac:dyDescent="0.2">
      <c r="N2603" s="131"/>
    </row>
    <row r="2604" spans="14:14" x14ac:dyDescent="0.2">
      <c r="N2604" s="131"/>
    </row>
    <row r="2605" spans="14:14" x14ac:dyDescent="0.2">
      <c r="N2605" s="131"/>
    </row>
    <row r="2606" spans="14:14" x14ac:dyDescent="0.2">
      <c r="N2606" s="131"/>
    </row>
    <row r="2607" spans="14:14" x14ac:dyDescent="0.2">
      <c r="N2607" s="131"/>
    </row>
    <row r="2608" spans="14:14" x14ac:dyDescent="0.2">
      <c r="N2608" s="131"/>
    </row>
    <row r="2609" spans="14:14" x14ac:dyDescent="0.2">
      <c r="N2609" s="131"/>
    </row>
    <row r="2610" spans="14:14" x14ac:dyDescent="0.2">
      <c r="N2610" s="131"/>
    </row>
    <row r="2611" spans="14:14" x14ac:dyDescent="0.2">
      <c r="N2611" s="131"/>
    </row>
    <row r="2612" spans="14:14" x14ac:dyDescent="0.2">
      <c r="N2612" s="131"/>
    </row>
    <row r="2613" spans="14:14" x14ac:dyDescent="0.2">
      <c r="N2613" s="131"/>
    </row>
    <row r="2614" spans="14:14" x14ac:dyDescent="0.2">
      <c r="N2614" s="131"/>
    </row>
    <row r="2615" spans="14:14" x14ac:dyDescent="0.2">
      <c r="N2615" s="131"/>
    </row>
    <row r="2616" spans="14:14" x14ac:dyDescent="0.2">
      <c r="N2616" s="131"/>
    </row>
    <row r="2617" spans="14:14" x14ac:dyDescent="0.2">
      <c r="N2617" s="131"/>
    </row>
    <row r="2618" spans="14:14" x14ac:dyDescent="0.2">
      <c r="N2618" s="131"/>
    </row>
    <row r="2619" spans="14:14" x14ac:dyDescent="0.2">
      <c r="N2619" s="131"/>
    </row>
    <row r="2620" spans="14:14" x14ac:dyDescent="0.2">
      <c r="N2620" s="131"/>
    </row>
    <row r="2621" spans="14:14" x14ac:dyDescent="0.2">
      <c r="N2621" s="131"/>
    </row>
    <row r="2622" spans="14:14" x14ac:dyDescent="0.2">
      <c r="N2622" s="131"/>
    </row>
    <row r="2623" spans="14:14" x14ac:dyDescent="0.2">
      <c r="N2623" s="131"/>
    </row>
    <row r="2624" spans="14:14" x14ac:dyDescent="0.2">
      <c r="N2624" s="131"/>
    </row>
    <row r="2625" spans="14:14" x14ac:dyDescent="0.2">
      <c r="N2625" s="131"/>
    </row>
    <row r="2626" spans="14:14" x14ac:dyDescent="0.2">
      <c r="N2626" s="131"/>
    </row>
    <row r="2627" spans="14:14" x14ac:dyDescent="0.2">
      <c r="N2627" s="131"/>
    </row>
    <row r="2628" spans="14:14" x14ac:dyDescent="0.2">
      <c r="N2628" s="131"/>
    </row>
    <row r="2629" spans="14:14" x14ac:dyDescent="0.2">
      <c r="N2629" s="131"/>
    </row>
    <row r="2630" spans="14:14" x14ac:dyDescent="0.2">
      <c r="N2630" s="131"/>
    </row>
    <row r="2631" spans="14:14" x14ac:dyDescent="0.2">
      <c r="N2631" s="131"/>
    </row>
    <row r="2632" spans="14:14" x14ac:dyDescent="0.2">
      <c r="N2632" s="131"/>
    </row>
    <row r="2633" spans="14:14" x14ac:dyDescent="0.2">
      <c r="N2633" s="131"/>
    </row>
    <row r="2634" spans="14:14" x14ac:dyDescent="0.2">
      <c r="N2634" s="131"/>
    </row>
    <row r="2635" spans="14:14" x14ac:dyDescent="0.2">
      <c r="N2635" s="131"/>
    </row>
    <row r="2636" spans="14:14" x14ac:dyDescent="0.2">
      <c r="N2636" s="131"/>
    </row>
    <row r="2637" spans="14:14" x14ac:dyDescent="0.2">
      <c r="N2637" s="131"/>
    </row>
    <row r="2638" spans="14:14" x14ac:dyDescent="0.2">
      <c r="N2638" s="131"/>
    </row>
    <row r="2639" spans="14:14" x14ac:dyDescent="0.2">
      <c r="N2639" s="131"/>
    </row>
    <row r="2640" spans="14:14" x14ac:dyDescent="0.2">
      <c r="N2640" s="131"/>
    </row>
    <row r="2641" spans="14:14" x14ac:dyDescent="0.2">
      <c r="N2641" s="131"/>
    </row>
    <row r="2642" spans="14:14" x14ac:dyDescent="0.2">
      <c r="N2642" s="131"/>
    </row>
    <row r="2643" spans="14:14" x14ac:dyDescent="0.2">
      <c r="N2643" s="131"/>
    </row>
    <row r="2644" spans="14:14" x14ac:dyDescent="0.2">
      <c r="N2644" s="131"/>
    </row>
    <row r="2645" spans="14:14" x14ac:dyDescent="0.2">
      <c r="N2645" s="131"/>
    </row>
    <row r="2646" spans="14:14" x14ac:dyDescent="0.2">
      <c r="N2646" s="131"/>
    </row>
    <row r="2647" spans="14:14" x14ac:dyDescent="0.2">
      <c r="N2647" s="131"/>
    </row>
    <row r="2648" spans="14:14" x14ac:dyDescent="0.2">
      <c r="N2648" s="131"/>
    </row>
    <row r="2649" spans="14:14" x14ac:dyDescent="0.2">
      <c r="N2649" s="131"/>
    </row>
    <row r="2650" spans="14:14" x14ac:dyDescent="0.2">
      <c r="N2650" s="131"/>
    </row>
    <row r="2651" spans="14:14" x14ac:dyDescent="0.2">
      <c r="N2651" s="131"/>
    </row>
    <row r="2652" spans="14:14" x14ac:dyDescent="0.2">
      <c r="N2652" s="131"/>
    </row>
    <row r="2653" spans="14:14" x14ac:dyDescent="0.2">
      <c r="N2653" s="131"/>
    </row>
    <row r="2654" spans="14:14" x14ac:dyDescent="0.2">
      <c r="N2654" s="131"/>
    </row>
    <row r="2655" spans="14:14" x14ac:dyDescent="0.2">
      <c r="N2655" s="131"/>
    </row>
    <row r="2656" spans="14:14" x14ac:dyDescent="0.2">
      <c r="N2656" s="131"/>
    </row>
    <row r="2657" spans="14:14" x14ac:dyDescent="0.2">
      <c r="N2657" s="131"/>
    </row>
    <row r="2658" spans="14:14" x14ac:dyDescent="0.2">
      <c r="N2658" s="131"/>
    </row>
    <row r="2659" spans="14:14" x14ac:dyDescent="0.2">
      <c r="N2659" s="131"/>
    </row>
    <row r="2660" spans="14:14" x14ac:dyDescent="0.2">
      <c r="N2660" s="131"/>
    </row>
    <row r="2661" spans="14:14" x14ac:dyDescent="0.2">
      <c r="N2661" s="131"/>
    </row>
    <row r="2662" spans="14:14" x14ac:dyDescent="0.2">
      <c r="N2662" s="131"/>
    </row>
    <row r="2663" spans="14:14" x14ac:dyDescent="0.2">
      <c r="N2663" s="131"/>
    </row>
    <row r="2664" spans="14:14" x14ac:dyDescent="0.2">
      <c r="N2664" s="131"/>
    </row>
    <row r="2665" spans="14:14" x14ac:dyDescent="0.2">
      <c r="N2665" s="131"/>
    </row>
    <row r="2666" spans="14:14" x14ac:dyDescent="0.2">
      <c r="N2666" s="131"/>
    </row>
    <row r="2667" spans="14:14" x14ac:dyDescent="0.2">
      <c r="N2667" s="131"/>
    </row>
    <row r="2668" spans="14:14" x14ac:dyDescent="0.2">
      <c r="N2668" s="131"/>
    </row>
    <row r="2669" spans="14:14" x14ac:dyDescent="0.2">
      <c r="N2669" s="131"/>
    </row>
    <row r="2670" spans="14:14" x14ac:dyDescent="0.2">
      <c r="N2670" s="131"/>
    </row>
    <row r="2671" spans="14:14" x14ac:dyDescent="0.2">
      <c r="N2671" s="131"/>
    </row>
    <row r="2672" spans="14:14" x14ac:dyDescent="0.2">
      <c r="N2672" s="131"/>
    </row>
    <row r="2673" spans="14:14" x14ac:dyDescent="0.2">
      <c r="N2673" s="131"/>
    </row>
    <row r="2674" spans="14:14" x14ac:dyDescent="0.2">
      <c r="N2674" s="131"/>
    </row>
    <row r="2675" spans="14:14" x14ac:dyDescent="0.2">
      <c r="N2675" s="131"/>
    </row>
    <row r="2676" spans="14:14" x14ac:dyDescent="0.2">
      <c r="N2676" s="131"/>
    </row>
    <row r="2677" spans="14:14" x14ac:dyDescent="0.2">
      <c r="N2677" s="131"/>
    </row>
    <row r="2678" spans="14:14" x14ac:dyDescent="0.2">
      <c r="N2678" s="131"/>
    </row>
    <row r="2679" spans="14:14" x14ac:dyDescent="0.2">
      <c r="N2679" s="131"/>
    </row>
    <row r="2680" spans="14:14" x14ac:dyDescent="0.2">
      <c r="N2680" s="131"/>
    </row>
    <row r="2681" spans="14:14" x14ac:dyDescent="0.2">
      <c r="N2681" s="131"/>
    </row>
    <row r="2682" spans="14:14" x14ac:dyDescent="0.2">
      <c r="N2682" s="131"/>
    </row>
    <row r="2683" spans="14:14" x14ac:dyDescent="0.2">
      <c r="N2683" s="131"/>
    </row>
    <row r="2684" spans="14:14" x14ac:dyDescent="0.2">
      <c r="N2684" s="131"/>
    </row>
    <row r="2685" spans="14:14" x14ac:dyDescent="0.2">
      <c r="N2685" s="131"/>
    </row>
    <row r="2686" spans="14:14" x14ac:dyDescent="0.2">
      <c r="N2686" s="131"/>
    </row>
    <row r="2687" spans="14:14" x14ac:dyDescent="0.2">
      <c r="N2687" s="131"/>
    </row>
    <row r="2688" spans="14:14" x14ac:dyDescent="0.2">
      <c r="N2688" s="131"/>
    </row>
    <row r="2689" spans="14:14" x14ac:dyDescent="0.2">
      <c r="N2689" s="131"/>
    </row>
    <row r="2690" spans="14:14" x14ac:dyDescent="0.2">
      <c r="N2690" s="131"/>
    </row>
    <row r="2691" spans="14:14" x14ac:dyDescent="0.2">
      <c r="N2691" s="131"/>
    </row>
    <row r="2692" spans="14:14" x14ac:dyDescent="0.2">
      <c r="N2692" s="131"/>
    </row>
    <row r="2693" spans="14:14" x14ac:dyDescent="0.2">
      <c r="N2693" s="131"/>
    </row>
    <row r="2694" spans="14:14" x14ac:dyDescent="0.2">
      <c r="N2694" s="131"/>
    </row>
    <row r="2695" spans="14:14" x14ac:dyDescent="0.2">
      <c r="N2695" s="131"/>
    </row>
    <row r="2696" spans="14:14" x14ac:dyDescent="0.2">
      <c r="N2696" s="131"/>
    </row>
    <row r="2697" spans="14:14" x14ac:dyDescent="0.2">
      <c r="N2697" s="131"/>
    </row>
    <row r="2698" spans="14:14" x14ac:dyDescent="0.2">
      <c r="N2698" s="131"/>
    </row>
    <row r="2699" spans="14:14" x14ac:dyDescent="0.2">
      <c r="N2699" s="131"/>
    </row>
    <row r="2700" spans="14:14" x14ac:dyDescent="0.2">
      <c r="N2700" s="131"/>
    </row>
    <row r="2701" spans="14:14" x14ac:dyDescent="0.2">
      <c r="N2701" s="131"/>
    </row>
    <row r="2702" spans="14:14" x14ac:dyDescent="0.2">
      <c r="N2702" s="131"/>
    </row>
    <row r="2703" spans="14:14" x14ac:dyDescent="0.2">
      <c r="N2703" s="131"/>
    </row>
    <row r="2704" spans="14:14" x14ac:dyDescent="0.2">
      <c r="N2704" s="131"/>
    </row>
    <row r="2705" spans="14:14" x14ac:dyDescent="0.2">
      <c r="N2705" s="131"/>
    </row>
    <row r="2706" spans="14:14" x14ac:dyDescent="0.2">
      <c r="N2706" s="131"/>
    </row>
    <row r="2707" spans="14:14" x14ac:dyDescent="0.2">
      <c r="N2707" s="131"/>
    </row>
    <row r="2708" spans="14:14" x14ac:dyDescent="0.2">
      <c r="N2708" s="131"/>
    </row>
    <row r="2709" spans="14:14" x14ac:dyDescent="0.2">
      <c r="N2709" s="131"/>
    </row>
    <row r="2710" spans="14:14" x14ac:dyDescent="0.2">
      <c r="N2710" s="131"/>
    </row>
    <row r="2711" spans="14:14" x14ac:dyDescent="0.2">
      <c r="N2711" s="131"/>
    </row>
    <row r="2712" spans="14:14" x14ac:dyDescent="0.2">
      <c r="N2712" s="131"/>
    </row>
    <row r="2713" spans="14:14" x14ac:dyDescent="0.2">
      <c r="N2713" s="131"/>
    </row>
    <row r="2714" spans="14:14" x14ac:dyDescent="0.2">
      <c r="N2714" s="131"/>
    </row>
    <row r="2715" spans="14:14" x14ac:dyDescent="0.2">
      <c r="N2715" s="131"/>
    </row>
    <row r="2716" spans="14:14" x14ac:dyDescent="0.2">
      <c r="N2716" s="131"/>
    </row>
    <row r="2717" spans="14:14" x14ac:dyDescent="0.2">
      <c r="N2717" s="131"/>
    </row>
    <row r="2718" spans="14:14" x14ac:dyDescent="0.2">
      <c r="N2718" s="131"/>
    </row>
    <row r="2719" spans="14:14" x14ac:dyDescent="0.2">
      <c r="N2719" s="131"/>
    </row>
    <row r="2720" spans="14:14" x14ac:dyDescent="0.2">
      <c r="N2720" s="131"/>
    </row>
    <row r="2721" spans="14:14" x14ac:dyDescent="0.2">
      <c r="N2721" s="131"/>
    </row>
    <row r="2722" spans="14:14" x14ac:dyDescent="0.2">
      <c r="N2722" s="131"/>
    </row>
    <row r="2723" spans="14:14" x14ac:dyDescent="0.2">
      <c r="N2723" s="131"/>
    </row>
    <row r="2724" spans="14:14" x14ac:dyDescent="0.2">
      <c r="N2724" s="131"/>
    </row>
    <row r="2725" spans="14:14" x14ac:dyDescent="0.2">
      <c r="N2725" s="131"/>
    </row>
    <row r="2726" spans="14:14" x14ac:dyDescent="0.2">
      <c r="N2726" s="131"/>
    </row>
    <row r="2727" spans="14:14" x14ac:dyDescent="0.2">
      <c r="N2727" s="131"/>
    </row>
    <row r="2728" spans="14:14" x14ac:dyDescent="0.2">
      <c r="N2728" s="131"/>
    </row>
    <row r="2729" spans="14:14" x14ac:dyDescent="0.2">
      <c r="N2729" s="131"/>
    </row>
    <row r="2730" spans="14:14" x14ac:dyDescent="0.2">
      <c r="N2730" s="131"/>
    </row>
    <row r="2731" spans="14:14" x14ac:dyDescent="0.2">
      <c r="N2731" s="131"/>
    </row>
    <row r="2732" spans="14:14" x14ac:dyDescent="0.2">
      <c r="N2732" s="131"/>
    </row>
    <row r="2733" spans="14:14" x14ac:dyDescent="0.2">
      <c r="N2733" s="131"/>
    </row>
    <row r="2734" spans="14:14" x14ac:dyDescent="0.2">
      <c r="N2734" s="131"/>
    </row>
    <row r="2735" spans="14:14" x14ac:dyDescent="0.2">
      <c r="N2735" s="131"/>
    </row>
    <row r="2736" spans="14:14" x14ac:dyDescent="0.2">
      <c r="N2736" s="131"/>
    </row>
    <row r="2737" spans="14:14" x14ac:dyDescent="0.2">
      <c r="N2737" s="131"/>
    </row>
    <row r="2738" spans="14:14" x14ac:dyDescent="0.2">
      <c r="N2738" s="131"/>
    </row>
    <row r="2739" spans="14:14" x14ac:dyDescent="0.2">
      <c r="N2739" s="131"/>
    </row>
    <row r="2740" spans="14:14" x14ac:dyDescent="0.2">
      <c r="N2740" s="131"/>
    </row>
    <row r="2741" spans="14:14" x14ac:dyDescent="0.2">
      <c r="N2741" s="131"/>
    </row>
    <row r="2742" spans="14:14" x14ac:dyDescent="0.2">
      <c r="N2742" s="131"/>
    </row>
    <row r="2743" spans="14:14" x14ac:dyDescent="0.2">
      <c r="N2743" s="131"/>
    </row>
    <row r="2744" spans="14:14" x14ac:dyDescent="0.2">
      <c r="N2744" s="131"/>
    </row>
    <row r="2745" spans="14:14" x14ac:dyDescent="0.2">
      <c r="N2745" s="131"/>
    </row>
    <row r="2746" spans="14:14" x14ac:dyDescent="0.2">
      <c r="N2746" s="131"/>
    </row>
    <row r="2747" spans="14:14" x14ac:dyDescent="0.2">
      <c r="N2747" s="131"/>
    </row>
    <row r="2748" spans="14:14" x14ac:dyDescent="0.2">
      <c r="N2748" s="131"/>
    </row>
    <row r="2749" spans="14:14" x14ac:dyDescent="0.2">
      <c r="N2749" s="131"/>
    </row>
    <row r="2750" spans="14:14" x14ac:dyDescent="0.2">
      <c r="N2750" s="131"/>
    </row>
    <row r="2751" spans="14:14" x14ac:dyDescent="0.2">
      <c r="N2751" s="131"/>
    </row>
    <row r="2752" spans="14:14" x14ac:dyDescent="0.2">
      <c r="N2752" s="131"/>
    </row>
    <row r="2753" spans="14:14" x14ac:dyDescent="0.2">
      <c r="N2753" s="131"/>
    </row>
    <row r="2754" spans="14:14" x14ac:dyDescent="0.2">
      <c r="N2754" s="131"/>
    </row>
    <row r="2755" spans="14:14" x14ac:dyDescent="0.2">
      <c r="N2755" s="131"/>
    </row>
    <row r="2756" spans="14:14" x14ac:dyDescent="0.2">
      <c r="N2756" s="131"/>
    </row>
    <row r="2757" spans="14:14" x14ac:dyDescent="0.2">
      <c r="N2757" s="131"/>
    </row>
    <row r="2758" spans="14:14" x14ac:dyDescent="0.2">
      <c r="N2758" s="131"/>
    </row>
    <row r="2759" spans="14:14" x14ac:dyDescent="0.2">
      <c r="N2759" s="131"/>
    </row>
    <row r="2760" spans="14:14" x14ac:dyDescent="0.2">
      <c r="N2760" s="131"/>
    </row>
    <row r="2761" spans="14:14" x14ac:dyDescent="0.2">
      <c r="N2761" s="131"/>
    </row>
    <row r="2762" spans="14:14" x14ac:dyDescent="0.2">
      <c r="N2762" s="131"/>
    </row>
    <row r="2763" spans="14:14" x14ac:dyDescent="0.2">
      <c r="N2763" s="131"/>
    </row>
    <row r="2764" spans="14:14" x14ac:dyDescent="0.2">
      <c r="N2764" s="131"/>
    </row>
    <row r="2765" spans="14:14" x14ac:dyDescent="0.2">
      <c r="N2765" s="131"/>
    </row>
    <row r="2766" spans="14:14" x14ac:dyDescent="0.2">
      <c r="N2766" s="131"/>
    </row>
    <row r="2767" spans="14:14" x14ac:dyDescent="0.2">
      <c r="N2767" s="131"/>
    </row>
    <row r="2768" spans="14:14" x14ac:dyDescent="0.2">
      <c r="N2768" s="131"/>
    </row>
    <row r="2769" spans="14:14" x14ac:dyDescent="0.2">
      <c r="N2769" s="131"/>
    </row>
    <row r="2770" spans="14:14" x14ac:dyDescent="0.2">
      <c r="N2770" s="131"/>
    </row>
    <row r="2771" spans="14:14" x14ac:dyDescent="0.2">
      <c r="N2771" s="131"/>
    </row>
    <row r="2772" spans="14:14" x14ac:dyDescent="0.2">
      <c r="N2772" s="131"/>
    </row>
    <row r="2773" spans="14:14" x14ac:dyDescent="0.2">
      <c r="N2773" s="131"/>
    </row>
    <row r="2774" spans="14:14" x14ac:dyDescent="0.2">
      <c r="N2774" s="131"/>
    </row>
    <row r="2775" spans="14:14" x14ac:dyDescent="0.2">
      <c r="N2775" s="131"/>
    </row>
    <row r="2776" spans="14:14" x14ac:dyDescent="0.2">
      <c r="N2776" s="131"/>
    </row>
    <row r="2777" spans="14:14" x14ac:dyDescent="0.2">
      <c r="N2777" s="131"/>
    </row>
    <row r="2778" spans="14:14" x14ac:dyDescent="0.2">
      <c r="N2778" s="131"/>
    </row>
    <row r="2779" spans="14:14" x14ac:dyDescent="0.2">
      <c r="N2779" s="131"/>
    </row>
    <row r="2780" spans="14:14" x14ac:dyDescent="0.2">
      <c r="N2780" s="131"/>
    </row>
    <row r="2781" spans="14:14" x14ac:dyDescent="0.2">
      <c r="N2781" s="131"/>
    </row>
    <row r="2782" spans="14:14" x14ac:dyDescent="0.2">
      <c r="N2782" s="131"/>
    </row>
    <row r="2783" spans="14:14" x14ac:dyDescent="0.2">
      <c r="N2783" s="131"/>
    </row>
    <row r="2784" spans="14:14" x14ac:dyDescent="0.2">
      <c r="N2784" s="131"/>
    </row>
    <row r="2785" spans="14:14" x14ac:dyDescent="0.2">
      <c r="N2785" s="131"/>
    </row>
    <row r="2786" spans="14:14" x14ac:dyDescent="0.2">
      <c r="N2786" s="131"/>
    </row>
    <row r="2787" spans="14:14" x14ac:dyDescent="0.2">
      <c r="N2787" s="131"/>
    </row>
    <row r="2788" spans="14:14" x14ac:dyDescent="0.2">
      <c r="N2788" s="131"/>
    </row>
    <row r="2789" spans="14:14" x14ac:dyDescent="0.2">
      <c r="N2789" s="131"/>
    </row>
    <row r="2790" spans="14:14" x14ac:dyDescent="0.2">
      <c r="N2790" s="131"/>
    </row>
    <row r="2791" spans="14:14" x14ac:dyDescent="0.2">
      <c r="N2791" s="131"/>
    </row>
    <row r="2792" spans="14:14" x14ac:dyDescent="0.2">
      <c r="N2792" s="131"/>
    </row>
    <row r="2793" spans="14:14" x14ac:dyDescent="0.2">
      <c r="N2793" s="131"/>
    </row>
    <row r="2794" spans="14:14" x14ac:dyDescent="0.2">
      <c r="N2794" s="131"/>
    </row>
    <row r="2795" spans="14:14" x14ac:dyDescent="0.2">
      <c r="N2795" s="131"/>
    </row>
    <row r="2796" spans="14:14" x14ac:dyDescent="0.2">
      <c r="N2796" s="131"/>
    </row>
    <row r="2797" spans="14:14" x14ac:dyDescent="0.2">
      <c r="N2797" s="131"/>
    </row>
    <row r="2798" spans="14:14" x14ac:dyDescent="0.2">
      <c r="N2798" s="131"/>
    </row>
    <row r="2799" spans="14:14" x14ac:dyDescent="0.2">
      <c r="N2799" s="131"/>
    </row>
    <row r="2800" spans="14:14" x14ac:dyDescent="0.2">
      <c r="N2800" s="131"/>
    </row>
    <row r="2801" spans="14:14" x14ac:dyDescent="0.2">
      <c r="N2801" s="131"/>
    </row>
    <row r="2802" spans="14:14" x14ac:dyDescent="0.2">
      <c r="N2802" s="131"/>
    </row>
    <row r="2803" spans="14:14" x14ac:dyDescent="0.2">
      <c r="N2803" s="131"/>
    </row>
    <row r="2804" spans="14:14" x14ac:dyDescent="0.2">
      <c r="N2804" s="131"/>
    </row>
    <row r="2805" spans="14:14" x14ac:dyDescent="0.2">
      <c r="N2805" s="131"/>
    </row>
    <row r="2806" spans="14:14" x14ac:dyDescent="0.2">
      <c r="N2806" s="131"/>
    </row>
    <row r="2807" spans="14:14" x14ac:dyDescent="0.2">
      <c r="N2807" s="131"/>
    </row>
    <row r="2808" spans="14:14" x14ac:dyDescent="0.2">
      <c r="N2808" s="131"/>
    </row>
    <row r="2809" spans="14:14" x14ac:dyDescent="0.2">
      <c r="N2809" s="131"/>
    </row>
    <row r="2810" spans="14:14" x14ac:dyDescent="0.2">
      <c r="N2810" s="131"/>
    </row>
    <row r="2811" spans="14:14" x14ac:dyDescent="0.2">
      <c r="N2811" s="131"/>
    </row>
    <row r="2812" spans="14:14" x14ac:dyDescent="0.2">
      <c r="N2812" s="131"/>
    </row>
    <row r="2813" spans="14:14" x14ac:dyDescent="0.2">
      <c r="N2813" s="131"/>
    </row>
    <row r="2814" spans="14:14" x14ac:dyDescent="0.2">
      <c r="N2814" s="131"/>
    </row>
    <row r="2815" spans="14:14" x14ac:dyDescent="0.2">
      <c r="N2815" s="131"/>
    </row>
    <row r="2816" spans="14:14" x14ac:dyDescent="0.2">
      <c r="N2816" s="131"/>
    </row>
    <row r="2817" spans="14:14" x14ac:dyDescent="0.2">
      <c r="N2817" s="131"/>
    </row>
    <row r="2818" spans="14:14" x14ac:dyDescent="0.2">
      <c r="N2818" s="131"/>
    </row>
    <row r="2819" spans="14:14" x14ac:dyDescent="0.2">
      <c r="N2819" s="131"/>
    </row>
    <row r="2820" spans="14:14" x14ac:dyDescent="0.2">
      <c r="N2820" s="131"/>
    </row>
    <row r="2821" spans="14:14" x14ac:dyDescent="0.2">
      <c r="N2821" s="131"/>
    </row>
    <row r="2822" spans="14:14" x14ac:dyDescent="0.2">
      <c r="N2822" s="131"/>
    </row>
    <row r="2823" spans="14:14" x14ac:dyDescent="0.2">
      <c r="N2823" s="131"/>
    </row>
    <row r="2824" spans="14:14" x14ac:dyDescent="0.2">
      <c r="N2824" s="131"/>
    </row>
    <row r="2825" spans="14:14" x14ac:dyDescent="0.2">
      <c r="N2825" s="131"/>
    </row>
    <row r="2826" spans="14:14" x14ac:dyDescent="0.2">
      <c r="N2826" s="131"/>
    </row>
    <row r="2827" spans="14:14" x14ac:dyDescent="0.2">
      <c r="N2827" s="131"/>
    </row>
    <row r="2828" spans="14:14" x14ac:dyDescent="0.2">
      <c r="N2828" s="131"/>
    </row>
    <row r="2829" spans="14:14" x14ac:dyDescent="0.2">
      <c r="N2829" s="131"/>
    </row>
    <row r="2830" spans="14:14" x14ac:dyDescent="0.2">
      <c r="N2830" s="131"/>
    </row>
    <row r="2831" spans="14:14" x14ac:dyDescent="0.2">
      <c r="N2831" s="131"/>
    </row>
    <row r="2832" spans="14:14" x14ac:dyDescent="0.2">
      <c r="N2832" s="131"/>
    </row>
    <row r="2833" spans="14:14" x14ac:dyDescent="0.2">
      <c r="N2833" s="131"/>
    </row>
    <row r="2834" spans="14:14" x14ac:dyDescent="0.2">
      <c r="N2834" s="131"/>
    </row>
    <row r="2835" spans="14:14" x14ac:dyDescent="0.2">
      <c r="N2835" s="131"/>
    </row>
    <row r="2836" spans="14:14" x14ac:dyDescent="0.2">
      <c r="N2836" s="131"/>
    </row>
    <row r="2837" spans="14:14" x14ac:dyDescent="0.2">
      <c r="N2837" s="131"/>
    </row>
    <row r="2838" spans="14:14" x14ac:dyDescent="0.2">
      <c r="N2838" s="131"/>
    </row>
    <row r="2839" spans="14:14" x14ac:dyDescent="0.2">
      <c r="N2839" s="131"/>
    </row>
    <row r="2840" spans="14:14" x14ac:dyDescent="0.2">
      <c r="N2840" s="131"/>
    </row>
    <row r="2841" spans="14:14" x14ac:dyDescent="0.2">
      <c r="N2841" s="131"/>
    </row>
    <row r="2842" spans="14:14" x14ac:dyDescent="0.2">
      <c r="N2842" s="131"/>
    </row>
    <row r="2843" spans="14:14" x14ac:dyDescent="0.2">
      <c r="N2843" s="131"/>
    </row>
    <row r="2844" spans="14:14" x14ac:dyDescent="0.2">
      <c r="N2844" s="131"/>
    </row>
    <row r="2845" spans="14:14" x14ac:dyDescent="0.2">
      <c r="N2845" s="131"/>
    </row>
    <row r="2846" spans="14:14" x14ac:dyDescent="0.2">
      <c r="N2846" s="131"/>
    </row>
    <row r="2847" spans="14:14" x14ac:dyDescent="0.2">
      <c r="N2847" s="131"/>
    </row>
    <row r="2848" spans="14:14" x14ac:dyDescent="0.2">
      <c r="N2848" s="131"/>
    </row>
    <row r="2849" spans="14:14" x14ac:dyDescent="0.2">
      <c r="N2849" s="131"/>
    </row>
    <row r="2850" spans="14:14" x14ac:dyDescent="0.2">
      <c r="N2850" s="131"/>
    </row>
    <row r="2851" spans="14:14" x14ac:dyDescent="0.2">
      <c r="N2851" s="131"/>
    </row>
    <row r="2852" spans="14:14" x14ac:dyDescent="0.2">
      <c r="N2852" s="131"/>
    </row>
    <row r="2853" spans="14:14" x14ac:dyDescent="0.2">
      <c r="N2853" s="131"/>
    </row>
    <row r="2854" spans="14:14" x14ac:dyDescent="0.2">
      <c r="N2854" s="131"/>
    </row>
    <row r="2855" spans="14:14" x14ac:dyDescent="0.2">
      <c r="N2855" s="131"/>
    </row>
    <row r="2856" spans="14:14" x14ac:dyDescent="0.2">
      <c r="N2856" s="131"/>
    </row>
    <row r="2857" spans="14:14" x14ac:dyDescent="0.2">
      <c r="N2857" s="131"/>
    </row>
    <row r="2858" spans="14:14" x14ac:dyDescent="0.2">
      <c r="N2858" s="131"/>
    </row>
    <row r="2859" spans="14:14" x14ac:dyDescent="0.2">
      <c r="N2859" s="131"/>
    </row>
    <row r="2860" spans="14:14" x14ac:dyDescent="0.2">
      <c r="N2860" s="131"/>
    </row>
    <row r="2861" spans="14:14" x14ac:dyDescent="0.2">
      <c r="N2861" s="131"/>
    </row>
    <row r="2862" spans="14:14" x14ac:dyDescent="0.2">
      <c r="N2862" s="131"/>
    </row>
    <row r="2863" spans="14:14" x14ac:dyDescent="0.2">
      <c r="N2863" s="131"/>
    </row>
    <row r="2864" spans="14:14" x14ac:dyDescent="0.2">
      <c r="N2864" s="131"/>
    </row>
    <row r="2865" spans="14:14" x14ac:dyDescent="0.2">
      <c r="N2865" s="131"/>
    </row>
    <row r="2866" spans="14:14" x14ac:dyDescent="0.2">
      <c r="N2866" s="131"/>
    </row>
    <row r="2867" spans="14:14" x14ac:dyDescent="0.2">
      <c r="N2867" s="131"/>
    </row>
    <row r="2868" spans="14:14" x14ac:dyDescent="0.2">
      <c r="N2868" s="131"/>
    </row>
    <row r="2869" spans="14:14" x14ac:dyDescent="0.2">
      <c r="N2869" s="131"/>
    </row>
    <row r="2870" spans="14:14" x14ac:dyDescent="0.2">
      <c r="N2870" s="131"/>
    </row>
    <row r="2871" spans="14:14" x14ac:dyDescent="0.2">
      <c r="N2871" s="131"/>
    </row>
    <row r="2872" spans="14:14" x14ac:dyDescent="0.2">
      <c r="N2872" s="131"/>
    </row>
    <row r="2873" spans="14:14" x14ac:dyDescent="0.2">
      <c r="N2873" s="131"/>
    </row>
    <row r="2874" spans="14:14" x14ac:dyDescent="0.2">
      <c r="N2874" s="131"/>
    </row>
    <row r="2875" spans="14:14" x14ac:dyDescent="0.2">
      <c r="N2875" s="131"/>
    </row>
    <row r="2876" spans="14:14" x14ac:dyDescent="0.2">
      <c r="N2876" s="131"/>
    </row>
    <row r="2877" spans="14:14" x14ac:dyDescent="0.2">
      <c r="N2877" s="131"/>
    </row>
    <row r="2878" spans="14:14" x14ac:dyDescent="0.2">
      <c r="N2878" s="131"/>
    </row>
    <row r="2879" spans="14:14" x14ac:dyDescent="0.2">
      <c r="N2879" s="131"/>
    </row>
    <row r="2880" spans="14:14" x14ac:dyDescent="0.2">
      <c r="N2880" s="131"/>
    </row>
    <row r="2881" spans="14:14" x14ac:dyDescent="0.2">
      <c r="N2881" s="131"/>
    </row>
    <row r="2882" spans="14:14" x14ac:dyDescent="0.2">
      <c r="N2882" s="131"/>
    </row>
    <row r="2883" spans="14:14" x14ac:dyDescent="0.2">
      <c r="N2883" s="131"/>
    </row>
    <row r="2884" spans="14:14" x14ac:dyDescent="0.2">
      <c r="N2884" s="131"/>
    </row>
    <row r="2885" spans="14:14" x14ac:dyDescent="0.2">
      <c r="N2885" s="131"/>
    </row>
    <row r="2886" spans="14:14" x14ac:dyDescent="0.2">
      <c r="N2886" s="131"/>
    </row>
    <row r="2887" spans="14:14" x14ac:dyDescent="0.2">
      <c r="N2887" s="131"/>
    </row>
    <row r="2888" spans="14:14" x14ac:dyDescent="0.2">
      <c r="N2888" s="131"/>
    </row>
    <row r="2889" spans="14:14" x14ac:dyDescent="0.2">
      <c r="N2889" s="131"/>
    </row>
    <row r="2890" spans="14:14" x14ac:dyDescent="0.2">
      <c r="N2890" s="131"/>
    </row>
    <row r="2891" spans="14:14" x14ac:dyDescent="0.2">
      <c r="N2891" s="131"/>
    </row>
    <row r="2892" spans="14:14" x14ac:dyDescent="0.2">
      <c r="N2892" s="131"/>
    </row>
    <row r="2893" spans="14:14" x14ac:dyDescent="0.2">
      <c r="N2893" s="131"/>
    </row>
    <row r="2894" spans="14:14" x14ac:dyDescent="0.2">
      <c r="N2894" s="131"/>
    </row>
    <row r="2895" spans="14:14" x14ac:dyDescent="0.2">
      <c r="N2895" s="131"/>
    </row>
    <row r="2896" spans="14:14" x14ac:dyDescent="0.2">
      <c r="N2896" s="131"/>
    </row>
    <row r="2897" spans="14:14" x14ac:dyDescent="0.2">
      <c r="N2897" s="131"/>
    </row>
    <row r="2898" spans="14:14" x14ac:dyDescent="0.2">
      <c r="N2898" s="131"/>
    </row>
    <row r="2899" spans="14:14" x14ac:dyDescent="0.2">
      <c r="N2899" s="131"/>
    </row>
    <row r="2900" spans="14:14" x14ac:dyDescent="0.2">
      <c r="N2900" s="131"/>
    </row>
    <row r="2901" spans="14:14" x14ac:dyDescent="0.2">
      <c r="N2901" s="131"/>
    </row>
    <row r="2902" spans="14:14" x14ac:dyDescent="0.2">
      <c r="N2902" s="131"/>
    </row>
    <row r="2903" spans="14:14" x14ac:dyDescent="0.2">
      <c r="N2903" s="131"/>
    </row>
    <row r="2904" spans="14:14" x14ac:dyDescent="0.2">
      <c r="N2904" s="131"/>
    </row>
    <row r="2905" spans="14:14" x14ac:dyDescent="0.2">
      <c r="N2905" s="131"/>
    </row>
    <row r="2906" spans="14:14" x14ac:dyDescent="0.2">
      <c r="N2906" s="131"/>
    </row>
    <row r="2907" spans="14:14" x14ac:dyDescent="0.2">
      <c r="N2907" s="131"/>
    </row>
    <row r="2908" spans="14:14" x14ac:dyDescent="0.2">
      <c r="N2908" s="131"/>
    </row>
    <row r="2909" spans="14:14" x14ac:dyDescent="0.2">
      <c r="N2909" s="131"/>
    </row>
    <row r="2910" spans="14:14" x14ac:dyDescent="0.2">
      <c r="N2910" s="131"/>
    </row>
    <row r="2911" spans="14:14" x14ac:dyDescent="0.2">
      <c r="N2911" s="131"/>
    </row>
    <row r="2912" spans="14:14" x14ac:dyDescent="0.2">
      <c r="N2912" s="131"/>
    </row>
    <row r="2913" spans="14:14" x14ac:dyDescent="0.2">
      <c r="N2913" s="131"/>
    </row>
    <row r="2914" spans="14:14" x14ac:dyDescent="0.2">
      <c r="N2914" s="131"/>
    </row>
    <row r="2915" spans="14:14" x14ac:dyDescent="0.2">
      <c r="N2915" s="131"/>
    </row>
    <row r="2916" spans="14:14" x14ac:dyDescent="0.2">
      <c r="N2916" s="131"/>
    </row>
    <row r="2917" spans="14:14" x14ac:dyDescent="0.2">
      <c r="N2917" s="131"/>
    </row>
    <row r="2918" spans="14:14" x14ac:dyDescent="0.2">
      <c r="N2918" s="131"/>
    </row>
    <row r="2919" spans="14:14" x14ac:dyDescent="0.2">
      <c r="N2919" s="131"/>
    </row>
    <row r="2920" spans="14:14" x14ac:dyDescent="0.2">
      <c r="N2920" s="131"/>
    </row>
    <row r="2921" spans="14:14" x14ac:dyDescent="0.2">
      <c r="N2921" s="131"/>
    </row>
    <row r="2922" spans="14:14" x14ac:dyDescent="0.2">
      <c r="N2922" s="131"/>
    </row>
    <row r="2923" spans="14:14" x14ac:dyDescent="0.2">
      <c r="N2923" s="131"/>
    </row>
    <row r="2924" spans="14:14" x14ac:dyDescent="0.2">
      <c r="N2924" s="131"/>
    </row>
    <row r="2925" spans="14:14" x14ac:dyDescent="0.2">
      <c r="N2925" s="131"/>
    </row>
    <row r="2926" spans="14:14" x14ac:dyDescent="0.2">
      <c r="N2926" s="131"/>
    </row>
    <row r="2927" spans="14:14" x14ac:dyDescent="0.2">
      <c r="N2927" s="131"/>
    </row>
    <row r="2928" spans="14:14" x14ac:dyDescent="0.2">
      <c r="N2928" s="131"/>
    </row>
    <row r="2929" spans="14:14" x14ac:dyDescent="0.2">
      <c r="N2929" s="131"/>
    </row>
    <row r="2930" spans="14:14" x14ac:dyDescent="0.2">
      <c r="N2930" s="131"/>
    </row>
    <row r="2931" spans="14:14" x14ac:dyDescent="0.2">
      <c r="N2931" s="131"/>
    </row>
    <row r="2932" spans="14:14" x14ac:dyDescent="0.2">
      <c r="N2932" s="131"/>
    </row>
    <row r="2933" spans="14:14" x14ac:dyDescent="0.2">
      <c r="N2933" s="131"/>
    </row>
    <row r="2934" spans="14:14" x14ac:dyDescent="0.2">
      <c r="N2934" s="131"/>
    </row>
    <row r="2935" spans="14:14" x14ac:dyDescent="0.2">
      <c r="N2935" s="131"/>
    </row>
    <row r="2936" spans="14:14" x14ac:dyDescent="0.2">
      <c r="N2936" s="131"/>
    </row>
    <row r="2937" spans="14:14" x14ac:dyDescent="0.2">
      <c r="N2937" s="131"/>
    </row>
    <row r="2938" spans="14:14" x14ac:dyDescent="0.2">
      <c r="N2938" s="131"/>
    </row>
    <row r="2939" spans="14:14" x14ac:dyDescent="0.2">
      <c r="N2939" s="131"/>
    </row>
    <row r="2940" spans="14:14" x14ac:dyDescent="0.2">
      <c r="N2940" s="131"/>
    </row>
    <row r="2941" spans="14:14" x14ac:dyDescent="0.2">
      <c r="N2941" s="131"/>
    </row>
    <row r="2942" spans="14:14" x14ac:dyDescent="0.2">
      <c r="N2942" s="131"/>
    </row>
    <row r="2943" spans="14:14" x14ac:dyDescent="0.2">
      <c r="N2943" s="131"/>
    </row>
    <row r="2944" spans="14:14" x14ac:dyDescent="0.2">
      <c r="N2944" s="131"/>
    </row>
    <row r="2945" spans="14:14" x14ac:dyDescent="0.2">
      <c r="N2945" s="131"/>
    </row>
    <row r="2946" spans="14:14" x14ac:dyDescent="0.2">
      <c r="N2946" s="131"/>
    </row>
    <row r="2947" spans="14:14" x14ac:dyDescent="0.2">
      <c r="N2947" s="131"/>
    </row>
    <row r="2948" spans="14:14" x14ac:dyDescent="0.2">
      <c r="N2948" s="131"/>
    </row>
    <row r="2949" spans="14:14" x14ac:dyDescent="0.2">
      <c r="N2949" s="131"/>
    </row>
    <row r="2950" spans="14:14" x14ac:dyDescent="0.2">
      <c r="N2950" s="131"/>
    </row>
    <row r="2951" spans="14:14" x14ac:dyDescent="0.2">
      <c r="N2951" s="131"/>
    </row>
    <row r="2952" spans="14:14" x14ac:dyDescent="0.2">
      <c r="N2952" s="131"/>
    </row>
    <row r="2953" spans="14:14" x14ac:dyDescent="0.2">
      <c r="N2953" s="131"/>
    </row>
    <row r="2954" spans="14:14" x14ac:dyDescent="0.2">
      <c r="N2954" s="131"/>
    </row>
    <row r="2955" spans="14:14" x14ac:dyDescent="0.2">
      <c r="N2955" s="131"/>
    </row>
    <row r="2956" spans="14:14" x14ac:dyDescent="0.2">
      <c r="N2956" s="131"/>
    </row>
    <row r="2957" spans="14:14" x14ac:dyDescent="0.2">
      <c r="N2957" s="131"/>
    </row>
    <row r="2958" spans="14:14" x14ac:dyDescent="0.2">
      <c r="N2958" s="131"/>
    </row>
    <row r="2959" spans="14:14" x14ac:dyDescent="0.2">
      <c r="N2959" s="131"/>
    </row>
    <row r="2960" spans="14:14" x14ac:dyDescent="0.2">
      <c r="N2960" s="131"/>
    </row>
    <row r="2961" spans="14:14" x14ac:dyDescent="0.2">
      <c r="N2961" s="131"/>
    </row>
    <row r="2962" spans="14:14" x14ac:dyDescent="0.2">
      <c r="N2962" s="131"/>
    </row>
    <row r="2963" spans="14:14" x14ac:dyDescent="0.2">
      <c r="N2963" s="131"/>
    </row>
    <row r="2964" spans="14:14" x14ac:dyDescent="0.2">
      <c r="N2964" s="131"/>
    </row>
    <row r="2965" spans="14:14" x14ac:dyDescent="0.2">
      <c r="N2965" s="131"/>
    </row>
    <row r="2966" spans="14:14" x14ac:dyDescent="0.2">
      <c r="N2966" s="131"/>
    </row>
    <row r="2967" spans="14:14" x14ac:dyDescent="0.2">
      <c r="N2967" s="131"/>
    </row>
    <row r="2968" spans="14:14" x14ac:dyDescent="0.2">
      <c r="N2968" s="131"/>
    </row>
    <row r="2969" spans="14:14" x14ac:dyDescent="0.2">
      <c r="N2969" s="131"/>
    </row>
    <row r="2970" spans="14:14" x14ac:dyDescent="0.2">
      <c r="N2970" s="131"/>
    </row>
    <row r="2971" spans="14:14" x14ac:dyDescent="0.2">
      <c r="N2971" s="131"/>
    </row>
    <row r="2972" spans="14:14" x14ac:dyDescent="0.2">
      <c r="N2972" s="131"/>
    </row>
    <row r="2973" spans="14:14" x14ac:dyDescent="0.2">
      <c r="N2973" s="131"/>
    </row>
    <row r="2974" spans="14:14" x14ac:dyDescent="0.2">
      <c r="N2974" s="131"/>
    </row>
    <row r="2975" spans="14:14" x14ac:dyDescent="0.2">
      <c r="N2975" s="131"/>
    </row>
    <row r="2976" spans="14:14" x14ac:dyDescent="0.2">
      <c r="N2976" s="131"/>
    </row>
    <row r="2977" spans="14:14" x14ac:dyDescent="0.2">
      <c r="N2977" s="131"/>
    </row>
    <row r="2978" spans="14:14" x14ac:dyDescent="0.2">
      <c r="N2978" s="131"/>
    </row>
    <row r="2979" spans="14:14" x14ac:dyDescent="0.2">
      <c r="N2979" s="131"/>
    </row>
    <row r="2980" spans="14:14" x14ac:dyDescent="0.2">
      <c r="N2980" s="131"/>
    </row>
    <row r="2981" spans="14:14" x14ac:dyDescent="0.2">
      <c r="N2981" s="131"/>
    </row>
    <row r="2982" spans="14:14" x14ac:dyDescent="0.2">
      <c r="N2982" s="131"/>
    </row>
    <row r="2983" spans="14:14" x14ac:dyDescent="0.2">
      <c r="N2983" s="131"/>
    </row>
    <row r="2984" spans="14:14" x14ac:dyDescent="0.2">
      <c r="N2984" s="131"/>
    </row>
    <row r="2985" spans="14:14" x14ac:dyDescent="0.2">
      <c r="N2985" s="131"/>
    </row>
    <row r="2986" spans="14:14" x14ac:dyDescent="0.2">
      <c r="N2986" s="131"/>
    </row>
    <row r="2987" spans="14:14" x14ac:dyDescent="0.2">
      <c r="N2987" s="131"/>
    </row>
    <row r="2988" spans="14:14" x14ac:dyDescent="0.2">
      <c r="N2988" s="131"/>
    </row>
    <row r="2989" spans="14:14" x14ac:dyDescent="0.2">
      <c r="N2989" s="131"/>
    </row>
    <row r="2990" spans="14:14" x14ac:dyDescent="0.2">
      <c r="N2990" s="131"/>
    </row>
    <row r="2991" spans="14:14" x14ac:dyDescent="0.2">
      <c r="N2991" s="131"/>
    </row>
    <row r="2992" spans="14:14" x14ac:dyDescent="0.2">
      <c r="N2992" s="131"/>
    </row>
    <row r="2993" spans="14:14" x14ac:dyDescent="0.2">
      <c r="N2993" s="131"/>
    </row>
    <row r="2994" spans="14:14" x14ac:dyDescent="0.2">
      <c r="N2994" s="131"/>
    </row>
    <row r="2995" spans="14:14" x14ac:dyDescent="0.2">
      <c r="N2995" s="131"/>
    </row>
    <row r="2996" spans="14:14" x14ac:dyDescent="0.2">
      <c r="N2996" s="131"/>
    </row>
    <row r="2997" spans="14:14" x14ac:dyDescent="0.2">
      <c r="N2997" s="131"/>
    </row>
    <row r="2998" spans="14:14" x14ac:dyDescent="0.2">
      <c r="N2998" s="131"/>
    </row>
    <row r="2999" spans="14:14" x14ac:dyDescent="0.2">
      <c r="N2999" s="131"/>
    </row>
    <row r="3000" spans="14:14" x14ac:dyDescent="0.2">
      <c r="N3000" s="131"/>
    </row>
    <row r="3001" spans="14:14" x14ac:dyDescent="0.2">
      <c r="N3001" s="131"/>
    </row>
    <row r="3002" spans="14:14" x14ac:dyDescent="0.2">
      <c r="N3002" s="131"/>
    </row>
    <row r="3003" spans="14:14" x14ac:dyDescent="0.2">
      <c r="N3003" s="131"/>
    </row>
    <row r="3004" spans="14:14" x14ac:dyDescent="0.2">
      <c r="N3004" s="131"/>
    </row>
    <row r="3005" spans="14:14" x14ac:dyDescent="0.2">
      <c r="N3005" s="131"/>
    </row>
    <row r="3006" spans="14:14" x14ac:dyDescent="0.2">
      <c r="N3006" s="131"/>
    </row>
    <row r="3007" spans="14:14" x14ac:dyDescent="0.2">
      <c r="N3007" s="131"/>
    </row>
    <row r="3008" spans="14:14" x14ac:dyDescent="0.2">
      <c r="N3008" s="131"/>
    </row>
    <row r="3009" spans="14:14" x14ac:dyDescent="0.2">
      <c r="N3009" s="131"/>
    </row>
    <row r="3010" spans="14:14" x14ac:dyDescent="0.2">
      <c r="N3010" s="131"/>
    </row>
    <row r="3011" spans="14:14" x14ac:dyDescent="0.2">
      <c r="N3011" s="131"/>
    </row>
    <row r="3012" spans="14:14" x14ac:dyDescent="0.2">
      <c r="N3012" s="131"/>
    </row>
    <row r="3013" spans="14:14" x14ac:dyDescent="0.2">
      <c r="N3013" s="131"/>
    </row>
    <row r="3014" spans="14:14" x14ac:dyDescent="0.2">
      <c r="N3014" s="131"/>
    </row>
    <row r="3015" spans="14:14" x14ac:dyDescent="0.2">
      <c r="N3015" s="131"/>
    </row>
    <row r="3016" spans="14:14" x14ac:dyDescent="0.2">
      <c r="N3016" s="131"/>
    </row>
    <row r="3017" spans="14:14" x14ac:dyDescent="0.2">
      <c r="N3017" s="131"/>
    </row>
    <row r="3018" spans="14:14" x14ac:dyDescent="0.2">
      <c r="N3018" s="131"/>
    </row>
    <row r="3019" spans="14:14" x14ac:dyDescent="0.2">
      <c r="N3019" s="131"/>
    </row>
    <row r="3020" spans="14:14" x14ac:dyDescent="0.2">
      <c r="N3020" s="131"/>
    </row>
    <row r="3021" spans="14:14" x14ac:dyDescent="0.2">
      <c r="N3021" s="131"/>
    </row>
    <row r="3022" spans="14:14" x14ac:dyDescent="0.2">
      <c r="N3022" s="131"/>
    </row>
    <row r="3023" spans="14:14" x14ac:dyDescent="0.2">
      <c r="N3023" s="131"/>
    </row>
    <row r="3024" spans="14:14" x14ac:dyDescent="0.2">
      <c r="N3024" s="131"/>
    </row>
    <row r="3025" spans="14:14" x14ac:dyDescent="0.2">
      <c r="N3025" s="131"/>
    </row>
    <row r="3026" spans="14:14" x14ac:dyDescent="0.2">
      <c r="N3026" s="131"/>
    </row>
    <row r="3027" spans="14:14" x14ac:dyDescent="0.2">
      <c r="N3027" s="131"/>
    </row>
    <row r="3028" spans="14:14" x14ac:dyDescent="0.2">
      <c r="N3028" s="131"/>
    </row>
    <row r="3029" spans="14:14" x14ac:dyDescent="0.2">
      <c r="N3029" s="131"/>
    </row>
    <row r="3030" spans="14:14" x14ac:dyDescent="0.2">
      <c r="N3030" s="131"/>
    </row>
    <row r="3031" spans="14:14" x14ac:dyDescent="0.2">
      <c r="N3031" s="131"/>
    </row>
    <row r="3032" spans="14:14" x14ac:dyDescent="0.2">
      <c r="N3032" s="131"/>
    </row>
    <row r="3033" spans="14:14" x14ac:dyDescent="0.2">
      <c r="N3033" s="131"/>
    </row>
    <row r="3034" spans="14:14" x14ac:dyDescent="0.2">
      <c r="N3034" s="131"/>
    </row>
    <row r="3035" spans="14:14" x14ac:dyDescent="0.2">
      <c r="N3035" s="131"/>
    </row>
    <row r="3036" spans="14:14" x14ac:dyDescent="0.2">
      <c r="N3036" s="131"/>
    </row>
    <row r="3037" spans="14:14" x14ac:dyDescent="0.2">
      <c r="N3037" s="131"/>
    </row>
    <row r="3038" spans="14:14" x14ac:dyDescent="0.2">
      <c r="N3038" s="131"/>
    </row>
    <row r="3039" spans="14:14" x14ac:dyDescent="0.2">
      <c r="N3039" s="131"/>
    </row>
    <row r="3040" spans="14:14" x14ac:dyDescent="0.2">
      <c r="N3040" s="131"/>
    </row>
    <row r="3041" spans="14:14" x14ac:dyDescent="0.2">
      <c r="N3041" s="131"/>
    </row>
    <row r="3042" spans="14:14" x14ac:dyDescent="0.2">
      <c r="N3042" s="131"/>
    </row>
    <row r="3043" spans="14:14" x14ac:dyDescent="0.2">
      <c r="N3043" s="131"/>
    </row>
    <row r="3044" spans="14:14" x14ac:dyDescent="0.2">
      <c r="N3044" s="131"/>
    </row>
    <row r="3045" spans="14:14" x14ac:dyDescent="0.2">
      <c r="N3045" s="131"/>
    </row>
    <row r="3046" spans="14:14" x14ac:dyDescent="0.2">
      <c r="N3046" s="131"/>
    </row>
    <row r="3047" spans="14:14" x14ac:dyDescent="0.2">
      <c r="N3047" s="131"/>
    </row>
    <row r="3048" spans="14:14" x14ac:dyDescent="0.2">
      <c r="N3048" s="131"/>
    </row>
    <row r="3049" spans="14:14" x14ac:dyDescent="0.2">
      <c r="N3049" s="131"/>
    </row>
    <row r="3050" spans="14:14" x14ac:dyDescent="0.2">
      <c r="N3050" s="131"/>
    </row>
    <row r="3051" spans="14:14" x14ac:dyDescent="0.2">
      <c r="N3051" s="131"/>
    </row>
    <row r="3052" spans="14:14" x14ac:dyDescent="0.2">
      <c r="N3052" s="131"/>
    </row>
    <row r="3053" spans="14:14" x14ac:dyDescent="0.2">
      <c r="N3053" s="131"/>
    </row>
    <row r="3054" spans="14:14" x14ac:dyDescent="0.2">
      <c r="N3054" s="131"/>
    </row>
    <row r="3055" spans="14:14" x14ac:dyDescent="0.2">
      <c r="N3055" s="131"/>
    </row>
    <row r="3056" spans="14:14" x14ac:dyDescent="0.2">
      <c r="N3056" s="131"/>
    </row>
    <row r="3057" spans="14:14" x14ac:dyDescent="0.2">
      <c r="N3057" s="131"/>
    </row>
    <row r="3058" spans="14:14" x14ac:dyDescent="0.2">
      <c r="N3058" s="131"/>
    </row>
    <row r="3059" spans="14:14" x14ac:dyDescent="0.2">
      <c r="N3059" s="131"/>
    </row>
    <row r="3060" spans="14:14" x14ac:dyDescent="0.2">
      <c r="N3060" s="131"/>
    </row>
    <row r="3061" spans="14:14" x14ac:dyDescent="0.2">
      <c r="N3061" s="131"/>
    </row>
    <row r="3062" spans="14:14" x14ac:dyDescent="0.2">
      <c r="N3062" s="131"/>
    </row>
    <row r="3063" spans="14:14" x14ac:dyDescent="0.2">
      <c r="N3063" s="131"/>
    </row>
    <row r="3064" spans="14:14" x14ac:dyDescent="0.2">
      <c r="N3064" s="131"/>
    </row>
    <row r="3065" spans="14:14" x14ac:dyDescent="0.2">
      <c r="N3065" s="131"/>
    </row>
    <row r="3066" spans="14:14" x14ac:dyDescent="0.2">
      <c r="N3066" s="131"/>
    </row>
    <row r="3067" spans="14:14" x14ac:dyDescent="0.2">
      <c r="N3067" s="131"/>
    </row>
    <row r="3068" spans="14:14" x14ac:dyDescent="0.2">
      <c r="N3068" s="131"/>
    </row>
    <row r="3069" spans="14:14" x14ac:dyDescent="0.2">
      <c r="N3069" s="131"/>
    </row>
    <row r="3070" spans="14:14" x14ac:dyDescent="0.2">
      <c r="N3070" s="131"/>
    </row>
    <row r="3071" spans="14:14" x14ac:dyDescent="0.2">
      <c r="N3071" s="131"/>
    </row>
    <row r="3072" spans="14:14" x14ac:dyDescent="0.2">
      <c r="N3072" s="131"/>
    </row>
    <row r="3073" spans="14:14" x14ac:dyDescent="0.2">
      <c r="N3073" s="131"/>
    </row>
    <row r="3074" spans="14:14" x14ac:dyDescent="0.2">
      <c r="N3074" s="131"/>
    </row>
    <row r="3075" spans="14:14" x14ac:dyDescent="0.2">
      <c r="N3075" s="131"/>
    </row>
    <row r="3076" spans="14:14" x14ac:dyDescent="0.2">
      <c r="N3076" s="131"/>
    </row>
    <row r="3077" spans="14:14" x14ac:dyDescent="0.2">
      <c r="N3077" s="131"/>
    </row>
    <row r="3078" spans="14:14" x14ac:dyDescent="0.2">
      <c r="N3078" s="131"/>
    </row>
    <row r="3079" spans="14:14" x14ac:dyDescent="0.2">
      <c r="N3079" s="131"/>
    </row>
    <row r="3080" spans="14:14" x14ac:dyDescent="0.2">
      <c r="N3080" s="131"/>
    </row>
    <row r="3081" spans="14:14" x14ac:dyDescent="0.2">
      <c r="N3081" s="131"/>
    </row>
    <row r="3082" spans="14:14" x14ac:dyDescent="0.2">
      <c r="N3082" s="131"/>
    </row>
    <row r="3083" spans="14:14" x14ac:dyDescent="0.2">
      <c r="N3083" s="131"/>
    </row>
    <row r="3084" spans="14:14" x14ac:dyDescent="0.2">
      <c r="N3084" s="131"/>
    </row>
    <row r="3085" spans="14:14" x14ac:dyDescent="0.2">
      <c r="N3085" s="131"/>
    </row>
    <row r="3086" spans="14:14" x14ac:dyDescent="0.2">
      <c r="N3086" s="131"/>
    </row>
    <row r="3087" spans="14:14" x14ac:dyDescent="0.2">
      <c r="N3087" s="131"/>
    </row>
    <row r="3088" spans="14:14" x14ac:dyDescent="0.2">
      <c r="N3088" s="131"/>
    </row>
    <row r="3089" spans="14:14" x14ac:dyDescent="0.2">
      <c r="N3089" s="131"/>
    </row>
    <row r="3090" spans="14:14" x14ac:dyDescent="0.2">
      <c r="N3090" s="131"/>
    </row>
    <row r="3091" spans="14:14" x14ac:dyDescent="0.2">
      <c r="N3091" s="131"/>
    </row>
    <row r="3092" spans="14:14" x14ac:dyDescent="0.2">
      <c r="N3092" s="131"/>
    </row>
    <row r="3093" spans="14:14" x14ac:dyDescent="0.2">
      <c r="N3093" s="131"/>
    </row>
    <row r="3094" spans="14:14" x14ac:dyDescent="0.2">
      <c r="N3094" s="131"/>
    </row>
    <row r="3095" spans="14:14" x14ac:dyDescent="0.2">
      <c r="N3095" s="131"/>
    </row>
    <row r="3096" spans="14:14" x14ac:dyDescent="0.2">
      <c r="N3096" s="131"/>
    </row>
    <row r="3097" spans="14:14" x14ac:dyDescent="0.2">
      <c r="N3097" s="131"/>
    </row>
    <row r="3098" spans="14:14" x14ac:dyDescent="0.2">
      <c r="N3098" s="131"/>
    </row>
    <row r="3099" spans="14:14" x14ac:dyDescent="0.2">
      <c r="N3099" s="131"/>
    </row>
    <row r="3100" spans="14:14" x14ac:dyDescent="0.2">
      <c r="N3100" s="131"/>
    </row>
    <row r="3101" spans="14:14" x14ac:dyDescent="0.2">
      <c r="N3101" s="131"/>
    </row>
    <row r="3102" spans="14:14" x14ac:dyDescent="0.2">
      <c r="N3102" s="131"/>
    </row>
    <row r="3103" spans="14:14" x14ac:dyDescent="0.2">
      <c r="N3103" s="131"/>
    </row>
    <row r="3104" spans="14:14" x14ac:dyDescent="0.2">
      <c r="N3104" s="131"/>
    </row>
    <row r="3105" spans="14:14" x14ac:dyDescent="0.2">
      <c r="N3105" s="131"/>
    </row>
    <row r="3106" spans="14:14" x14ac:dyDescent="0.2">
      <c r="N3106" s="131"/>
    </row>
    <row r="3107" spans="14:14" x14ac:dyDescent="0.2">
      <c r="N3107" s="131"/>
    </row>
    <row r="3108" spans="14:14" x14ac:dyDescent="0.2">
      <c r="N3108" s="131"/>
    </row>
    <row r="3109" spans="14:14" x14ac:dyDescent="0.2">
      <c r="N3109" s="131"/>
    </row>
    <row r="3110" spans="14:14" x14ac:dyDescent="0.2">
      <c r="N3110" s="131"/>
    </row>
    <row r="3111" spans="14:14" x14ac:dyDescent="0.2">
      <c r="N3111" s="131"/>
    </row>
    <row r="3112" spans="14:14" x14ac:dyDescent="0.2">
      <c r="N3112" s="131"/>
    </row>
    <row r="3113" spans="14:14" x14ac:dyDescent="0.2">
      <c r="N3113" s="131"/>
    </row>
    <row r="3114" spans="14:14" x14ac:dyDescent="0.2">
      <c r="N3114" s="131"/>
    </row>
    <row r="3115" spans="14:14" x14ac:dyDescent="0.2">
      <c r="N3115" s="131"/>
    </row>
    <row r="3116" spans="14:14" x14ac:dyDescent="0.2">
      <c r="N3116" s="131"/>
    </row>
    <row r="3117" spans="14:14" x14ac:dyDescent="0.2">
      <c r="N3117" s="131"/>
    </row>
    <row r="3118" spans="14:14" x14ac:dyDescent="0.2">
      <c r="N3118" s="131"/>
    </row>
    <row r="3119" spans="14:14" x14ac:dyDescent="0.2">
      <c r="N3119" s="131"/>
    </row>
    <row r="3120" spans="14:14" x14ac:dyDescent="0.2">
      <c r="N3120" s="131"/>
    </row>
    <row r="3121" spans="14:14" x14ac:dyDescent="0.2">
      <c r="N3121" s="131"/>
    </row>
    <row r="3122" spans="14:14" x14ac:dyDescent="0.2">
      <c r="N3122" s="131"/>
    </row>
    <row r="3123" spans="14:14" x14ac:dyDescent="0.2">
      <c r="N3123" s="131"/>
    </row>
    <row r="3124" spans="14:14" x14ac:dyDescent="0.2">
      <c r="N3124" s="131"/>
    </row>
    <row r="3125" spans="14:14" x14ac:dyDescent="0.2">
      <c r="N3125" s="131"/>
    </row>
    <row r="3126" spans="14:14" x14ac:dyDescent="0.2">
      <c r="N3126" s="131"/>
    </row>
    <row r="3127" spans="14:14" x14ac:dyDescent="0.2">
      <c r="N3127" s="131"/>
    </row>
    <row r="3128" spans="14:14" x14ac:dyDescent="0.2">
      <c r="N3128" s="131"/>
    </row>
    <row r="3129" spans="14:14" x14ac:dyDescent="0.2">
      <c r="N3129" s="131"/>
    </row>
    <row r="3130" spans="14:14" x14ac:dyDescent="0.2">
      <c r="N3130" s="131"/>
    </row>
    <row r="3131" spans="14:14" x14ac:dyDescent="0.2">
      <c r="N3131" s="131"/>
    </row>
    <row r="3132" spans="14:14" x14ac:dyDescent="0.2">
      <c r="N3132" s="131"/>
    </row>
    <row r="3133" spans="14:14" x14ac:dyDescent="0.2">
      <c r="N3133" s="131"/>
    </row>
    <row r="3134" spans="14:14" x14ac:dyDescent="0.2">
      <c r="N3134" s="131"/>
    </row>
    <row r="3135" spans="14:14" x14ac:dyDescent="0.2">
      <c r="N3135" s="131"/>
    </row>
    <row r="3136" spans="14:14" x14ac:dyDescent="0.2">
      <c r="N3136" s="131"/>
    </row>
    <row r="3137" spans="14:14" x14ac:dyDescent="0.2">
      <c r="N3137" s="131"/>
    </row>
    <row r="3138" spans="14:14" x14ac:dyDescent="0.2">
      <c r="N3138" s="131"/>
    </row>
    <row r="3139" spans="14:14" x14ac:dyDescent="0.2">
      <c r="N3139" s="131"/>
    </row>
    <row r="3140" spans="14:14" x14ac:dyDescent="0.2">
      <c r="N3140" s="131"/>
    </row>
    <row r="3141" spans="14:14" x14ac:dyDescent="0.2">
      <c r="N3141" s="131"/>
    </row>
    <row r="3142" spans="14:14" x14ac:dyDescent="0.2">
      <c r="N3142" s="131"/>
    </row>
    <row r="3143" spans="14:14" x14ac:dyDescent="0.2">
      <c r="N3143" s="131"/>
    </row>
    <row r="3144" spans="14:14" x14ac:dyDescent="0.2">
      <c r="N3144" s="131"/>
    </row>
    <row r="3145" spans="14:14" x14ac:dyDescent="0.2">
      <c r="N3145" s="131"/>
    </row>
    <row r="3146" spans="14:14" x14ac:dyDescent="0.2">
      <c r="N3146" s="131"/>
    </row>
    <row r="3147" spans="14:14" x14ac:dyDescent="0.2">
      <c r="N3147" s="131"/>
    </row>
    <row r="3148" spans="14:14" x14ac:dyDescent="0.2">
      <c r="N3148" s="131"/>
    </row>
    <row r="3149" spans="14:14" x14ac:dyDescent="0.2">
      <c r="N3149" s="131"/>
    </row>
    <row r="3150" spans="14:14" x14ac:dyDescent="0.2">
      <c r="N3150" s="131"/>
    </row>
    <row r="3151" spans="14:14" x14ac:dyDescent="0.2">
      <c r="N3151" s="131"/>
    </row>
    <row r="3152" spans="14:14" x14ac:dyDescent="0.2">
      <c r="N3152" s="131"/>
    </row>
    <row r="3153" spans="14:14" x14ac:dyDescent="0.2">
      <c r="N3153" s="131"/>
    </row>
    <row r="3154" spans="14:14" x14ac:dyDescent="0.2">
      <c r="N3154" s="131"/>
    </row>
    <row r="3155" spans="14:14" x14ac:dyDescent="0.2">
      <c r="N3155" s="131"/>
    </row>
    <row r="3156" spans="14:14" x14ac:dyDescent="0.2">
      <c r="N3156" s="131"/>
    </row>
    <row r="3157" spans="14:14" x14ac:dyDescent="0.2">
      <c r="N3157" s="131"/>
    </row>
    <row r="3158" spans="14:14" x14ac:dyDescent="0.2">
      <c r="N3158" s="131"/>
    </row>
    <row r="3159" spans="14:14" x14ac:dyDescent="0.2">
      <c r="N3159" s="131"/>
    </row>
    <row r="3160" spans="14:14" x14ac:dyDescent="0.2">
      <c r="N3160" s="131"/>
    </row>
    <row r="3161" spans="14:14" x14ac:dyDescent="0.2">
      <c r="N3161" s="131"/>
    </row>
    <row r="3162" spans="14:14" x14ac:dyDescent="0.2">
      <c r="N3162" s="131"/>
    </row>
    <row r="3163" spans="14:14" x14ac:dyDescent="0.2">
      <c r="N3163" s="131"/>
    </row>
    <row r="3164" spans="14:14" x14ac:dyDescent="0.2">
      <c r="N3164" s="131"/>
    </row>
    <row r="3165" spans="14:14" x14ac:dyDescent="0.2">
      <c r="N3165" s="131"/>
    </row>
    <row r="3166" spans="14:14" x14ac:dyDescent="0.2">
      <c r="N3166" s="131"/>
    </row>
    <row r="3167" spans="14:14" x14ac:dyDescent="0.2">
      <c r="N3167" s="131"/>
    </row>
    <row r="3168" spans="14:14" x14ac:dyDescent="0.2">
      <c r="N3168" s="131"/>
    </row>
    <row r="3169" spans="14:14" x14ac:dyDescent="0.2">
      <c r="N3169" s="131"/>
    </row>
    <row r="3170" spans="14:14" x14ac:dyDescent="0.2">
      <c r="N3170" s="131"/>
    </row>
    <row r="3171" spans="14:14" x14ac:dyDescent="0.2">
      <c r="N3171" s="131"/>
    </row>
    <row r="3172" spans="14:14" x14ac:dyDescent="0.2">
      <c r="N3172" s="131"/>
    </row>
    <row r="3173" spans="14:14" x14ac:dyDescent="0.2">
      <c r="N3173" s="131"/>
    </row>
    <row r="3174" spans="14:14" x14ac:dyDescent="0.2">
      <c r="N3174" s="131"/>
    </row>
    <row r="3175" spans="14:14" x14ac:dyDescent="0.2">
      <c r="N3175" s="131"/>
    </row>
    <row r="3176" spans="14:14" x14ac:dyDescent="0.2">
      <c r="N3176" s="131"/>
    </row>
    <row r="3177" spans="14:14" x14ac:dyDescent="0.2">
      <c r="N3177" s="131"/>
    </row>
    <row r="3178" spans="14:14" x14ac:dyDescent="0.2">
      <c r="N3178" s="131"/>
    </row>
    <row r="3179" spans="14:14" x14ac:dyDescent="0.2">
      <c r="N3179" s="131"/>
    </row>
    <row r="3180" spans="14:14" x14ac:dyDescent="0.2">
      <c r="N3180" s="131"/>
    </row>
    <row r="3181" spans="14:14" x14ac:dyDescent="0.2">
      <c r="N3181" s="131"/>
    </row>
    <row r="3182" spans="14:14" x14ac:dyDescent="0.2">
      <c r="N3182" s="131"/>
    </row>
    <row r="3183" spans="14:14" x14ac:dyDescent="0.2">
      <c r="N3183" s="131"/>
    </row>
    <row r="3184" spans="14:14" x14ac:dyDescent="0.2">
      <c r="N3184" s="131"/>
    </row>
    <row r="3185" spans="14:14" x14ac:dyDescent="0.2">
      <c r="N3185" s="131"/>
    </row>
    <row r="3186" spans="14:14" x14ac:dyDescent="0.2">
      <c r="N3186" s="131"/>
    </row>
    <row r="3187" spans="14:14" x14ac:dyDescent="0.2">
      <c r="N3187" s="131"/>
    </row>
    <row r="3188" spans="14:14" x14ac:dyDescent="0.2">
      <c r="N3188" s="131"/>
    </row>
    <row r="3189" spans="14:14" x14ac:dyDescent="0.2">
      <c r="N3189" s="131"/>
    </row>
    <row r="3190" spans="14:14" x14ac:dyDescent="0.2">
      <c r="N3190" s="131"/>
    </row>
    <row r="3191" spans="14:14" x14ac:dyDescent="0.2">
      <c r="N3191" s="131"/>
    </row>
    <row r="3192" spans="14:14" x14ac:dyDescent="0.2">
      <c r="N3192" s="131"/>
    </row>
    <row r="3193" spans="14:14" x14ac:dyDescent="0.2">
      <c r="N3193" s="131"/>
    </row>
    <row r="3194" spans="14:14" x14ac:dyDescent="0.2">
      <c r="N3194" s="131"/>
    </row>
    <row r="3195" spans="14:14" x14ac:dyDescent="0.2">
      <c r="N3195" s="131"/>
    </row>
    <row r="3196" spans="14:14" x14ac:dyDescent="0.2">
      <c r="N3196" s="131"/>
    </row>
    <row r="3197" spans="14:14" x14ac:dyDescent="0.2">
      <c r="N3197" s="131"/>
    </row>
    <row r="3198" spans="14:14" x14ac:dyDescent="0.2">
      <c r="N3198" s="131"/>
    </row>
    <row r="3199" spans="14:14" x14ac:dyDescent="0.2">
      <c r="N3199" s="131"/>
    </row>
    <row r="3200" spans="14:14" x14ac:dyDescent="0.2">
      <c r="N3200" s="131"/>
    </row>
    <row r="3201" spans="14:14" x14ac:dyDescent="0.2">
      <c r="N3201" s="131"/>
    </row>
    <row r="3202" spans="14:14" x14ac:dyDescent="0.2">
      <c r="N3202" s="131"/>
    </row>
    <row r="3203" spans="14:14" x14ac:dyDescent="0.2">
      <c r="N3203" s="131"/>
    </row>
    <row r="3204" spans="14:14" x14ac:dyDescent="0.2">
      <c r="N3204" s="131"/>
    </row>
    <row r="3205" spans="14:14" x14ac:dyDescent="0.2">
      <c r="N3205" s="131"/>
    </row>
    <row r="3206" spans="14:14" x14ac:dyDescent="0.2">
      <c r="N3206" s="131"/>
    </row>
    <row r="3207" spans="14:14" x14ac:dyDescent="0.2">
      <c r="N3207" s="131"/>
    </row>
    <row r="3208" spans="14:14" x14ac:dyDescent="0.2">
      <c r="N3208" s="131"/>
    </row>
    <row r="3209" spans="14:14" x14ac:dyDescent="0.2">
      <c r="N3209" s="131"/>
    </row>
    <row r="3210" spans="14:14" x14ac:dyDescent="0.2">
      <c r="N3210" s="131"/>
    </row>
    <row r="3211" spans="14:14" x14ac:dyDescent="0.2">
      <c r="N3211" s="131"/>
    </row>
    <row r="3212" spans="14:14" x14ac:dyDescent="0.2">
      <c r="N3212" s="131"/>
    </row>
    <row r="3213" spans="14:14" x14ac:dyDescent="0.2">
      <c r="N3213" s="131"/>
    </row>
    <row r="3214" spans="14:14" x14ac:dyDescent="0.2">
      <c r="N3214" s="131"/>
    </row>
    <row r="3215" spans="14:14" x14ac:dyDescent="0.2">
      <c r="N3215" s="131"/>
    </row>
    <row r="3216" spans="14:14" x14ac:dyDescent="0.2">
      <c r="N3216" s="131"/>
    </row>
    <row r="3217" spans="14:14" x14ac:dyDescent="0.2">
      <c r="N3217" s="131"/>
    </row>
    <row r="3218" spans="14:14" x14ac:dyDescent="0.2">
      <c r="N3218" s="131"/>
    </row>
    <row r="3219" spans="14:14" x14ac:dyDescent="0.2">
      <c r="N3219" s="131"/>
    </row>
    <row r="3220" spans="14:14" x14ac:dyDescent="0.2">
      <c r="N3220" s="131"/>
    </row>
    <row r="3221" spans="14:14" x14ac:dyDescent="0.2">
      <c r="N3221" s="131"/>
    </row>
    <row r="3222" spans="14:14" x14ac:dyDescent="0.2">
      <c r="N3222" s="131"/>
    </row>
    <row r="3223" spans="14:14" x14ac:dyDescent="0.2">
      <c r="N3223" s="131"/>
    </row>
    <row r="3224" spans="14:14" x14ac:dyDescent="0.2">
      <c r="N3224" s="131"/>
    </row>
    <row r="3225" spans="14:14" x14ac:dyDescent="0.2">
      <c r="N3225" s="131"/>
    </row>
    <row r="3226" spans="14:14" x14ac:dyDescent="0.2">
      <c r="N3226" s="131"/>
    </row>
    <row r="3227" spans="14:14" x14ac:dyDescent="0.2">
      <c r="N3227" s="131"/>
    </row>
    <row r="3228" spans="14:14" x14ac:dyDescent="0.2">
      <c r="N3228" s="131"/>
    </row>
    <row r="3229" spans="14:14" x14ac:dyDescent="0.2">
      <c r="N3229" s="131"/>
    </row>
    <row r="3230" spans="14:14" x14ac:dyDescent="0.2">
      <c r="N3230" s="131"/>
    </row>
    <row r="3231" spans="14:14" x14ac:dyDescent="0.2">
      <c r="N3231" s="131"/>
    </row>
    <row r="3232" spans="14:14" x14ac:dyDescent="0.2">
      <c r="N3232" s="131"/>
    </row>
    <row r="3233" spans="14:14" x14ac:dyDescent="0.2">
      <c r="N3233" s="131"/>
    </row>
    <row r="3234" spans="14:14" x14ac:dyDescent="0.2">
      <c r="N3234" s="131"/>
    </row>
    <row r="3235" spans="14:14" x14ac:dyDescent="0.2">
      <c r="N3235" s="131"/>
    </row>
    <row r="3236" spans="14:14" x14ac:dyDescent="0.2">
      <c r="N3236" s="131"/>
    </row>
    <row r="3237" spans="14:14" x14ac:dyDescent="0.2">
      <c r="N3237" s="131"/>
    </row>
    <row r="3238" spans="14:14" x14ac:dyDescent="0.2">
      <c r="N3238" s="131"/>
    </row>
    <row r="3239" spans="14:14" x14ac:dyDescent="0.2">
      <c r="N3239" s="131"/>
    </row>
    <row r="3240" spans="14:14" x14ac:dyDescent="0.2">
      <c r="N3240" s="131"/>
    </row>
    <row r="3241" spans="14:14" x14ac:dyDescent="0.2">
      <c r="N3241" s="131"/>
    </row>
    <row r="3242" spans="14:14" x14ac:dyDescent="0.2">
      <c r="N3242" s="131"/>
    </row>
    <row r="3243" spans="14:14" x14ac:dyDescent="0.2">
      <c r="N3243" s="131"/>
    </row>
    <row r="3244" spans="14:14" x14ac:dyDescent="0.2">
      <c r="N3244" s="131"/>
    </row>
    <row r="3245" spans="14:14" x14ac:dyDescent="0.2">
      <c r="N3245" s="131"/>
    </row>
    <row r="3246" spans="14:14" x14ac:dyDescent="0.2">
      <c r="N3246" s="131"/>
    </row>
    <row r="3247" spans="14:14" x14ac:dyDescent="0.2">
      <c r="N3247" s="131"/>
    </row>
    <row r="3248" spans="14:14" x14ac:dyDescent="0.2">
      <c r="N3248" s="131"/>
    </row>
    <row r="3249" spans="14:14" x14ac:dyDescent="0.2">
      <c r="N3249" s="131"/>
    </row>
    <row r="3250" spans="14:14" x14ac:dyDescent="0.2">
      <c r="N3250" s="131"/>
    </row>
    <row r="3251" spans="14:14" x14ac:dyDescent="0.2">
      <c r="N3251" s="131"/>
    </row>
    <row r="3252" spans="14:14" x14ac:dyDescent="0.2">
      <c r="N3252" s="131"/>
    </row>
    <row r="3253" spans="14:14" x14ac:dyDescent="0.2">
      <c r="N3253" s="131"/>
    </row>
    <row r="3254" spans="14:14" x14ac:dyDescent="0.2">
      <c r="N3254" s="131"/>
    </row>
    <row r="3255" spans="14:14" x14ac:dyDescent="0.2">
      <c r="N3255" s="131"/>
    </row>
    <row r="3256" spans="14:14" x14ac:dyDescent="0.2">
      <c r="N3256" s="131"/>
    </row>
    <row r="3257" spans="14:14" x14ac:dyDescent="0.2">
      <c r="N3257" s="131"/>
    </row>
    <row r="3258" spans="14:14" x14ac:dyDescent="0.2">
      <c r="N3258" s="131"/>
    </row>
    <row r="3259" spans="14:14" x14ac:dyDescent="0.2">
      <c r="N3259" s="131"/>
    </row>
    <row r="3260" spans="14:14" x14ac:dyDescent="0.2">
      <c r="N3260" s="131"/>
    </row>
    <row r="3261" spans="14:14" x14ac:dyDescent="0.2">
      <c r="N3261" s="131"/>
    </row>
    <row r="3262" spans="14:14" x14ac:dyDescent="0.2">
      <c r="N3262" s="131"/>
    </row>
    <row r="3263" spans="14:14" x14ac:dyDescent="0.2">
      <c r="N3263" s="131"/>
    </row>
    <row r="3264" spans="14:14" x14ac:dyDescent="0.2">
      <c r="N3264" s="131"/>
    </row>
    <row r="3265" spans="14:14" x14ac:dyDescent="0.2">
      <c r="N3265" s="131"/>
    </row>
    <row r="3266" spans="14:14" x14ac:dyDescent="0.2">
      <c r="N3266" s="131"/>
    </row>
    <row r="3267" spans="14:14" x14ac:dyDescent="0.2">
      <c r="N3267" s="131"/>
    </row>
    <row r="3268" spans="14:14" x14ac:dyDescent="0.2">
      <c r="N3268" s="131"/>
    </row>
    <row r="3269" spans="14:14" x14ac:dyDescent="0.2">
      <c r="N3269" s="131"/>
    </row>
    <row r="3270" spans="14:14" x14ac:dyDescent="0.2">
      <c r="N3270" s="131"/>
    </row>
    <row r="3271" spans="14:14" x14ac:dyDescent="0.2">
      <c r="N3271" s="131"/>
    </row>
    <row r="3272" spans="14:14" x14ac:dyDescent="0.2">
      <c r="N3272" s="131"/>
    </row>
    <row r="3273" spans="14:14" x14ac:dyDescent="0.2">
      <c r="N3273" s="131"/>
    </row>
    <row r="3274" spans="14:14" x14ac:dyDescent="0.2">
      <c r="N3274" s="131"/>
    </row>
    <row r="3275" spans="14:14" x14ac:dyDescent="0.2">
      <c r="N3275" s="131"/>
    </row>
    <row r="3276" spans="14:14" x14ac:dyDescent="0.2">
      <c r="N3276" s="131"/>
    </row>
    <row r="3277" spans="14:14" x14ac:dyDescent="0.2">
      <c r="N3277" s="131"/>
    </row>
    <row r="3278" spans="14:14" x14ac:dyDescent="0.2">
      <c r="N3278" s="131"/>
    </row>
    <row r="3279" spans="14:14" x14ac:dyDescent="0.2">
      <c r="N3279" s="131"/>
    </row>
    <row r="3280" spans="14:14" x14ac:dyDescent="0.2">
      <c r="N3280" s="131"/>
    </row>
    <row r="3281" spans="14:14" x14ac:dyDescent="0.2">
      <c r="N3281" s="131"/>
    </row>
    <row r="3282" spans="14:14" x14ac:dyDescent="0.2">
      <c r="N3282" s="131"/>
    </row>
    <row r="3283" spans="14:14" x14ac:dyDescent="0.2">
      <c r="N3283" s="131"/>
    </row>
    <row r="3284" spans="14:14" x14ac:dyDescent="0.2">
      <c r="N3284" s="131"/>
    </row>
    <row r="3285" spans="14:14" x14ac:dyDescent="0.2">
      <c r="N3285" s="131"/>
    </row>
    <row r="3286" spans="14:14" x14ac:dyDescent="0.2">
      <c r="N3286" s="131"/>
    </row>
    <row r="3287" spans="14:14" x14ac:dyDescent="0.2">
      <c r="N3287" s="131"/>
    </row>
    <row r="3288" spans="14:14" x14ac:dyDescent="0.2">
      <c r="N3288" s="131"/>
    </row>
    <row r="3289" spans="14:14" x14ac:dyDescent="0.2">
      <c r="N3289" s="131"/>
    </row>
    <row r="3290" spans="14:14" x14ac:dyDescent="0.2">
      <c r="N3290" s="131"/>
    </row>
    <row r="3291" spans="14:14" x14ac:dyDescent="0.2">
      <c r="N3291" s="131"/>
    </row>
    <row r="3292" spans="14:14" x14ac:dyDescent="0.2">
      <c r="N3292" s="131"/>
    </row>
    <row r="3293" spans="14:14" x14ac:dyDescent="0.2">
      <c r="N3293" s="131"/>
    </row>
    <row r="3294" spans="14:14" x14ac:dyDescent="0.2">
      <c r="N3294" s="131"/>
    </row>
    <row r="3295" spans="14:14" x14ac:dyDescent="0.2">
      <c r="N3295" s="131"/>
    </row>
    <row r="3296" spans="14:14" x14ac:dyDescent="0.2">
      <c r="N3296" s="131"/>
    </row>
    <row r="3297" spans="14:14" x14ac:dyDescent="0.2">
      <c r="N3297" s="131"/>
    </row>
    <row r="3298" spans="14:14" x14ac:dyDescent="0.2">
      <c r="N3298" s="131"/>
    </row>
    <row r="3299" spans="14:14" x14ac:dyDescent="0.2">
      <c r="N3299" s="131"/>
    </row>
    <row r="3300" spans="14:14" x14ac:dyDescent="0.2">
      <c r="N3300" s="131"/>
    </row>
    <row r="3301" spans="14:14" x14ac:dyDescent="0.2">
      <c r="N3301" s="131"/>
    </row>
    <row r="3302" spans="14:14" x14ac:dyDescent="0.2">
      <c r="N3302" s="131"/>
    </row>
    <row r="3303" spans="14:14" x14ac:dyDescent="0.2">
      <c r="N3303" s="131"/>
    </row>
    <row r="3304" spans="14:14" x14ac:dyDescent="0.2">
      <c r="N3304" s="131"/>
    </row>
    <row r="3305" spans="14:14" x14ac:dyDescent="0.2">
      <c r="N3305" s="131"/>
    </row>
    <row r="3306" spans="14:14" x14ac:dyDescent="0.2">
      <c r="N3306" s="131"/>
    </row>
    <row r="3307" spans="14:14" x14ac:dyDescent="0.2">
      <c r="N3307" s="131"/>
    </row>
    <row r="3308" spans="14:14" x14ac:dyDescent="0.2">
      <c r="N3308" s="131"/>
    </row>
    <row r="3309" spans="14:14" x14ac:dyDescent="0.2">
      <c r="N3309" s="131"/>
    </row>
    <row r="3310" spans="14:14" x14ac:dyDescent="0.2">
      <c r="N3310" s="131"/>
    </row>
    <row r="3311" spans="14:14" x14ac:dyDescent="0.2">
      <c r="N3311" s="131"/>
    </row>
    <row r="3312" spans="14:14" x14ac:dyDescent="0.2">
      <c r="N3312" s="131"/>
    </row>
    <row r="3313" spans="14:14" x14ac:dyDescent="0.2">
      <c r="N3313" s="131"/>
    </row>
    <row r="3314" spans="14:14" x14ac:dyDescent="0.2">
      <c r="N3314" s="131"/>
    </row>
    <row r="3315" spans="14:14" x14ac:dyDescent="0.2">
      <c r="N3315" s="131"/>
    </row>
    <row r="3316" spans="14:14" x14ac:dyDescent="0.2">
      <c r="N3316" s="131"/>
    </row>
    <row r="3317" spans="14:14" x14ac:dyDescent="0.2">
      <c r="N3317" s="131"/>
    </row>
    <row r="3318" spans="14:14" x14ac:dyDescent="0.2">
      <c r="N3318" s="131"/>
    </row>
    <row r="3319" spans="14:14" x14ac:dyDescent="0.2">
      <c r="N3319" s="131"/>
    </row>
    <row r="3320" spans="14:14" x14ac:dyDescent="0.2">
      <c r="N3320" s="131"/>
    </row>
    <row r="3321" spans="14:14" x14ac:dyDescent="0.2">
      <c r="N3321" s="131"/>
    </row>
    <row r="3322" spans="14:14" x14ac:dyDescent="0.2">
      <c r="N3322" s="131"/>
    </row>
    <row r="3323" spans="14:14" x14ac:dyDescent="0.2">
      <c r="N3323" s="131"/>
    </row>
    <row r="3324" spans="14:14" x14ac:dyDescent="0.2">
      <c r="N3324" s="131"/>
    </row>
    <row r="3325" spans="14:14" x14ac:dyDescent="0.2">
      <c r="N3325" s="131"/>
    </row>
    <row r="3326" spans="14:14" x14ac:dyDescent="0.2">
      <c r="N3326" s="131"/>
    </row>
    <row r="3327" spans="14:14" x14ac:dyDescent="0.2">
      <c r="N3327" s="131"/>
    </row>
    <row r="3328" spans="14:14" x14ac:dyDescent="0.2">
      <c r="N3328" s="131"/>
    </row>
    <row r="3329" spans="14:14" x14ac:dyDescent="0.2">
      <c r="N3329" s="131"/>
    </row>
    <row r="3330" spans="14:14" x14ac:dyDescent="0.2">
      <c r="N3330" s="131"/>
    </row>
    <row r="3331" spans="14:14" x14ac:dyDescent="0.2">
      <c r="N3331" s="131"/>
    </row>
    <row r="3332" spans="14:14" x14ac:dyDescent="0.2">
      <c r="N3332" s="131"/>
    </row>
    <row r="3333" spans="14:14" x14ac:dyDescent="0.2">
      <c r="N3333" s="131"/>
    </row>
    <row r="3334" spans="14:14" x14ac:dyDescent="0.2">
      <c r="N3334" s="131"/>
    </row>
    <row r="3335" spans="14:14" x14ac:dyDescent="0.2">
      <c r="N3335" s="131"/>
    </row>
    <row r="3336" spans="14:14" x14ac:dyDescent="0.2">
      <c r="N3336" s="131"/>
    </row>
    <row r="3337" spans="14:14" x14ac:dyDescent="0.2">
      <c r="N3337" s="131"/>
    </row>
    <row r="3338" spans="14:14" x14ac:dyDescent="0.2">
      <c r="N3338" s="131"/>
    </row>
    <row r="3339" spans="14:14" x14ac:dyDescent="0.2">
      <c r="N3339" s="131"/>
    </row>
    <row r="3340" spans="14:14" x14ac:dyDescent="0.2">
      <c r="N3340" s="131"/>
    </row>
    <row r="3341" spans="14:14" x14ac:dyDescent="0.2">
      <c r="N3341" s="131"/>
    </row>
    <row r="3342" spans="14:14" x14ac:dyDescent="0.2">
      <c r="N3342" s="131"/>
    </row>
    <row r="3343" spans="14:14" x14ac:dyDescent="0.2">
      <c r="N3343" s="131"/>
    </row>
    <row r="3344" spans="14:14" x14ac:dyDescent="0.2">
      <c r="N3344" s="131"/>
    </row>
    <row r="3345" spans="14:14" x14ac:dyDescent="0.2">
      <c r="N3345" s="131"/>
    </row>
    <row r="3346" spans="14:14" x14ac:dyDescent="0.2">
      <c r="N3346" s="131"/>
    </row>
    <row r="3347" spans="14:14" x14ac:dyDescent="0.2">
      <c r="N3347" s="131"/>
    </row>
    <row r="3348" spans="14:14" x14ac:dyDescent="0.2">
      <c r="N3348" s="131"/>
    </row>
    <row r="3349" spans="14:14" x14ac:dyDescent="0.2">
      <c r="N3349" s="131"/>
    </row>
    <row r="3350" spans="14:14" x14ac:dyDescent="0.2">
      <c r="N3350" s="131"/>
    </row>
    <row r="3351" spans="14:14" x14ac:dyDescent="0.2">
      <c r="N3351" s="131"/>
    </row>
    <row r="3352" spans="14:14" x14ac:dyDescent="0.2">
      <c r="N3352" s="131"/>
    </row>
    <row r="3353" spans="14:14" x14ac:dyDescent="0.2">
      <c r="N3353" s="131"/>
    </row>
    <row r="3354" spans="14:14" x14ac:dyDescent="0.2">
      <c r="N3354" s="131"/>
    </row>
    <row r="3355" spans="14:14" x14ac:dyDescent="0.2">
      <c r="N3355" s="131"/>
    </row>
    <row r="3356" spans="14:14" x14ac:dyDescent="0.2">
      <c r="N3356" s="131"/>
    </row>
    <row r="3357" spans="14:14" x14ac:dyDescent="0.2">
      <c r="N3357" s="131"/>
    </row>
    <row r="3358" spans="14:14" x14ac:dyDescent="0.2">
      <c r="N3358" s="131"/>
    </row>
    <row r="3359" spans="14:14" x14ac:dyDescent="0.2">
      <c r="N3359" s="131"/>
    </row>
    <row r="3360" spans="14:14" x14ac:dyDescent="0.2">
      <c r="N3360" s="131"/>
    </row>
    <row r="3361" spans="14:14" x14ac:dyDescent="0.2">
      <c r="N3361" s="131"/>
    </row>
    <row r="3362" spans="14:14" x14ac:dyDescent="0.2">
      <c r="N3362" s="131"/>
    </row>
    <row r="3363" spans="14:14" x14ac:dyDescent="0.2">
      <c r="N3363" s="131"/>
    </row>
    <row r="3364" spans="14:14" x14ac:dyDescent="0.2">
      <c r="N3364" s="131"/>
    </row>
    <row r="3365" spans="14:14" x14ac:dyDescent="0.2">
      <c r="N3365" s="131"/>
    </row>
    <row r="3366" spans="14:14" x14ac:dyDescent="0.2">
      <c r="N3366" s="131"/>
    </row>
    <row r="3367" spans="14:14" x14ac:dyDescent="0.2">
      <c r="N3367" s="131"/>
    </row>
    <row r="3368" spans="14:14" x14ac:dyDescent="0.2">
      <c r="N3368" s="131"/>
    </row>
    <row r="3369" spans="14:14" x14ac:dyDescent="0.2">
      <c r="N3369" s="131"/>
    </row>
    <row r="3370" spans="14:14" x14ac:dyDescent="0.2">
      <c r="N3370" s="131"/>
    </row>
    <row r="3371" spans="14:14" x14ac:dyDescent="0.2">
      <c r="N3371" s="131"/>
    </row>
    <row r="3372" spans="14:14" x14ac:dyDescent="0.2">
      <c r="N3372" s="131"/>
    </row>
    <row r="3373" spans="14:14" x14ac:dyDescent="0.2">
      <c r="N3373" s="131"/>
    </row>
    <row r="3374" spans="14:14" x14ac:dyDescent="0.2">
      <c r="N3374" s="131"/>
    </row>
    <row r="3375" spans="14:14" x14ac:dyDescent="0.2">
      <c r="N3375" s="131"/>
    </row>
    <row r="3376" spans="14:14" x14ac:dyDescent="0.2">
      <c r="N3376" s="131"/>
    </row>
    <row r="3377" spans="14:14" x14ac:dyDescent="0.2">
      <c r="N3377" s="131"/>
    </row>
    <row r="3378" spans="14:14" x14ac:dyDescent="0.2">
      <c r="N3378" s="131"/>
    </row>
    <row r="3379" spans="14:14" x14ac:dyDescent="0.2">
      <c r="N3379" s="131"/>
    </row>
    <row r="3380" spans="14:14" x14ac:dyDescent="0.2">
      <c r="N3380" s="131"/>
    </row>
    <row r="3381" spans="14:14" x14ac:dyDescent="0.2">
      <c r="N3381" s="131"/>
    </row>
    <row r="3382" spans="14:14" x14ac:dyDescent="0.2">
      <c r="N3382" s="131"/>
    </row>
    <row r="3383" spans="14:14" x14ac:dyDescent="0.2">
      <c r="N3383" s="131"/>
    </row>
    <row r="3384" spans="14:14" x14ac:dyDescent="0.2">
      <c r="N3384" s="131"/>
    </row>
    <row r="3385" spans="14:14" x14ac:dyDescent="0.2">
      <c r="N3385" s="131"/>
    </row>
    <row r="3386" spans="14:14" x14ac:dyDescent="0.2">
      <c r="N3386" s="131"/>
    </row>
    <row r="3387" spans="14:14" x14ac:dyDescent="0.2">
      <c r="N3387" s="131"/>
    </row>
    <row r="3388" spans="14:14" x14ac:dyDescent="0.2">
      <c r="N3388" s="131"/>
    </row>
    <row r="3389" spans="14:14" x14ac:dyDescent="0.2">
      <c r="N3389" s="131"/>
    </row>
    <row r="3390" spans="14:14" x14ac:dyDescent="0.2">
      <c r="N3390" s="131"/>
    </row>
    <row r="3391" spans="14:14" x14ac:dyDescent="0.2">
      <c r="N3391" s="131"/>
    </row>
    <row r="3392" spans="14:14" x14ac:dyDescent="0.2">
      <c r="N3392" s="131"/>
    </row>
    <row r="3393" spans="14:14" x14ac:dyDescent="0.2">
      <c r="N3393" s="131"/>
    </row>
    <row r="3394" spans="14:14" x14ac:dyDescent="0.2">
      <c r="N3394" s="131"/>
    </row>
    <row r="3395" spans="14:14" x14ac:dyDescent="0.2">
      <c r="N3395" s="131"/>
    </row>
    <row r="3396" spans="14:14" x14ac:dyDescent="0.2">
      <c r="N3396" s="131"/>
    </row>
    <row r="3397" spans="14:14" x14ac:dyDescent="0.2">
      <c r="N3397" s="131"/>
    </row>
    <row r="3398" spans="14:14" x14ac:dyDescent="0.2">
      <c r="N3398" s="131"/>
    </row>
    <row r="3399" spans="14:14" x14ac:dyDescent="0.2">
      <c r="N3399" s="131"/>
    </row>
    <row r="3400" spans="14:14" x14ac:dyDescent="0.2">
      <c r="N3400" s="131"/>
    </row>
    <row r="3401" spans="14:14" x14ac:dyDescent="0.2">
      <c r="N3401" s="131"/>
    </row>
    <row r="3402" spans="14:14" x14ac:dyDescent="0.2">
      <c r="N3402" s="131"/>
    </row>
    <row r="3403" spans="14:14" x14ac:dyDescent="0.2">
      <c r="N3403" s="131"/>
    </row>
    <row r="3404" spans="14:14" x14ac:dyDescent="0.2">
      <c r="N3404" s="131"/>
    </row>
    <row r="3405" spans="14:14" x14ac:dyDescent="0.2">
      <c r="N3405" s="131"/>
    </row>
    <row r="3406" spans="14:14" x14ac:dyDescent="0.2">
      <c r="N3406" s="131"/>
    </row>
    <row r="3407" spans="14:14" x14ac:dyDescent="0.2">
      <c r="N3407" s="131"/>
    </row>
    <row r="3408" spans="14:14" x14ac:dyDescent="0.2">
      <c r="N3408" s="131"/>
    </row>
    <row r="3409" spans="14:14" x14ac:dyDescent="0.2">
      <c r="N3409" s="131"/>
    </row>
    <row r="3410" spans="14:14" x14ac:dyDescent="0.2">
      <c r="N3410" s="131"/>
    </row>
    <row r="3411" spans="14:14" x14ac:dyDescent="0.2">
      <c r="N3411" s="131"/>
    </row>
    <row r="3412" spans="14:14" x14ac:dyDescent="0.2">
      <c r="N3412" s="131"/>
    </row>
    <row r="3413" spans="14:14" x14ac:dyDescent="0.2">
      <c r="N3413" s="131"/>
    </row>
    <row r="3414" spans="14:14" x14ac:dyDescent="0.2">
      <c r="N3414" s="131"/>
    </row>
    <row r="3415" spans="14:14" x14ac:dyDescent="0.2">
      <c r="N3415" s="131"/>
    </row>
    <row r="3416" spans="14:14" x14ac:dyDescent="0.2">
      <c r="N3416" s="131"/>
    </row>
    <row r="3417" spans="14:14" x14ac:dyDescent="0.2">
      <c r="N3417" s="131"/>
    </row>
    <row r="3418" spans="14:14" x14ac:dyDescent="0.2">
      <c r="N3418" s="131"/>
    </row>
    <row r="3419" spans="14:14" x14ac:dyDescent="0.2">
      <c r="N3419" s="131"/>
    </row>
    <row r="3420" spans="14:14" x14ac:dyDescent="0.2">
      <c r="N3420" s="131"/>
    </row>
    <row r="3421" spans="14:14" x14ac:dyDescent="0.2">
      <c r="N3421" s="131"/>
    </row>
    <row r="3422" spans="14:14" x14ac:dyDescent="0.2">
      <c r="N3422" s="131"/>
    </row>
    <row r="3423" spans="14:14" x14ac:dyDescent="0.2">
      <c r="N3423" s="131"/>
    </row>
    <row r="3424" spans="14:14" x14ac:dyDescent="0.2">
      <c r="N3424" s="131"/>
    </row>
    <row r="3425" spans="14:14" x14ac:dyDescent="0.2">
      <c r="N3425" s="131"/>
    </row>
    <row r="3426" spans="14:14" x14ac:dyDescent="0.2">
      <c r="N3426" s="131"/>
    </row>
    <row r="3427" spans="14:14" x14ac:dyDescent="0.2">
      <c r="N3427" s="131"/>
    </row>
    <row r="3428" spans="14:14" x14ac:dyDescent="0.2">
      <c r="N3428" s="131"/>
    </row>
    <row r="3429" spans="14:14" x14ac:dyDescent="0.2">
      <c r="N3429" s="131"/>
    </row>
    <row r="3430" spans="14:14" x14ac:dyDescent="0.2">
      <c r="N3430" s="131"/>
    </row>
    <row r="3431" spans="14:14" x14ac:dyDescent="0.2">
      <c r="N3431" s="131"/>
    </row>
    <row r="3432" spans="14:14" x14ac:dyDescent="0.2">
      <c r="N3432" s="131"/>
    </row>
    <row r="3433" spans="14:14" x14ac:dyDescent="0.2">
      <c r="N3433" s="131"/>
    </row>
    <row r="3434" spans="14:14" x14ac:dyDescent="0.2">
      <c r="N3434" s="131"/>
    </row>
    <row r="3435" spans="14:14" x14ac:dyDescent="0.2">
      <c r="N3435" s="131"/>
    </row>
    <row r="3436" spans="14:14" x14ac:dyDescent="0.2">
      <c r="N3436" s="131"/>
    </row>
    <row r="3437" spans="14:14" x14ac:dyDescent="0.2">
      <c r="N3437" s="131"/>
    </row>
    <row r="3438" spans="14:14" x14ac:dyDescent="0.2">
      <c r="N3438" s="131"/>
    </row>
    <row r="3439" spans="14:14" x14ac:dyDescent="0.2">
      <c r="N3439" s="131"/>
    </row>
    <row r="3440" spans="14:14" x14ac:dyDescent="0.2">
      <c r="N3440" s="131"/>
    </row>
    <row r="3441" spans="14:14" x14ac:dyDescent="0.2">
      <c r="N3441" s="131"/>
    </row>
    <row r="3442" spans="14:14" x14ac:dyDescent="0.2">
      <c r="N3442" s="131"/>
    </row>
    <row r="3443" spans="14:14" x14ac:dyDescent="0.2">
      <c r="N3443" s="131"/>
    </row>
    <row r="3444" spans="14:14" x14ac:dyDescent="0.2">
      <c r="N3444" s="131"/>
    </row>
    <row r="3445" spans="14:14" x14ac:dyDescent="0.2">
      <c r="N3445" s="131"/>
    </row>
    <row r="3446" spans="14:14" x14ac:dyDescent="0.2">
      <c r="N3446" s="131"/>
    </row>
    <row r="3447" spans="14:14" x14ac:dyDescent="0.2">
      <c r="N3447" s="131"/>
    </row>
    <row r="3448" spans="14:14" x14ac:dyDescent="0.2">
      <c r="N3448" s="131"/>
    </row>
    <row r="3449" spans="14:14" x14ac:dyDescent="0.2">
      <c r="N3449" s="131"/>
    </row>
    <row r="3450" spans="14:14" x14ac:dyDescent="0.2">
      <c r="N3450" s="131"/>
    </row>
    <row r="3451" spans="14:14" x14ac:dyDescent="0.2">
      <c r="N3451" s="131"/>
    </row>
    <row r="3452" spans="14:14" x14ac:dyDescent="0.2">
      <c r="N3452" s="131"/>
    </row>
    <row r="3453" spans="14:14" x14ac:dyDescent="0.2">
      <c r="N3453" s="131"/>
    </row>
    <row r="3454" spans="14:14" x14ac:dyDescent="0.2">
      <c r="N3454" s="131"/>
    </row>
    <row r="3455" spans="14:14" x14ac:dyDescent="0.2">
      <c r="N3455" s="131"/>
    </row>
    <row r="3456" spans="14:14" x14ac:dyDescent="0.2">
      <c r="N3456" s="131"/>
    </row>
    <row r="3457" spans="14:14" x14ac:dyDescent="0.2">
      <c r="N3457" s="131"/>
    </row>
    <row r="3458" spans="14:14" x14ac:dyDescent="0.2">
      <c r="N3458" s="131"/>
    </row>
    <row r="3459" spans="14:14" x14ac:dyDescent="0.2">
      <c r="N3459" s="131"/>
    </row>
    <row r="3460" spans="14:14" x14ac:dyDescent="0.2">
      <c r="N3460" s="131"/>
    </row>
    <row r="3461" spans="14:14" x14ac:dyDescent="0.2">
      <c r="N3461" s="131"/>
    </row>
    <row r="3462" spans="14:14" x14ac:dyDescent="0.2">
      <c r="N3462" s="131"/>
    </row>
    <row r="3463" spans="14:14" x14ac:dyDescent="0.2">
      <c r="N3463" s="131"/>
    </row>
    <row r="3464" spans="14:14" x14ac:dyDescent="0.2">
      <c r="N3464" s="131"/>
    </row>
    <row r="3465" spans="14:14" x14ac:dyDescent="0.2">
      <c r="N3465" s="131"/>
    </row>
    <row r="3466" spans="14:14" x14ac:dyDescent="0.2">
      <c r="N3466" s="131"/>
    </row>
    <row r="3467" spans="14:14" x14ac:dyDescent="0.2">
      <c r="N3467" s="131"/>
    </row>
    <row r="3468" spans="14:14" x14ac:dyDescent="0.2">
      <c r="N3468" s="131"/>
    </row>
    <row r="3469" spans="14:14" x14ac:dyDescent="0.2">
      <c r="N3469" s="131"/>
    </row>
    <row r="3470" spans="14:14" x14ac:dyDescent="0.2">
      <c r="N3470" s="131"/>
    </row>
    <row r="3471" spans="14:14" x14ac:dyDescent="0.2">
      <c r="N3471" s="131"/>
    </row>
    <row r="3472" spans="14:14" x14ac:dyDescent="0.2">
      <c r="N3472" s="131"/>
    </row>
    <row r="3473" spans="14:14" x14ac:dyDescent="0.2">
      <c r="N3473" s="131"/>
    </row>
    <row r="3474" spans="14:14" x14ac:dyDescent="0.2">
      <c r="N3474" s="131"/>
    </row>
    <row r="3475" spans="14:14" x14ac:dyDescent="0.2">
      <c r="N3475" s="131"/>
    </row>
    <row r="3476" spans="14:14" x14ac:dyDescent="0.2">
      <c r="N3476" s="131"/>
    </row>
    <row r="3477" spans="14:14" x14ac:dyDescent="0.2">
      <c r="N3477" s="131"/>
    </row>
    <row r="3478" spans="14:14" x14ac:dyDescent="0.2">
      <c r="N3478" s="131"/>
    </row>
    <row r="3479" spans="14:14" x14ac:dyDescent="0.2">
      <c r="N3479" s="131"/>
    </row>
    <row r="3480" spans="14:14" x14ac:dyDescent="0.2">
      <c r="N3480" s="131"/>
    </row>
    <row r="3481" spans="14:14" x14ac:dyDescent="0.2">
      <c r="N3481" s="131"/>
    </row>
    <row r="3482" spans="14:14" x14ac:dyDescent="0.2">
      <c r="N3482" s="131"/>
    </row>
    <row r="3483" spans="14:14" x14ac:dyDescent="0.2">
      <c r="N3483" s="131"/>
    </row>
    <row r="3484" spans="14:14" x14ac:dyDescent="0.2">
      <c r="N3484" s="131"/>
    </row>
    <row r="3485" spans="14:14" x14ac:dyDescent="0.2">
      <c r="N3485" s="131"/>
    </row>
    <row r="3486" spans="14:14" x14ac:dyDescent="0.2">
      <c r="N3486" s="131"/>
    </row>
    <row r="3487" spans="14:14" x14ac:dyDescent="0.2">
      <c r="N3487" s="131"/>
    </row>
    <row r="3488" spans="14:14" x14ac:dyDescent="0.2">
      <c r="N3488" s="131"/>
    </row>
    <row r="3489" spans="14:14" x14ac:dyDescent="0.2">
      <c r="N3489" s="131"/>
    </row>
    <row r="3490" spans="14:14" x14ac:dyDescent="0.2">
      <c r="N3490" s="131"/>
    </row>
    <row r="3491" spans="14:14" x14ac:dyDescent="0.2">
      <c r="N3491" s="131"/>
    </row>
    <row r="3492" spans="14:14" x14ac:dyDescent="0.2">
      <c r="N3492" s="131"/>
    </row>
    <row r="3493" spans="14:14" x14ac:dyDescent="0.2">
      <c r="N3493" s="131"/>
    </row>
    <row r="3494" spans="14:14" x14ac:dyDescent="0.2">
      <c r="N3494" s="131"/>
    </row>
    <row r="3495" spans="14:14" x14ac:dyDescent="0.2">
      <c r="N3495" s="131"/>
    </row>
    <row r="3496" spans="14:14" x14ac:dyDescent="0.2">
      <c r="N3496" s="131"/>
    </row>
    <row r="3497" spans="14:14" x14ac:dyDescent="0.2">
      <c r="N3497" s="131"/>
    </row>
    <row r="3498" spans="14:14" x14ac:dyDescent="0.2">
      <c r="N3498" s="131"/>
    </row>
    <row r="3499" spans="14:14" x14ac:dyDescent="0.2">
      <c r="N3499" s="131"/>
    </row>
    <row r="3500" spans="14:14" x14ac:dyDescent="0.2">
      <c r="N3500" s="131"/>
    </row>
    <row r="3501" spans="14:14" x14ac:dyDescent="0.2">
      <c r="N3501" s="131"/>
    </row>
    <row r="3502" spans="14:14" x14ac:dyDescent="0.2">
      <c r="N3502" s="131"/>
    </row>
    <row r="3503" spans="14:14" x14ac:dyDescent="0.2">
      <c r="N3503" s="131"/>
    </row>
    <row r="3504" spans="14:14" x14ac:dyDescent="0.2">
      <c r="N3504" s="131"/>
    </row>
    <row r="3505" spans="14:14" x14ac:dyDescent="0.2">
      <c r="N3505" s="131"/>
    </row>
    <row r="3506" spans="14:14" x14ac:dyDescent="0.2">
      <c r="N3506" s="131"/>
    </row>
    <row r="3507" spans="14:14" x14ac:dyDescent="0.2">
      <c r="N3507" s="131"/>
    </row>
    <row r="3508" spans="14:14" x14ac:dyDescent="0.2">
      <c r="N3508" s="131"/>
    </row>
    <row r="3509" spans="14:14" x14ac:dyDescent="0.2">
      <c r="N3509" s="131"/>
    </row>
    <row r="3510" spans="14:14" x14ac:dyDescent="0.2">
      <c r="N3510" s="131"/>
    </row>
    <row r="3511" spans="14:14" x14ac:dyDescent="0.2">
      <c r="N3511" s="131"/>
    </row>
    <row r="3512" spans="14:14" x14ac:dyDescent="0.2">
      <c r="N3512" s="131"/>
    </row>
    <row r="3513" spans="14:14" x14ac:dyDescent="0.2">
      <c r="N3513" s="131"/>
    </row>
    <row r="3514" spans="14:14" x14ac:dyDescent="0.2">
      <c r="N3514" s="131"/>
    </row>
    <row r="3515" spans="14:14" x14ac:dyDescent="0.2">
      <c r="N3515" s="131"/>
    </row>
    <row r="3516" spans="14:14" x14ac:dyDescent="0.2">
      <c r="N3516" s="131"/>
    </row>
    <row r="3517" spans="14:14" x14ac:dyDescent="0.2">
      <c r="N3517" s="131"/>
    </row>
    <row r="3518" spans="14:14" x14ac:dyDescent="0.2">
      <c r="N3518" s="131"/>
    </row>
    <row r="3519" spans="14:14" x14ac:dyDescent="0.2">
      <c r="N3519" s="131"/>
    </row>
    <row r="3520" spans="14:14" x14ac:dyDescent="0.2">
      <c r="N3520" s="131"/>
    </row>
    <row r="3521" spans="14:14" x14ac:dyDescent="0.2">
      <c r="N3521" s="131"/>
    </row>
    <row r="3522" spans="14:14" x14ac:dyDescent="0.2">
      <c r="N3522" s="131"/>
    </row>
    <row r="3523" spans="14:14" x14ac:dyDescent="0.2">
      <c r="N3523" s="131"/>
    </row>
    <row r="3524" spans="14:14" x14ac:dyDescent="0.2">
      <c r="N3524" s="131"/>
    </row>
    <row r="3525" spans="14:14" x14ac:dyDescent="0.2">
      <c r="N3525" s="131"/>
    </row>
    <row r="3526" spans="14:14" x14ac:dyDescent="0.2">
      <c r="N3526" s="131"/>
    </row>
    <row r="3527" spans="14:14" x14ac:dyDescent="0.2">
      <c r="N3527" s="131"/>
    </row>
    <row r="3528" spans="14:14" x14ac:dyDescent="0.2">
      <c r="N3528" s="131"/>
    </row>
    <row r="3529" spans="14:14" x14ac:dyDescent="0.2">
      <c r="N3529" s="131"/>
    </row>
    <row r="3530" spans="14:14" x14ac:dyDescent="0.2">
      <c r="N3530" s="131"/>
    </row>
    <row r="3531" spans="14:14" x14ac:dyDescent="0.2">
      <c r="N3531" s="131"/>
    </row>
    <row r="3532" spans="14:14" x14ac:dyDescent="0.2">
      <c r="N3532" s="131"/>
    </row>
    <row r="3533" spans="14:14" x14ac:dyDescent="0.2">
      <c r="N3533" s="131"/>
    </row>
    <row r="3534" spans="14:14" x14ac:dyDescent="0.2">
      <c r="N3534" s="131"/>
    </row>
    <row r="3535" spans="14:14" x14ac:dyDescent="0.2">
      <c r="N3535" s="131"/>
    </row>
    <row r="3536" spans="14:14" x14ac:dyDescent="0.2">
      <c r="N3536" s="131"/>
    </row>
    <row r="3537" spans="14:14" x14ac:dyDescent="0.2">
      <c r="N3537" s="131"/>
    </row>
    <row r="3538" spans="14:14" x14ac:dyDescent="0.2">
      <c r="N3538" s="131"/>
    </row>
    <row r="3539" spans="14:14" x14ac:dyDescent="0.2">
      <c r="N3539" s="131"/>
    </row>
    <row r="3540" spans="14:14" x14ac:dyDescent="0.2">
      <c r="N3540" s="131"/>
    </row>
    <row r="3541" spans="14:14" x14ac:dyDescent="0.2">
      <c r="N3541" s="131"/>
    </row>
    <row r="3542" spans="14:14" x14ac:dyDescent="0.2">
      <c r="N3542" s="131"/>
    </row>
    <row r="3543" spans="14:14" x14ac:dyDescent="0.2">
      <c r="N3543" s="131"/>
    </row>
    <row r="3544" spans="14:14" x14ac:dyDescent="0.2">
      <c r="N3544" s="131"/>
    </row>
    <row r="3545" spans="14:14" x14ac:dyDescent="0.2">
      <c r="N3545" s="131"/>
    </row>
    <row r="3546" spans="14:14" x14ac:dyDescent="0.2">
      <c r="N3546" s="131"/>
    </row>
    <row r="3547" spans="14:14" x14ac:dyDescent="0.2">
      <c r="N3547" s="131"/>
    </row>
    <row r="3548" spans="14:14" x14ac:dyDescent="0.2">
      <c r="N3548" s="131"/>
    </row>
    <row r="3549" spans="14:14" x14ac:dyDescent="0.2">
      <c r="N3549" s="131"/>
    </row>
    <row r="3550" spans="14:14" x14ac:dyDescent="0.2">
      <c r="N3550" s="131"/>
    </row>
    <row r="3551" spans="14:14" x14ac:dyDescent="0.2">
      <c r="N3551" s="131"/>
    </row>
    <row r="3552" spans="14:14" x14ac:dyDescent="0.2">
      <c r="N3552" s="131"/>
    </row>
    <row r="3553" spans="14:14" x14ac:dyDescent="0.2">
      <c r="N3553" s="131"/>
    </row>
    <row r="3554" spans="14:14" x14ac:dyDescent="0.2">
      <c r="N3554" s="131"/>
    </row>
    <row r="3555" spans="14:14" x14ac:dyDescent="0.2">
      <c r="N3555" s="131"/>
    </row>
    <row r="3556" spans="14:14" x14ac:dyDescent="0.2">
      <c r="N3556" s="131"/>
    </row>
    <row r="3557" spans="14:14" x14ac:dyDescent="0.2">
      <c r="N3557" s="131"/>
    </row>
    <row r="3558" spans="14:14" x14ac:dyDescent="0.2">
      <c r="N3558" s="131"/>
    </row>
    <row r="3559" spans="14:14" x14ac:dyDescent="0.2">
      <c r="N3559" s="131"/>
    </row>
    <row r="3560" spans="14:14" x14ac:dyDescent="0.2">
      <c r="N3560" s="131"/>
    </row>
    <row r="3561" spans="14:14" x14ac:dyDescent="0.2">
      <c r="N3561" s="131"/>
    </row>
    <row r="3562" spans="14:14" x14ac:dyDescent="0.2">
      <c r="N3562" s="131"/>
    </row>
    <row r="3563" spans="14:14" x14ac:dyDescent="0.2">
      <c r="N3563" s="131"/>
    </row>
    <row r="3564" spans="14:14" x14ac:dyDescent="0.2">
      <c r="N3564" s="131"/>
    </row>
    <row r="3565" spans="14:14" x14ac:dyDescent="0.2">
      <c r="N3565" s="131"/>
    </row>
    <row r="3566" spans="14:14" x14ac:dyDescent="0.2">
      <c r="N3566" s="131"/>
    </row>
    <row r="3567" spans="14:14" x14ac:dyDescent="0.2">
      <c r="N3567" s="131"/>
    </row>
    <row r="3568" spans="14:14" x14ac:dyDescent="0.2">
      <c r="N3568" s="131"/>
    </row>
    <row r="3569" spans="14:14" x14ac:dyDescent="0.2">
      <c r="N3569" s="131"/>
    </row>
    <row r="3570" spans="14:14" x14ac:dyDescent="0.2">
      <c r="N3570" s="131"/>
    </row>
    <row r="3571" spans="14:14" x14ac:dyDescent="0.2">
      <c r="N3571" s="131"/>
    </row>
    <row r="3572" spans="14:14" x14ac:dyDescent="0.2">
      <c r="N3572" s="131"/>
    </row>
    <row r="3573" spans="14:14" x14ac:dyDescent="0.2">
      <c r="N3573" s="131"/>
    </row>
    <row r="3574" spans="14:14" x14ac:dyDescent="0.2">
      <c r="N3574" s="131"/>
    </row>
    <row r="3575" spans="14:14" x14ac:dyDescent="0.2">
      <c r="N3575" s="131"/>
    </row>
    <row r="3576" spans="14:14" x14ac:dyDescent="0.2">
      <c r="N3576" s="131"/>
    </row>
    <row r="3577" spans="14:14" x14ac:dyDescent="0.2">
      <c r="N3577" s="131"/>
    </row>
    <row r="3578" spans="14:14" x14ac:dyDescent="0.2">
      <c r="N3578" s="131"/>
    </row>
    <row r="3579" spans="14:14" x14ac:dyDescent="0.2">
      <c r="N3579" s="131"/>
    </row>
    <row r="3580" spans="14:14" x14ac:dyDescent="0.2">
      <c r="N3580" s="131"/>
    </row>
    <row r="3581" spans="14:14" x14ac:dyDescent="0.2">
      <c r="N3581" s="131"/>
    </row>
    <row r="3582" spans="14:14" x14ac:dyDescent="0.2">
      <c r="N3582" s="131"/>
    </row>
    <row r="3583" spans="14:14" x14ac:dyDescent="0.2">
      <c r="N3583" s="131"/>
    </row>
    <row r="3584" spans="14:14" x14ac:dyDescent="0.2">
      <c r="N3584" s="131"/>
    </row>
    <row r="3585" spans="14:14" x14ac:dyDescent="0.2">
      <c r="N3585" s="131"/>
    </row>
    <row r="3586" spans="14:14" x14ac:dyDescent="0.2">
      <c r="N3586" s="131"/>
    </row>
    <row r="3587" spans="14:14" x14ac:dyDescent="0.2">
      <c r="N3587" s="131"/>
    </row>
    <row r="3588" spans="14:14" x14ac:dyDescent="0.2">
      <c r="N3588" s="131"/>
    </row>
    <row r="3589" spans="14:14" x14ac:dyDescent="0.2">
      <c r="N3589" s="131"/>
    </row>
    <row r="3590" spans="14:14" x14ac:dyDescent="0.2">
      <c r="N3590" s="131"/>
    </row>
    <row r="3591" spans="14:14" x14ac:dyDescent="0.2">
      <c r="N3591" s="131"/>
    </row>
    <row r="3592" spans="14:14" x14ac:dyDescent="0.2">
      <c r="N3592" s="131"/>
    </row>
    <row r="3593" spans="14:14" x14ac:dyDescent="0.2">
      <c r="N3593" s="131"/>
    </row>
    <row r="3594" spans="14:14" x14ac:dyDescent="0.2">
      <c r="N3594" s="131"/>
    </row>
    <row r="3595" spans="14:14" x14ac:dyDescent="0.2">
      <c r="N3595" s="131"/>
    </row>
    <row r="3596" spans="14:14" x14ac:dyDescent="0.2">
      <c r="N3596" s="131"/>
    </row>
    <row r="3597" spans="14:14" x14ac:dyDescent="0.2">
      <c r="N3597" s="131"/>
    </row>
    <row r="3598" spans="14:14" x14ac:dyDescent="0.2">
      <c r="N3598" s="131"/>
    </row>
    <row r="3599" spans="14:14" x14ac:dyDescent="0.2">
      <c r="N3599" s="131"/>
    </row>
    <row r="3600" spans="14:14" x14ac:dyDescent="0.2">
      <c r="N3600" s="131"/>
    </row>
    <row r="3601" spans="14:14" x14ac:dyDescent="0.2">
      <c r="N3601" s="131"/>
    </row>
    <row r="3602" spans="14:14" x14ac:dyDescent="0.2">
      <c r="N3602" s="131"/>
    </row>
    <row r="3603" spans="14:14" x14ac:dyDescent="0.2">
      <c r="N3603" s="131"/>
    </row>
    <row r="3604" spans="14:14" x14ac:dyDescent="0.2">
      <c r="N3604" s="131"/>
    </row>
    <row r="3605" spans="14:14" x14ac:dyDescent="0.2">
      <c r="N3605" s="131"/>
    </row>
    <row r="3606" spans="14:14" x14ac:dyDescent="0.2">
      <c r="N3606" s="131"/>
    </row>
    <row r="3607" spans="14:14" x14ac:dyDescent="0.2">
      <c r="N3607" s="131"/>
    </row>
    <row r="3608" spans="14:14" x14ac:dyDescent="0.2">
      <c r="N3608" s="131"/>
    </row>
    <row r="3609" spans="14:14" x14ac:dyDescent="0.2">
      <c r="N3609" s="131"/>
    </row>
    <row r="3610" spans="14:14" x14ac:dyDescent="0.2">
      <c r="N3610" s="131"/>
    </row>
    <row r="3611" spans="14:14" x14ac:dyDescent="0.2">
      <c r="N3611" s="131"/>
    </row>
    <row r="3612" spans="14:14" x14ac:dyDescent="0.2">
      <c r="N3612" s="131"/>
    </row>
    <row r="3613" spans="14:14" x14ac:dyDescent="0.2">
      <c r="N3613" s="131"/>
    </row>
    <row r="3614" spans="14:14" x14ac:dyDescent="0.2">
      <c r="N3614" s="131"/>
    </row>
    <row r="3615" spans="14:14" x14ac:dyDescent="0.2">
      <c r="N3615" s="131"/>
    </row>
    <row r="3616" spans="14:14" x14ac:dyDescent="0.2">
      <c r="N3616" s="131"/>
    </row>
    <row r="3617" spans="14:14" x14ac:dyDescent="0.2">
      <c r="N3617" s="131"/>
    </row>
    <row r="3618" spans="14:14" x14ac:dyDescent="0.2">
      <c r="N3618" s="131"/>
    </row>
    <row r="3619" spans="14:14" x14ac:dyDescent="0.2">
      <c r="N3619" s="131"/>
    </row>
    <row r="3620" spans="14:14" x14ac:dyDescent="0.2">
      <c r="N3620" s="131"/>
    </row>
    <row r="3621" spans="14:14" x14ac:dyDescent="0.2">
      <c r="N3621" s="131"/>
    </row>
    <row r="3622" spans="14:14" x14ac:dyDescent="0.2">
      <c r="N3622" s="131"/>
    </row>
    <row r="3623" spans="14:14" x14ac:dyDescent="0.2">
      <c r="N3623" s="131"/>
    </row>
    <row r="3624" spans="14:14" x14ac:dyDescent="0.2">
      <c r="N3624" s="131"/>
    </row>
    <row r="3625" spans="14:14" x14ac:dyDescent="0.2">
      <c r="N3625" s="131"/>
    </row>
    <row r="3626" spans="14:14" x14ac:dyDescent="0.2">
      <c r="N3626" s="131"/>
    </row>
    <row r="3627" spans="14:14" x14ac:dyDescent="0.2">
      <c r="N3627" s="131"/>
    </row>
    <row r="3628" spans="14:14" x14ac:dyDescent="0.2">
      <c r="N3628" s="131"/>
    </row>
    <row r="3629" spans="14:14" x14ac:dyDescent="0.2">
      <c r="N3629" s="131"/>
    </row>
    <row r="3630" spans="14:14" x14ac:dyDescent="0.2">
      <c r="N3630" s="131"/>
    </row>
    <row r="3631" spans="14:14" x14ac:dyDescent="0.2">
      <c r="N3631" s="131"/>
    </row>
    <row r="3632" spans="14:14" x14ac:dyDescent="0.2">
      <c r="N3632" s="131"/>
    </row>
    <row r="3633" spans="14:14" x14ac:dyDescent="0.2">
      <c r="N3633" s="131"/>
    </row>
    <row r="3634" spans="14:14" x14ac:dyDescent="0.2">
      <c r="N3634" s="131"/>
    </row>
    <row r="3635" spans="14:14" x14ac:dyDescent="0.2">
      <c r="N3635" s="131"/>
    </row>
    <row r="3636" spans="14:14" x14ac:dyDescent="0.2">
      <c r="N3636" s="131"/>
    </row>
    <row r="3637" spans="14:14" x14ac:dyDescent="0.2">
      <c r="N3637" s="131"/>
    </row>
    <row r="3638" spans="14:14" x14ac:dyDescent="0.2">
      <c r="N3638" s="131"/>
    </row>
    <row r="3639" spans="14:14" x14ac:dyDescent="0.2">
      <c r="N3639" s="131"/>
    </row>
    <row r="3640" spans="14:14" x14ac:dyDescent="0.2">
      <c r="N3640" s="131"/>
    </row>
    <row r="3641" spans="14:14" x14ac:dyDescent="0.2">
      <c r="N3641" s="131"/>
    </row>
    <row r="3642" spans="14:14" x14ac:dyDescent="0.2">
      <c r="N3642" s="131"/>
    </row>
    <row r="3643" spans="14:14" x14ac:dyDescent="0.2">
      <c r="N3643" s="131"/>
    </row>
    <row r="3644" spans="14:14" x14ac:dyDescent="0.2">
      <c r="N3644" s="131"/>
    </row>
    <row r="3645" spans="14:14" x14ac:dyDescent="0.2">
      <c r="N3645" s="131"/>
    </row>
    <row r="3646" spans="14:14" x14ac:dyDescent="0.2">
      <c r="N3646" s="131"/>
    </row>
    <row r="3647" spans="14:14" x14ac:dyDescent="0.2">
      <c r="N3647" s="131"/>
    </row>
    <row r="3648" spans="14:14" x14ac:dyDescent="0.2">
      <c r="N3648" s="131"/>
    </row>
    <row r="3649" spans="14:14" x14ac:dyDescent="0.2">
      <c r="N3649" s="131"/>
    </row>
    <row r="3650" spans="14:14" x14ac:dyDescent="0.2">
      <c r="N3650" s="131"/>
    </row>
    <row r="3651" spans="14:14" x14ac:dyDescent="0.2">
      <c r="N3651" s="131"/>
    </row>
    <row r="3652" spans="14:14" x14ac:dyDescent="0.2">
      <c r="N3652" s="131"/>
    </row>
    <row r="3653" spans="14:14" x14ac:dyDescent="0.2">
      <c r="N3653" s="131"/>
    </row>
    <row r="3654" spans="14:14" x14ac:dyDescent="0.2">
      <c r="N3654" s="131"/>
    </row>
    <row r="3655" spans="14:14" x14ac:dyDescent="0.2">
      <c r="N3655" s="131"/>
    </row>
    <row r="3656" spans="14:14" x14ac:dyDescent="0.2">
      <c r="N3656" s="131"/>
    </row>
    <row r="3657" spans="14:14" x14ac:dyDescent="0.2">
      <c r="N3657" s="131"/>
    </row>
    <row r="3658" spans="14:14" x14ac:dyDescent="0.2">
      <c r="N3658" s="131"/>
    </row>
    <row r="3659" spans="14:14" x14ac:dyDescent="0.2">
      <c r="N3659" s="131"/>
    </row>
    <row r="3660" spans="14:14" x14ac:dyDescent="0.2">
      <c r="N3660" s="131"/>
    </row>
    <row r="3661" spans="14:14" x14ac:dyDescent="0.2">
      <c r="N3661" s="131"/>
    </row>
    <row r="3662" spans="14:14" x14ac:dyDescent="0.2">
      <c r="N3662" s="131"/>
    </row>
    <row r="3663" spans="14:14" x14ac:dyDescent="0.2">
      <c r="N3663" s="131"/>
    </row>
    <row r="3664" spans="14:14" x14ac:dyDescent="0.2">
      <c r="N3664" s="131"/>
    </row>
    <row r="3665" spans="14:14" x14ac:dyDescent="0.2">
      <c r="N3665" s="131"/>
    </row>
    <row r="3666" spans="14:14" x14ac:dyDescent="0.2">
      <c r="N3666" s="131"/>
    </row>
    <row r="3667" spans="14:14" x14ac:dyDescent="0.2">
      <c r="N3667" s="131"/>
    </row>
    <row r="3668" spans="14:14" x14ac:dyDescent="0.2">
      <c r="N3668" s="131"/>
    </row>
    <row r="3669" spans="14:14" x14ac:dyDescent="0.2">
      <c r="N3669" s="131"/>
    </row>
    <row r="3670" spans="14:14" x14ac:dyDescent="0.2">
      <c r="N3670" s="131"/>
    </row>
    <row r="3671" spans="14:14" x14ac:dyDescent="0.2">
      <c r="N3671" s="131"/>
    </row>
    <row r="3672" spans="14:14" x14ac:dyDescent="0.2">
      <c r="N3672" s="131"/>
    </row>
    <row r="3673" spans="14:14" x14ac:dyDescent="0.2">
      <c r="N3673" s="131"/>
    </row>
    <row r="3674" spans="14:14" x14ac:dyDescent="0.2">
      <c r="N3674" s="131"/>
    </row>
    <row r="3675" spans="14:14" x14ac:dyDescent="0.2">
      <c r="N3675" s="131"/>
    </row>
    <row r="3676" spans="14:14" x14ac:dyDescent="0.2">
      <c r="N3676" s="131"/>
    </row>
    <row r="3677" spans="14:14" x14ac:dyDescent="0.2">
      <c r="N3677" s="131"/>
    </row>
    <row r="3678" spans="14:14" x14ac:dyDescent="0.2">
      <c r="N3678" s="131"/>
    </row>
    <row r="3679" spans="14:14" x14ac:dyDescent="0.2">
      <c r="N3679" s="131"/>
    </row>
    <row r="3680" spans="14:14" x14ac:dyDescent="0.2">
      <c r="N3680" s="131"/>
    </row>
    <row r="3681" spans="14:14" x14ac:dyDescent="0.2">
      <c r="N3681" s="131"/>
    </row>
    <row r="3682" spans="14:14" x14ac:dyDescent="0.2">
      <c r="N3682" s="131"/>
    </row>
    <row r="3683" spans="14:14" x14ac:dyDescent="0.2">
      <c r="N3683" s="131"/>
    </row>
    <row r="3684" spans="14:14" x14ac:dyDescent="0.2">
      <c r="N3684" s="131"/>
    </row>
    <row r="3685" spans="14:14" x14ac:dyDescent="0.2">
      <c r="N3685" s="131"/>
    </row>
    <row r="3686" spans="14:14" x14ac:dyDescent="0.2">
      <c r="N3686" s="131"/>
    </row>
    <row r="3687" spans="14:14" x14ac:dyDescent="0.2">
      <c r="N3687" s="131"/>
    </row>
    <row r="3688" spans="14:14" x14ac:dyDescent="0.2">
      <c r="N3688" s="131"/>
    </row>
    <row r="3689" spans="14:14" x14ac:dyDescent="0.2">
      <c r="N3689" s="131"/>
    </row>
    <row r="3690" spans="14:14" x14ac:dyDescent="0.2">
      <c r="N3690" s="131"/>
    </row>
    <row r="3691" spans="14:14" x14ac:dyDescent="0.2">
      <c r="N3691" s="131"/>
    </row>
    <row r="3692" spans="14:14" x14ac:dyDescent="0.2">
      <c r="N3692" s="131"/>
    </row>
    <row r="3693" spans="14:14" x14ac:dyDescent="0.2">
      <c r="N3693" s="131"/>
    </row>
    <row r="3694" spans="14:14" x14ac:dyDescent="0.2">
      <c r="N3694" s="131"/>
    </row>
    <row r="3695" spans="14:14" x14ac:dyDescent="0.2">
      <c r="N3695" s="131"/>
    </row>
    <row r="3696" spans="14:14" x14ac:dyDescent="0.2">
      <c r="N3696" s="131"/>
    </row>
    <row r="3697" spans="14:14" x14ac:dyDescent="0.2">
      <c r="N3697" s="131"/>
    </row>
    <row r="3698" spans="14:14" x14ac:dyDescent="0.2">
      <c r="N3698" s="131"/>
    </row>
    <row r="3699" spans="14:14" x14ac:dyDescent="0.2">
      <c r="N3699" s="131"/>
    </row>
    <row r="3700" spans="14:14" x14ac:dyDescent="0.2">
      <c r="N3700" s="131"/>
    </row>
    <row r="3701" spans="14:14" x14ac:dyDescent="0.2">
      <c r="N3701" s="131"/>
    </row>
    <row r="3702" spans="14:14" x14ac:dyDescent="0.2">
      <c r="N3702" s="131"/>
    </row>
    <row r="3703" spans="14:14" x14ac:dyDescent="0.2">
      <c r="N3703" s="131"/>
    </row>
    <row r="3704" spans="14:14" x14ac:dyDescent="0.2">
      <c r="N3704" s="131"/>
    </row>
    <row r="3705" spans="14:14" x14ac:dyDescent="0.2">
      <c r="N3705" s="131"/>
    </row>
    <row r="3706" spans="14:14" x14ac:dyDescent="0.2">
      <c r="N3706" s="131"/>
    </row>
    <row r="3707" spans="14:14" x14ac:dyDescent="0.2">
      <c r="N3707" s="131"/>
    </row>
    <row r="3708" spans="14:14" x14ac:dyDescent="0.2">
      <c r="N3708" s="131"/>
    </row>
    <row r="3709" spans="14:14" x14ac:dyDescent="0.2">
      <c r="N3709" s="131"/>
    </row>
    <row r="3710" spans="14:14" x14ac:dyDescent="0.2">
      <c r="N3710" s="131"/>
    </row>
    <row r="3711" spans="14:14" x14ac:dyDescent="0.2">
      <c r="N3711" s="131"/>
    </row>
    <row r="3712" spans="14:14" x14ac:dyDescent="0.2">
      <c r="N3712" s="131"/>
    </row>
    <row r="3713" spans="14:14" x14ac:dyDescent="0.2">
      <c r="N3713" s="131"/>
    </row>
    <row r="3714" spans="14:14" x14ac:dyDescent="0.2">
      <c r="N3714" s="131"/>
    </row>
    <row r="3715" spans="14:14" x14ac:dyDescent="0.2">
      <c r="N3715" s="131"/>
    </row>
    <row r="3716" spans="14:14" x14ac:dyDescent="0.2">
      <c r="N3716" s="131"/>
    </row>
    <row r="3717" spans="14:14" x14ac:dyDescent="0.2">
      <c r="N3717" s="131"/>
    </row>
    <row r="3718" spans="14:14" x14ac:dyDescent="0.2">
      <c r="N3718" s="131"/>
    </row>
    <row r="3719" spans="14:14" x14ac:dyDescent="0.2">
      <c r="N3719" s="131"/>
    </row>
    <row r="3720" spans="14:14" x14ac:dyDescent="0.2">
      <c r="N3720" s="131"/>
    </row>
    <row r="3721" spans="14:14" x14ac:dyDescent="0.2">
      <c r="N3721" s="131"/>
    </row>
    <row r="3722" spans="14:14" x14ac:dyDescent="0.2">
      <c r="N3722" s="131"/>
    </row>
    <row r="3723" spans="14:14" x14ac:dyDescent="0.2">
      <c r="N3723" s="131"/>
    </row>
    <row r="3724" spans="14:14" x14ac:dyDescent="0.2">
      <c r="N3724" s="131"/>
    </row>
    <row r="3725" spans="14:14" x14ac:dyDescent="0.2">
      <c r="N3725" s="131"/>
    </row>
    <row r="3726" spans="14:14" x14ac:dyDescent="0.2">
      <c r="N3726" s="131"/>
    </row>
    <row r="3727" spans="14:14" x14ac:dyDescent="0.2">
      <c r="N3727" s="131"/>
    </row>
    <row r="3728" spans="14:14" x14ac:dyDescent="0.2">
      <c r="N3728" s="131"/>
    </row>
    <row r="3729" spans="14:14" x14ac:dyDescent="0.2">
      <c r="N3729" s="131"/>
    </row>
    <row r="3730" spans="14:14" x14ac:dyDescent="0.2">
      <c r="N3730" s="131"/>
    </row>
    <row r="3731" spans="14:14" x14ac:dyDescent="0.2">
      <c r="N3731" s="131"/>
    </row>
    <row r="3732" spans="14:14" x14ac:dyDescent="0.2">
      <c r="N3732" s="131"/>
    </row>
    <row r="3733" spans="14:14" x14ac:dyDescent="0.2">
      <c r="N3733" s="131"/>
    </row>
    <row r="3734" spans="14:14" x14ac:dyDescent="0.2">
      <c r="N3734" s="131"/>
    </row>
    <row r="3735" spans="14:14" x14ac:dyDescent="0.2">
      <c r="N3735" s="131"/>
    </row>
    <row r="3736" spans="14:14" x14ac:dyDescent="0.2">
      <c r="N3736" s="131"/>
    </row>
    <row r="3737" spans="14:14" x14ac:dyDescent="0.2">
      <c r="N3737" s="131"/>
    </row>
    <row r="3738" spans="14:14" x14ac:dyDescent="0.2">
      <c r="N3738" s="131"/>
    </row>
    <row r="3739" spans="14:14" x14ac:dyDescent="0.2">
      <c r="N3739" s="131"/>
    </row>
    <row r="3740" spans="14:14" x14ac:dyDescent="0.2">
      <c r="N3740" s="131"/>
    </row>
    <row r="3741" spans="14:14" x14ac:dyDescent="0.2">
      <c r="N3741" s="131"/>
    </row>
    <row r="3742" spans="14:14" x14ac:dyDescent="0.2">
      <c r="N3742" s="131"/>
    </row>
    <row r="3743" spans="14:14" x14ac:dyDescent="0.2">
      <c r="N3743" s="131"/>
    </row>
    <row r="3744" spans="14:14" x14ac:dyDescent="0.2">
      <c r="N3744" s="131"/>
    </row>
    <row r="3745" spans="14:14" x14ac:dyDescent="0.2">
      <c r="N3745" s="131"/>
    </row>
    <row r="3746" spans="14:14" x14ac:dyDescent="0.2">
      <c r="N3746" s="131"/>
    </row>
    <row r="3747" spans="14:14" x14ac:dyDescent="0.2">
      <c r="N3747" s="131"/>
    </row>
    <row r="3748" spans="14:14" x14ac:dyDescent="0.2">
      <c r="N3748" s="131"/>
    </row>
    <row r="3749" spans="14:14" x14ac:dyDescent="0.2">
      <c r="N3749" s="131"/>
    </row>
    <row r="3750" spans="14:14" x14ac:dyDescent="0.2">
      <c r="N3750" s="131"/>
    </row>
    <row r="3751" spans="14:14" x14ac:dyDescent="0.2">
      <c r="N3751" s="131"/>
    </row>
    <row r="3752" spans="14:14" x14ac:dyDescent="0.2">
      <c r="N3752" s="131"/>
    </row>
    <row r="3753" spans="14:14" x14ac:dyDescent="0.2">
      <c r="N3753" s="131"/>
    </row>
    <row r="3754" spans="14:14" x14ac:dyDescent="0.2">
      <c r="N3754" s="131"/>
    </row>
    <row r="3755" spans="14:14" x14ac:dyDescent="0.2">
      <c r="N3755" s="131"/>
    </row>
    <row r="3756" spans="14:14" x14ac:dyDescent="0.2">
      <c r="N3756" s="131"/>
    </row>
    <row r="3757" spans="14:14" x14ac:dyDescent="0.2">
      <c r="N3757" s="131"/>
    </row>
    <row r="3758" spans="14:14" x14ac:dyDescent="0.2">
      <c r="N3758" s="131"/>
    </row>
    <row r="3759" spans="14:14" x14ac:dyDescent="0.2">
      <c r="N3759" s="131"/>
    </row>
    <row r="3760" spans="14:14" x14ac:dyDescent="0.2">
      <c r="N3760" s="131"/>
    </row>
    <row r="3761" spans="14:14" x14ac:dyDescent="0.2">
      <c r="N3761" s="131"/>
    </row>
    <row r="3762" spans="14:14" x14ac:dyDescent="0.2">
      <c r="N3762" s="131"/>
    </row>
    <row r="3763" spans="14:14" x14ac:dyDescent="0.2">
      <c r="N3763" s="131"/>
    </row>
    <row r="3764" spans="14:14" x14ac:dyDescent="0.2">
      <c r="N3764" s="131"/>
    </row>
    <row r="3765" spans="14:14" x14ac:dyDescent="0.2">
      <c r="N3765" s="131"/>
    </row>
    <row r="3766" spans="14:14" x14ac:dyDescent="0.2">
      <c r="N3766" s="131"/>
    </row>
    <row r="3767" spans="14:14" x14ac:dyDescent="0.2">
      <c r="N3767" s="131"/>
    </row>
    <row r="3768" spans="14:14" x14ac:dyDescent="0.2">
      <c r="N3768" s="131"/>
    </row>
    <row r="3769" spans="14:14" x14ac:dyDescent="0.2">
      <c r="N3769" s="131"/>
    </row>
    <row r="3770" spans="14:14" x14ac:dyDescent="0.2">
      <c r="N3770" s="131"/>
    </row>
    <row r="3771" spans="14:14" x14ac:dyDescent="0.2">
      <c r="N3771" s="131"/>
    </row>
    <row r="3772" spans="14:14" x14ac:dyDescent="0.2">
      <c r="N3772" s="131"/>
    </row>
    <row r="3773" spans="14:14" x14ac:dyDescent="0.2">
      <c r="N3773" s="131"/>
    </row>
    <row r="3774" spans="14:14" x14ac:dyDescent="0.2">
      <c r="N3774" s="131"/>
    </row>
    <row r="3775" spans="14:14" x14ac:dyDescent="0.2">
      <c r="N3775" s="131"/>
    </row>
    <row r="3776" spans="14:14" x14ac:dyDescent="0.2">
      <c r="N3776" s="131"/>
    </row>
    <row r="3777" spans="14:14" x14ac:dyDescent="0.2">
      <c r="N3777" s="131"/>
    </row>
    <row r="3778" spans="14:14" x14ac:dyDescent="0.2">
      <c r="N3778" s="131"/>
    </row>
    <row r="3779" spans="14:14" x14ac:dyDescent="0.2">
      <c r="N3779" s="131"/>
    </row>
    <row r="3780" spans="14:14" x14ac:dyDescent="0.2">
      <c r="N3780" s="131"/>
    </row>
    <row r="3781" spans="14:14" x14ac:dyDescent="0.2">
      <c r="N3781" s="131"/>
    </row>
    <row r="3782" spans="14:14" x14ac:dyDescent="0.2">
      <c r="N3782" s="131"/>
    </row>
    <row r="3783" spans="14:14" x14ac:dyDescent="0.2">
      <c r="N3783" s="131"/>
    </row>
    <row r="3784" spans="14:14" x14ac:dyDescent="0.2">
      <c r="N3784" s="131"/>
    </row>
    <row r="3785" spans="14:14" x14ac:dyDescent="0.2">
      <c r="N3785" s="131"/>
    </row>
    <row r="3786" spans="14:14" x14ac:dyDescent="0.2">
      <c r="N3786" s="131"/>
    </row>
    <row r="3787" spans="14:14" x14ac:dyDescent="0.2">
      <c r="N3787" s="131"/>
    </row>
    <row r="3788" spans="14:14" x14ac:dyDescent="0.2">
      <c r="N3788" s="131"/>
    </row>
    <row r="3789" spans="14:14" x14ac:dyDescent="0.2">
      <c r="N3789" s="131"/>
    </row>
    <row r="3790" spans="14:14" x14ac:dyDescent="0.2">
      <c r="N3790" s="131"/>
    </row>
    <row r="3791" spans="14:14" x14ac:dyDescent="0.2">
      <c r="N3791" s="131"/>
    </row>
    <row r="3792" spans="14:14" x14ac:dyDescent="0.2">
      <c r="N3792" s="131"/>
    </row>
    <row r="3793" spans="14:14" x14ac:dyDescent="0.2">
      <c r="N3793" s="131"/>
    </row>
    <row r="3794" spans="14:14" x14ac:dyDescent="0.2">
      <c r="N3794" s="131"/>
    </row>
    <row r="3795" spans="14:14" x14ac:dyDescent="0.2">
      <c r="N3795" s="131"/>
    </row>
    <row r="3796" spans="14:14" x14ac:dyDescent="0.2">
      <c r="N3796" s="131"/>
    </row>
    <row r="3797" spans="14:14" x14ac:dyDescent="0.2">
      <c r="N3797" s="131"/>
    </row>
    <row r="3798" spans="14:14" x14ac:dyDescent="0.2">
      <c r="N3798" s="131"/>
    </row>
    <row r="3799" spans="14:14" x14ac:dyDescent="0.2">
      <c r="N3799" s="131"/>
    </row>
    <row r="3800" spans="14:14" x14ac:dyDescent="0.2">
      <c r="N3800" s="131"/>
    </row>
    <row r="3801" spans="14:14" x14ac:dyDescent="0.2">
      <c r="N3801" s="131"/>
    </row>
    <row r="3802" spans="14:14" x14ac:dyDescent="0.2">
      <c r="N3802" s="131"/>
    </row>
    <row r="3803" spans="14:14" x14ac:dyDescent="0.2">
      <c r="N3803" s="131"/>
    </row>
    <row r="3804" spans="14:14" x14ac:dyDescent="0.2">
      <c r="N3804" s="131"/>
    </row>
    <row r="3805" spans="14:14" x14ac:dyDescent="0.2">
      <c r="N3805" s="131"/>
    </row>
    <row r="3806" spans="14:14" x14ac:dyDescent="0.2">
      <c r="N3806" s="131"/>
    </row>
    <row r="3807" spans="14:14" x14ac:dyDescent="0.2">
      <c r="N3807" s="131"/>
    </row>
    <row r="3808" spans="14:14" x14ac:dyDescent="0.2">
      <c r="N3808" s="131"/>
    </row>
    <row r="3809" spans="14:14" x14ac:dyDescent="0.2">
      <c r="N3809" s="131"/>
    </row>
    <row r="3810" spans="14:14" x14ac:dyDescent="0.2">
      <c r="N3810" s="131"/>
    </row>
    <row r="3811" spans="14:14" x14ac:dyDescent="0.2">
      <c r="N3811" s="131"/>
    </row>
    <row r="3812" spans="14:14" x14ac:dyDescent="0.2">
      <c r="N3812" s="131"/>
    </row>
    <row r="3813" spans="14:14" x14ac:dyDescent="0.2">
      <c r="N3813" s="131"/>
    </row>
    <row r="3814" spans="14:14" x14ac:dyDescent="0.2">
      <c r="N3814" s="131"/>
    </row>
    <row r="3815" spans="14:14" x14ac:dyDescent="0.2">
      <c r="N3815" s="131"/>
    </row>
    <row r="3816" spans="14:14" x14ac:dyDescent="0.2">
      <c r="N3816" s="131"/>
    </row>
    <row r="3817" spans="14:14" x14ac:dyDescent="0.2">
      <c r="N3817" s="131"/>
    </row>
    <row r="3818" spans="14:14" x14ac:dyDescent="0.2">
      <c r="N3818" s="131"/>
    </row>
    <row r="3819" spans="14:14" x14ac:dyDescent="0.2">
      <c r="N3819" s="131"/>
    </row>
    <row r="3820" spans="14:14" x14ac:dyDescent="0.2">
      <c r="N3820" s="131"/>
    </row>
    <row r="3821" spans="14:14" x14ac:dyDescent="0.2">
      <c r="N3821" s="131"/>
    </row>
    <row r="3822" spans="14:14" x14ac:dyDescent="0.2">
      <c r="N3822" s="131"/>
    </row>
    <row r="3823" spans="14:14" x14ac:dyDescent="0.2">
      <c r="N3823" s="131"/>
    </row>
    <row r="3824" spans="14:14" x14ac:dyDescent="0.2">
      <c r="N3824" s="131"/>
    </row>
    <row r="3825" spans="14:14" x14ac:dyDescent="0.2">
      <c r="N3825" s="131"/>
    </row>
    <row r="3826" spans="14:14" x14ac:dyDescent="0.2">
      <c r="N3826" s="131"/>
    </row>
    <row r="3827" spans="14:14" x14ac:dyDescent="0.2">
      <c r="N3827" s="131"/>
    </row>
    <row r="3828" spans="14:14" x14ac:dyDescent="0.2">
      <c r="N3828" s="131"/>
    </row>
    <row r="3829" spans="14:14" x14ac:dyDescent="0.2">
      <c r="N3829" s="131"/>
    </row>
    <row r="3830" spans="14:14" x14ac:dyDescent="0.2">
      <c r="N3830" s="131"/>
    </row>
    <row r="3831" spans="14:14" x14ac:dyDescent="0.2">
      <c r="N3831" s="131"/>
    </row>
    <row r="3832" spans="14:14" x14ac:dyDescent="0.2">
      <c r="N3832" s="131"/>
    </row>
    <row r="3833" spans="14:14" x14ac:dyDescent="0.2">
      <c r="N3833" s="131"/>
    </row>
    <row r="3834" spans="14:14" x14ac:dyDescent="0.2">
      <c r="N3834" s="131"/>
    </row>
    <row r="3835" spans="14:14" x14ac:dyDescent="0.2">
      <c r="N3835" s="131"/>
    </row>
    <row r="3836" spans="14:14" x14ac:dyDescent="0.2">
      <c r="N3836" s="131"/>
    </row>
    <row r="3837" spans="14:14" x14ac:dyDescent="0.2">
      <c r="N3837" s="131"/>
    </row>
    <row r="3838" spans="14:14" x14ac:dyDescent="0.2">
      <c r="N3838" s="131"/>
    </row>
    <row r="3839" spans="14:14" x14ac:dyDescent="0.2">
      <c r="N3839" s="131"/>
    </row>
    <row r="3840" spans="14:14" x14ac:dyDescent="0.2">
      <c r="N3840" s="131"/>
    </row>
    <row r="3841" spans="14:14" x14ac:dyDescent="0.2">
      <c r="N3841" s="131"/>
    </row>
    <row r="3842" spans="14:14" x14ac:dyDescent="0.2">
      <c r="N3842" s="131"/>
    </row>
    <row r="3843" spans="14:14" x14ac:dyDescent="0.2">
      <c r="N3843" s="131"/>
    </row>
    <row r="3844" spans="14:14" x14ac:dyDescent="0.2">
      <c r="N3844" s="131"/>
    </row>
    <row r="3845" spans="14:14" x14ac:dyDescent="0.2">
      <c r="N3845" s="131"/>
    </row>
    <row r="3846" spans="14:14" x14ac:dyDescent="0.2">
      <c r="N3846" s="131"/>
    </row>
    <row r="3847" spans="14:14" x14ac:dyDescent="0.2">
      <c r="N3847" s="131"/>
    </row>
    <row r="3848" spans="14:14" x14ac:dyDescent="0.2">
      <c r="N3848" s="131"/>
    </row>
    <row r="3849" spans="14:14" x14ac:dyDescent="0.2">
      <c r="N3849" s="131"/>
    </row>
    <row r="3850" spans="14:14" x14ac:dyDescent="0.2">
      <c r="N3850" s="131"/>
    </row>
    <row r="3851" spans="14:14" x14ac:dyDescent="0.2">
      <c r="N3851" s="131"/>
    </row>
    <row r="3852" spans="14:14" x14ac:dyDescent="0.2">
      <c r="N3852" s="131"/>
    </row>
    <row r="3853" spans="14:14" x14ac:dyDescent="0.2">
      <c r="N3853" s="131"/>
    </row>
    <row r="3854" spans="14:14" x14ac:dyDescent="0.2">
      <c r="N3854" s="131"/>
    </row>
    <row r="3855" spans="14:14" x14ac:dyDescent="0.2">
      <c r="N3855" s="131"/>
    </row>
    <row r="3856" spans="14:14" x14ac:dyDescent="0.2">
      <c r="N3856" s="131"/>
    </row>
    <row r="3857" spans="14:14" x14ac:dyDescent="0.2">
      <c r="N3857" s="131"/>
    </row>
    <row r="3858" spans="14:14" x14ac:dyDescent="0.2">
      <c r="N3858" s="131"/>
    </row>
    <row r="3859" spans="14:14" x14ac:dyDescent="0.2">
      <c r="N3859" s="131"/>
    </row>
    <row r="3860" spans="14:14" x14ac:dyDescent="0.2">
      <c r="N3860" s="131"/>
    </row>
    <row r="3861" spans="14:14" x14ac:dyDescent="0.2">
      <c r="N3861" s="131"/>
    </row>
    <row r="3862" spans="14:14" x14ac:dyDescent="0.2">
      <c r="N3862" s="131"/>
    </row>
    <row r="3863" spans="14:14" x14ac:dyDescent="0.2">
      <c r="N3863" s="131"/>
    </row>
    <row r="3864" spans="14:14" x14ac:dyDescent="0.2">
      <c r="N3864" s="131"/>
    </row>
    <row r="3865" spans="14:14" x14ac:dyDescent="0.2">
      <c r="N3865" s="131"/>
    </row>
    <row r="3866" spans="14:14" x14ac:dyDescent="0.2">
      <c r="N3866" s="131"/>
    </row>
    <row r="3867" spans="14:14" x14ac:dyDescent="0.2">
      <c r="N3867" s="131"/>
    </row>
    <row r="3868" spans="14:14" x14ac:dyDescent="0.2">
      <c r="N3868" s="131"/>
    </row>
    <row r="3869" spans="14:14" x14ac:dyDescent="0.2">
      <c r="N3869" s="131"/>
    </row>
    <row r="3870" spans="14:14" x14ac:dyDescent="0.2">
      <c r="N3870" s="131"/>
    </row>
    <row r="3871" spans="14:14" x14ac:dyDescent="0.2">
      <c r="N3871" s="131"/>
    </row>
    <row r="3872" spans="14:14" x14ac:dyDescent="0.2">
      <c r="N3872" s="131"/>
    </row>
    <row r="3873" spans="14:14" x14ac:dyDescent="0.2">
      <c r="N3873" s="131"/>
    </row>
    <row r="3874" spans="14:14" x14ac:dyDescent="0.2">
      <c r="N3874" s="131"/>
    </row>
    <row r="3875" spans="14:14" x14ac:dyDescent="0.2">
      <c r="N3875" s="131"/>
    </row>
    <row r="3876" spans="14:14" x14ac:dyDescent="0.2">
      <c r="N3876" s="131"/>
    </row>
    <row r="3877" spans="14:14" x14ac:dyDescent="0.2">
      <c r="N3877" s="131"/>
    </row>
    <row r="3878" spans="14:14" x14ac:dyDescent="0.2">
      <c r="N3878" s="131"/>
    </row>
    <row r="3879" spans="14:14" x14ac:dyDescent="0.2">
      <c r="N3879" s="131"/>
    </row>
    <row r="3880" spans="14:14" x14ac:dyDescent="0.2">
      <c r="N3880" s="131"/>
    </row>
    <row r="3881" spans="14:14" x14ac:dyDescent="0.2">
      <c r="N3881" s="131"/>
    </row>
    <row r="3882" spans="14:14" x14ac:dyDescent="0.2">
      <c r="N3882" s="131"/>
    </row>
    <row r="3883" spans="14:14" x14ac:dyDescent="0.2">
      <c r="N3883" s="131"/>
    </row>
    <row r="3884" spans="14:14" x14ac:dyDescent="0.2">
      <c r="N3884" s="131"/>
    </row>
    <row r="3885" spans="14:14" x14ac:dyDescent="0.2">
      <c r="N3885" s="131"/>
    </row>
    <row r="3886" spans="14:14" x14ac:dyDescent="0.2">
      <c r="N3886" s="131"/>
    </row>
    <row r="3887" spans="14:14" x14ac:dyDescent="0.2">
      <c r="N3887" s="131"/>
    </row>
    <row r="3888" spans="14:14" x14ac:dyDescent="0.2">
      <c r="N3888" s="131"/>
    </row>
    <row r="3889" spans="14:14" x14ac:dyDescent="0.2">
      <c r="N3889" s="131"/>
    </row>
    <row r="3890" spans="14:14" x14ac:dyDescent="0.2">
      <c r="N3890" s="131"/>
    </row>
    <row r="3891" spans="14:14" x14ac:dyDescent="0.2">
      <c r="N3891" s="131"/>
    </row>
    <row r="3892" spans="14:14" x14ac:dyDescent="0.2">
      <c r="N3892" s="131"/>
    </row>
    <row r="3893" spans="14:14" x14ac:dyDescent="0.2">
      <c r="N3893" s="131"/>
    </row>
    <row r="3894" spans="14:14" x14ac:dyDescent="0.2">
      <c r="N3894" s="131"/>
    </row>
    <row r="3895" spans="14:14" x14ac:dyDescent="0.2">
      <c r="N3895" s="131"/>
    </row>
    <row r="3896" spans="14:14" x14ac:dyDescent="0.2">
      <c r="N3896" s="131"/>
    </row>
    <row r="3897" spans="14:14" x14ac:dyDescent="0.2">
      <c r="N3897" s="131"/>
    </row>
    <row r="3898" spans="14:14" x14ac:dyDescent="0.2">
      <c r="N3898" s="131"/>
    </row>
    <row r="3899" spans="14:14" x14ac:dyDescent="0.2">
      <c r="N3899" s="131"/>
    </row>
    <row r="3900" spans="14:14" x14ac:dyDescent="0.2">
      <c r="N3900" s="131"/>
    </row>
    <row r="3901" spans="14:14" x14ac:dyDescent="0.2">
      <c r="N3901" s="131"/>
    </row>
    <row r="3902" spans="14:14" x14ac:dyDescent="0.2">
      <c r="N3902" s="131"/>
    </row>
    <row r="3903" spans="14:14" x14ac:dyDescent="0.2">
      <c r="N3903" s="131"/>
    </row>
    <row r="3904" spans="14:14" x14ac:dyDescent="0.2">
      <c r="N3904" s="131"/>
    </row>
    <row r="3905" spans="14:14" x14ac:dyDescent="0.2">
      <c r="N3905" s="131"/>
    </row>
    <row r="3906" spans="14:14" x14ac:dyDescent="0.2">
      <c r="N3906" s="131"/>
    </row>
    <row r="3907" spans="14:14" x14ac:dyDescent="0.2">
      <c r="N3907" s="131"/>
    </row>
    <row r="3908" spans="14:14" x14ac:dyDescent="0.2">
      <c r="N3908" s="131"/>
    </row>
    <row r="3909" spans="14:14" x14ac:dyDescent="0.2">
      <c r="N3909" s="131"/>
    </row>
    <row r="3910" spans="14:14" x14ac:dyDescent="0.2">
      <c r="N3910" s="131"/>
    </row>
    <row r="3911" spans="14:14" x14ac:dyDescent="0.2">
      <c r="N3911" s="131"/>
    </row>
    <row r="3912" spans="14:14" x14ac:dyDescent="0.2">
      <c r="N3912" s="131"/>
    </row>
    <row r="3913" spans="14:14" x14ac:dyDescent="0.2">
      <c r="N3913" s="131"/>
    </row>
    <row r="3914" spans="14:14" x14ac:dyDescent="0.2">
      <c r="N3914" s="131"/>
    </row>
    <row r="3915" spans="14:14" x14ac:dyDescent="0.2">
      <c r="N3915" s="131"/>
    </row>
    <row r="3916" spans="14:14" x14ac:dyDescent="0.2">
      <c r="N3916" s="131"/>
    </row>
    <row r="3917" spans="14:14" x14ac:dyDescent="0.2">
      <c r="N3917" s="131"/>
    </row>
    <row r="3918" spans="14:14" x14ac:dyDescent="0.2">
      <c r="N3918" s="131"/>
    </row>
    <row r="3919" spans="14:14" x14ac:dyDescent="0.2">
      <c r="N3919" s="131"/>
    </row>
    <row r="3920" spans="14:14" x14ac:dyDescent="0.2">
      <c r="N3920" s="131"/>
    </row>
    <row r="3921" spans="14:14" x14ac:dyDescent="0.2">
      <c r="N3921" s="131"/>
    </row>
    <row r="3922" spans="14:14" x14ac:dyDescent="0.2">
      <c r="N3922" s="131"/>
    </row>
    <row r="3923" spans="14:14" x14ac:dyDescent="0.2">
      <c r="N3923" s="131"/>
    </row>
    <row r="3924" spans="14:14" x14ac:dyDescent="0.2">
      <c r="N3924" s="131"/>
    </row>
    <row r="3925" spans="14:14" x14ac:dyDescent="0.2">
      <c r="N3925" s="131"/>
    </row>
    <row r="3926" spans="14:14" x14ac:dyDescent="0.2">
      <c r="N3926" s="131"/>
    </row>
    <row r="3927" spans="14:14" x14ac:dyDescent="0.2">
      <c r="N3927" s="131"/>
    </row>
    <row r="3928" spans="14:14" x14ac:dyDescent="0.2">
      <c r="N3928" s="131"/>
    </row>
    <row r="3929" spans="14:14" x14ac:dyDescent="0.2">
      <c r="N3929" s="131"/>
    </row>
    <row r="3930" spans="14:14" x14ac:dyDescent="0.2">
      <c r="N3930" s="131"/>
    </row>
    <row r="3931" spans="14:14" x14ac:dyDescent="0.2">
      <c r="N3931" s="131"/>
    </row>
    <row r="3932" spans="14:14" x14ac:dyDescent="0.2">
      <c r="N3932" s="131"/>
    </row>
    <row r="3933" spans="14:14" x14ac:dyDescent="0.2">
      <c r="N3933" s="131"/>
    </row>
    <row r="3934" spans="14:14" x14ac:dyDescent="0.2">
      <c r="N3934" s="131"/>
    </row>
    <row r="3935" spans="14:14" x14ac:dyDescent="0.2">
      <c r="N3935" s="131"/>
    </row>
    <row r="3936" spans="14:14" x14ac:dyDescent="0.2">
      <c r="N3936" s="131"/>
    </row>
    <row r="3937" spans="14:14" x14ac:dyDescent="0.2">
      <c r="N3937" s="131"/>
    </row>
    <row r="3938" spans="14:14" x14ac:dyDescent="0.2">
      <c r="N3938" s="131"/>
    </row>
    <row r="3939" spans="14:14" x14ac:dyDescent="0.2">
      <c r="N3939" s="131"/>
    </row>
    <row r="3940" spans="14:14" x14ac:dyDescent="0.2">
      <c r="N3940" s="131"/>
    </row>
    <row r="3941" spans="14:14" x14ac:dyDescent="0.2">
      <c r="N3941" s="131"/>
    </row>
    <row r="3942" spans="14:14" x14ac:dyDescent="0.2">
      <c r="N3942" s="131"/>
    </row>
    <row r="3943" spans="14:14" x14ac:dyDescent="0.2">
      <c r="N3943" s="131"/>
    </row>
    <row r="3944" spans="14:14" x14ac:dyDescent="0.2">
      <c r="N3944" s="131"/>
    </row>
    <row r="3945" spans="14:14" x14ac:dyDescent="0.2">
      <c r="N3945" s="131"/>
    </row>
    <row r="3946" spans="14:14" x14ac:dyDescent="0.2">
      <c r="N3946" s="131"/>
    </row>
    <row r="3947" spans="14:14" x14ac:dyDescent="0.2">
      <c r="N3947" s="131"/>
    </row>
    <row r="3948" spans="14:14" x14ac:dyDescent="0.2">
      <c r="N3948" s="131"/>
    </row>
    <row r="3949" spans="14:14" x14ac:dyDescent="0.2">
      <c r="N3949" s="131"/>
    </row>
    <row r="3950" spans="14:14" x14ac:dyDescent="0.2">
      <c r="N3950" s="131"/>
    </row>
    <row r="3951" spans="14:14" x14ac:dyDescent="0.2">
      <c r="N3951" s="131"/>
    </row>
    <row r="3952" spans="14:14" x14ac:dyDescent="0.2">
      <c r="N3952" s="131"/>
    </row>
    <row r="3953" spans="14:14" x14ac:dyDescent="0.2">
      <c r="N3953" s="131"/>
    </row>
    <row r="3954" spans="14:14" x14ac:dyDescent="0.2">
      <c r="N3954" s="131"/>
    </row>
    <row r="3955" spans="14:14" x14ac:dyDescent="0.2">
      <c r="N3955" s="131"/>
    </row>
    <row r="3956" spans="14:14" x14ac:dyDescent="0.2">
      <c r="N3956" s="131"/>
    </row>
    <row r="3957" spans="14:14" x14ac:dyDescent="0.2">
      <c r="N3957" s="131"/>
    </row>
    <row r="3958" spans="14:14" x14ac:dyDescent="0.2">
      <c r="N3958" s="131"/>
    </row>
    <row r="3959" spans="14:14" x14ac:dyDescent="0.2">
      <c r="N3959" s="131"/>
    </row>
    <row r="3960" spans="14:14" x14ac:dyDescent="0.2">
      <c r="N3960" s="131"/>
    </row>
    <row r="3961" spans="14:14" x14ac:dyDescent="0.2">
      <c r="N3961" s="131"/>
    </row>
    <row r="3962" spans="14:14" x14ac:dyDescent="0.2">
      <c r="N3962" s="131"/>
    </row>
    <row r="3963" spans="14:14" x14ac:dyDescent="0.2">
      <c r="N3963" s="131"/>
    </row>
    <row r="3964" spans="14:14" x14ac:dyDescent="0.2">
      <c r="N3964" s="131"/>
    </row>
    <row r="3965" spans="14:14" x14ac:dyDescent="0.2">
      <c r="N3965" s="131"/>
    </row>
    <row r="3966" spans="14:14" x14ac:dyDescent="0.2">
      <c r="N3966" s="131"/>
    </row>
    <row r="3967" spans="14:14" x14ac:dyDescent="0.2">
      <c r="N3967" s="131"/>
    </row>
    <row r="3968" spans="14:14" x14ac:dyDescent="0.2">
      <c r="N3968" s="131"/>
    </row>
    <row r="3969" spans="14:14" x14ac:dyDescent="0.2">
      <c r="N3969" s="131"/>
    </row>
    <row r="3970" spans="14:14" x14ac:dyDescent="0.2">
      <c r="N3970" s="131"/>
    </row>
    <row r="3971" spans="14:14" x14ac:dyDescent="0.2">
      <c r="N3971" s="131"/>
    </row>
    <row r="3972" spans="14:14" x14ac:dyDescent="0.2">
      <c r="N3972" s="131"/>
    </row>
    <row r="3973" spans="14:14" x14ac:dyDescent="0.2">
      <c r="N3973" s="131"/>
    </row>
    <row r="3974" spans="14:14" x14ac:dyDescent="0.2">
      <c r="N3974" s="131"/>
    </row>
    <row r="3975" spans="14:14" x14ac:dyDescent="0.2">
      <c r="N3975" s="131"/>
    </row>
    <row r="3976" spans="14:14" x14ac:dyDescent="0.2">
      <c r="N3976" s="131"/>
    </row>
    <row r="3977" spans="14:14" x14ac:dyDescent="0.2">
      <c r="N3977" s="131"/>
    </row>
    <row r="3978" spans="14:14" x14ac:dyDescent="0.2">
      <c r="N3978" s="131"/>
    </row>
    <row r="3979" spans="14:14" x14ac:dyDescent="0.2">
      <c r="N3979" s="131"/>
    </row>
    <row r="3980" spans="14:14" x14ac:dyDescent="0.2">
      <c r="N3980" s="131"/>
    </row>
    <row r="3981" spans="14:14" x14ac:dyDescent="0.2">
      <c r="N3981" s="131"/>
    </row>
    <row r="3982" spans="14:14" x14ac:dyDescent="0.2">
      <c r="N3982" s="131"/>
    </row>
    <row r="3983" spans="14:14" x14ac:dyDescent="0.2">
      <c r="N3983" s="131"/>
    </row>
    <row r="3984" spans="14:14" x14ac:dyDescent="0.2">
      <c r="N3984" s="131"/>
    </row>
    <row r="3985" spans="14:14" x14ac:dyDescent="0.2">
      <c r="N3985" s="131"/>
    </row>
    <row r="3986" spans="14:14" x14ac:dyDescent="0.2">
      <c r="N3986" s="131"/>
    </row>
    <row r="3987" spans="14:14" x14ac:dyDescent="0.2">
      <c r="N3987" s="131"/>
    </row>
    <row r="3988" spans="14:14" x14ac:dyDescent="0.2">
      <c r="N3988" s="131"/>
    </row>
    <row r="3989" spans="14:14" x14ac:dyDescent="0.2">
      <c r="N3989" s="131"/>
    </row>
    <row r="3990" spans="14:14" x14ac:dyDescent="0.2">
      <c r="N3990" s="131"/>
    </row>
    <row r="3991" spans="14:14" x14ac:dyDescent="0.2">
      <c r="N3991" s="131"/>
    </row>
    <row r="3992" spans="14:14" x14ac:dyDescent="0.2">
      <c r="N3992" s="131"/>
    </row>
    <row r="3993" spans="14:14" x14ac:dyDescent="0.2">
      <c r="N3993" s="131"/>
    </row>
    <row r="3994" spans="14:14" x14ac:dyDescent="0.2">
      <c r="N3994" s="131"/>
    </row>
    <row r="3995" spans="14:14" x14ac:dyDescent="0.2">
      <c r="N3995" s="131"/>
    </row>
    <row r="3996" spans="14:14" x14ac:dyDescent="0.2">
      <c r="N3996" s="131"/>
    </row>
    <row r="3997" spans="14:14" x14ac:dyDescent="0.2">
      <c r="N3997" s="131"/>
    </row>
    <row r="3998" spans="14:14" x14ac:dyDescent="0.2">
      <c r="N3998" s="131"/>
    </row>
    <row r="3999" spans="14:14" x14ac:dyDescent="0.2">
      <c r="N3999" s="131"/>
    </row>
    <row r="4000" spans="14:14" x14ac:dyDescent="0.2">
      <c r="N4000" s="131"/>
    </row>
    <row r="4001" spans="14:14" x14ac:dyDescent="0.2">
      <c r="N4001" s="131"/>
    </row>
    <row r="4002" spans="14:14" x14ac:dyDescent="0.2">
      <c r="N4002" s="131"/>
    </row>
    <row r="4003" spans="14:14" x14ac:dyDescent="0.2">
      <c r="N4003" s="131"/>
    </row>
    <row r="4004" spans="14:14" x14ac:dyDescent="0.2">
      <c r="N4004" s="131"/>
    </row>
    <row r="4005" spans="14:14" x14ac:dyDescent="0.2">
      <c r="N4005" s="131"/>
    </row>
    <row r="4006" spans="14:14" x14ac:dyDescent="0.2">
      <c r="N4006" s="131"/>
    </row>
    <row r="4007" spans="14:14" x14ac:dyDescent="0.2">
      <c r="N4007" s="131"/>
    </row>
    <row r="4008" spans="14:14" x14ac:dyDescent="0.2">
      <c r="N4008" s="131"/>
    </row>
    <row r="4009" spans="14:14" x14ac:dyDescent="0.2">
      <c r="N4009" s="131"/>
    </row>
    <row r="4010" spans="14:14" x14ac:dyDescent="0.2">
      <c r="N4010" s="131"/>
    </row>
    <row r="4011" spans="14:14" x14ac:dyDescent="0.2">
      <c r="N4011" s="131"/>
    </row>
    <row r="4012" spans="14:14" x14ac:dyDescent="0.2">
      <c r="N4012" s="131"/>
    </row>
    <row r="4013" spans="14:14" x14ac:dyDescent="0.2">
      <c r="N4013" s="131"/>
    </row>
    <row r="4014" spans="14:14" x14ac:dyDescent="0.2">
      <c r="N4014" s="131"/>
    </row>
    <row r="4015" spans="14:14" x14ac:dyDescent="0.2">
      <c r="N4015" s="131"/>
    </row>
    <row r="4016" spans="14:14" x14ac:dyDescent="0.2">
      <c r="N4016" s="131"/>
    </row>
    <row r="4017" spans="14:14" x14ac:dyDescent="0.2">
      <c r="N4017" s="131"/>
    </row>
    <row r="4018" spans="14:14" x14ac:dyDescent="0.2">
      <c r="N4018" s="131"/>
    </row>
    <row r="4019" spans="14:14" x14ac:dyDescent="0.2">
      <c r="N4019" s="131"/>
    </row>
    <row r="4020" spans="14:14" x14ac:dyDescent="0.2">
      <c r="N4020" s="131"/>
    </row>
    <row r="4021" spans="14:14" x14ac:dyDescent="0.2">
      <c r="N4021" s="131"/>
    </row>
    <row r="4022" spans="14:14" x14ac:dyDescent="0.2">
      <c r="N4022" s="131"/>
    </row>
    <row r="4023" spans="14:14" x14ac:dyDescent="0.2">
      <c r="N4023" s="131"/>
    </row>
    <row r="4024" spans="14:14" x14ac:dyDescent="0.2">
      <c r="N4024" s="131"/>
    </row>
    <row r="4025" spans="14:14" x14ac:dyDescent="0.2">
      <c r="N4025" s="131"/>
    </row>
    <row r="4026" spans="14:14" x14ac:dyDescent="0.2">
      <c r="N4026" s="131"/>
    </row>
    <row r="4027" spans="14:14" x14ac:dyDescent="0.2">
      <c r="N4027" s="131"/>
    </row>
    <row r="4028" spans="14:14" x14ac:dyDescent="0.2">
      <c r="N4028" s="131"/>
    </row>
    <row r="4029" spans="14:14" x14ac:dyDescent="0.2">
      <c r="N4029" s="131"/>
    </row>
    <row r="4030" spans="14:14" x14ac:dyDescent="0.2">
      <c r="N4030" s="131"/>
    </row>
    <row r="4031" spans="14:14" x14ac:dyDescent="0.2">
      <c r="N4031" s="131"/>
    </row>
    <row r="4032" spans="14:14" x14ac:dyDescent="0.2">
      <c r="N4032" s="131"/>
    </row>
    <row r="4033" spans="14:14" x14ac:dyDescent="0.2">
      <c r="N4033" s="131"/>
    </row>
    <row r="4034" spans="14:14" x14ac:dyDescent="0.2">
      <c r="N4034" s="131"/>
    </row>
    <row r="4035" spans="14:14" x14ac:dyDescent="0.2">
      <c r="N4035" s="131"/>
    </row>
    <row r="4036" spans="14:14" x14ac:dyDescent="0.2">
      <c r="N4036" s="131"/>
    </row>
    <row r="4037" spans="14:14" x14ac:dyDescent="0.2">
      <c r="N4037" s="131"/>
    </row>
    <row r="4038" spans="14:14" x14ac:dyDescent="0.2">
      <c r="N4038" s="131"/>
    </row>
    <row r="4039" spans="14:14" x14ac:dyDescent="0.2">
      <c r="N4039" s="131"/>
    </row>
    <row r="4040" spans="14:14" x14ac:dyDescent="0.2">
      <c r="N4040" s="131"/>
    </row>
    <row r="4041" spans="14:14" x14ac:dyDescent="0.2">
      <c r="N4041" s="131"/>
    </row>
    <row r="4042" spans="14:14" x14ac:dyDescent="0.2">
      <c r="N4042" s="131"/>
    </row>
    <row r="4043" spans="14:14" x14ac:dyDescent="0.2">
      <c r="N4043" s="131"/>
    </row>
    <row r="4044" spans="14:14" x14ac:dyDescent="0.2">
      <c r="N4044" s="131"/>
    </row>
    <row r="4045" spans="14:14" x14ac:dyDescent="0.2">
      <c r="N4045" s="131"/>
    </row>
    <row r="4046" spans="14:14" x14ac:dyDescent="0.2">
      <c r="N4046" s="131"/>
    </row>
    <row r="4047" spans="14:14" x14ac:dyDescent="0.2">
      <c r="N4047" s="131"/>
    </row>
    <row r="4048" spans="14:14" x14ac:dyDescent="0.2">
      <c r="N4048" s="131"/>
    </row>
    <row r="4049" spans="14:14" x14ac:dyDescent="0.2">
      <c r="N4049" s="131"/>
    </row>
    <row r="4050" spans="14:14" x14ac:dyDescent="0.2">
      <c r="N4050" s="131"/>
    </row>
    <row r="4051" spans="14:14" x14ac:dyDescent="0.2">
      <c r="N4051" s="131"/>
    </row>
    <row r="4052" spans="14:14" x14ac:dyDescent="0.2">
      <c r="N4052" s="131"/>
    </row>
    <row r="4053" spans="14:14" x14ac:dyDescent="0.2">
      <c r="N4053" s="131"/>
    </row>
    <row r="4054" spans="14:14" x14ac:dyDescent="0.2">
      <c r="N4054" s="131"/>
    </row>
    <row r="4055" spans="14:14" x14ac:dyDescent="0.2">
      <c r="N4055" s="131"/>
    </row>
    <row r="4056" spans="14:14" x14ac:dyDescent="0.2">
      <c r="N4056" s="131"/>
    </row>
    <row r="4057" spans="14:14" x14ac:dyDescent="0.2">
      <c r="N4057" s="131"/>
    </row>
    <row r="4058" spans="14:14" x14ac:dyDescent="0.2">
      <c r="N4058" s="131"/>
    </row>
    <row r="4059" spans="14:14" x14ac:dyDescent="0.2">
      <c r="N4059" s="131"/>
    </row>
    <row r="4060" spans="14:14" x14ac:dyDescent="0.2">
      <c r="N4060" s="131"/>
    </row>
    <row r="4061" spans="14:14" x14ac:dyDescent="0.2">
      <c r="N4061" s="131"/>
    </row>
    <row r="4062" spans="14:14" x14ac:dyDescent="0.2">
      <c r="N4062" s="131"/>
    </row>
    <row r="4063" spans="14:14" x14ac:dyDescent="0.2">
      <c r="N4063" s="131"/>
    </row>
    <row r="4064" spans="14:14" x14ac:dyDescent="0.2">
      <c r="N4064" s="131"/>
    </row>
    <row r="4065" spans="14:14" x14ac:dyDescent="0.2">
      <c r="N4065" s="131"/>
    </row>
    <row r="4066" spans="14:14" x14ac:dyDescent="0.2">
      <c r="N4066" s="131"/>
    </row>
    <row r="4067" spans="14:14" x14ac:dyDescent="0.2">
      <c r="N4067" s="131"/>
    </row>
    <row r="4068" spans="14:14" x14ac:dyDescent="0.2">
      <c r="N4068" s="131"/>
    </row>
    <row r="4069" spans="14:14" x14ac:dyDescent="0.2">
      <c r="N4069" s="131"/>
    </row>
    <row r="4070" spans="14:14" x14ac:dyDescent="0.2">
      <c r="N4070" s="131"/>
    </row>
    <row r="4071" spans="14:14" x14ac:dyDescent="0.2">
      <c r="N4071" s="131"/>
    </row>
    <row r="4072" spans="14:14" x14ac:dyDescent="0.2">
      <c r="N4072" s="131"/>
    </row>
    <row r="4073" spans="14:14" x14ac:dyDescent="0.2">
      <c r="N4073" s="131"/>
    </row>
    <row r="4074" spans="14:14" x14ac:dyDescent="0.2">
      <c r="N4074" s="131"/>
    </row>
    <row r="4075" spans="14:14" x14ac:dyDescent="0.2">
      <c r="N4075" s="131"/>
    </row>
    <row r="4076" spans="14:14" x14ac:dyDescent="0.2">
      <c r="N4076" s="131"/>
    </row>
    <row r="4077" spans="14:14" x14ac:dyDescent="0.2">
      <c r="N4077" s="131"/>
    </row>
    <row r="4078" spans="14:14" x14ac:dyDescent="0.2">
      <c r="N4078" s="131"/>
    </row>
    <row r="4079" spans="14:14" x14ac:dyDescent="0.2">
      <c r="N4079" s="131"/>
    </row>
    <row r="4080" spans="14:14" x14ac:dyDescent="0.2">
      <c r="N4080" s="131"/>
    </row>
    <row r="4081" spans="14:14" x14ac:dyDescent="0.2">
      <c r="N4081" s="131"/>
    </row>
    <row r="4082" spans="14:14" x14ac:dyDescent="0.2">
      <c r="N4082" s="131"/>
    </row>
    <row r="4083" spans="14:14" x14ac:dyDescent="0.2">
      <c r="N4083" s="131"/>
    </row>
    <row r="4084" spans="14:14" x14ac:dyDescent="0.2">
      <c r="N4084" s="131"/>
    </row>
    <row r="4085" spans="14:14" x14ac:dyDescent="0.2">
      <c r="N4085" s="131"/>
    </row>
    <row r="4086" spans="14:14" x14ac:dyDescent="0.2">
      <c r="N4086" s="131"/>
    </row>
    <row r="4087" spans="14:14" x14ac:dyDescent="0.2">
      <c r="N4087" s="131"/>
    </row>
    <row r="4088" spans="14:14" x14ac:dyDescent="0.2">
      <c r="N4088" s="131"/>
    </row>
    <row r="4089" spans="14:14" x14ac:dyDescent="0.2">
      <c r="N4089" s="131"/>
    </row>
    <row r="4090" spans="14:14" x14ac:dyDescent="0.2">
      <c r="N4090" s="131"/>
    </row>
    <row r="4091" spans="14:14" x14ac:dyDescent="0.2">
      <c r="N4091" s="131"/>
    </row>
    <row r="4092" spans="14:14" x14ac:dyDescent="0.2">
      <c r="N4092" s="131"/>
    </row>
    <row r="4093" spans="14:14" x14ac:dyDescent="0.2">
      <c r="N4093" s="131"/>
    </row>
    <row r="4094" spans="14:14" x14ac:dyDescent="0.2">
      <c r="N4094" s="131"/>
    </row>
    <row r="4095" spans="14:14" x14ac:dyDescent="0.2">
      <c r="N4095" s="131"/>
    </row>
    <row r="4096" spans="14:14" x14ac:dyDescent="0.2">
      <c r="N4096" s="131"/>
    </row>
    <row r="4097" spans="14:14" x14ac:dyDescent="0.2">
      <c r="N4097" s="131"/>
    </row>
    <row r="4098" spans="14:14" x14ac:dyDescent="0.2">
      <c r="N4098" s="131"/>
    </row>
    <row r="4099" spans="14:14" x14ac:dyDescent="0.2">
      <c r="N4099" s="131"/>
    </row>
    <row r="4100" spans="14:14" x14ac:dyDescent="0.2">
      <c r="N4100" s="131"/>
    </row>
    <row r="4101" spans="14:14" x14ac:dyDescent="0.2">
      <c r="N4101" s="131"/>
    </row>
    <row r="4102" spans="14:14" x14ac:dyDescent="0.2">
      <c r="N4102" s="131"/>
    </row>
    <row r="4103" spans="14:14" x14ac:dyDescent="0.2">
      <c r="N4103" s="131"/>
    </row>
    <row r="4104" spans="14:14" x14ac:dyDescent="0.2">
      <c r="N4104" s="131"/>
    </row>
    <row r="4105" spans="14:14" x14ac:dyDescent="0.2">
      <c r="N4105" s="131"/>
    </row>
    <row r="4106" spans="14:14" x14ac:dyDescent="0.2">
      <c r="N4106" s="131"/>
    </row>
    <row r="4107" spans="14:14" x14ac:dyDescent="0.2">
      <c r="N4107" s="131"/>
    </row>
    <row r="4108" spans="14:14" x14ac:dyDescent="0.2">
      <c r="N4108" s="131"/>
    </row>
    <row r="4109" spans="14:14" x14ac:dyDescent="0.2">
      <c r="N4109" s="131"/>
    </row>
    <row r="4110" spans="14:14" x14ac:dyDescent="0.2">
      <c r="N4110" s="131"/>
    </row>
    <row r="4111" spans="14:14" x14ac:dyDescent="0.2">
      <c r="N4111" s="131"/>
    </row>
    <row r="4112" spans="14:14" x14ac:dyDescent="0.2">
      <c r="N4112" s="131"/>
    </row>
    <row r="4113" spans="14:14" x14ac:dyDescent="0.2">
      <c r="N4113" s="131"/>
    </row>
    <row r="4114" spans="14:14" x14ac:dyDescent="0.2">
      <c r="N4114" s="131"/>
    </row>
    <row r="4115" spans="14:14" x14ac:dyDescent="0.2">
      <c r="N4115" s="131"/>
    </row>
    <row r="4116" spans="14:14" x14ac:dyDescent="0.2">
      <c r="N4116" s="131"/>
    </row>
    <row r="4117" spans="14:14" x14ac:dyDescent="0.2">
      <c r="N4117" s="131"/>
    </row>
    <row r="4118" spans="14:14" x14ac:dyDescent="0.2">
      <c r="N4118" s="131"/>
    </row>
    <row r="4119" spans="14:14" x14ac:dyDescent="0.2">
      <c r="N4119" s="131"/>
    </row>
    <row r="4120" spans="14:14" x14ac:dyDescent="0.2">
      <c r="N4120" s="131"/>
    </row>
    <row r="4121" spans="14:14" x14ac:dyDescent="0.2">
      <c r="N4121" s="131"/>
    </row>
    <row r="4122" spans="14:14" x14ac:dyDescent="0.2">
      <c r="N4122" s="131"/>
    </row>
    <row r="4123" spans="14:14" x14ac:dyDescent="0.2">
      <c r="N4123" s="131"/>
    </row>
    <row r="4124" spans="14:14" x14ac:dyDescent="0.2">
      <c r="N4124" s="131"/>
    </row>
    <row r="4125" spans="14:14" x14ac:dyDescent="0.2">
      <c r="N4125" s="131"/>
    </row>
    <row r="4126" spans="14:14" x14ac:dyDescent="0.2">
      <c r="N4126" s="131"/>
    </row>
    <row r="4127" spans="14:14" x14ac:dyDescent="0.2">
      <c r="N4127" s="131"/>
    </row>
    <row r="4128" spans="14:14" x14ac:dyDescent="0.2">
      <c r="N4128" s="131"/>
    </row>
    <row r="4129" spans="14:14" x14ac:dyDescent="0.2">
      <c r="N4129" s="131"/>
    </row>
    <row r="4130" spans="14:14" x14ac:dyDescent="0.2">
      <c r="N4130" s="131"/>
    </row>
    <row r="4131" spans="14:14" x14ac:dyDescent="0.2">
      <c r="N4131" s="131"/>
    </row>
    <row r="4132" spans="14:14" x14ac:dyDescent="0.2">
      <c r="N4132" s="131"/>
    </row>
    <row r="4133" spans="14:14" x14ac:dyDescent="0.2">
      <c r="N4133" s="131"/>
    </row>
    <row r="4134" spans="14:14" x14ac:dyDescent="0.2">
      <c r="N4134" s="131"/>
    </row>
    <row r="4135" spans="14:14" x14ac:dyDescent="0.2">
      <c r="N4135" s="131"/>
    </row>
    <row r="4136" spans="14:14" x14ac:dyDescent="0.2">
      <c r="N4136" s="131"/>
    </row>
    <row r="4137" spans="14:14" x14ac:dyDescent="0.2">
      <c r="N4137" s="131"/>
    </row>
    <row r="4138" spans="14:14" x14ac:dyDescent="0.2">
      <c r="N4138" s="131"/>
    </row>
    <row r="4139" spans="14:14" x14ac:dyDescent="0.2">
      <c r="N4139" s="131"/>
    </row>
    <row r="4140" spans="14:14" x14ac:dyDescent="0.2">
      <c r="N4140" s="131"/>
    </row>
    <row r="4141" spans="14:14" x14ac:dyDescent="0.2">
      <c r="N4141" s="131"/>
    </row>
    <row r="4142" spans="14:14" x14ac:dyDescent="0.2">
      <c r="N4142" s="131"/>
    </row>
    <row r="4143" spans="14:14" x14ac:dyDescent="0.2">
      <c r="N4143" s="131"/>
    </row>
    <row r="4144" spans="14:14" x14ac:dyDescent="0.2">
      <c r="N4144" s="131"/>
    </row>
    <row r="4145" spans="14:14" x14ac:dyDescent="0.2">
      <c r="N4145" s="131"/>
    </row>
    <row r="4146" spans="14:14" x14ac:dyDescent="0.2">
      <c r="N4146" s="131"/>
    </row>
    <row r="4147" spans="14:14" x14ac:dyDescent="0.2">
      <c r="N4147" s="131"/>
    </row>
    <row r="4148" spans="14:14" x14ac:dyDescent="0.2">
      <c r="N4148" s="131"/>
    </row>
    <row r="4149" spans="14:14" x14ac:dyDescent="0.2">
      <c r="N4149" s="131"/>
    </row>
    <row r="4150" spans="14:14" x14ac:dyDescent="0.2">
      <c r="N4150" s="131"/>
    </row>
    <row r="4151" spans="14:14" x14ac:dyDescent="0.2">
      <c r="N4151" s="131"/>
    </row>
    <row r="4152" spans="14:14" x14ac:dyDescent="0.2">
      <c r="N4152" s="131"/>
    </row>
    <row r="4153" spans="14:14" x14ac:dyDescent="0.2">
      <c r="N4153" s="131"/>
    </row>
    <row r="4154" spans="14:14" x14ac:dyDescent="0.2">
      <c r="N4154" s="131"/>
    </row>
    <row r="4155" spans="14:14" x14ac:dyDescent="0.2">
      <c r="N4155" s="131"/>
    </row>
    <row r="4156" spans="14:14" x14ac:dyDescent="0.2">
      <c r="N4156" s="131"/>
    </row>
    <row r="4157" spans="14:14" x14ac:dyDescent="0.2">
      <c r="N4157" s="131"/>
    </row>
    <row r="4158" spans="14:14" x14ac:dyDescent="0.2">
      <c r="N4158" s="131"/>
    </row>
    <row r="4159" spans="14:14" x14ac:dyDescent="0.2">
      <c r="N4159" s="131"/>
    </row>
    <row r="4160" spans="14:14" x14ac:dyDescent="0.2">
      <c r="N4160" s="131"/>
    </row>
    <row r="4161" spans="14:14" x14ac:dyDescent="0.2">
      <c r="N4161" s="131"/>
    </row>
    <row r="4162" spans="14:14" x14ac:dyDescent="0.2">
      <c r="N4162" s="131"/>
    </row>
    <row r="4163" spans="14:14" x14ac:dyDescent="0.2">
      <c r="N4163" s="131"/>
    </row>
    <row r="4164" spans="14:14" x14ac:dyDescent="0.2">
      <c r="N4164" s="131"/>
    </row>
    <row r="4165" spans="14:14" x14ac:dyDescent="0.2">
      <c r="N4165" s="131"/>
    </row>
    <row r="4166" spans="14:14" x14ac:dyDescent="0.2">
      <c r="N4166" s="131"/>
    </row>
    <row r="4167" spans="14:14" x14ac:dyDescent="0.2">
      <c r="N4167" s="131"/>
    </row>
    <row r="4168" spans="14:14" x14ac:dyDescent="0.2">
      <c r="N4168" s="131"/>
    </row>
    <row r="4169" spans="14:14" x14ac:dyDescent="0.2">
      <c r="N4169" s="131"/>
    </row>
    <row r="4170" spans="14:14" x14ac:dyDescent="0.2">
      <c r="N4170" s="131"/>
    </row>
    <row r="4171" spans="14:14" x14ac:dyDescent="0.2">
      <c r="N4171" s="131"/>
    </row>
    <row r="4172" spans="14:14" x14ac:dyDescent="0.2">
      <c r="N4172" s="131"/>
    </row>
    <row r="4173" spans="14:14" x14ac:dyDescent="0.2">
      <c r="N4173" s="131"/>
    </row>
    <row r="4174" spans="14:14" x14ac:dyDescent="0.2">
      <c r="N4174" s="131"/>
    </row>
    <row r="4175" spans="14:14" x14ac:dyDescent="0.2">
      <c r="N4175" s="131"/>
    </row>
    <row r="4176" spans="14:14" x14ac:dyDescent="0.2">
      <c r="N4176" s="131"/>
    </row>
    <row r="4177" spans="14:14" x14ac:dyDescent="0.2">
      <c r="N4177" s="131"/>
    </row>
    <row r="4178" spans="14:14" x14ac:dyDescent="0.2">
      <c r="N4178" s="131"/>
    </row>
    <row r="4179" spans="14:14" x14ac:dyDescent="0.2">
      <c r="N4179" s="131"/>
    </row>
    <row r="4180" spans="14:14" x14ac:dyDescent="0.2">
      <c r="N4180" s="131"/>
    </row>
    <row r="4181" spans="14:14" x14ac:dyDescent="0.2">
      <c r="N4181" s="131"/>
    </row>
    <row r="4182" spans="14:14" x14ac:dyDescent="0.2">
      <c r="N4182" s="131"/>
    </row>
    <row r="4183" spans="14:14" x14ac:dyDescent="0.2">
      <c r="N4183" s="131"/>
    </row>
    <row r="4184" spans="14:14" x14ac:dyDescent="0.2">
      <c r="N4184" s="131"/>
    </row>
    <row r="4185" spans="14:14" x14ac:dyDescent="0.2">
      <c r="N4185" s="131"/>
    </row>
    <row r="4186" spans="14:14" x14ac:dyDescent="0.2">
      <c r="N4186" s="131"/>
    </row>
    <row r="4187" spans="14:14" x14ac:dyDescent="0.2">
      <c r="N4187" s="131"/>
    </row>
    <row r="4188" spans="14:14" x14ac:dyDescent="0.2">
      <c r="N4188" s="131"/>
    </row>
    <row r="4189" spans="14:14" x14ac:dyDescent="0.2">
      <c r="N4189" s="131"/>
    </row>
    <row r="4190" spans="14:14" x14ac:dyDescent="0.2">
      <c r="N4190" s="131"/>
    </row>
    <row r="4191" spans="14:14" x14ac:dyDescent="0.2">
      <c r="N4191" s="131"/>
    </row>
    <row r="4192" spans="14:14" x14ac:dyDescent="0.2">
      <c r="N4192" s="131"/>
    </row>
    <row r="4193" spans="14:14" x14ac:dyDescent="0.2">
      <c r="N4193" s="131"/>
    </row>
    <row r="4194" spans="14:14" x14ac:dyDescent="0.2">
      <c r="N4194" s="131"/>
    </row>
    <row r="4195" spans="14:14" x14ac:dyDescent="0.2">
      <c r="N4195" s="131"/>
    </row>
    <row r="4196" spans="14:14" x14ac:dyDescent="0.2">
      <c r="N4196" s="131"/>
    </row>
    <row r="4197" spans="14:14" x14ac:dyDescent="0.2">
      <c r="N4197" s="131"/>
    </row>
    <row r="4198" spans="14:14" x14ac:dyDescent="0.2">
      <c r="N4198" s="131"/>
    </row>
    <row r="4199" spans="14:14" x14ac:dyDescent="0.2">
      <c r="N4199" s="131"/>
    </row>
    <row r="4200" spans="14:14" x14ac:dyDescent="0.2">
      <c r="N4200" s="131"/>
    </row>
    <row r="4201" spans="14:14" x14ac:dyDescent="0.2">
      <c r="N4201" s="131"/>
    </row>
    <row r="4202" spans="14:14" x14ac:dyDescent="0.2">
      <c r="N4202" s="131"/>
    </row>
    <row r="4203" spans="14:14" x14ac:dyDescent="0.2">
      <c r="N4203" s="131"/>
    </row>
    <row r="4204" spans="14:14" x14ac:dyDescent="0.2">
      <c r="N4204" s="131"/>
    </row>
    <row r="4205" spans="14:14" x14ac:dyDescent="0.2">
      <c r="N4205" s="131"/>
    </row>
    <row r="4206" spans="14:14" x14ac:dyDescent="0.2">
      <c r="N4206" s="131"/>
    </row>
    <row r="4207" spans="14:14" x14ac:dyDescent="0.2">
      <c r="N4207" s="131"/>
    </row>
    <row r="4208" spans="14:14" x14ac:dyDescent="0.2">
      <c r="N4208" s="131"/>
    </row>
    <row r="4209" spans="14:14" x14ac:dyDescent="0.2">
      <c r="N4209" s="131"/>
    </row>
    <row r="4210" spans="14:14" x14ac:dyDescent="0.2">
      <c r="N4210" s="131"/>
    </row>
    <row r="4211" spans="14:14" x14ac:dyDescent="0.2">
      <c r="N4211" s="131"/>
    </row>
    <row r="4212" spans="14:14" x14ac:dyDescent="0.2">
      <c r="N4212" s="131"/>
    </row>
    <row r="4213" spans="14:14" x14ac:dyDescent="0.2">
      <c r="N4213" s="131"/>
    </row>
    <row r="4214" spans="14:14" x14ac:dyDescent="0.2">
      <c r="N4214" s="131"/>
    </row>
    <row r="4215" spans="14:14" x14ac:dyDescent="0.2">
      <c r="N4215" s="131"/>
    </row>
    <row r="4216" spans="14:14" x14ac:dyDescent="0.2">
      <c r="N4216" s="131"/>
    </row>
    <row r="4217" spans="14:14" x14ac:dyDescent="0.2">
      <c r="N4217" s="131"/>
    </row>
    <row r="4218" spans="14:14" x14ac:dyDescent="0.2">
      <c r="N4218" s="131"/>
    </row>
    <row r="4219" spans="14:14" x14ac:dyDescent="0.2">
      <c r="N4219" s="131"/>
    </row>
    <row r="4220" spans="14:14" x14ac:dyDescent="0.2">
      <c r="N4220" s="131"/>
    </row>
    <row r="4221" spans="14:14" x14ac:dyDescent="0.2">
      <c r="N4221" s="131"/>
    </row>
    <row r="4222" spans="14:14" x14ac:dyDescent="0.2">
      <c r="N4222" s="131"/>
    </row>
    <row r="4223" spans="14:14" x14ac:dyDescent="0.2">
      <c r="N4223" s="131"/>
    </row>
    <row r="4224" spans="14:14" x14ac:dyDescent="0.2">
      <c r="N4224" s="131"/>
    </row>
    <row r="4225" spans="14:14" x14ac:dyDescent="0.2">
      <c r="N4225" s="131"/>
    </row>
    <row r="4226" spans="14:14" x14ac:dyDescent="0.2">
      <c r="N4226" s="131"/>
    </row>
    <row r="4227" spans="14:14" x14ac:dyDescent="0.2">
      <c r="N4227" s="131"/>
    </row>
    <row r="4228" spans="14:14" x14ac:dyDescent="0.2">
      <c r="N4228" s="131"/>
    </row>
    <row r="4229" spans="14:14" x14ac:dyDescent="0.2">
      <c r="N4229" s="131"/>
    </row>
    <row r="4230" spans="14:14" x14ac:dyDescent="0.2">
      <c r="N4230" s="131"/>
    </row>
    <row r="4231" spans="14:14" x14ac:dyDescent="0.2">
      <c r="N4231" s="131"/>
    </row>
    <row r="4232" spans="14:14" x14ac:dyDescent="0.2">
      <c r="N4232" s="131"/>
    </row>
    <row r="4233" spans="14:14" x14ac:dyDescent="0.2">
      <c r="N4233" s="131"/>
    </row>
    <row r="4234" spans="14:14" x14ac:dyDescent="0.2">
      <c r="N4234" s="131"/>
    </row>
    <row r="4235" spans="14:14" x14ac:dyDescent="0.2">
      <c r="N4235" s="131"/>
    </row>
    <row r="4236" spans="14:14" x14ac:dyDescent="0.2">
      <c r="N4236" s="131"/>
    </row>
    <row r="4237" spans="14:14" x14ac:dyDescent="0.2">
      <c r="N4237" s="131"/>
    </row>
    <row r="4238" spans="14:14" x14ac:dyDescent="0.2">
      <c r="N4238" s="131"/>
    </row>
    <row r="4239" spans="14:14" x14ac:dyDescent="0.2">
      <c r="N4239" s="131"/>
    </row>
    <row r="4240" spans="14:14" x14ac:dyDescent="0.2">
      <c r="N4240" s="131"/>
    </row>
    <row r="4241" spans="14:14" x14ac:dyDescent="0.2">
      <c r="N4241" s="131"/>
    </row>
    <row r="4242" spans="14:14" x14ac:dyDescent="0.2">
      <c r="N4242" s="131"/>
    </row>
    <row r="4243" spans="14:14" x14ac:dyDescent="0.2">
      <c r="N4243" s="131"/>
    </row>
    <row r="4244" spans="14:14" x14ac:dyDescent="0.2">
      <c r="N4244" s="131"/>
    </row>
    <row r="4245" spans="14:14" x14ac:dyDescent="0.2">
      <c r="N4245" s="131"/>
    </row>
    <row r="4246" spans="14:14" x14ac:dyDescent="0.2">
      <c r="N4246" s="131"/>
    </row>
    <row r="4247" spans="14:14" x14ac:dyDescent="0.2">
      <c r="N4247" s="131"/>
    </row>
    <row r="4248" spans="14:14" x14ac:dyDescent="0.2">
      <c r="N4248" s="131"/>
    </row>
    <row r="4249" spans="14:14" x14ac:dyDescent="0.2">
      <c r="N4249" s="131"/>
    </row>
    <row r="4250" spans="14:14" x14ac:dyDescent="0.2">
      <c r="N4250" s="131"/>
    </row>
    <row r="4251" spans="14:14" x14ac:dyDescent="0.2">
      <c r="N4251" s="131"/>
    </row>
    <row r="4252" spans="14:14" x14ac:dyDescent="0.2">
      <c r="N4252" s="131"/>
    </row>
    <row r="4253" spans="14:14" x14ac:dyDescent="0.2">
      <c r="N4253" s="131"/>
    </row>
    <row r="4254" spans="14:14" x14ac:dyDescent="0.2">
      <c r="N4254" s="131"/>
    </row>
    <row r="4255" spans="14:14" x14ac:dyDescent="0.2">
      <c r="N4255" s="131"/>
    </row>
    <row r="4256" spans="14:14" x14ac:dyDescent="0.2">
      <c r="N4256" s="131"/>
    </row>
    <row r="4257" spans="14:14" x14ac:dyDescent="0.2">
      <c r="N4257" s="131"/>
    </row>
    <row r="4258" spans="14:14" x14ac:dyDescent="0.2">
      <c r="N4258" s="131"/>
    </row>
    <row r="4259" spans="14:14" x14ac:dyDescent="0.2">
      <c r="N4259" s="131"/>
    </row>
    <row r="4260" spans="14:14" x14ac:dyDescent="0.2">
      <c r="N4260" s="131"/>
    </row>
    <row r="4261" spans="14:14" x14ac:dyDescent="0.2">
      <c r="N4261" s="131"/>
    </row>
    <row r="4262" spans="14:14" x14ac:dyDescent="0.2">
      <c r="N4262" s="131"/>
    </row>
    <row r="4263" spans="14:14" x14ac:dyDescent="0.2">
      <c r="N4263" s="131"/>
    </row>
    <row r="4264" spans="14:14" x14ac:dyDescent="0.2">
      <c r="N4264" s="131"/>
    </row>
    <row r="4265" spans="14:14" x14ac:dyDescent="0.2">
      <c r="N4265" s="131"/>
    </row>
    <row r="4266" spans="14:14" x14ac:dyDescent="0.2">
      <c r="N4266" s="131"/>
    </row>
    <row r="4267" spans="14:14" x14ac:dyDescent="0.2">
      <c r="N4267" s="131"/>
    </row>
    <row r="4268" spans="14:14" x14ac:dyDescent="0.2">
      <c r="N4268" s="131"/>
    </row>
    <row r="4269" spans="14:14" x14ac:dyDescent="0.2">
      <c r="N4269" s="131"/>
    </row>
    <row r="4270" spans="14:14" x14ac:dyDescent="0.2">
      <c r="N4270" s="131"/>
    </row>
    <row r="4271" spans="14:14" x14ac:dyDescent="0.2">
      <c r="N4271" s="131"/>
    </row>
    <row r="4272" spans="14:14" x14ac:dyDescent="0.2">
      <c r="N4272" s="131"/>
    </row>
    <row r="4273" spans="14:14" x14ac:dyDescent="0.2">
      <c r="N4273" s="131"/>
    </row>
    <row r="4274" spans="14:14" x14ac:dyDescent="0.2">
      <c r="N4274" s="131"/>
    </row>
    <row r="4275" spans="14:14" x14ac:dyDescent="0.2">
      <c r="N4275" s="131"/>
    </row>
    <row r="4276" spans="14:14" x14ac:dyDescent="0.2">
      <c r="N4276" s="131"/>
    </row>
    <row r="4277" spans="14:14" x14ac:dyDescent="0.2">
      <c r="N4277" s="131"/>
    </row>
    <row r="4278" spans="14:14" x14ac:dyDescent="0.2">
      <c r="N4278" s="131"/>
    </row>
    <row r="4279" spans="14:14" x14ac:dyDescent="0.2">
      <c r="N4279" s="131"/>
    </row>
    <row r="4280" spans="14:14" x14ac:dyDescent="0.2">
      <c r="N4280" s="131"/>
    </row>
    <row r="4281" spans="14:14" x14ac:dyDescent="0.2">
      <c r="N4281" s="131"/>
    </row>
    <row r="4282" spans="14:14" x14ac:dyDescent="0.2">
      <c r="N4282" s="131"/>
    </row>
    <row r="4283" spans="14:14" x14ac:dyDescent="0.2">
      <c r="N4283" s="131"/>
    </row>
    <row r="4284" spans="14:14" x14ac:dyDescent="0.2">
      <c r="N4284" s="131"/>
    </row>
    <row r="4285" spans="14:14" x14ac:dyDescent="0.2">
      <c r="N4285" s="131"/>
    </row>
    <row r="4286" spans="14:14" x14ac:dyDescent="0.2">
      <c r="N4286" s="131"/>
    </row>
    <row r="4287" spans="14:14" x14ac:dyDescent="0.2">
      <c r="N4287" s="131"/>
    </row>
    <row r="4288" spans="14:14" x14ac:dyDescent="0.2">
      <c r="N4288" s="131"/>
    </row>
    <row r="4289" spans="14:14" x14ac:dyDescent="0.2">
      <c r="N4289" s="131"/>
    </row>
    <row r="4290" spans="14:14" x14ac:dyDescent="0.2">
      <c r="N4290" s="131"/>
    </row>
    <row r="4291" spans="14:14" x14ac:dyDescent="0.2">
      <c r="N4291" s="131"/>
    </row>
    <row r="4292" spans="14:14" x14ac:dyDescent="0.2">
      <c r="N4292" s="131"/>
    </row>
    <row r="4293" spans="14:14" x14ac:dyDescent="0.2">
      <c r="N4293" s="131"/>
    </row>
    <row r="4294" spans="14:14" x14ac:dyDescent="0.2">
      <c r="N4294" s="131"/>
    </row>
    <row r="4295" spans="14:14" x14ac:dyDescent="0.2">
      <c r="N4295" s="131"/>
    </row>
    <row r="4296" spans="14:14" x14ac:dyDescent="0.2">
      <c r="N4296" s="131"/>
    </row>
    <row r="4297" spans="14:14" x14ac:dyDescent="0.2">
      <c r="N4297" s="131"/>
    </row>
    <row r="4298" spans="14:14" x14ac:dyDescent="0.2">
      <c r="N4298" s="131"/>
    </row>
    <row r="4299" spans="14:14" x14ac:dyDescent="0.2">
      <c r="N4299" s="131"/>
    </row>
    <row r="4300" spans="14:14" x14ac:dyDescent="0.2">
      <c r="N4300" s="131"/>
    </row>
    <row r="4301" spans="14:14" x14ac:dyDescent="0.2">
      <c r="N4301" s="131"/>
    </row>
    <row r="4302" spans="14:14" x14ac:dyDescent="0.2">
      <c r="N4302" s="131"/>
    </row>
    <row r="4303" spans="14:14" x14ac:dyDescent="0.2">
      <c r="N4303" s="131"/>
    </row>
    <row r="4304" spans="14:14" x14ac:dyDescent="0.2">
      <c r="N4304" s="131"/>
    </row>
    <row r="4305" spans="14:14" x14ac:dyDescent="0.2">
      <c r="N4305" s="131"/>
    </row>
    <row r="4306" spans="14:14" x14ac:dyDescent="0.2">
      <c r="N4306" s="131"/>
    </row>
    <row r="4307" spans="14:14" x14ac:dyDescent="0.2">
      <c r="N4307" s="131"/>
    </row>
    <row r="4308" spans="14:14" x14ac:dyDescent="0.2">
      <c r="N4308" s="131"/>
    </row>
    <row r="4309" spans="14:14" x14ac:dyDescent="0.2">
      <c r="N4309" s="131"/>
    </row>
    <row r="4310" spans="14:14" x14ac:dyDescent="0.2">
      <c r="N4310" s="131"/>
    </row>
    <row r="4311" spans="14:14" x14ac:dyDescent="0.2">
      <c r="N4311" s="131"/>
    </row>
    <row r="4312" spans="14:14" x14ac:dyDescent="0.2">
      <c r="N4312" s="131"/>
    </row>
    <row r="4313" spans="14:14" x14ac:dyDescent="0.2">
      <c r="N4313" s="131"/>
    </row>
    <row r="4314" spans="14:14" x14ac:dyDescent="0.2">
      <c r="N4314" s="131"/>
    </row>
    <row r="4315" spans="14:14" x14ac:dyDescent="0.2">
      <c r="N4315" s="131"/>
    </row>
    <row r="4316" spans="14:14" x14ac:dyDescent="0.2">
      <c r="N4316" s="131"/>
    </row>
    <row r="4317" spans="14:14" x14ac:dyDescent="0.2">
      <c r="N4317" s="131"/>
    </row>
    <row r="4318" spans="14:14" x14ac:dyDescent="0.2">
      <c r="N4318" s="131"/>
    </row>
    <row r="4319" spans="14:14" x14ac:dyDescent="0.2">
      <c r="N4319" s="131"/>
    </row>
    <row r="4320" spans="14:14" x14ac:dyDescent="0.2">
      <c r="N4320" s="131"/>
    </row>
    <row r="4321" spans="14:14" x14ac:dyDescent="0.2">
      <c r="N4321" s="131"/>
    </row>
    <row r="4322" spans="14:14" x14ac:dyDescent="0.2">
      <c r="N4322" s="131"/>
    </row>
    <row r="4323" spans="14:14" x14ac:dyDescent="0.2">
      <c r="N4323" s="131"/>
    </row>
    <row r="4324" spans="14:14" x14ac:dyDescent="0.2">
      <c r="N4324" s="131"/>
    </row>
    <row r="4325" spans="14:14" x14ac:dyDescent="0.2">
      <c r="N4325" s="131"/>
    </row>
    <row r="4326" spans="14:14" x14ac:dyDescent="0.2">
      <c r="N4326" s="131"/>
    </row>
    <row r="4327" spans="14:14" x14ac:dyDescent="0.2">
      <c r="N4327" s="131"/>
    </row>
    <row r="4328" spans="14:14" x14ac:dyDescent="0.2">
      <c r="N4328" s="131"/>
    </row>
    <row r="4329" spans="14:14" x14ac:dyDescent="0.2">
      <c r="N4329" s="131"/>
    </row>
    <row r="4330" spans="14:14" x14ac:dyDescent="0.2">
      <c r="N4330" s="131"/>
    </row>
    <row r="4331" spans="14:14" x14ac:dyDescent="0.2">
      <c r="N4331" s="131"/>
    </row>
    <row r="4332" spans="14:14" x14ac:dyDescent="0.2">
      <c r="N4332" s="131"/>
    </row>
    <row r="4333" spans="14:14" x14ac:dyDescent="0.2">
      <c r="N4333" s="131"/>
    </row>
    <row r="4334" spans="14:14" x14ac:dyDescent="0.2">
      <c r="N4334" s="131"/>
    </row>
    <row r="4335" spans="14:14" x14ac:dyDescent="0.2">
      <c r="N4335" s="131"/>
    </row>
    <row r="4336" spans="14:14" x14ac:dyDescent="0.2">
      <c r="N4336" s="131"/>
    </row>
    <row r="4337" spans="14:14" x14ac:dyDescent="0.2">
      <c r="N4337" s="131"/>
    </row>
    <row r="4338" spans="14:14" x14ac:dyDescent="0.2">
      <c r="N4338" s="131"/>
    </row>
    <row r="4339" spans="14:14" x14ac:dyDescent="0.2">
      <c r="N4339" s="131"/>
    </row>
    <row r="4340" spans="14:14" x14ac:dyDescent="0.2">
      <c r="N4340" s="131"/>
    </row>
    <row r="4341" spans="14:14" x14ac:dyDescent="0.2">
      <c r="N4341" s="131"/>
    </row>
    <row r="4342" spans="14:14" x14ac:dyDescent="0.2">
      <c r="N4342" s="131"/>
    </row>
    <row r="4343" spans="14:14" x14ac:dyDescent="0.2">
      <c r="N4343" s="131"/>
    </row>
    <row r="4344" spans="14:14" x14ac:dyDescent="0.2">
      <c r="N4344" s="131"/>
    </row>
    <row r="4345" spans="14:14" x14ac:dyDescent="0.2">
      <c r="N4345" s="131"/>
    </row>
    <row r="4346" spans="14:14" x14ac:dyDescent="0.2">
      <c r="N4346" s="131"/>
    </row>
    <row r="4347" spans="14:14" x14ac:dyDescent="0.2">
      <c r="N4347" s="131"/>
    </row>
    <row r="4348" spans="14:14" x14ac:dyDescent="0.2">
      <c r="N4348" s="131"/>
    </row>
    <row r="4349" spans="14:14" x14ac:dyDescent="0.2">
      <c r="N4349" s="131"/>
    </row>
    <row r="4350" spans="14:14" x14ac:dyDescent="0.2">
      <c r="N4350" s="131"/>
    </row>
    <row r="4351" spans="14:14" x14ac:dyDescent="0.2">
      <c r="N4351" s="131"/>
    </row>
    <row r="4352" spans="14:14" x14ac:dyDescent="0.2">
      <c r="N4352" s="131"/>
    </row>
    <row r="4353" spans="14:14" x14ac:dyDescent="0.2">
      <c r="N4353" s="131"/>
    </row>
    <row r="4354" spans="14:14" x14ac:dyDescent="0.2">
      <c r="N4354" s="131"/>
    </row>
    <row r="4355" spans="14:14" x14ac:dyDescent="0.2">
      <c r="N4355" s="131"/>
    </row>
    <row r="4356" spans="14:14" x14ac:dyDescent="0.2">
      <c r="N4356" s="131"/>
    </row>
    <row r="4357" spans="14:14" x14ac:dyDescent="0.2">
      <c r="N4357" s="131"/>
    </row>
    <row r="4358" spans="14:14" x14ac:dyDescent="0.2">
      <c r="N4358" s="131"/>
    </row>
    <row r="4359" spans="14:14" x14ac:dyDescent="0.2">
      <c r="N4359" s="131"/>
    </row>
    <row r="4360" spans="14:14" x14ac:dyDescent="0.2">
      <c r="N4360" s="131"/>
    </row>
    <row r="4361" spans="14:14" x14ac:dyDescent="0.2">
      <c r="N4361" s="131"/>
    </row>
    <row r="4362" spans="14:14" x14ac:dyDescent="0.2">
      <c r="N4362" s="131"/>
    </row>
    <row r="4363" spans="14:14" x14ac:dyDescent="0.2">
      <c r="N4363" s="131"/>
    </row>
    <row r="4364" spans="14:14" x14ac:dyDescent="0.2">
      <c r="N4364" s="131"/>
    </row>
    <row r="4365" spans="14:14" x14ac:dyDescent="0.2">
      <c r="N4365" s="131"/>
    </row>
    <row r="4366" spans="14:14" x14ac:dyDescent="0.2">
      <c r="N4366" s="131"/>
    </row>
    <row r="4367" spans="14:14" x14ac:dyDescent="0.2">
      <c r="N4367" s="131"/>
    </row>
    <row r="4368" spans="14:14" x14ac:dyDescent="0.2">
      <c r="N4368" s="131"/>
    </row>
    <row r="4369" spans="14:14" x14ac:dyDescent="0.2">
      <c r="N4369" s="131"/>
    </row>
    <row r="4370" spans="14:14" x14ac:dyDescent="0.2">
      <c r="N4370" s="131"/>
    </row>
    <row r="4371" spans="14:14" x14ac:dyDescent="0.2">
      <c r="N4371" s="131"/>
    </row>
    <row r="4372" spans="14:14" x14ac:dyDescent="0.2">
      <c r="N4372" s="131"/>
    </row>
    <row r="4373" spans="14:14" x14ac:dyDescent="0.2">
      <c r="N4373" s="131"/>
    </row>
    <row r="4374" spans="14:14" x14ac:dyDescent="0.2">
      <c r="N4374" s="131"/>
    </row>
    <row r="4375" spans="14:14" x14ac:dyDescent="0.2">
      <c r="N4375" s="131"/>
    </row>
    <row r="4376" spans="14:14" x14ac:dyDescent="0.2">
      <c r="N4376" s="131"/>
    </row>
    <row r="4377" spans="14:14" x14ac:dyDescent="0.2">
      <c r="N4377" s="131"/>
    </row>
    <row r="4378" spans="14:14" x14ac:dyDescent="0.2">
      <c r="N4378" s="131"/>
    </row>
    <row r="4379" spans="14:14" x14ac:dyDescent="0.2">
      <c r="N4379" s="131"/>
    </row>
    <row r="4380" spans="14:14" x14ac:dyDescent="0.2">
      <c r="N4380" s="131"/>
    </row>
    <row r="4381" spans="14:14" x14ac:dyDescent="0.2">
      <c r="N4381" s="131"/>
    </row>
    <row r="4382" spans="14:14" x14ac:dyDescent="0.2">
      <c r="N4382" s="131"/>
    </row>
    <row r="4383" spans="14:14" x14ac:dyDescent="0.2">
      <c r="N4383" s="131"/>
    </row>
    <row r="4384" spans="14:14" x14ac:dyDescent="0.2">
      <c r="N4384" s="131"/>
    </row>
    <row r="4385" spans="14:14" x14ac:dyDescent="0.2">
      <c r="N4385" s="131"/>
    </row>
    <row r="4386" spans="14:14" x14ac:dyDescent="0.2">
      <c r="N4386" s="131"/>
    </row>
    <row r="4387" spans="14:14" x14ac:dyDescent="0.2">
      <c r="N4387" s="131"/>
    </row>
    <row r="4388" spans="14:14" x14ac:dyDescent="0.2">
      <c r="N4388" s="131"/>
    </row>
    <row r="4389" spans="14:14" x14ac:dyDescent="0.2">
      <c r="N4389" s="131"/>
    </row>
    <row r="4390" spans="14:14" x14ac:dyDescent="0.2">
      <c r="N4390" s="131"/>
    </row>
    <row r="4391" spans="14:14" x14ac:dyDescent="0.2">
      <c r="N4391" s="131"/>
    </row>
    <row r="4392" spans="14:14" x14ac:dyDescent="0.2">
      <c r="N4392" s="131"/>
    </row>
    <row r="4393" spans="14:14" x14ac:dyDescent="0.2">
      <c r="N4393" s="131"/>
    </row>
    <row r="4394" spans="14:14" x14ac:dyDescent="0.2">
      <c r="N4394" s="131"/>
    </row>
    <row r="4395" spans="14:14" x14ac:dyDescent="0.2">
      <c r="N4395" s="131"/>
    </row>
    <row r="4396" spans="14:14" x14ac:dyDescent="0.2">
      <c r="N4396" s="131"/>
    </row>
    <row r="4397" spans="14:14" x14ac:dyDescent="0.2">
      <c r="N4397" s="131"/>
    </row>
    <row r="4398" spans="14:14" x14ac:dyDescent="0.2">
      <c r="N4398" s="131"/>
    </row>
    <row r="4399" spans="14:14" x14ac:dyDescent="0.2">
      <c r="N4399" s="131"/>
    </row>
    <row r="4400" spans="14:14" x14ac:dyDescent="0.2">
      <c r="N4400" s="131"/>
    </row>
    <row r="4401" spans="14:14" x14ac:dyDescent="0.2">
      <c r="N4401" s="131"/>
    </row>
    <row r="4402" spans="14:14" x14ac:dyDescent="0.2">
      <c r="N4402" s="131"/>
    </row>
    <row r="4403" spans="14:14" x14ac:dyDescent="0.2">
      <c r="N4403" s="131"/>
    </row>
    <row r="4404" spans="14:14" x14ac:dyDescent="0.2">
      <c r="N4404" s="131"/>
    </row>
    <row r="4405" spans="14:14" x14ac:dyDescent="0.2">
      <c r="N4405" s="131"/>
    </row>
    <row r="4406" spans="14:14" x14ac:dyDescent="0.2">
      <c r="N4406" s="131"/>
    </row>
    <row r="4407" spans="14:14" x14ac:dyDescent="0.2">
      <c r="N4407" s="131"/>
    </row>
    <row r="4408" spans="14:14" x14ac:dyDescent="0.2">
      <c r="N4408" s="131"/>
    </row>
    <row r="4409" spans="14:14" x14ac:dyDescent="0.2">
      <c r="N4409" s="131"/>
    </row>
    <row r="4410" spans="14:14" x14ac:dyDescent="0.2">
      <c r="N4410" s="131"/>
    </row>
    <row r="4411" spans="14:14" x14ac:dyDescent="0.2">
      <c r="N4411" s="131"/>
    </row>
    <row r="4412" spans="14:14" x14ac:dyDescent="0.2">
      <c r="N4412" s="131"/>
    </row>
    <row r="4413" spans="14:14" x14ac:dyDescent="0.2">
      <c r="N4413" s="131"/>
    </row>
    <row r="4414" spans="14:14" x14ac:dyDescent="0.2">
      <c r="N4414" s="131"/>
    </row>
    <row r="4415" spans="14:14" x14ac:dyDescent="0.2">
      <c r="N4415" s="131"/>
    </row>
    <row r="4416" spans="14:14" x14ac:dyDescent="0.2">
      <c r="N4416" s="131"/>
    </row>
    <row r="4417" spans="14:14" x14ac:dyDescent="0.2">
      <c r="N4417" s="131"/>
    </row>
    <row r="4418" spans="14:14" x14ac:dyDescent="0.2">
      <c r="N4418" s="131"/>
    </row>
    <row r="4419" spans="14:14" x14ac:dyDescent="0.2">
      <c r="N4419" s="131"/>
    </row>
    <row r="4420" spans="14:14" x14ac:dyDescent="0.2">
      <c r="N4420" s="131"/>
    </row>
    <row r="4421" spans="14:14" x14ac:dyDescent="0.2">
      <c r="N4421" s="131"/>
    </row>
    <row r="4422" spans="14:14" x14ac:dyDescent="0.2">
      <c r="N4422" s="131"/>
    </row>
    <row r="4423" spans="14:14" x14ac:dyDescent="0.2">
      <c r="N4423" s="131"/>
    </row>
    <row r="4424" spans="14:14" x14ac:dyDescent="0.2">
      <c r="N4424" s="131"/>
    </row>
    <row r="4425" spans="14:14" x14ac:dyDescent="0.2">
      <c r="N4425" s="131"/>
    </row>
    <row r="4426" spans="14:14" x14ac:dyDescent="0.2">
      <c r="N4426" s="131"/>
    </row>
    <row r="4427" spans="14:14" x14ac:dyDescent="0.2">
      <c r="N4427" s="131"/>
    </row>
    <row r="4428" spans="14:14" x14ac:dyDescent="0.2">
      <c r="N4428" s="131"/>
    </row>
    <row r="4429" spans="14:14" x14ac:dyDescent="0.2">
      <c r="N4429" s="131"/>
    </row>
    <row r="4430" spans="14:14" x14ac:dyDescent="0.2">
      <c r="N4430" s="131"/>
    </row>
    <row r="4431" spans="14:14" x14ac:dyDescent="0.2">
      <c r="N4431" s="131"/>
    </row>
    <row r="4432" spans="14:14" x14ac:dyDescent="0.2">
      <c r="N4432" s="131"/>
    </row>
    <row r="4433" spans="14:14" x14ac:dyDescent="0.2">
      <c r="N4433" s="131"/>
    </row>
    <row r="4434" spans="14:14" x14ac:dyDescent="0.2">
      <c r="N4434" s="131"/>
    </row>
    <row r="4435" spans="14:14" x14ac:dyDescent="0.2">
      <c r="N4435" s="131"/>
    </row>
    <row r="4436" spans="14:14" x14ac:dyDescent="0.2">
      <c r="N4436" s="131"/>
    </row>
    <row r="4437" spans="14:14" x14ac:dyDescent="0.2">
      <c r="N4437" s="131"/>
    </row>
    <row r="4438" spans="14:14" x14ac:dyDescent="0.2">
      <c r="N4438" s="131"/>
    </row>
    <row r="4439" spans="14:14" x14ac:dyDescent="0.2">
      <c r="N4439" s="131"/>
    </row>
    <row r="4440" spans="14:14" x14ac:dyDescent="0.2">
      <c r="N4440" s="131"/>
    </row>
    <row r="4441" spans="14:14" x14ac:dyDescent="0.2">
      <c r="N4441" s="131"/>
    </row>
    <row r="4442" spans="14:14" x14ac:dyDescent="0.2">
      <c r="N4442" s="131"/>
    </row>
    <row r="4443" spans="14:14" x14ac:dyDescent="0.2">
      <c r="N4443" s="131"/>
    </row>
    <row r="4444" spans="14:14" x14ac:dyDescent="0.2">
      <c r="N4444" s="131"/>
    </row>
    <row r="4445" spans="14:14" x14ac:dyDescent="0.2">
      <c r="N4445" s="131"/>
    </row>
    <row r="4446" spans="14:14" x14ac:dyDescent="0.2">
      <c r="N4446" s="131"/>
    </row>
    <row r="4447" spans="14:14" x14ac:dyDescent="0.2">
      <c r="N4447" s="131"/>
    </row>
    <row r="4448" spans="14:14" x14ac:dyDescent="0.2">
      <c r="N4448" s="131"/>
    </row>
    <row r="4449" spans="14:14" x14ac:dyDescent="0.2">
      <c r="N4449" s="131"/>
    </row>
    <row r="4450" spans="14:14" x14ac:dyDescent="0.2">
      <c r="N4450" s="131"/>
    </row>
    <row r="4451" spans="14:14" x14ac:dyDescent="0.2">
      <c r="N4451" s="131"/>
    </row>
    <row r="4452" spans="14:14" x14ac:dyDescent="0.2">
      <c r="N4452" s="131"/>
    </row>
    <row r="4453" spans="14:14" x14ac:dyDescent="0.2">
      <c r="N4453" s="131"/>
    </row>
    <row r="4454" spans="14:14" x14ac:dyDescent="0.2">
      <c r="N4454" s="131"/>
    </row>
    <row r="4455" spans="14:14" x14ac:dyDescent="0.2">
      <c r="N4455" s="131"/>
    </row>
    <row r="4456" spans="14:14" x14ac:dyDescent="0.2">
      <c r="N4456" s="131"/>
    </row>
    <row r="4457" spans="14:14" x14ac:dyDescent="0.2">
      <c r="N4457" s="131"/>
    </row>
    <row r="4458" spans="14:14" x14ac:dyDescent="0.2">
      <c r="N4458" s="131"/>
    </row>
    <row r="4459" spans="14:14" x14ac:dyDescent="0.2">
      <c r="N4459" s="131"/>
    </row>
    <row r="4460" spans="14:14" x14ac:dyDescent="0.2">
      <c r="N4460" s="131"/>
    </row>
    <row r="4461" spans="14:14" x14ac:dyDescent="0.2">
      <c r="N4461" s="131"/>
    </row>
    <row r="4462" spans="14:14" x14ac:dyDescent="0.2">
      <c r="N4462" s="131"/>
    </row>
    <row r="4463" spans="14:14" x14ac:dyDescent="0.2">
      <c r="N4463" s="131"/>
    </row>
    <row r="4464" spans="14:14" x14ac:dyDescent="0.2">
      <c r="N4464" s="131"/>
    </row>
    <row r="4465" spans="14:14" x14ac:dyDescent="0.2">
      <c r="N4465" s="131"/>
    </row>
    <row r="4466" spans="14:14" x14ac:dyDescent="0.2">
      <c r="N4466" s="131"/>
    </row>
    <row r="4467" spans="14:14" x14ac:dyDescent="0.2">
      <c r="N4467" s="131"/>
    </row>
    <row r="4468" spans="14:14" x14ac:dyDescent="0.2">
      <c r="N4468" s="131"/>
    </row>
    <row r="4469" spans="14:14" x14ac:dyDescent="0.2">
      <c r="N4469" s="131"/>
    </row>
    <row r="4470" spans="14:14" x14ac:dyDescent="0.2">
      <c r="N4470" s="131"/>
    </row>
    <row r="4471" spans="14:14" x14ac:dyDescent="0.2">
      <c r="N4471" s="131"/>
    </row>
    <row r="4472" spans="14:14" x14ac:dyDescent="0.2">
      <c r="N4472" s="131"/>
    </row>
    <row r="4473" spans="14:14" x14ac:dyDescent="0.2">
      <c r="N4473" s="131"/>
    </row>
    <row r="4474" spans="14:14" x14ac:dyDescent="0.2">
      <c r="N4474" s="131"/>
    </row>
    <row r="4475" spans="14:14" x14ac:dyDescent="0.2">
      <c r="N4475" s="131"/>
    </row>
    <row r="4476" spans="14:14" x14ac:dyDescent="0.2">
      <c r="N4476" s="131"/>
    </row>
    <row r="4477" spans="14:14" x14ac:dyDescent="0.2">
      <c r="N4477" s="131"/>
    </row>
    <row r="4478" spans="14:14" x14ac:dyDescent="0.2">
      <c r="N4478" s="131"/>
    </row>
    <row r="4479" spans="14:14" x14ac:dyDescent="0.2">
      <c r="N4479" s="131"/>
    </row>
    <row r="4480" spans="14:14" x14ac:dyDescent="0.2">
      <c r="N4480" s="131"/>
    </row>
    <row r="4481" spans="14:14" x14ac:dyDescent="0.2">
      <c r="N4481" s="131"/>
    </row>
    <row r="4482" spans="14:14" x14ac:dyDescent="0.2">
      <c r="N4482" s="131"/>
    </row>
    <row r="4483" spans="14:14" x14ac:dyDescent="0.2">
      <c r="N4483" s="131"/>
    </row>
    <row r="4484" spans="14:14" x14ac:dyDescent="0.2">
      <c r="N4484" s="131"/>
    </row>
    <row r="4485" spans="14:14" x14ac:dyDescent="0.2">
      <c r="N4485" s="131"/>
    </row>
    <row r="4486" spans="14:14" x14ac:dyDescent="0.2">
      <c r="N4486" s="131"/>
    </row>
    <row r="4487" spans="14:14" x14ac:dyDescent="0.2">
      <c r="N4487" s="131"/>
    </row>
    <row r="4488" spans="14:14" x14ac:dyDescent="0.2">
      <c r="N4488" s="131"/>
    </row>
    <row r="4489" spans="14:14" x14ac:dyDescent="0.2">
      <c r="N4489" s="131"/>
    </row>
    <row r="4490" spans="14:14" x14ac:dyDescent="0.2">
      <c r="N4490" s="131"/>
    </row>
    <row r="4491" spans="14:14" x14ac:dyDescent="0.2">
      <c r="N4491" s="131"/>
    </row>
    <row r="4492" spans="14:14" x14ac:dyDescent="0.2">
      <c r="N4492" s="131"/>
    </row>
    <row r="4493" spans="14:14" x14ac:dyDescent="0.2">
      <c r="N4493" s="131"/>
    </row>
    <row r="4494" spans="14:14" x14ac:dyDescent="0.2">
      <c r="N4494" s="131"/>
    </row>
    <row r="4495" spans="14:14" x14ac:dyDescent="0.2">
      <c r="N4495" s="131"/>
    </row>
    <row r="4496" spans="14:14" x14ac:dyDescent="0.2">
      <c r="N4496" s="131"/>
    </row>
    <row r="4497" spans="14:14" x14ac:dyDescent="0.2">
      <c r="N4497" s="131"/>
    </row>
    <row r="4498" spans="14:14" x14ac:dyDescent="0.2">
      <c r="N4498" s="131"/>
    </row>
    <row r="4499" spans="14:14" x14ac:dyDescent="0.2">
      <c r="N4499" s="131"/>
    </row>
    <row r="4500" spans="14:14" x14ac:dyDescent="0.2">
      <c r="N4500" s="131"/>
    </row>
    <row r="4501" spans="14:14" x14ac:dyDescent="0.2">
      <c r="N4501" s="131"/>
    </row>
    <row r="4502" spans="14:14" x14ac:dyDescent="0.2">
      <c r="N4502" s="131"/>
    </row>
    <row r="4503" spans="14:14" x14ac:dyDescent="0.2">
      <c r="N4503" s="131"/>
    </row>
    <row r="4504" spans="14:14" x14ac:dyDescent="0.2">
      <c r="N4504" s="131"/>
    </row>
    <row r="4505" spans="14:14" x14ac:dyDescent="0.2">
      <c r="N4505" s="131"/>
    </row>
    <row r="4506" spans="14:14" x14ac:dyDescent="0.2">
      <c r="N4506" s="131"/>
    </row>
    <row r="4507" spans="14:14" x14ac:dyDescent="0.2">
      <c r="N4507" s="131"/>
    </row>
    <row r="4508" spans="14:14" x14ac:dyDescent="0.2">
      <c r="N4508" s="131"/>
    </row>
    <row r="4509" spans="14:14" x14ac:dyDescent="0.2">
      <c r="N4509" s="131"/>
    </row>
    <row r="4510" spans="14:14" x14ac:dyDescent="0.2">
      <c r="N4510" s="131"/>
    </row>
    <row r="4511" spans="14:14" x14ac:dyDescent="0.2">
      <c r="N4511" s="131"/>
    </row>
    <row r="4512" spans="14:14" x14ac:dyDescent="0.2">
      <c r="N4512" s="131"/>
    </row>
    <row r="4513" spans="14:14" x14ac:dyDescent="0.2">
      <c r="N4513" s="131"/>
    </row>
    <row r="4514" spans="14:14" x14ac:dyDescent="0.2">
      <c r="N4514" s="131"/>
    </row>
    <row r="4515" spans="14:14" x14ac:dyDescent="0.2">
      <c r="N4515" s="131"/>
    </row>
    <row r="4516" spans="14:14" x14ac:dyDescent="0.2">
      <c r="N4516" s="131"/>
    </row>
    <row r="4517" spans="14:14" x14ac:dyDescent="0.2">
      <c r="N4517" s="131"/>
    </row>
    <row r="4518" spans="14:14" x14ac:dyDescent="0.2">
      <c r="N4518" s="131"/>
    </row>
    <row r="4519" spans="14:14" x14ac:dyDescent="0.2">
      <c r="N4519" s="131"/>
    </row>
    <row r="4520" spans="14:14" x14ac:dyDescent="0.2">
      <c r="N4520" s="131"/>
    </row>
    <row r="4521" spans="14:14" x14ac:dyDescent="0.2">
      <c r="N4521" s="131"/>
    </row>
    <row r="4522" spans="14:14" x14ac:dyDescent="0.2">
      <c r="N4522" s="131"/>
    </row>
    <row r="4523" spans="14:14" x14ac:dyDescent="0.2">
      <c r="N4523" s="131"/>
    </row>
    <row r="4524" spans="14:14" x14ac:dyDescent="0.2">
      <c r="N4524" s="131"/>
    </row>
    <row r="4525" spans="14:14" x14ac:dyDescent="0.2">
      <c r="N4525" s="131"/>
    </row>
    <row r="4526" spans="14:14" x14ac:dyDescent="0.2">
      <c r="N4526" s="131"/>
    </row>
    <row r="4527" spans="14:14" x14ac:dyDescent="0.2">
      <c r="N4527" s="131"/>
    </row>
    <row r="4528" spans="14:14" x14ac:dyDescent="0.2">
      <c r="N4528" s="131"/>
    </row>
    <row r="4529" spans="14:14" x14ac:dyDescent="0.2">
      <c r="N4529" s="131"/>
    </row>
    <row r="4530" spans="14:14" x14ac:dyDescent="0.2">
      <c r="N4530" s="131"/>
    </row>
    <row r="4531" spans="14:14" x14ac:dyDescent="0.2">
      <c r="N4531" s="131"/>
    </row>
    <row r="4532" spans="14:14" x14ac:dyDescent="0.2">
      <c r="N4532" s="131"/>
    </row>
    <row r="4533" spans="14:14" x14ac:dyDescent="0.2">
      <c r="N4533" s="131"/>
    </row>
    <row r="4534" spans="14:14" x14ac:dyDescent="0.2">
      <c r="N4534" s="131"/>
    </row>
    <row r="4535" spans="14:14" x14ac:dyDescent="0.2">
      <c r="N4535" s="131"/>
    </row>
    <row r="4536" spans="14:14" x14ac:dyDescent="0.2">
      <c r="N4536" s="131"/>
    </row>
    <row r="4537" spans="14:14" x14ac:dyDescent="0.2">
      <c r="N4537" s="131"/>
    </row>
    <row r="4538" spans="14:14" x14ac:dyDescent="0.2">
      <c r="N4538" s="131"/>
    </row>
    <row r="4539" spans="14:14" x14ac:dyDescent="0.2">
      <c r="N4539" s="131"/>
    </row>
    <row r="4540" spans="14:14" x14ac:dyDescent="0.2">
      <c r="N4540" s="131"/>
    </row>
    <row r="4541" spans="14:14" x14ac:dyDescent="0.2">
      <c r="N4541" s="131"/>
    </row>
    <row r="4542" spans="14:14" x14ac:dyDescent="0.2">
      <c r="N4542" s="131"/>
    </row>
    <row r="4543" spans="14:14" x14ac:dyDescent="0.2">
      <c r="N4543" s="131"/>
    </row>
    <row r="4544" spans="14:14" x14ac:dyDescent="0.2">
      <c r="N4544" s="131"/>
    </row>
    <row r="4545" spans="14:14" x14ac:dyDescent="0.2">
      <c r="N4545" s="131"/>
    </row>
    <row r="4546" spans="14:14" x14ac:dyDescent="0.2">
      <c r="N4546" s="131"/>
    </row>
    <row r="4547" spans="14:14" x14ac:dyDescent="0.2">
      <c r="N4547" s="131"/>
    </row>
    <row r="4548" spans="14:14" x14ac:dyDescent="0.2">
      <c r="N4548" s="131"/>
    </row>
    <row r="4549" spans="14:14" x14ac:dyDescent="0.2">
      <c r="N4549" s="131"/>
    </row>
    <row r="4550" spans="14:14" x14ac:dyDescent="0.2">
      <c r="N4550" s="131"/>
    </row>
    <row r="4551" spans="14:14" x14ac:dyDescent="0.2">
      <c r="N4551" s="131"/>
    </row>
    <row r="4552" spans="14:14" x14ac:dyDescent="0.2">
      <c r="N4552" s="131"/>
    </row>
    <row r="4553" spans="14:14" x14ac:dyDescent="0.2">
      <c r="N4553" s="131"/>
    </row>
    <row r="4554" spans="14:14" x14ac:dyDescent="0.2">
      <c r="N4554" s="131"/>
    </row>
    <row r="4555" spans="14:14" x14ac:dyDescent="0.2">
      <c r="N4555" s="131"/>
    </row>
    <row r="4556" spans="14:14" x14ac:dyDescent="0.2">
      <c r="N4556" s="131"/>
    </row>
    <row r="4557" spans="14:14" x14ac:dyDescent="0.2">
      <c r="N4557" s="131"/>
    </row>
    <row r="4558" spans="14:14" x14ac:dyDescent="0.2">
      <c r="N4558" s="131"/>
    </row>
    <row r="4559" spans="14:14" x14ac:dyDescent="0.2">
      <c r="N4559" s="131"/>
    </row>
    <row r="4560" spans="14:14" x14ac:dyDescent="0.2">
      <c r="N4560" s="131"/>
    </row>
    <row r="4561" spans="14:14" x14ac:dyDescent="0.2">
      <c r="N4561" s="131"/>
    </row>
    <row r="4562" spans="14:14" x14ac:dyDescent="0.2">
      <c r="N4562" s="131"/>
    </row>
    <row r="4563" spans="14:14" x14ac:dyDescent="0.2">
      <c r="N4563" s="131"/>
    </row>
    <row r="4564" spans="14:14" x14ac:dyDescent="0.2">
      <c r="N4564" s="131"/>
    </row>
    <row r="4565" spans="14:14" x14ac:dyDescent="0.2">
      <c r="N4565" s="131"/>
    </row>
    <row r="4566" spans="14:14" x14ac:dyDescent="0.2">
      <c r="N4566" s="131"/>
    </row>
    <row r="4567" spans="14:14" x14ac:dyDescent="0.2">
      <c r="N4567" s="131"/>
    </row>
    <row r="4568" spans="14:14" x14ac:dyDescent="0.2">
      <c r="N4568" s="131"/>
    </row>
    <row r="4569" spans="14:14" x14ac:dyDescent="0.2">
      <c r="N4569" s="131"/>
    </row>
    <row r="4570" spans="14:14" x14ac:dyDescent="0.2">
      <c r="N4570" s="131"/>
    </row>
    <row r="4571" spans="14:14" x14ac:dyDescent="0.2">
      <c r="N4571" s="131"/>
    </row>
    <row r="4572" spans="14:14" x14ac:dyDescent="0.2">
      <c r="N4572" s="131"/>
    </row>
    <row r="4573" spans="14:14" x14ac:dyDescent="0.2">
      <c r="N4573" s="131"/>
    </row>
    <row r="4574" spans="14:14" x14ac:dyDescent="0.2">
      <c r="N4574" s="131"/>
    </row>
    <row r="4575" spans="14:14" x14ac:dyDescent="0.2">
      <c r="N4575" s="131"/>
    </row>
    <row r="4576" spans="14:14" x14ac:dyDescent="0.2">
      <c r="N4576" s="131"/>
    </row>
    <row r="4577" spans="14:14" x14ac:dyDescent="0.2">
      <c r="N4577" s="131"/>
    </row>
    <row r="4578" spans="14:14" x14ac:dyDescent="0.2">
      <c r="N4578" s="131"/>
    </row>
    <row r="4579" spans="14:14" x14ac:dyDescent="0.2">
      <c r="N4579" s="131"/>
    </row>
    <row r="4580" spans="14:14" x14ac:dyDescent="0.2">
      <c r="N4580" s="131"/>
    </row>
    <row r="4581" spans="14:14" x14ac:dyDescent="0.2">
      <c r="N4581" s="131"/>
    </row>
    <row r="4582" spans="14:14" x14ac:dyDescent="0.2">
      <c r="N4582" s="131"/>
    </row>
    <row r="4583" spans="14:14" x14ac:dyDescent="0.2">
      <c r="N4583" s="131"/>
    </row>
    <row r="4584" spans="14:14" x14ac:dyDescent="0.2">
      <c r="N4584" s="131"/>
    </row>
    <row r="4585" spans="14:14" x14ac:dyDescent="0.2">
      <c r="N4585" s="131"/>
    </row>
    <row r="4586" spans="14:14" x14ac:dyDescent="0.2">
      <c r="N4586" s="131"/>
    </row>
    <row r="4587" spans="14:14" x14ac:dyDescent="0.2">
      <c r="N4587" s="131"/>
    </row>
    <row r="4588" spans="14:14" x14ac:dyDescent="0.2">
      <c r="N4588" s="131"/>
    </row>
    <row r="4589" spans="14:14" x14ac:dyDescent="0.2">
      <c r="N4589" s="131"/>
    </row>
    <row r="4590" spans="14:14" x14ac:dyDescent="0.2">
      <c r="N4590" s="131"/>
    </row>
    <row r="4591" spans="14:14" x14ac:dyDescent="0.2">
      <c r="N4591" s="131"/>
    </row>
    <row r="4592" spans="14:14" x14ac:dyDescent="0.2">
      <c r="N4592" s="131"/>
    </row>
    <row r="4593" spans="14:14" x14ac:dyDescent="0.2">
      <c r="N4593" s="131"/>
    </row>
    <row r="4594" spans="14:14" x14ac:dyDescent="0.2">
      <c r="N4594" s="131"/>
    </row>
    <row r="4595" spans="14:14" x14ac:dyDescent="0.2">
      <c r="N4595" s="131"/>
    </row>
    <row r="4596" spans="14:14" x14ac:dyDescent="0.2">
      <c r="N4596" s="131"/>
    </row>
    <row r="4597" spans="14:14" x14ac:dyDescent="0.2">
      <c r="N4597" s="131"/>
    </row>
    <row r="4598" spans="14:14" x14ac:dyDescent="0.2">
      <c r="N4598" s="131"/>
    </row>
    <row r="4599" spans="14:14" x14ac:dyDescent="0.2">
      <c r="N4599" s="131"/>
    </row>
    <row r="4600" spans="14:14" x14ac:dyDescent="0.2">
      <c r="N4600" s="131"/>
    </row>
    <row r="4601" spans="14:14" x14ac:dyDescent="0.2">
      <c r="N4601" s="131"/>
    </row>
    <row r="4602" spans="14:14" x14ac:dyDescent="0.2">
      <c r="N4602" s="131"/>
    </row>
    <row r="4603" spans="14:14" x14ac:dyDescent="0.2">
      <c r="N4603" s="131"/>
    </row>
    <row r="4604" spans="14:14" x14ac:dyDescent="0.2">
      <c r="N4604" s="131"/>
    </row>
    <row r="4605" spans="14:14" x14ac:dyDescent="0.2">
      <c r="N4605" s="131"/>
    </row>
    <row r="4606" spans="14:14" x14ac:dyDescent="0.2">
      <c r="N4606" s="131"/>
    </row>
    <row r="4607" spans="14:14" x14ac:dyDescent="0.2">
      <c r="N4607" s="131"/>
    </row>
    <row r="4608" spans="14:14" x14ac:dyDescent="0.2">
      <c r="N4608" s="131"/>
    </row>
    <row r="4609" spans="14:14" x14ac:dyDescent="0.2">
      <c r="N4609" s="131"/>
    </row>
    <row r="4610" spans="14:14" x14ac:dyDescent="0.2">
      <c r="N4610" s="131"/>
    </row>
    <row r="4611" spans="14:14" x14ac:dyDescent="0.2">
      <c r="N4611" s="131"/>
    </row>
    <row r="4612" spans="14:14" x14ac:dyDescent="0.2">
      <c r="N4612" s="131"/>
    </row>
    <row r="4613" spans="14:14" x14ac:dyDescent="0.2">
      <c r="N4613" s="131"/>
    </row>
    <row r="4614" spans="14:14" x14ac:dyDescent="0.2">
      <c r="N4614" s="131"/>
    </row>
    <row r="4615" spans="14:14" x14ac:dyDescent="0.2">
      <c r="N4615" s="131"/>
    </row>
    <row r="4616" spans="14:14" x14ac:dyDescent="0.2">
      <c r="N4616" s="131"/>
    </row>
    <row r="4617" spans="14:14" x14ac:dyDescent="0.2">
      <c r="N4617" s="131"/>
    </row>
    <row r="4618" spans="14:14" x14ac:dyDescent="0.2">
      <c r="N4618" s="131"/>
    </row>
    <row r="4619" spans="14:14" x14ac:dyDescent="0.2">
      <c r="N4619" s="131"/>
    </row>
    <row r="4620" spans="14:14" x14ac:dyDescent="0.2">
      <c r="N4620" s="131"/>
    </row>
    <row r="4621" spans="14:14" x14ac:dyDescent="0.2">
      <c r="N4621" s="131"/>
    </row>
    <row r="4622" spans="14:14" x14ac:dyDescent="0.2">
      <c r="N4622" s="131"/>
    </row>
    <row r="4623" spans="14:14" x14ac:dyDescent="0.2">
      <c r="N4623" s="131"/>
    </row>
    <row r="4624" spans="14:14" x14ac:dyDescent="0.2">
      <c r="N4624" s="131"/>
    </row>
    <row r="4625" spans="14:14" x14ac:dyDescent="0.2">
      <c r="N4625" s="131"/>
    </row>
    <row r="4626" spans="14:14" x14ac:dyDescent="0.2">
      <c r="N4626" s="131"/>
    </row>
    <row r="4627" spans="14:14" x14ac:dyDescent="0.2">
      <c r="N4627" s="131"/>
    </row>
    <row r="4628" spans="14:14" x14ac:dyDescent="0.2">
      <c r="N4628" s="131"/>
    </row>
    <row r="4629" spans="14:14" x14ac:dyDescent="0.2">
      <c r="N4629" s="131"/>
    </row>
    <row r="4630" spans="14:14" x14ac:dyDescent="0.2">
      <c r="N4630" s="131"/>
    </row>
    <row r="4631" spans="14:14" x14ac:dyDescent="0.2">
      <c r="N4631" s="131"/>
    </row>
    <row r="4632" spans="14:14" x14ac:dyDescent="0.2">
      <c r="N4632" s="131"/>
    </row>
    <row r="4633" spans="14:14" x14ac:dyDescent="0.2">
      <c r="N4633" s="131"/>
    </row>
    <row r="4634" spans="14:14" x14ac:dyDescent="0.2">
      <c r="N4634" s="131"/>
    </row>
    <row r="4635" spans="14:14" x14ac:dyDescent="0.2">
      <c r="N4635" s="131"/>
    </row>
    <row r="4636" spans="14:14" x14ac:dyDescent="0.2">
      <c r="N4636" s="131"/>
    </row>
    <row r="4637" spans="14:14" x14ac:dyDescent="0.2">
      <c r="N4637" s="131"/>
    </row>
    <row r="4638" spans="14:14" x14ac:dyDescent="0.2">
      <c r="N4638" s="131"/>
    </row>
    <row r="4639" spans="14:14" x14ac:dyDescent="0.2">
      <c r="N4639" s="131"/>
    </row>
    <row r="4640" spans="14:14" x14ac:dyDescent="0.2">
      <c r="N4640" s="131"/>
    </row>
    <row r="4641" spans="14:14" x14ac:dyDescent="0.2">
      <c r="N4641" s="131"/>
    </row>
    <row r="4642" spans="14:14" x14ac:dyDescent="0.2">
      <c r="N4642" s="131"/>
    </row>
    <row r="4643" spans="14:14" x14ac:dyDescent="0.2">
      <c r="N4643" s="131"/>
    </row>
    <row r="4644" spans="14:14" x14ac:dyDescent="0.2">
      <c r="N4644" s="131"/>
    </row>
    <row r="4645" spans="14:14" x14ac:dyDescent="0.2">
      <c r="N4645" s="131"/>
    </row>
    <row r="4646" spans="14:14" x14ac:dyDescent="0.2">
      <c r="N4646" s="131"/>
    </row>
    <row r="4647" spans="14:14" x14ac:dyDescent="0.2">
      <c r="N4647" s="131"/>
    </row>
    <row r="4648" spans="14:14" x14ac:dyDescent="0.2">
      <c r="N4648" s="131"/>
    </row>
    <row r="4649" spans="14:14" x14ac:dyDescent="0.2">
      <c r="N4649" s="131"/>
    </row>
    <row r="4650" spans="14:14" x14ac:dyDescent="0.2">
      <c r="N4650" s="131"/>
    </row>
    <row r="4651" spans="14:14" x14ac:dyDescent="0.2">
      <c r="N4651" s="131"/>
    </row>
    <row r="4652" spans="14:14" x14ac:dyDescent="0.2">
      <c r="N4652" s="131"/>
    </row>
    <row r="4653" spans="14:14" x14ac:dyDescent="0.2">
      <c r="N4653" s="131"/>
    </row>
    <row r="4654" spans="14:14" x14ac:dyDescent="0.2">
      <c r="N4654" s="131"/>
    </row>
    <row r="4655" spans="14:14" x14ac:dyDescent="0.2">
      <c r="N4655" s="131"/>
    </row>
    <row r="4656" spans="14:14" x14ac:dyDescent="0.2">
      <c r="N4656" s="131"/>
    </row>
    <row r="4657" spans="14:14" x14ac:dyDescent="0.2">
      <c r="N4657" s="131"/>
    </row>
    <row r="4658" spans="14:14" x14ac:dyDescent="0.2">
      <c r="N4658" s="131"/>
    </row>
    <row r="4659" spans="14:14" x14ac:dyDescent="0.2">
      <c r="N4659" s="131"/>
    </row>
    <row r="4660" spans="14:14" x14ac:dyDescent="0.2">
      <c r="N4660" s="131"/>
    </row>
    <row r="4661" spans="14:14" x14ac:dyDescent="0.2">
      <c r="N4661" s="131"/>
    </row>
    <row r="4662" spans="14:14" x14ac:dyDescent="0.2">
      <c r="N4662" s="131"/>
    </row>
    <row r="4663" spans="14:14" x14ac:dyDescent="0.2">
      <c r="N4663" s="131"/>
    </row>
    <row r="4664" spans="14:14" x14ac:dyDescent="0.2">
      <c r="N4664" s="131"/>
    </row>
    <row r="4665" spans="14:14" x14ac:dyDescent="0.2">
      <c r="N4665" s="131"/>
    </row>
    <row r="4666" spans="14:14" x14ac:dyDescent="0.2">
      <c r="N4666" s="131"/>
    </row>
    <row r="4667" spans="14:14" x14ac:dyDescent="0.2">
      <c r="N4667" s="131"/>
    </row>
    <row r="4668" spans="14:14" x14ac:dyDescent="0.2">
      <c r="N4668" s="131"/>
    </row>
    <row r="4669" spans="14:14" x14ac:dyDescent="0.2">
      <c r="N4669" s="131"/>
    </row>
    <row r="4670" spans="14:14" x14ac:dyDescent="0.2">
      <c r="N4670" s="131"/>
    </row>
    <row r="4671" spans="14:14" x14ac:dyDescent="0.2">
      <c r="N4671" s="131"/>
    </row>
    <row r="4672" spans="14:14" x14ac:dyDescent="0.2">
      <c r="N4672" s="131"/>
    </row>
    <row r="4673" spans="14:14" x14ac:dyDescent="0.2">
      <c r="N4673" s="131"/>
    </row>
    <row r="4674" spans="14:14" x14ac:dyDescent="0.2">
      <c r="N4674" s="131"/>
    </row>
    <row r="4675" spans="14:14" x14ac:dyDescent="0.2">
      <c r="N4675" s="131"/>
    </row>
    <row r="4676" spans="14:14" x14ac:dyDescent="0.2">
      <c r="N4676" s="131"/>
    </row>
    <row r="4677" spans="14:14" x14ac:dyDescent="0.2">
      <c r="N4677" s="131"/>
    </row>
    <row r="4678" spans="14:14" x14ac:dyDescent="0.2">
      <c r="N4678" s="131"/>
    </row>
    <row r="4679" spans="14:14" x14ac:dyDescent="0.2">
      <c r="N4679" s="131"/>
    </row>
    <row r="4680" spans="14:14" x14ac:dyDescent="0.2">
      <c r="N4680" s="131"/>
    </row>
    <row r="4681" spans="14:14" x14ac:dyDescent="0.2">
      <c r="N4681" s="131"/>
    </row>
    <row r="4682" spans="14:14" x14ac:dyDescent="0.2">
      <c r="N4682" s="131"/>
    </row>
    <row r="4683" spans="14:14" x14ac:dyDescent="0.2">
      <c r="N4683" s="131"/>
    </row>
    <row r="4684" spans="14:14" x14ac:dyDescent="0.2">
      <c r="N4684" s="131"/>
    </row>
    <row r="4685" spans="14:14" x14ac:dyDescent="0.2">
      <c r="N4685" s="131"/>
    </row>
    <row r="4686" spans="14:14" x14ac:dyDescent="0.2">
      <c r="N4686" s="131"/>
    </row>
    <row r="4687" spans="14:14" x14ac:dyDescent="0.2">
      <c r="N4687" s="131"/>
    </row>
    <row r="4688" spans="14:14" x14ac:dyDescent="0.2">
      <c r="N4688" s="131"/>
    </row>
    <row r="4689" spans="14:14" x14ac:dyDescent="0.2">
      <c r="N4689" s="131"/>
    </row>
    <row r="4690" spans="14:14" x14ac:dyDescent="0.2">
      <c r="N4690" s="131"/>
    </row>
    <row r="4691" spans="14:14" x14ac:dyDescent="0.2">
      <c r="N4691" s="131"/>
    </row>
    <row r="4692" spans="14:14" x14ac:dyDescent="0.2">
      <c r="N4692" s="131"/>
    </row>
    <row r="4693" spans="14:14" x14ac:dyDescent="0.2">
      <c r="N4693" s="131"/>
    </row>
    <row r="4694" spans="14:14" x14ac:dyDescent="0.2">
      <c r="N4694" s="131"/>
    </row>
    <row r="4695" spans="14:14" x14ac:dyDescent="0.2">
      <c r="N4695" s="131"/>
    </row>
    <row r="4696" spans="14:14" x14ac:dyDescent="0.2">
      <c r="N4696" s="131"/>
    </row>
    <row r="4697" spans="14:14" x14ac:dyDescent="0.2">
      <c r="N4697" s="131"/>
    </row>
    <row r="4698" spans="14:14" x14ac:dyDescent="0.2">
      <c r="N4698" s="131"/>
    </row>
    <row r="4699" spans="14:14" x14ac:dyDescent="0.2">
      <c r="N4699" s="131"/>
    </row>
    <row r="4700" spans="14:14" x14ac:dyDescent="0.2">
      <c r="N4700" s="131"/>
    </row>
    <row r="4701" spans="14:14" x14ac:dyDescent="0.2">
      <c r="N4701" s="131"/>
    </row>
    <row r="4702" spans="14:14" x14ac:dyDescent="0.2">
      <c r="N4702" s="131"/>
    </row>
    <row r="4703" spans="14:14" x14ac:dyDescent="0.2">
      <c r="N4703" s="131"/>
    </row>
    <row r="4704" spans="14:14" x14ac:dyDescent="0.2">
      <c r="N4704" s="131"/>
    </row>
    <row r="4705" spans="14:14" x14ac:dyDescent="0.2">
      <c r="N4705" s="131"/>
    </row>
    <row r="4706" spans="14:14" x14ac:dyDescent="0.2">
      <c r="N4706" s="131"/>
    </row>
    <row r="4707" spans="14:14" x14ac:dyDescent="0.2">
      <c r="N4707" s="131"/>
    </row>
    <row r="4708" spans="14:14" x14ac:dyDescent="0.2">
      <c r="N4708" s="131"/>
    </row>
    <row r="4709" spans="14:14" x14ac:dyDescent="0.2">
      <c r="N4709" s="131"/>
    </row>
    <row r="4710" spans="14:14" x14ac:dyDescent="0.2">
      <c r="N4710" s="131"/>
    </row>
    <row r="4711" spans="14:14" x14ac:dyDescent="0.2">
      <c r="N4711" s="131"/>
    </row>
    <row r="4712" spans="14:14" x14ac:dyDescent="0.2">
      <c r="N4712" s="131"/>
    </row>
    <row r="4713" spans="14:14" x14ac:dyDescent="0.2">
      <c r="N4713" s="131"/>
    </row>
    <row r="4714" spans="14:14" x14ac:dyDescent="0.2">
      <c r="N4714" s="131"/>
    </row>
    <row r="4715" spans="14:14" x14ac:dyDescent="0.2">
      <c r="N4715" s="131"/>
    </row>
    <row r="4716" spans="14:14" x14ac:dyDescent="0.2">
      <c r="N4716" s="131"/>
    </row>
    <row r="4717" spans="14:14" x14ac:dyDescent="0.2">
      <c r="N4717" s="131"/>
    </row>
    <row r="4718" spans="14:14" x14ac:dyDescent="0.2">
      <c r="N4718" s="131"/>
    </row>
    <row r="4719" spans="14:14" x14ac:dyDescent="0.2">
      <c r="N4719" s="131"/>
    </row>
    <row r="4720" spans="14:14" x14ac:dyDescent="0.2">
      <c r="N4720" s="131"/>
    </row>
    <row r="4721" spans="14:14" x14ac:dyDescent="0.2">
      <c r="N4721" s="131"/>
    </row>
    <row r="4722" spans="14:14" x14ac:dyDescent="0.2">
      <c r="N4722" s="131"/>
    </row>
    <row r="4723" spans="14:14" x14ac:dyDescent="0.2">
      <c r="N4723" s="131"/>
    </row>
    <row r="4724" spans="14:14" x14ac:dyDescent="0.2">
      <c r="N4724" s="131"/>
    </row>
    <row r="4725" spans="14:14" x14ac:dyDescent="0.2">
      <c r="N4725" s="131"/>
    </row>
    <row r="4726" spans="14:14" x14ac:dyDescent="0.2">
      <c r="N4726" s="131"/>
    </row>
    <row r="4727" spans="14:14" x14ac:dyDescent="0.2">
      <c r="N4727" s="131"/>
    </row>
    <row r="4728" spans="14:14" x14ac:dyDescent="0.2">
      <c r="N4728" s="131"/>
    </row>
    <row r="4729" spans="14:14" x14ac:dyDescent="0.2">
      <c r="N4729" s="131"/>
    </row>
    <row r="4730" spans="14:14" x14ac:dyDescent="0.2">
      <c r="N4730" s="131"/>
    </row>
    <row r="4731" spans="14:14" x14ac:dyDescent="0.2">
      <c r="N4731" s="131"/>
    </row>
    <row r="4732" spans="14:14" x14ac:dyDescent="0.2">
      <c r="N4732" s="131"/>
    </row>
    <row r="4733" spans="14:14" x14ac:dyDescent="0.2">
      <c r="N4733" s="131"/>
    </row>
    <row r="4734" spans="14:14" x14ac:dyDescent="0.2">
      <c r="N4734" s="131"/>
    </row>
    <row r="4735" spans="14:14" x14ac:dyDescent="0.2">
      <c r="N4735" s="131"/>
    </row>
    <row r="4736" spans="14:14" x14ac:dyDescent="0.2">
      <c r="N4736" s="131"/>
    </row>
    <row r="4737" spans="14:14" x14ac:dyDescent="0.2">
      <c r="N4737" s="131"/>
    </row>
    <row r="4738" spans="14:14" x14ac:dyDescent="0.2">
      <c r="N4738" s="131"/>
    </row>
    <row r="4739" spans="14:14" x14ac:dyDescent="0.2">
      <c r="N4739" s="131"/>
    </row>
    <row r="4740" spans="14:14" x14ac:dyDescent="0.2">
      <c r="N4740" s="131"/>
    </row>
    <row r="4741" spans="14:14" x14ac:dyDescent="0.2">
      <c r="N4741" s="131"/>
    </row>
    <row r="4742" spans="14:14" x14ac:dyDescent="0.2">
      <c r="N4742" s="131"/>
    </row>
    <row r="4743" spans="14:14" x14ac:dyDescent="0.2">
      <c r="N4743" s="131"/>
    </row>
    <row r="4744" spans="14:14" x14ac:dyDescent="0.2">
      <c r="N4744" s="131"/>
    </row>
    <row r="4745" spans="14:14" x14ac:dyDescent="0.2">
      <c r="N4745" s="131"/>
    </row>
    <row r="4746" spans="14:14" x14ac:dyDescent="0.2">
      <c r="N4746" s="131"/>
    </row>
    <row r="4747" spans="14:14" x14ac:dyDescent="0.2">
      <c r="N4747" s="131"/>
    </row>
    <row r="4748" spans="14:14" x14ac:dyDescent="0.2">
      <c r="N4748" s="131"/>
    </row>
    <row r="4749" spans="14:14" x14ac:dyDescent="0.2">
      <c r="N4749" s="131"/>
    </row>
    <row r="4750" spans="14:14" x14ac:dyDescent="0.2">
      <c r="N4750" s="131"/>
    </row>
    <row r="4751" spans="14:14" x14ac:dyDescent="0.2">
      <c r="N4751" s="131"/>
    </row>
    <row r="4752" spans="14:14" x14ac:dyDescent="0.2">
      <c r="N4752" s="131"/>
    </row>
    <row r="4753" spans="14:14" x14ac:dyDescent="0.2">
      <c r="N4753" s="131"/>
    </row>
    <row r="4754" spans="14:14" x14ac:dyDescent="0.2">
      <c r="N4754" s="131"/>
    </row>
    <row r="4755" spans="14:14" x14ac:dyDescent="0.2">
      <c r="N4755" s="131"/>
    </row>
    <row r="4756" spans="14:14" x14ac:dyDescent="0.2">
      <c r="N4756" s="131"/>
    </row>
    <row r="4757" spans="14:14" x14ac:dyDescent="0.2">
      <c r="N4757" s="131"/>
    </row>
    <row r="4758" spans="14:14" x14ac:dyDescent="0.2">
      <c r="N4758" s="131"/>
    </row>
    <row r="4759" spans="14:14" x14ac:dyDescent="0.2">
      <c r="N4759" s="131"/>
    </row>
    <row r="4760" spans="14:14" x14ac:dyDescent="0.2">
      <c r="N4760" s="131"/>
    </row>
    <row r="4761" spans="14:14" x14ac:dyDescent="0.2">
      <c r="N4761" s="131"/>
    </row>
    <row r="4762" spans="14:14" x14ac:dyDescent="0.2">
      <c r="N4762" s="131"/>
    </row>
    <row r="4763" spans="14:14" x14ac:dyDescent="0.2">
      <c r="N4763" s="131"/>
    </row>
    <row r="4764" spans="14:14" x14ac:dyDescent="0.2">
      <c r="N4764" s="131"/>
    </row>
    <row r="4765" spans="14:14" x14ac:dyDescent="0.2">
      <c r="N4765" s="131"/>
    </row>
    <row r="4766" spans="14:14" x14ac:dyDescent="0.2">
      <c r="N4766" s="131"/>
    </row>
    <row r="4767" spans="14:14" x14ac:dyDescent="0.2">
      <c r="N4767" s="131"/>
    </row>
    <row r="4768" spans="14:14" x14ac:dyDescent="0.2">
      <c r="N4768" s="131"/>
    </row>
    <row r="4769" spans="14:14" x14ac:dyDescent="0.2">
      <c r="N4769" s="131"/>
    </row>
    <row r="4770" spans="14:14" x14ac:dyDescent="0.2">
      <c r="N4770" s="131"/>
    </row>
    <row r="4771" spans="14:14" x14ac:dyDescent="0.2">
      <c r="N4771" s="131"/>
    </row>
    <row r="4772" spans="14:14" x14ac:dyDescent="0.2">
      <c r="N4772" s="131"/>
    </row>
    <row r="4773" spans="14:14" x14ac:dyDescent="0.2">
      <c r="N4773" s="131"/>
    </row>
    <row r="4774" spans="14:14" x14ac:dyDescent="0.2">
      <c r="N4774" s="131"/>
    </row>
    <row r="4775" spans="14:14" x14ac:dyDescent="0.2">
      <c r="N4775" s="131"/>
    </row>
    <row r="4776" spans="14:14" x14ac:dyDescent="0.2">
      <c r="N4776" s="131"/>
    </row>
    <row r="4777" spans="14:14" x14ac:dyDescent="0.2">
      <c r="N4777" s="131"/>
    </row>
    <row r="4778" spans="14:14" x14ac:dyDescent="0.2">
      <c r="N4778" s="131"/>
    </row>
    <row r="4779" spans="14:14" x14ac:dyDescent="0.2">
      <c r="N4779" s="131"/>
    </row>
    <row r="4780" spans="14:14" x14ac:dyDescent="0.2">
      <c r="N4780" s="131"/>
    </row>
    <row r="4781" spans="14:14" x14ac:dyDescent="0.2">
      <c r="N4781" s="131"/>
    </row>
    <row r="4782" spans="14:14" x14ac:dyDescent="0.2">
      <c r="N4782" s="131"/>
    </row>
    <row r="4783" spans="14:14" x14ac:dyDescent="0.2">
      <c r="N4783" s="131"/>
    </row>
    <row r="4784" spans="14:14" x14ac:dyDescent="0.2">
      <c r="N4784" s="131"/>
    </row>
    <row r="4785" spans="14:14" x14ac:dyDescent="0.2">
      <c r="N4785" s="131"/>
    </row>
    <row r="4786" spans="14:14" x14ac:dyDescent="0.2">
      <c r="N4786" s="131"/>
    </row>
    <row r="4787" spans="14:14" x14ac:dyDescent="0.2">
      <c r="N4787" s="131"/>
    </row>
    <row r="4788" spans="14:14" x14ac:dyDescent="0.2">
      <c r="N4788" s="131"/>
    </row>
    <row r="4789" spans="14:14" x14ac:dyDescent="0.2">
      <c r="N4789" s="131"/>
    </row>
    <row r="4790" spans="14:14" x14ac:dyDescent="0.2">
      <c r="N4790" s="131"/>
    </row>
    <row r="4791" spans="14:14" x14ac:dyDescent="0.2">
      <c r="N4791" s="131"/>
    </row>
    <row r="4792" spans="14:14" x14ac:dyDescent="0.2">
      <c r="N4792" s="131"/>
    </row>
    <row r="4793" spans="14:14" x14ac:dyDescent="0.2">
      <c r="N4793" s="131"/>
    </row>
    <row r="4794" spans="14:14" x14ac:dyDescent="0.2">
      <c r="N4794" s="131"/>
    </row>
    <row r="4795" spans="14:14" x14ac:dyDescent="0.2">
      <c r="N4795" s="131"/>
    </row>
    <row r="4796" spans="14:14" x14ac:dyDescent="0.2">
      <c r="N4796" s="131"/>
    </row>
    <row r="4797" spans="14:14" x14ac:dyDescent="0.2">
      <c r="N4797" s="131"/>
    </row>
    <row r="4798" spans="14:14" x14ac:dyDescent="0.2">
      <c r="N4798" s="131"/>
    </row>
    <row r="4799" spans="14:14" x14ac:dyDescent="0.2">
      <c r="N4799" s="131"/>
    </row>
    <row r="4800" spans="14:14" x14ac:dyDescent="0.2">
      <c r="N4800" s="131"/>
    </row>
    <row r="4801" spans="14:14" x14ac:dyDescent="0.2">
      <c r="N4801" s="131"/>
    </row>
    <row r="4802" spans="14:14" x14ac:dyDescent="0.2">
      <c r="N4802" s="131"/>
    </row>
    <row r="4803" spans="14:14" x14ac:dyDescent="0.2">
      <c r="N4803" s="131"/>
    </row>
    <row r="4804" spans="14:14" x14ac:dyDescent="0.2">
      <c r="N4804" s="131"/>
    </row>
    <row r="4805" spans="14:14" x14ac:dyDescent="0.2">
      <c r="N4805" s="131"/>
    </row>
    <row r="4806" spans="14:14" x14ac:dyDescent="0.2">
      <c r="N4806" s="131"/>
    </row>
    <row r="4807" spans="14:14" x14ac:dyDescent="0.2">
      <c r="N4807" s="131"/>
    </row>
    <row r="4808" spans="14:14" x14ac:dyDescent="0.2">
      <c r="N4808" s="131"/>
    </row>
    <row r="4809" spans="14:14" x14ac:dyDescent="0.2">
      <c r="N4809" s="131"/>
    </row>
    <row r="4810" spans="14:14" x14ac:dyDescent="0.2">
      <c r="N4810" s="131"/>
    </row>
    <row r="4811" spans="14:14" x14ac:dyDescent="0.2">
      <c r="N4811" s="131"/>
    </row>
    <row r="4812" spans="14:14" x14ac:dyDescent="0.2">
      <c r="N4812" s="131"/>
    </row>
    <row r="4813" spans="14:14" x14ac:dyDescent="0.2">
      <c r="N4813" s="131"/>
    </row>
    <row r="4814" spans="14:14" x14ac:dyDescent="0.2">
      <c r="N4814" s="131"/>
    </row>
    <row r="4815" spans="14:14" x14ac:dyDescent="0.2">
      <c r="N4815" s="131"/>
    </row>
    <row r="4816" spans="14:14" x14ac:dyDescent="0.2">
      <c r="N4816" s="131"/>
    </row>
    <row r="4817" spans="14:14" x14ac:dyDescent="0.2">
      <c r="N4817" s="131"/>
    </row>
    <row r="4818" spans="14:14" x14ac:dyDescent="0.2">
      <c r="N4818" s="131"/>
    </row>
    <row r="4819" spans="14:14" x14ac:dyDescent="0.2">
      <c r="N4819" s="131"/>
    </row>
    <row r="4820" spans="14:14" x14ac:dyDescent="0.2">
      <c r="N4820" s="131"/>
    </row>
    <row r="4821" spans="14:14" x14ac:dyDescent="0.2">
      <c r="N4821" s="131"/>
    </row>
    <row r="4822" spans="14:14" x14ac:dyDescent="0.2">
      <c r="N4822" s="131"/>
    </row>
    <row r="4823" spans="14:14" x14ac:dyDescent="0.2">
      <c r="N4823" s="131"/>
    </row>
    <row r="4824" spans="14:14" x14ac:dyDescent="0.2">
      <c r="N4824" s="131"/>
    </row>
    <row r="4825" spans="14:14" x14ac:dyDescent="0.2">
      <c r="N4825" s="131"/>
    </row>
    <row r="4826" spans="14:14" x14ac:dyDescent="0.2">
      <c r="N4826" s="131"/>
    </row>
    <row r="4827" spans="14:14" x14ac:dyDescent="0.2">
      <c r="N4827" s="131"/>
    </row>
    <row r="4828" spans="14:14" x14ac:dyDescent="0.2">
      <c r="N4828" s="131"/>
    </row>
    <row r="4829" spans="14:14" x14ac:dyDescent="0.2">
      <c r="N4829" s="131"/>
    </row>
    <row r="4830" spans="14:14" x14ac:dyDescent="0.2">
      <c r="N4830" s="131"/>
    </row>
    <row r="4831" spans="14:14" x14ac:dyDescent="0.2">
      <c r="N4831" s="131"/>
    </row>
    <row r="4832" spans="14:14" x14ac:dyDescent="0.2">
      <c r="N4832" s="131"/>
    </row>
    <row r="4833" spans="14:14" x14ac:dyDescent="0.2">
      <c r="N4833" s="131"/>
    </row>
    <row r="4834" spans="14:14" x14ac:dyDescent="0.2">
      <c r="N4834" s="131"/>
    </row>
    <row r="4835" spans="14:14" x14ac:dyDescent="0.2">
      <c r="N4835" s="131"/>
    </row>
    <row r="4836" spans="14:14" x14ac:dyDescent="0.2">
      <c r="N4836" s="131"/>
    </row>
    <row r="4837" spans="14:14" x14ac:dyDescent="0.2">
      <c r="N4837" s="131"/>
    </row>
    <row r="4838" spans="14:14" x14ac:dyDescent="0.2">
      <c r="N4838" s="131"/>
    </row>
    <row r="4839" spans="14:14" x14ac:dyDescent="0.2">
      <c r="N4839" s="131"/>
    </row>
    <row r="4840" spans="14:14" x14ac:dyDescent="0.2">
      <c r="N4840" s="131"/>
    </row>
    <row r="4841" spans="14:14" x14ac:dyDescent="0.2">
      <c r="N4841" s="131"/>
    </row>
    <row r="4842" spans="14:14" x14ac:dyDescent="0.2">
      <c r="N4842" s="131"/>
    </row>
    <row r="4843" spans="14:14" x14ac:dyDescent="0.2">
      <c r="N4843" s="131"/>
    </row>
    <row r="4844" spans="14:14" x14ac:dyDescent="0.2">
      <c r="N4844" s="131"/>
    </row>
    <row r="4845" spans="14:14" x14ac:dyDescent="0.2">
      <c r="N4845" s="131"/>
    </row>
    <row r="4846" spans="14:14" x14ac:dyDescent="0.2">
      <c r="N4846" s="131"/>
    </row>
    <row r="4847" spans="14:14" x14ac:dyDescent="0.2">
      <c r="N4847" s="131"/>
    </row>
    <row r="4848" spans="14:14" x14ac:dyDescent="0.2">
      <c r="N4848" s="131"/>
    </row>
    <row r="4849" spans="14:14" x14ac:dyDescent="0.2">
      <c r="N4849" s="131"/>
    </row>
    <row r="4850" spans="14:14" x14ac:dyDescent="0.2">
      <c r="N4850" s="131"/>
    </row>
    <row r="4851" spans="14:14" x14ac:dyDescent="0.2">
      <c r="N4851" s="131"/>
    </row>
    <row r="4852" spans="14:14" x14ac:dyDescent="0.2">
      <c r="N4852" s="131"/>
    </row>
    <row r="4853" spans="14:14" x14ac:dyDescent="0.2">
      <c r="N4853" s="131"/>
    </row>
    <row r="4854" spans="14:14" x14ac:dyDescent="0.2">
      <c r="N4854" s="131"/>
    </row>
    <row r="4855" spans="14:14" x14ac:dyDescent="0.2">
      <c r="N4855" s="131"/>
    </row>
    <row r="4856" spans="14:14" x14ac:dyDescent="0.2">
      <c r="N4856" s="131"/>
    </row>
    <row r="4857" spans="14:14" x14ac:dyDescent="0.2">
      <c r="N4857" s="131"/>
    </row>
    <row r="4858" spans="14:14" x14ac:dyDescent="0.2">
      <c r="N4858" s="131"/>
    </row>
    <row r="4859" spans="14:14" x14ac:dyDescent="0.2">
      <c r="N4859" s="131"/>
    </row>
    <row r="4860" spans="14:14" x14ac:dyDescent="0.2">
      <c r="N4860" s="131"/>
    </row>
    <row r="4861" spans="14:14" x14ac:dyDescent="0.2">
      <c r="N4861" s="131"/>
    </row>
    <row r="4862" spans="14:14" x14ac:dyDescent="0.2">
      <c r="N4862" s="131"/>
    </row>
    <row r="4863" spans="14:14" x14ac:dyDescent="0.2">
      <c r="N4863" s="131"/>
    </row>
    <row r="4864" spans="14:14" x14ac:dyDescent="0.2">
      <c r="N4864" s="131"/>
    </row>
    <row r="4865" spans="14:14" x14ac:dyDescent="0.2">
      <c r="N4865" s="131"/>
    </row>
    <row r="4866" spans="14:14" x14ac:dyDescent="0.2">
      <c r="N4866" s="131"/>
    </row>
    <row r="4867" spans="14:14" x14ac:dyDescent="0.2">
      <c r="N4867" s="131"/>
    </row>
    <row r="4868" spans="14:14" x14ac:dyDescent="0.2">
      <c r="N4868" s="131"/>
    </row>
    <row r="4869" spans="14:14" x14ac:dyDescent="0.2">
      <c r="N4869" s="131"/>
    </row>
    <row r="4870" spans="14:14" x14ac:dyDescent="0.2">
      <c r="N4870" s="131"/>
    </row>
    <row r="4871" spans="14:14" x14ac:dyDescent="0.2">
      <c r="N4871" s="131"/>
    </row>
    <row r="4872" spans="14:14" x14ac:dyDescent="0.2">
      <c r="N4872" s="131"/>
    </row>
    <row r="4873" spans="14:14" x14ac:dyDescent="0.2">
      <c r="N4873" s="131"/>
    </row>
    <row r="4874" spans="14:14" x14ac:dyDescent="0.2">
      <c r="N4874" s="131"/>
    </row>
    <row r="4875" spans="14:14" x14ac:dyDescent="0.2">
      <c r="N4875" s="131"/>
    </row>
    <row r="4876" spans="14:14" x14ac:dyDescent="0.2">
      <c r="N4876" s="131"/>
    </row>
    <row r="4877" spans="14:14" x14ac:dyDescent="0.2">
      <c r="N4877" s="131"/>
    </row>
    <row r="4878" spans="14:14" x14ac:dyDescent="0.2">
      <c r="N4878" s="131"/>
    </row>
    <row r="4879" spans="14:14" x14ac:dyDescent="0.2">
      <c r="N4879" s="131"/>
    </row>
    <row r="4880" spans="14:14" x14ac:dyDescent="0.2">
      <c r="N4880" s="131"/>
    </row>
    <row r="4881" spans="14:14" x14ac:dyDescent="0.2">
      <c r="N4881" s="131"/>
    </row>
    <row r="4882" spans="14:14" x14ac:dyDescent="0.2">
      <c r="N4882" s="131"/>
    </row>
    <row r="4883" spans="14:14" x14ac:dyDescent="0.2">
      <c r="N4883" s="131"/>
    </row>
    <row r="4884" spans="14:14" x14ac:dyDescent="0.2">
      <c r="N4884" s="131"/>
    </row>
    <row r="4885" spans="14:14" x14ac:dyDescent="0.2">
      <c r="N4885" s="131"/>
    </row>
    <row r="4886" spans="14:14" x14ac:dyDescent="0.2">
      <c r="N4886" s="131"/>
    </row>
    <row r="4887" spans="14:14" x14ac:dyDescent="0.2">
      <c r="N4887" s="131"/>
    </row>
    <row r="4888" spans="14:14" x14ac:dyDescent="0.2">
      <c r="N4888" s="131"/>
    </row>
    <row r="4889" spans="14:14" x14ac:dyDescent="0.2">
      <c r="N4889" s="131"/>
    </row>
    <row r="4890" spans="14:14" x14ac:dyDescent="0.2">
      <c r="N4890" s="131"/>
    </row>
    <row r="4891" spans="14:14" x14ac:dyDescent="0.2">
      <c r="N4891" s="131"/>
    </row>
    <row r="4892" spans="14:14" x14ac:dyDescent="0.2">
      <c r="N4892" s="131"/>
    </row>
    <row r="4893" spans="14:14" x14ac:dyDescent="0.2">
      <c r="N4893" s="131"/>
    </row>
    <row r="4894" spans="14:14" x14ac:dyDescent="0.2">
      <c r="N4894" s="131"/>
    </row>
    <row r="4895" spans="14:14" x14ac:dyDescent="0.2">
      <c r="N4895" s="131"/>
    </row>
    <row r="4896" spans="14:14" x14ac:dyDescent="0.2">
      <c r="N4896" s="131"/>
    </row>
    <row r="4897" spans="14:14" x14ac:dyDescent="0.2">
      <c r="N4897" s="131"/>
    </row>
    <row r="4898" spans="14:14" x14ac:dyDescent="0.2">
      <c r="N4898" s="131"/>
    </row>
    <row r="4899" spans="14:14" x14ac:dyDescent="0.2">
      <c r="N4899" s="131"/>
    </row>
    <row r="4900" spans="14:14" x14ac:dyDescent="0.2">
      <c r="N4900" s="131"/>
    </row>
    <row r="4901" spans="14:14" x14ac:dyDescent="0.2">
      <c r="N4901" s="131"/>
    </row>
    <row r="4902" spans="14:14" x14ac:dyDescent="0.2">
      <c r="N4902" s="131"/>
    </row>
    <row r="4903" spans="14:14" x14ac:dyDescent="0.2">
      <c r="N4903" s="131"/>
    </row>
    <row r="4904" spans="14:14" x14ac:dyDescent="0.2">
      <c r="N4904" s="131"/>
    </row>
    <row r="4905" spans="14:14" x14ac:dyDescent="0.2">
      <c r="N4905" s="131"/>
    </row>
    <row r="4906" spans="14:14" x14ac:dyDescent="0.2">
      <c r="N4906" s="131"/>
    </row>
    <row r="4907" spans="14:14" x14ac:dyDescent="0.2">
      <c r="N4907" s="131"/>
    </row>
    <row r="4908" spans="14:14" x14ac:dyDescent="0.2">
      <c r="N4908" s="131"/>
    </row>
    <row r="4909" spans="14:14" x14ac:dyDescent="0.2">
      <c r="N4909" s="131"/>
    </row>
    <row r="4910" spans="14:14" x14ac:dyDescent="0.2">
      <c r="N4910" s="131"/>
    </row>
    <row r="4911" spans="14:14" x14ac:dyDescent="0.2">
      <c r="N4911" s="131"/>
    </row>
    <row r="4912" spans="14:14" x14ac:dyDescent="0.2">
      <c r="N4912" s="131"/>
    </row>
    <row r="4913" spans="14:14" x14ac:dyDescent="0.2">
      <c r="N4913" s="131"/>
    </row>
    <row r="4914" spans="14:14" x14ac:dyDescent="0.2">
      <c r="N4914" s="131"/>
    </row>
    <row r="4915" spans="14:14" x14ac:dyDescent="0.2">
      <c r="N4915" s="131"/>
    </row>
    <row r="4916" spans="14:14" x14ac:dyDescent="0.2">
      <c r="N4916" s="131"/>
    </row>
    <row r="4917" spans="14:14" x14ac:dyDescent="0.2">
      <c r="N4917" s="131"/>
    </row>
    <row r="4918" spans="14:14" x14ac:dyDescent="0.2">
      <c r="N4918" s="131"/>
    </row>
    <row r="4919" spans="14:14" x14ac:dyDescent="0.2">
      <c r="N4919" s="131"/>
    </row>
    <row r="4920" spans="14:14" x14ac:dyDescent="0.2">
      <c r="N4920" s="131"/>
    </row>
    <row r="4921" spans="14:14" x14ac:dyDescent="0.2">
      <c r="N4921" s="131"/>
    </row>
    <row r="4922" spans="14:14" x14ac:dyDescent="0.2">
      <c r="N4922" s="131"/>
    </row>
    <row r="4923" spans="14:14" x14ac:dyDescent="0.2">
      <c r="N4923" s="131"/>
    </row>
    <row r="4924" spans="14:14" x14ac:dyDescent="0.2">
      <c r="N4924" s="131"/>
    </row>
    <row r="4925" spans="14:14" x14ac:dyDescent="0.2">
      <c r="N4925" s="131"/>
    </row>
    <row r="4926" spans="14:14" x14ac:dyDescent="0.2">
      <c r="N4926" s="131"/>
    </row>
    <row r="4927" spans="14:14" x14ac:dyDescent="0.2">
      <c r="N4927" s="131"/>
    </row>
    <row r="4928" spans="14:14" x14ac:dyDescent="0.2">
      <c r="N4928" s="131"/>
    </row>
    <row r="4929" spans="14:14" x14ac:dyDescent="0.2">
      <c r="N4929" s="131"/>
    </row>
    <row r="4930" spans="14:14" x14ac:dyDescent="0.2">
      <c r="N4930" s="131"/>
    </row>
    <row r="4931" spans="14:14" x14ac:dyDescent="0.2">
      <c r="N4931" s="131"/>
    </row>
    <row r="4932" spans="14:14" x14ac:dyDescent="0.2">
      <c r="N4932" s="131"/>
    </row>
    <row r="4933" spans="14:14" x14ac:dyDescent="0.2">
      <c r="N4933" s="131"/>
    </row>
    <row r="4934" spans="14:14" x14ac:dyDescent="0.2">
      <c r="N4934" s="131"/>
    </row>
    <row r="4935" spans="14:14" x14ac:dyDescent="0.2">
      <c r="N4935" s="131"/>
    </row>
    <row r="4936" spans="14:14" x14ac:dyDescent="0.2">
      <c r="N4936" s="131"/>
    </row>
    <row r="4937" spans="14:14" x14ac:dyDescent="0.2">
      <c r="N4937" s="131"/>
    </row>
    <row r="4938" spans="14:14" x14ac:dyDescent="0.2">
      <c r="N4938" s="131"/>
    </row>
    <row r="4939" spans="14:14" x14ac:dyDescent="0.2">
      <c r="N4939" s="131"/>
    </row>
    <row r="4940" spans="14:14" x14ac:dyDescent="0.2">
      <c r="N4940" s="131"/>
    </row>
    <row r="4941" spans="14:14" x14ac:dyDescent="0.2">
      <c r="N4941" s="131"/>
    </row>
    <row r="4942" spans="14:14" x14ac:dyDescent="0.2">
      <c r="N4942" s="131"/>
    </row>
    <row r="4943" spans="14:14" x14ac:dyDescent="0.2">
      <c r="N4943" s="131"/>
    </row>
    <row r="4944" spans="14:14" x14ac:dyDescent="0.2">
      <c r="N4944" s="131"/>
    </row>
    <row r="4945" spans="14:14" x14ac:dyDescent="0.2">
      <c r="N4945" s="131"/>
    </row>
    <row r="4946" spans="14:14" x14ac:dyDescent="0.2">
      <c r="N4946" s="131"/>
    </row>
    <row r="4947" spans="14:14" x14ac:dyDescent="0.2">
      <c r="N4947" s="131"/>
    </row>
    <row r="4948" spans="14:14" x14ac:dyDescent="0.2">
      <c r="N4948" s="131"/>
    </row>
    <row r="4949" spans="14:14" x14ac:dyDescent="0.2">
      <c r="N4949" s="131"/>
    </row>
    <row r="4950" spans="14:14" x14ac:dyDescent="0.2">
      <c r="N4950" s="131"/>
    </row>
    <row r="4951" spans="14:14" x14ac:dyDescent="0.2">
      <c r="N4951" s="131"/>
    </row>
    <row r="4952" spans="14:14" x14ac:dyDescent="0.2">
      <c r="N4952" s="131"/>
    </row>
    <row r="4953" spans="14:14" x14ac:dyDescent="0.2">
      <c r="N4953" s="131"/>
    </row>
    <row r="4954" spans="14:14" x14ac:dyDescent="0.2">
      <c r="N4954" s="131"/>
    </row>
    <row r="4955" spans="14:14" x14ac:dyDescent="0.2">
      <c r="N4955" s="131"/>
    </row>
    <row r="4956" spans="14:14" x14ac:dyDescent="0.2">
      <c r="N4956" s="131"/>
    </row>
    <row r="4957" spans="14:14" x14ac:dyDescent="0.2">
      <c r="N4957" s="131"/>
    </row>
    <row r="4958" spans="14:14" x14ac:dyDescent="0.2">
      <c r="N4958" s="131"/>
    </row>
    <row r="4959" spans="14:14" x14ac:dyDescent="0.2">
      <c r="N4959" s="131"/>
    </row>
    <row r="4960" spans="14:14" x14ac:dyDescent="0.2">
      <c r="N4960" s="131"/>
    </row>
    <row r="4961" spans="14:14" x14ac:dyDescent="0.2">
      <c r="N4961" s="131"/>
    </row>
    <row r="4962" spans="14:14" x14ac:dyDescent="0.2">
      <c r="N4962" s="131"/>
    </row>
    <row r="4963" spans="14:14" x14ac:dyDescent="0.2">
      <c r="N4963" s="131"/>
    </row>
    <row r="4964" spans="14:14" x14ac:dyDescent="0.2">
      <c r="N4964" s="131"/>
    </row>
    <row r="4965" spans="14:14" x14ac:dyDescent="0.2">
      <c r="N4965" s="131"/>
    </row>
    <row r="4966" spans="14:14" x14ac:dyDescent="0.2">
      <c r="N4966" s="131"/>
    </row>
    <row r="4967" spans="14:14" x14ac:dyDescent="0.2">
      <c r="N4967" s="131"/>
    </row>
    <row r="4968" spans="14:14" x14ac:dyDescent="0.2">
      <c r="N4968" s="131"/>
    </row>
    <row r="4969" spans="14:14" x14ac:dyDescent="0.2">
      <c r="N4969" s="131"/>
    </row>
    <row r="4970" spans="14:14" x14ac:dyDescent="0.2">
      <c r="N4970" s="131"/>
    </row>
    <row r="4971" spans="14:14" x14ac:dyDescent="0.2">
      <c r="N4971" s="131"/>
    </row>
    <row r="4972" spans="14:14" x14ac:dyDescent="0.2">
      <c r="N4972" s="131"/>
    </row>
    <row r="4973" spans="14:14" x14ac:dyDescent="0.2">
      <c r="N4973" s="131"/>
    </row>
    <row r="4974" spans="14:14" x14ac:dyDescent="0.2">
      <c r="N4974" s="131"/>
    </row>
    <row r="4975" spans="14:14" x14ac:dyDescent="0.2">
      <c r="N4975" s="131"/>
    </row>
    <row r="4976" spans="14:14" x14ac:dyDescent="0.2">
      <c r="N4976" s="131"/>
    </row>
    <row r="4977" spans="14:14" x14ac:dyDescent="0.2">
      <c r="N4977" s="131"/>
    </row>
    <row r="4978" spans="14:14" x14ac:dyDescent="0.2">
      <c r="N4978" s="131"/>
    </row>
    <row r="4979" spans="14:14" x14ac:dyDescent="0.2">
      <c r="N4979" s="131"/>
    </row>
    <row r="4980" spans="14:14" x14ac:dyDescent="0.2">
      <c r="N4980" s="131"/>
    </row>
    <row r="4981" spans="14:14" x14ac:dyDescent="0.2">
      <c r="N4981" s="131"/>
    </row>
    <row r="4982" spans="14:14" x14ac:dyDescent="0.2">
      <c r="N4982" s="131"/>
    </row>
    <row r="4983" spans="14:14" x14ac:dyDescent="0.2">
      <c r="N4983" s="131"/>
    </row>
    <row r="4984" spans="14:14" x14ac:dyDescent="0.2">
      <c r="N4984" s="131"/>
    </row>
    <row r="4985" spans="14:14" x14ac:dyDescent="0.2">
      <c r="N4985" s="131"/>
    </row>
    <row r="4986" spans="14:14" x14ac:dyDescent="0.2">
      <c r="N4986" s="131"/>
    </row>
    <row r="4987" spans="14:14" x14ac:dyDescent="0.2">
      <c r="N4987" s="131"/>
    </row>
    <row r="4988" spans="14:14" x14ac:dyDescent="0.2">
      <c r="N4988" s="131"/>
    </row>
    <row r="4989" spans="14:14" x14ac:dyDescent="0.2">
      <c r="N4989" s="131"/>
    </row>
    <row r="4990" spans="14:14" x14ac:dyDescent="0.2">
      <c r="N4990" s="131"/>
    </row>
    <row r="4991" spans="14:14" x14ac:dyDescent="0.2">
      <c r="N4991" s="131"/>
    </row>
    <row r="4992" spans="14:14" x14ac:dyDescent="0.2">
      <c r="N4992" s="131"/>
    </row>
    <row r="4993" spans="14:14" x14ac:dyDescent="0.2">
      <c r="N4993" s="131"/>
    </row>
    <row r="4994" spans="14:14" x14ac:dyDescent="0.2">
      <c r="N4994" s="131"/>
    </row>
    <row r="4995" spans="14:14" x14ac:dyDescent="0.2">
      <c r="N4995" s="131"/>
    </row>
    <row r="4996" spans="14:14" x14ac:dyDescent="0.2">
      <c r="N4996" s="131"/>
    </row>
    <row r="4997" spans="14:14" x14ac:dyDescent="0.2">
      <c r="N4997" s="131"/>
    </row>
    <row r="4998" spans="14:14" x14ac:dyDescent="0.2">
      <c r="N4998" s="131"/>
    </row>
    <row r="4999" spans="14:14" x14ac:dyDescent="0.2">
      <c r="N4999" s="131"/>
    </row>
    <row r="5000" spans="14:14" x14ac:dyDescent="0.2">
      <c r="N5000" s="131"/>
    </row>
    <row r="5001" spans="14:14" x14ac:dyDescent="0.2">
      <c r="N5001" s="131"/>
    </row>
    <row r="5002" spans="14:14" x14ac:dyDescent="0.2">
      <c r="N5002" s="131"/>
    </row>
    <row r="5003" spans="14:14" x14ac:dyDescent="0.2">
      <c r="N5003" s="131"/>
    </row>
    <row r="5004" spans="14:14" x14ac:dyDescent="0.2">
      <c r="N5004" s="131"/>
    </row>
    <row r="5005" spans="14:14" x14ac:dyDescent="0.2">
      <c r="N5005" s="131"/>
    </row>
    <row r="5006" spans="14:14" x14ac:dyDescent="0.2">
      <c r="N5006" s="131"/>
    </row>
    <row r="5007" spans="14:14" x14ac:dyDescent="0.2">
      <c r="N5007" s="131"/>
    </row>
    <row r="5008" spans="14:14" x14ac:dyDescent="0.2">
      <c r="N5008" s="131"/>
    </row>
    <row r="5009" spans="14:14" x14ac:dyDescent="0.2">
      <c r="N5009" s="131"/>
    </row>
    <row r="5010" spans="14:14" x14ac:dyDescent="0.2">
      <c r="N5010" s="131"/>
    </row>
    <row r="5011" spans="14:14" x14ac:dyDescent="0.2">
      <c r="N5011" s="131"/>
    </row>
    <row r="5012" spans="14:14" x14ac:dyDescent="0.2">
      <c r="N5012" s="131"/>
    </row>
    <row r="5013" spans="14:14" x14ac:dyDescent="0.2">
      <c r="N5013" s="131"/>
    </row>
    <row r="5014" spans="14:14" x14ac:dyDescent="0.2">
      <c r="N5014" s="131"/>
    </row>
    <row r="5015" spans="14:14" x14ac:dyDescent="0.2">
      <c r="N5015" s="131"/>
    </row>
    <row r="5016" spans="14:14" x14ac:dyDescent="0.2">
      <c r="N5016" s="131"/>
    </row>
    <row r="5017" spans="14:14" x14ac:dyDescent="0.2">
      <c r="N5017" s="131"/>
    </row>
    <row r="5018" spans="14:14" x14ac:dyDescent="0.2">
      <c r="N5018" s="131"/>
    </row>
    <row r="5019" spans="14:14" x14ac:dyDescent="0.2">
      <c r="N5019" s="131"/>
    </row>
    <row r="5020" spans="14:14" x14ac:dyDescent="0.2">
      <c r="N5020" s="131"/>
    </row>
    <row r="5021" spans="14:14" x14ac:dyDescent="0.2">
      <c r="N5021" s="131"/>
    </row>
    <row r="5022" spans="14:14" x14ac:dyDescent="0.2">
      <c r="N5022" s="131"/>
    </row>
    <row r="5023" spans="14:14" x14ac:dyDescent="0.2">
      <c r="N5023" s="131"/>
    </row>
    <row r="5024" spans="14:14" x14ac:dyDescent="0.2">
      <c r="N5024" s="131"/>
    </row>
    <row r="5025" spans="14:14" x14ac:dyDescent="0.2">
      <c r="N5025" s="131"/>
    </row>
    <row r="5026" spans="14:14" x14ac:dyDescent="0.2">
      <c r="N5026" s="131"/>
    </row>
    <row r="5027" spans="14:14" x14ac:dyDescent="0.2">
      <c r="N5027" s="131"/>
    </row>
    <row r="5028" spans="14:14" x14ac:dyDescent="0.2">
      <c r="N5028" s="131"/>
    </row>
    <row r="5029" spans="14:14" x14ac:dyDescent="0.2">
      <c r="N5029" s="131"/>
    </row>
    <row r="5030" spans="14:14" x14ac:dyDescent="0.2">
      <c r="N5030" s="131"/>
    </row>
    <row r="5031" spans="14:14" x14ac:dyDescent="0.2">
      <c r="N5031" s="131"/>
    </row>
    <row r="5032" spans="14:14" x14ac:dyDescent="0.2">
      <c r="N5032" s="131"/>
    </row>
    <row r="5033" spans="14:14" x14ac:dyDescent="0.2">
      <c r="N5033" s="131"/>
    </row>
    <row r="5034" spans="14:14" x14ac:dyDescent="0.2">
      <c r="N5034" s="131"/>
    </row>
    <row r="5035" spans="14:14" x14ac:dyDescent="0.2">
      <c r="N5035" s="131"/>
    </row>
    <row r="5036" spans="14:14" x14ac:dyDescent="0.2">
      <c r="N5036" s="131"/>
    </row>
    <row r="5037" spans="14:14" x14ac:dyDescent="0.2">
      <c r="N5037" s="131"/>
    </row>
    <row r="5038" spans="14:14" x14ac:dyDescent="0.2">
      <c r="N5038" s="131"/>
    </row>
    <row r="5039" spans="14:14" x14ac:dyDescent="0.2">
      <c r="N5039" s="131"/>
    </row>
    <row r="5040" spans="14:14" x14ac:dyDescent="0.2">
      <c r="N5040" s="131"/>
    </row>
    <row r="5041" spans="14:14" x14ac:dyDescent="0.2">
      <c r="N5041" s="131"/>
    </row>
    <row r="5042" spans="14:14" x14ac:dyDescent="0.2">
      <c r="N5042" s="131"/>
    </row>
    <row r="5043" spans="14:14" x14ac:dyDescent="0.2">
      <c r="N5043" s="131"/>
    </row>
    <row r="5044" spans="14:14" x14ac:dyDescent="0.2">
      <c r="N5044" s="131"/>
    </row>
    <row r="5045" spans="14:14" x14ac:dyDescent="0.2">
      <c r="N5045" s="131"/>
    </row>
    <row r="5046" spans="14:14" x14ac:dyDescent="0.2">
      <c r="N5046" s="131"/>
    </row>
    <row r="5047" spans="14:14" x14ac:dyDescent="0.2">
      <c r="N5047" s="131"/>
    </row>
    <row r="5048" spans="14:14" x14ac:dyDescent="0.2">
      <c r="N5048" s="131"/>
    </row>
    <row r="5049" spans="14:14" x14ac:dyDescent="0.2">
      <c r="N5049" s="131"/>
    </row>
    <row r="5050" spans="14:14" x14ac:dyDescent="0.2">
      <c r="N5050" s="131"/>
    </row>
    <row r="5051" spans="14:14" x14ac:dyDescent="0.2">
      <c r="N5051" s="131"/>
    </row>
    <row r="5052" spans="14:14" x14ac:dyDescent="0.2">
      <c r="N5052" s="131"/>
    </row>
    <row r="5053" spans="14:14" x14ac:dyDescent="0.2">
      <c r="N5053" s="131"/>
    </row>
    <row r="5054" spans="14:14" x14ac:dyDescent="0.2">
      <c r="N5054" s="131"/>
    </row>
    <row r="5055" spans="14:14" x14ac:dyDescent="0.2">
      <c r="N5055" s="131"/>
    </row>
    <row r="5056" spans="14:14" x14ac:dyDescent="0.2">
      <c r="N5056" s="131"/>
    </row>
    <row r="5057" spans="14:14" x14ac:dyDescent="0.2">
      <c r="N5057" s="131"/>
    </row>
    <row r="5058" spans="14:14" x14ac:dyDescent="0.2">
      <c r="N5058" s="131"/>
    </row>
    <row r="5059" spans="14:14" x14ac:dyDescent="0.2">
      <c r="N5059" s="131"/>
    </row>
    <row r="5060" spans="14:14" x14ac:dyDescent="0.2">
      <c r="N5060" s="131"/>
    </row>
    <row r="5061" spans="14:14" x14ac:dyDescent="0.2">
      <c r="N5061" s="131"/>
    </row>
    <row r="5062" spans="14:14" x14ac:dyDescent="0.2">
      <c r="N5062" s="131"/>
    </row>
    <row r="5063" spans="14:14" x14ac:dyDescent="0.2">
      <c r="N5063" s="131"/>
    </row>
    <row r="5064" spans="14:14" x14ac:dyDescent="0.2">
      <c r="N5064" s="131"/>
    </row>
    <row r="5065" spans="14:14" x14ac:dyDescent="0.2">
      <c r="N5065" s="131"/>
    </row>
    <row r="5066" spans="14:14" x14ac:dyDescent="0.2">
      <c r="N5066" s="131"/>
    </row>
    <row r="5067" spans="14:14" x14ac:dyDescent="0.2">
      <c r="N5067" s="131"/>
    </row>
    <row r="5068" spans="14:14" x14ac:dyDescent="0.2">
      <c r="N5068" s="131"/>
    </row>
    <row r="5069" spans="14:14" x14ac:dyDescent="0.2">
      <c r="N5069" s="131"/>
    </row>
    <row r="5070" spans="14:14" x14ac:dyDescent="0.2">
      <c r="N5070" s="131"/>
    </row>
    <row r="5071" spans="14:14" x14ac:dyDescent="0.2">
      <c r="N5071" s="131"/>
    </row>
    <row r="5072" spans="14:14" x14ac:dyDescent="0.2">
      <c r="N5072" s="131"/>
    </row>
    <row r="5073" spans="14:14" x14ac:dyDescent="0.2">
      <c r="N5073" s="131"/>
    </row>
    <row r="5074" spans="14:14" x14ac:dyDescent="0.2">
      <c r="N5074" s="131"/>
    </row>
    <row r="5075" spans="14:14" x14ac:dyDescent="0.2">
      <c r="N5075" s="131"/>
    </row>
    <row r="5076" spans="14:14" x14ac:dyDescent="0.2">
      <c r="N5076" s="131"/>
    </row>
    <row r="5077" spans="14:14" x14ac:dyDescent="0.2">
      <c r="N5077" s="131"/>
    </row>
    <row r="5078" spans="14:14" x14ac:dyDescent="0.2">
      <c r="N5078" s="131"/>
    </row>
    <row r="5079" spans="14:14" x14ac:dyDescent="0.2">
      <c r="N5079" s="131"/>
    </row>
    <row r="5080" spans="14:14" x14ac:dyDescent="0.2">
      <c r="N5080" s="131"/>
    </row>
    <row r="5081" spans="14:14" x14ac:dyDescent="0.2">
      <c r="N5081" s="131"/>
    </row>
    <row r="5082" spans="14:14" x14ac:dyDescent="0.2">
      <c r="N5082" s="131"/>
    </row>
    <row r="5083" spans="14:14" x14ac:dyDescent="0.2">
      <c r="N5083" s="131"/>
    </row>
    <row r="5084" spans="14:14" x14ac:dyDescent="0.2">
      <c r="N5084" s="131"/>
    </row>
    <row r="5085" spans="14:14" x14ac:dyDescent="0.2">
      <c r="N5085" s="131"/>
    </row>
    <row r="5086" spans="14:14" x14ac:dyDescent="0.2">
      <c r="N5086" s="131"/>
    </row>
    <row r="5087" spans="14:14" x14ac:dyDescent="0.2">
      <c r="N5087" s="131"/>
    </row>
    <row r="5088" spans="14:14" x14ac:dyDescent="0.2">
      <c r="N5088" s="131"/>
    </row>
    <row r="5089" spans="14:14" x14ac:dyDescent="0.2">
      <c r="N5089" s="131"/>
    </row>
    <row r="5090" spans="14:14" x14ac:dyDescent="0.2">
      <c r="N5090" s="131"/>
    </row>
    <row r="5091" spans="14:14" x14ac:dyDescent="0.2">
      <c r="N5091" s="131"/>
    </row>
    <row r="5092" spans="14:14" x14ac:dyDescent="0.2">
      <c r="N5092" s="131"/>
    </row>
    <row r="5093" spans="14:14" x14ac:dyDescent="0.2">
      <c r="N5093" s="131"/>
    </row>
    <row r="5094" spans="14:14" x14ac:dyDescent="0.2">
      <c r="N5094" s="131"/>
    </row>
    <row r="5095" spans="14:14" x14ac:dyDescent="0.2">
      <c r="N5095" s="131"/>
    </row>
    <row r="5096" spans="14:14" x14ac:dyDescent="0.2">
      <c r="N5096" s="131"/>
    </row>
    <row r="5097" spans="14:14" x14ac:dyDescent="0.2">
      <c r="N5097" s="131"/>
    </row>
    <row r="5098" spans="14:14" x14ac:dyDescent="0.2">
      <c r="N5098" s="131"/>
    </row>
    <row r="5099" spans="14:14" x14ac:dyDescent="0.2">
      <c r="N5099" s="131"/>
    </row>
    <row r="5100" spans="14:14" x14ac:dyDescent="0.2">
      <c r="N5100" s="131"/>
    </row>
    <row r="5101" spans="14:14" x14ac:dyDescent="0.2">
      <c r="N5101" s="131"/>
    </row>
    <row r="5102" spans="14:14" x14ac:dyDescent="0.2">
      <c r="N5102" s="131"/>
    </row>
    <row r="5103" spans="14:14" x14ac:dyDescent="0.2">
      <c r="N5103" s="131"/>
    </row>
    <row r="5104" spans="14:14" x14ac:dyDescent="0.2">
      <c r="N5104" s="131"/>
    </row>
    <row r="5105" spans="14:14" x14ac:dyDescent="0.2">
      <c r="N5105" s="131"/>
    </row>
    <row r="5106" spans="14:14" x14ac:dyDescent="0.2">
      <c r="N5106" s="131"/>
    </row>
    <row r="5107" spans="14:14" x14ac:dyDescent="0.2">
      <c r="N5107" s="131"/>
    </row>
    <row r="5108" spans="14:14" x14ac:dyDescent="0.2">
      <c r="N5108" s="131"/>
    </row>
    <row r="5109" spans="14:14" x14ac:dyDescent="0.2">
      <c r="N5109" s="131"/>
    </row>
    <row r="5110" spans="14:14" x14ac:dyDescent="0.2">
      <c r="N5110" s="131"/>
    </row>
    <row r="5111" spans="14:14" x14ac:dyDescent="0.2">
      <c r="N5111" s="131"/>
    </row>
    <row r="5112" spans="14:14" x14ac:dyDescent="0.2">
      <c r="N5112" s="131"/>
    </row>
    <row r="5113" spans="14:14" x14ac:dyDescent="0.2">
      <c r="N5113" s="131"/>
    </row>
    <row r="5114" spans="14:14" x14ac:dyDescent="0.2">
      <c r="N5114" s="131"/>
    </row>
    <row r="5115" spans="14:14" x14ac:dyDescent="0.2">
      <c r="N5115" s="131"/>
    </row>
    <row r="5116" spans="14:14" x14ac:dyDescent="0.2">
      <c r="N5116" s="131"/>
    </row>
    <row r="5117" spans="14:14" x14ac:dyDescent="0.2">
      <c r="N5117" s="131"/>
    </row>
    <row r="5118" spans="14:14" x14ac:dyDescent="0.2">
      <c r="N5118" s="131"/>
    </row>
    <row r="5119" spans="14:14" x14ac:dyDescent="0.2">
      <c r="N5119" s="131"/>
    </row>
    <row r="5120" spans="14:14" x14ac:dyDescent="0.2">
      <c r="N5120" s="131"/>
    </row>
    <row r="5121" spans="14:14" x14ac:dyDescent="0.2">
      <c r="N5121" s="131"/>
    </row>
    <row r="5122" spans="14:14" x14ac:dyDescent="0.2">
      <c r="N5122" s="131"/>
    </row>
    <row r="5123" spans="14:14" x14ac:dyDescent="0.2">
      <c r="N5123" s="131"/>
    </row>
    <row r="5124" spans="14:14" x14ac:dyDescent="0.2">
      <c r="N5124" s="131"/>
    </row>
    <row r="5125" spans="14:14" x14ac:dyDescent="0.2">
      <c r="N5125" s="131"/>
    </row>
    <row r="5126" spans="14:14" x14ac:dyDescent="0.2">
      <c r="N5126" s="131"/>
    </row>
    <row r="5127" spans="14:14" x14ac:dyDescent="0.2">
      <c r="N5127" s="131"/>
    </row>
    <row r="5128" spans="14:14" x14ac:dyDescent="0.2">
      <c r="N5128" s="131"/>
    </row>
    <row r="5129" spans="14:14" x14ac:dyDescent="0.2">
      <c r="N5129" s="131"/>
    </row>
    <row r="5130" spans="14:14" x14ac:dyDescent="0.2">
      <c r="N5130" s="131"/>
    </row>
    <row r="5131" spans="14:14" x14ac:dyDescent="0.2">
      <c r="N5131" s="131"/>
    </row>
    <row r="5132" spans="14:14" x14ac:dyDescent="0.2">
      <c r="N5132" s="131"/>
    </row>
    <row r="5133" spans="14:14" x14ac:dyDescent="0.2">
      <c r="N5133" s="131"/>
    </row>
    <row r="5134" spans="14:14" x14ac:dyDescent="0.2">
      <c r="N5134" s="131"/>
    </row>
    <row r="5135" spans="14:14" x14ac:dyDescent="0.2">
      <c r="N5135" s="131"/>
    </row>
    <row r="5136" spans="14:14" x14ac:dyDescent="0.2">
      <c r="N5136" s="131"/>
    </row>
    <row r="5137" spans="14:14" x14ac:dyDescent="0.2">
      <c r="N5137" s="131"/>
    </row>
    <row r="5138" spans="14:14" x14ac:dyDescent="0.2">
      <c r="N5138" s="131"/>
    </row>
    <row r="5139" spans="14:14" x14ac:dyDescent="0.2">
      <c r="N5139" s="131"/>
    </row>
    <row r="5140" spans="14:14" x14ac:dyDescent="0.2">
      <c r="N5140" s="131"/>
    </row>
    <row r="5141" spans="14:14" x14ac:dyDescent="0.2">
      <c r="N5141" s="131"/>
    </row>
    <row r="5142" spans="14:14" x14ac:dyDescent="0.2">
      <c r="N5142" s="131"/>
    </row>
    <row r="5143" spans="14:14" x14ac:dyDescent="0.2">
      <c r="N5143" s="131"/>
    </row>
    <row r="5144" spans="14:14" x14ac:dyDescent="0.2">
      <c r="N5144" s="131"/>
    </row>
    <row r="5145" spans="14:14" x14ac:dyDescent="0.2">
      <c r="N5145" s="131"/>
    </row>
    <row r="5146" spans="14:14" x14ac:dyDescent="0.2">
      <c r="N5146" s="131"/>
    </row>
    <row r="5147" spans="14:14" x14ac:dyDescent="0.2">
      <c r="N5147" s="131"/>
    </row>
    <row r="5148" spans="14:14" x14ac:dyDescent="0.2">
      <c r="N5148" s="131"/>
    </row>
    <row r="5149" spans="14:14" x14ac:dyDescent="0.2">
      <c r="N5149" s="131"/>
    </row>
    <row r="5150" spans="14:14" x14ac:dyDescent="0.2">
      <c r="N5150" s="131"/>
    </row>
    <row r="5151" spans="14:14" x14ac:dyDescent="0.2">
      <c r="N5151" s="131"/>
    </row>
    <row r="5152" spans="14:14" x14ac:dyDescent="0.2">
      <c r="N5152" s="131"/>
    </row>
    <row r="5153" spans="14:14" x14ac:dyDescent="0.2">
      <c r="N5153" s="131"/>
    </row>
    <row r="5154" spans="14:14" x14ac:dyDescent="0.2">
      <c r="N5154" s="131"/>
    </row>
    <row r="5155" spans="14:14" x14ac:dyDescent="0.2">
      <c r="N5155" s="131"/>
    </row>
    <row r="5156" spans="14:14" x14ac:dyDescent="0.2">
      <c r="N5156" s="131"/>
    </row>
    <row r="5157" spans="14:14" x14ac:dyDescent="0.2">
      <c r="N5157" s="131"/>
    </row>
    <row r="5158" spans="14:14" x14ac:dyDescent="0.2">
      <c r="N5158" s="131"/>
    </row>
    <row r="5159" spans="14:14" x14ac:dyDescent="0.2">
      <c r="N5159" s="131"/>
    </row>
    <row r="5160" spans="14:14" x14ac:dyDescent="0.2">
      <c r="N5160" s="131"/>
    </row>
    <row r="5161" spans="14:14" x14ac:dyDescent="0.2">
      <c r="N5161" s="131"/>
    </row>
    <row r="5162" spans="14:14" x14ac:dyDescent="0.2">
      <c r="N5162" s="131"/>
    </row>
    <row r="5163" spans="14:14" x14ac:dyDescent="0.2">
      <c r="N5163" s="131"/>
    </row>
    <row r="5164" spans="14:14" x14ac:dyDescent="0.2">
      <c r="N5164" s="131"/>
    </row>
    <row r="5165" spans="14:14" x14ac:dyDescent="0.2">
      <c r="N5165" s="131"/>
    </row>
    <row r="5166" spans="14:14" x14ac:dyDescent="0.2">
      <c r="N5166" s="131"/>
    </row>
    <row r="5167" spans="14:14" x14ac:dyDescent="0.2">
      <c r="N5167" s="131"/>
    </row>
    <row r="5168" spans="14:14" x14ac:dyDescent="0.2">
      <c r="N5168" s="131"/>
    </row>
    <row r="5169" spans="14:14" x14ac:dyDescent="0.2">
      <c r="N5169" s="131"/>
    </row>
    <row r="5170" spans="14:14" x14ac:dyDescent="0.2">
      <c r="N5170" s="131"/>
    </row>
    <row r="5171" spans="14:14" x14ac:dyDescent="0.2">
      <c r="N5171" s="131"/>
    </row>
    <row r="5172" spans="14:14" x14ac:dyDescent="0.2">
      <c r="N5172" s="131"/>
    </row>
    <row r="5173" spans="14:14" x14ac:dyDescent="0.2">
      <c r="N5173" s="131"/>
    </row>
    <row r="5174" spans="14:14" x14ac:dyDescent="0.2">
      <c r="N5174" s="131"/>
    </row>
    <row r="5175" spans="14:14" x14ac:dyDescent="0.2">
      <c r="N5175" s="131"/>
    </row>
    <row r="5176" spans="14:14" x14ac:dyDescent="0.2">
      <c r="N5176" s="131"/>
    </row>
    <row r="5177" spans="14:14" x14ac:dyDescent="0.2">
      <c r="N5177" s="131"/>
    </row>
    <row r="5178" spans="14:14" x14ac:dyDescent="0.2">
      <c r="N5178" s="131"/>
    </row>
    <row r="5179" spans="14:14" x14ac:dyDescent="0.2">
      <c r="N5179" s="131"/>
    </row>
    <row r="5180" spans="14:14" x14ac:dyDescent="0.2">
      <c r="N5180" s="131"/>
    </row>
    <row r="5181" spans="14:14" x14ac:dyDescent="0.2">
      <c r="N5181" s="131"/>
    </row>
    <row r="5182" spans="14:14" x14ac:dyDescent="0.2">
      <c r="N5182" s="131"/>
    </row>
    <row r="5183" spans="14:14" x14ac:dyDescent="0.2">
      <c r="N5183" s="131"/>
    </row>
    <row r="5184" spans="14:14" x14ac:dyDescent="0.2">
      <c r="N5184" s="131"/>
    </row>
    <row r="5185" spans="14:14" x14ac:dyDescent="0.2">
      <c r="N5185" s="131"/>
    </row>
    <row r="5186" spans="14:14" x14ac:dyDescent="0.2">
      <c r="N5186" s="131"/>
    </row>
    <row r="5187" spans="14:14" x14ac:dyDescent="0.2">
      <c r="N5187" s="131"/>
    </row>
    <row r="5188" spans="14:14" x14ac:dyDescent="0.2">
      <c r="N5188" s="131"/>
    </row>
    <row r="5189" spans="14:14" x14ac:dyDescent="0.2">
      <c r="N5189" s="131"/>
    </row>
    <row r="5190" spans="14:14" x14ac:dyDescent="0.2">
      <c r="N5190" s="131"/>
    </row>
    <row r="5191" spans="14:14" x14ac:dyDescent="0.2">
      <c r="N5191" s="131"/>
    </row>
    <row r="5192" spans="14:14" x14ac:dyDescent="0.2">
      <c r="N5192" s="131"/>
    </row>
    <row r="5193" spans="14:14" x14ac:dyDescent="0.2">
      <c r="N5193" s="131"/>
    </row>
    <row r="5194" spans="14:14" x14ac:dyDescent="0.2">
      <c r="N5194" s="131"/>
    </row>
    <row r="5195" spans="14:14" x14ac:dyDescent="0.2">
      <c r="N5195" s="131"/>
    </row>
    <row r="5196" spans="14:14" x14ac:dyDescent="0.2">
      <c r="N5196" s="131"/>
    </row>
    <row r="5197" spans="14:14" x14ac:dyDescent="0.2">
      <c r="N5197" s="131"/>
    </row>
    <row r="5198" spans="14:14" x14ac:dyDescent="0.2">
      <c r="N5198" s="131"/>
    </row>
    <row r="5199" spans="14:14" x14ac:dyDescent="0.2">
      <c r="N5199" s="131"/>
    </row>
    <row r="5200" spans="14:14" x14ac:dyDescent="0.2">
      <c r="N5200" s="131"/>
    </row>
    <row r="5201" spans="14:14" x14ac:dyDescent="0.2">
      <c r="N5201" s="131"/>
    </row>
    <row r="5202" spans="14:14" x14ac:dyDescent="0.2">
      <c r="N5202" s="131"/>
    </row>
    <row r="5203" spans="14:14" x14ac:dyDescent="0.2">
      <c r="N5203" s="131"/>
    </row>
    <row r="5204" spans="14:14" x14ac:dyDescent="0.2">
      <c r="N5204" s="131"/>
    </row>
    <row r="5205" spans="14:14" x14ac:dyDescent="0.2">
      <c r="N5205" s="131"/>
    </row>
    <row r="5206" spans="14:14" x14ac:dyDescent="0.2">
      <c r="N5206" s="131"/>
    </row>
    <row r="5207" spans="14:14" x14ac:dyDescent="0.2">
      <c r="N5207" s="131"/>
    </row>
    <row r="5208" spans="14:14" x14ac:dyDescent="0.2">
      <c r="N5208" s="131"/>
    </row>
    <row r="5209" spans="14:14" x14ac:dyDescent="0.2">
      <c r="N5209" s="131"/>
    </row>
    <row r="5210" spans="14:14" x14ac:dyDescent="0.2">
      <c r="N5210" s="131"/>
    </row>
    <row r="5211" spans="14:14" x14ac:dyDescent="0.2">
      <c r="N5211" s="131"/>
    </row>
    <row r="5212" spans="14:14" x14ac:dyDescent="0.2">
      <c r="N5212" s="131"/>
    </row>
    <row r="5213" spans="14:14" x14ac:dyDescent="0.2">
      <c r="N5213" s="131"/>
    </row>
    <row r="5214" spans="14:14" x14ac:dyDescent="0.2">
      <c r="N5214" s="131"/>
    </row>
    <row r="5215" spans="14:14" x14ac:dyDescent="0.2">
      <c r="N5215" s="131"/>
    </row>
    <row r="5216" spans="14:14" x14ac:dyDescent="0.2">
      <c r="N5216" s="131"/>
    </row>
    <row r="5217" spans="14:14" x14ac:dyDescent="0.2">
      <c r="N5217" s="131"/>
    </row>
    <row r="5218" spans="14:14" x14ac:dyDescent="0.2">
      <c r="N5218" s="131"/>
    </row>
    <row r="5219" spans="14:14" x14ac:dyDescent="0.2">
      <c r="N5219" s="131"/>
    </row>
    <row r="5220" spans="14:14" x14ac:dyDescent="0.2">
      <c r="N5220" s="131"/>
    </row>
    <row r="5221" spans="14:14" x14ac:dyDescent="0.2">
      <c r="N5221" s="131"/>
    </row>
    <row r="5222" spans="14:14" x14ac:dyDescent="0.2">
      <c r="N5222" s="131"/>
    </row>
    <row r="5223" spans="14:14" x14ac:dyDescent="0.2">
      <c r="N5223" s="131"/>
    </row>
    <row r="5224" spans="14:14" x14ac:dyDescent="0.2">
      <c r="N5224" s="131"/>
    </row>
    <row r="5225" spans="14:14" x14ac:dyDescent="0.2">
      <c r="N5225" s="131"/>
    </row>
    <row r="5226" spans="14:14" x14ac:dyDescent="0.2">
      <c r="N5226" s="131"/>
    </row>
    <row r="5227" spans="14:14" x14ac:dyDescent="0.2">
      <c r="N5227" s="131"/>
    </row>
    <row r="5228" spans="14:14" x14ac:dyDescent="0.2">
      <c r="N5228" s="131"/>
    </row>
    <row r="5229" spans="14:14" x14ac:dyDescent="0.2">
      <c r="N5229" s="131"/>
    </row>
    <row r="5230" spans="14:14" x14ac:dyDescent="0.2">
      <c r="N5230" s="131"/>
    </row>
    <row r="5231" spans="14:14" x14ac:dyDescent="0.2">
      <c r="N5231" s="131"/>
    </row>
    <row r="5232" spans="14:14" x14ac:dyDescent="0.2">
      <c r="N5232" s="131"/>
    </row>
    <row r="5233" spans="14:14" x14ac:dyDescent="0.2">
      <c r="N5233" s="131"/>
    </row>
    <row r="5234" spans="14:14" x14ac:dyDescent="0.2">
      <c r="N5234" s="131"/>
    </row>
    <row r="5235" spans="14:14" x14ac:dyDescent="0.2">
      <c r="N5235" s="131"/>
    </row>
    <row r="5236" spans="14:14" x14ac:dyDescent="0.2">
      <c r="N5236" s="131"/>
    </row>
    <row r="5237" spans="14:14" x14ac:dyDescent="0.2">
      <c r="N5237" s="131"/>
    </row>
    <row r="5238" spans="14:14" x14ac:dyDescent="0.2">
      <c r="N5238" s="131"/>
    </row>
    <row r="5239" spans="14:14" x14ac:dyDescent="0.2">
      <c r="N5239" s="131"/>
    </row>
    <row r="5240" spans="14:14" x14ac:dyDescent="0.2">
      <c r="N5240" s="131"/>
    </row>
    <row r="5241" spans="14:14" x14ac:dyDescent="0.2">
      <c r="N5241" s="131"/>
    </row>
    <row r="5242" spans="14:14" x14ac:dyDescent="0.2">
      <c r="N5242" s="131"/>
    </row>
    <row r="5243" spans="14:14" x14ac:dyDescent="0.2">
      <c r="N5243" s="131"/>
    </row>
    <row r="5244" spans="14:14" x14ac:dyDescent="0.2">
      <c r="N5244" s="131"/>
    </row>
    <row r="5245" spans="14:14" x14ac:dyDescent="0.2">
      <c r="N5245" s="131"/>
    </row>
    <row r="5246" spans="14:14" x14ac:dyDescent="0.2">
      <c r="N5246" s="131"/>
    </row>
    <row r="5247" spans="14:14" x14ac:dyDescent="0.2">
      <c r="N5247" s="131"/>
    </row>
    <row r="5248" spans="14:14" x14ac:dyDescent="0.2">
      <c r="N5248" s="131"/>
    </row>
    <row r="5249" spans="14:14" x14ac:dyDescent="0.2">
      <c r="N5249" s="131"/>
    </row>
    <row r="5250" spans="14:14" x14ac:dyDescent="0.2">
      <c r="N5250" s="131"/>
    </row>
    <row r="5251" spans="14:14" x14ac:dyDescent="0.2">
      <c r="N5251" s="131"/>
    </row>
    <row r="5252" spans="14:14" x14ac:dyDescent="0.2">
      <c r="N5252" s="131"/>
    </row>
    <row r="5253" spans="14:14" x14ac:dyDescent="0.2">
      <c r="N5253" s="131"/>
    </row>
    <row r="5254" spans="14:14" x14ac:dyDescent="0.2">
      <c r="N5254" s="131"/>
    </row>
    <row r="5255" spans="14:14" x14ac:dyDescent="0.2">
      <c r="N5255" s="131"/>
    </row>
    <row r="5256" spans="14:14" x14ac:dyDescent="0.2">
      <c r="N5256" s="131"/>
    </row>
    <row r="5257" spans="14:14" x14ac:dyDescent="0.2">
      <c r="N5257" s="131"/>
    </row>
    <row r="5258" spans="14:14" x14ac:dyDescent="0.2">
      <c r="N5258" s="131"/>
    </row>
    <row r="5259" spans="14:14" x14ac:dyDescent="0.2">
      <c r="N5259" s="131"/>
    </row>
    <row r="5260" spans="14:14" x14ac:dyDescent="0.2">
      <c r="N5260" s="131"/>
    </row>
    <row r="5261" spans="14:14" x14ac:dyDescent="0.2">
      <c r="N5261" s="131"/>
    </row>
    <row r="5262" spans="14:14" x14ac:dyDescent="0.2">
      <c r="N5262" s="131"/>
    </row>
    <row r="5263" spans="14:14" x14ac:dyDescent="0.2">
      <c r="N5263" s="131"/>
    </row>
    <row r="5264" spans="14:14" x14ac:dyDescent="0.2">
      <c r="N5264" s="131"/>
    </row>
    <row r="5265" spans="14:14" x14ac:dyDescent="0.2">
      <c r="N5265" s="131"/>
    </row>
    <row r="5266" spans="14:14" x14ac:dyDescent="0.2">
      <c r="N5266" s="131"/>
    </row>
    <row r="5267" spans="14:14" x14ac:dyDescent="0.2">
      <c r="N5267" s="131"/>
    </row>
    <row r="5268" spans="14:14" x14ac:dyDescent="0.2">
      <c r="N5268" s="131"/>
    </row>
    <row r="5269" spans="14:14" x14ac:dyDescent="0.2">
      <c r="N5269" s="131"/>
    </row>
    <row r="5270" spans="14:14" x14ac:dyDescent="0.2">
      <c r="N5270" s="131"/>
    </row>
    <row r="5271" spans="14:14" x14ac:dyDescent="0.2">
      <c r="N5271" s="131"/>
    </row>
    <row r="5272" spans="14:14" x14ac:dyDescent="0.2">
      <c r="N5272" s="131"/>
    </row>
    <row r="5273" spans="14:14" x14ac:dyDescent="0.2">
      <c r="N5273" s="131"/>
    </row>
    <row r="5274" spans="14:14" x14ac:dyDescent="0.2">
      <c r="N5274" s="131"/>
    </row>
    <row r="5275" spans="14:14" x14ac:dyDescent="0.2">
      <c r="N5275" s="131"/>
    </row>
    <row r="5276" spans="14:14" x14ac:dyDescent="0.2">
      <c r="N5276" s="131"/>
    </row>
    <row r="5277" spans="14:14" x14ac:dyDescent="0.2">
      <c r="N5277" s="131"/>
    </row>
    <row r="5278" spans="14:14" x14ac:dyDescent="0.2">
      <c r="N5278" s="131"/>
    </row>
    <row r="5279" spans="14:14" x14ac:dyDescent="0.2">
      <c r="N5279" s="131"/>
    </row>
    <row r="5280" spans="14:14" x14ac:dyDescent="0.2">
      <c r="N5280" s="131"/>
    </row>
    <row r="5281" spans="14:14" x14ac:dyDescent="0.2">
      <c r="N5281" s="131"/>
    </row>
    <row r="5282" spans="14:14" x14ac:dyDescent="0.2">
      <c r="N5282" s="131"/>
    </row>
    <row r="5283" spans="14:14" x14ac:dyDescent="0.2">
      <c r="N5283" s="131"/>
    </row>
    <row r="5284" spans="14:14" x14ac:dyDescent="0.2">
      <c r="N5284" s="131"/>
    </row>
    <row r="5285" spans="14:14" x14ac:dyDescent="0.2">
      <c r="N5285" s="131"/>
    </row>
    <row r="5286" spans="14:14" x14ac:dyDescent="0.2">
      <c r="N5286" s="131"/>
    </row>
    <row r="5287" spans="14:14" x14ac:dyDescent="0.2">
      <c r="N5287" s="131"/>
    </row>
    <row r="5288" spans="14:14" x14ac:dyDescent="0.2">
      <c r="N5288" s="131"/>
    </row>
    <row r="5289" spans="14:14" x14ac:dyDescent="0.2">
      <c r="N5289" s="131"/>
    </row>
    <row r="5290" spans="14:14" x14ac:dyDescent="0.2">
      <c r="N5290" s="131"/>
    </row>
    <row r="5291" spans="14:14" x14ac:dyDescent="0.2">
      <c r="N5291" s="131"/>
    </row>
    <row r="5292" spans="14:14" x14ac:dyDescent="0.2">
      <c r="N5292" s="131"/>
    </row>
    <row r="5293" spans="14:14" x14ac:dyDescent="0.2">
      <c r="N5293" s="131"/>
    </row>
    <row r="5294" spans="14:14" x14ac:dyDescent="0.2">
      <c r="N5294" s="131"/>
    </row>
    <row r="5295" spans="14:14" x14ac:dyDescent="0.2">
      <c r="N5295" s="131"/>
    </row>
    <row r="5296" spans="14:14" x14ac:dyDescent="0.2">
      <c r="N5296" s="131"/>
    </row>
    <row r="5297" spans="14:14" x14ac:dyDescent="0.2">
      <c r="N5297" s="131"/>
    </row>
    <row r="5298" spans="14:14" x14ac:dyDescent="0.2">
      <c r="N5298" s="131"/>
    </row>
    <row r="5299" spans="14:14" x14ac:dyDescent="0.2">
      <c r="N5299" s="131"/>
    </row>
    <row r="5300" spans="14:14" x14ac:dyDescent="0.2">
      <c r="N5300" s="131"/>
    </row>
    <row r="5301" spans="14:14" x14ac:dyDescent="0.2">
      <c r="N5301" s="131"/>
    </row>
    <row r="5302" spans="14:14" x14ac:dyDescent="0.2">
      <c r="N5302" s="131"/>
    </row>
    <row r="5303" spans="14:14" x14ac:dyDescent="0.2">
      <c r="N5303" s="131"/>
    </row>
    <row r="5304" spans="14:14" x14ac:dyDescent="0.2">
      <c r="N5304" s="131"/>
    </row>
    <row r="5305" spans="14:14" x14ac:dyDescent="0.2">
      <c r="N5305" s="131"/>
    </row>
    <row r="5306" spans="14:14" x14ac:dyDescent="0.2">
      <c r="N5306" s="131"/>
    </row>
    <row r="5307" spans="14:14" x14ac:dyDescent="0.2">
      <c r="N5307" s="131"/>
    </row>
    <row r="5308" spans="14:14" x14ac:dyDescent="0.2">
      <c r="N5308" s="131"/>
    </row>
    <row r="5309" spans="14:14" x14ac:dyDescent="0.2">
      <c r="N5309" s="131"/>
    </row>
    <row r="5310" spans="14:14" x14ac:dyDescent="0.2">
      <c r="N5310" s="131"/>
    </row>
    <row r="5311" spans="14:14" x14ac:dyDescent="0.2">
      <c r="N5311" s="131"/>
    </row>
    <row r="5312" spans="14:14" x14ac:dyDescent="0.2">
      <c r="N5312" s="131"/>
    </row>
    <row r="5313" spans="14:14" x14ac:dyDescent="0.2">
      <c r="N5313" s="131"/>
    </row>
    <row r="5314" spans="14:14" x14ac:dyDescent="0.2">
      <c r="N5314" s="131"/>
    </row>
    <row r="5315" spans="14:14" x14ac:dyDescent="0.2">
      <c r="N5315" s="131"/>
    </row>
    <row r="5316" spans="14:14" x14ac:dyDescent="0.2">
      <c r="N5316" s="131"/>
    </row>
    <row r="5317" spans="14:14" x14ac:dyDescent="0.2">
      <c r="N5317" s="131"/>
    </row>
    <row r="5318" spans="14:14" x14ac:dyDescent="0.2">
      <c r="N5318" s="131"/>
    </row>
    <row r="5319" spans="14:14" x14ac:dyDescent="0.2">
      <c r="N5319" s="131"/>
    </row>
    <row r="5320" spans="14:14" x14ac:dyDescent="0.2">
      <c r="N5320" s="131"/>
    </row>
    <row r="5321" spans="14:14" x14ac:dyDescent="0.2">
      <c r="N5321" s="131"/>
    </row>
    <row r="5322" spans="14:14" x14ac:dyDescent="0.2">
      <c r="N5322" s="131"/>
    </row>
    <row r="5323" spans="14:14" x14ac:dyDescent="0.2">
      <c r="N5323" s="131"/>
    </row>
    <row r="5324" spans="14:14" x14ac:dyDescent="0.2">
      <c r="N5324" s="131"/>
    </row>
    <row r="5325" spans="14:14" x14ac:dyDescent="0.2">
      <c r="N5325" s="131"/>
    </row>
    <row r="5326" spans="14:14" x14ac:dyDescent="0.2">
      <c r="N5326" s="131"/>
    </row>
    <row r="5327" spans="14:14" x14ac:dyDescent="0.2">
      <c r="N5327" s="131"/>
    </row>
    <row r="5328" spans="14:14" x14ac:dyDescent="0.2">
      <c r="N5328" s="131"/>
    </row>
    <row r="5329" spans="14:14" x14ac:dyDescent="0.2">
      <c r="N5329" s="131"/>
    </row>
    <row r="5330" spans="14:14" x14ac:dyDescent="0.2">
      <c r="N5330" s="131"/>
    </row>
    <row r="5331" spans="14:14" x14ac:dyDescent="0.2">
      <c r="N5331" s="131"/>
    </row>
    <row r="5332" spans="14:14" x14ac:dyDescent="0.2">
      <c r="N5332" s="131"/>
    </row>
    <row r="5333" spans="14:14" x14ac:dyDescent="0.2">
      <c r="N5333" s="131"/>
    </row>
    <row r="5334" spans="14:14" x14ac:dyDescent="0.2">
      <c r="N5334" s="131"/>
    </row>
    <row r="5335" spans="14:14" x14ac:dyDescent="0.2">
      <c r="N5335" s="131"/>
    </row>
    <row r="5336" spans="14:14" x14ac:dyDescent="0.2">
      <c r="N5336" s="131"/>
    </row>
    <row r="5337" spans="14:14" x14ac:dyDescent="0.2">
      <c r="N5337" s="131"/>
    </row>
    <row r="5338" spans="14:14" x14ac:dyDescent="0.2">
      <c r="N5338" s="131"/>
    </row>
    <row r="5339" spans="14:14" x14ac:dyDescent="0.2">
      <c r="N5339" s="131"/>
    </row>
    <row r="5340" spans="14:14" x14ac:dyDescent="0.2">
      <c r="N5340" s="131"/>
    </row>
    <row r="5341" spans="14:14" x14ac:dyDescent="0.2">
      <c r="N5341" s="131"/>
    </row>
    <row r="5342" spans="14:14" x14ac:dyDescent="0.2">
      <c r="N5342" s="131"/>
    </row>
    <row r="5343" spans="14:14" x14ac:dyDescent="0.2">
      <c r="N5343" s="131"/>
    </row>
    <row r="5344" spans="14:14" x14ac:dyDescent="0.2">
      <c r="N5344" s="131"/>
    </row>
    <row r="5345" spans="14:14" x14ac:dyDescent="0.2">
      <c r="N5345" s="131"/>
    </row>
    <row r="5346" spans="14:14" x14ac:dyDescent="0.2">
      <c r="N5346" s="131"/>
    </row>
    <row r="5347" spans="14:14" x14ac:dyDescent="0.2">
      <c r="N5347" s="131"/>
    </row>
    <row r="5348" spans="14:14" x14ac:dyDescent="0.2">
      <c r="N5348" s="131"/>
    </row>
    <row r="5349" spans="14:14" x14ac:dyDescent="0.2">
      <c r="N5349" s="131"/>
    </row>
    <row r="5350" spans="14:14" x14ac:dyDescent="0.2">
      <c r="N5350" s="131"/>
    </row>
    <row r="5351" spans="14:14" x14ac:dyDescent="0.2">
      <c r="N5351" s="131"/>
    </row>
    <row r="5352" spans="14:14" x14ac:dyDescent="0.2">
      <c r="N5352" s="131"/>
    </row>
    <row r="5353" spans="14:14" x14ac:dyDescent="0.2">
      <c r="N5353" s="131"/>
    </row>
    <row r="5354" spans="14:14" x14ac:dyDescent="0.2">
      <c r="N5354" s="131"/>
    </row>
    <row r="5355" spans="14:14" x14ac:dyDescent="0.2">
      <c r="N5355" s="131"/>
    </row>
    <row r="5356" spans="14:14" x14ac:dyDescent="0.2">
      <c r="N5356" s="131"/>
    </row>
    <row r="5357" spans="14:14" x14ac:dyDescent="0.2">
      <c r="N5357" s="131"/>
    </row>
    <row r="5358" spans="14:14" x14ac:dyDescent="0.2">
      <c r="N5358" s="131"/>
    </row>
    <row r="5359" spans="14:14" x14ac:dyDescent="0.2">
      <c r="N5359" s="131"/>
    </row>
    <row r="5360" spans="14:14" x14ac:dyDescent="0.2">
      <c r="N5360" s="131"/>
    </row>
    <row r="5361" spans="14:14" x14ac:dyDescent="0.2">
      <c r="N5361" s="131"/>
    </row>
    <row r="5362" spans="14:14" x14ac:dyDescent="0.2">
      <c r="N5362" s="131"/>
    </row>
    <row r="5363" spans="14:14" x14ac:dyDescent="0.2">
      <c r="N5363" s="131"/>
    </row>
    <row r="5364" spans="14:14" x14ac:dyDescent="0.2">
      <c r="N5364" s="131"/>
    </row>
    <row r="5365" spans="14:14" x14ac:dyDescent="0.2">
      <c r="N5365" s="131"/>
    </row>
    <row r="5366" spans="14:14" x14ac:dyDescent="0.2">
      <c r="N5366" s="131"/>
    </row>
    <row r="5367" spans="14:14" x14ac:dyDescent="0.2">
      <c r="N5367" s="131"/>
    </row>
    <row r="5368" spans="14:14" x14ac:dyDescent="0.2">
      <c r="N5368" s="131"/>
    </row>
    <row r="5369" spans="14:14" x14ac:dyDescent="0.2">
      <c r="N5369" s="131"/>
    </row>
    <row r="5370" spans="14:14" x14ac:dyDescent="0.2">
      <c r="N5370" s="131"/>
    </row>
    <row r="5371" spans="14:14" x14ac:dyDescent="0.2">
      <c r="N5371" s="131"/>
    </row>
    <row r="5372" spans="14:14" x14ac:dyDescent="0.2">
      <c r="N5372" s="131"/>
    </row>
    <row r="5373" spans="14:14" x14ac:dyDescent="0.2">
      <c r="N5373" s="131"/>
    </row>
    <row r="5374" spans="14:14" x14ac:dyDescent="0.2">
      <c r="N5374" s="131"/>
    </row>
    <row r="5375" spans="14:14" x14ac:dyDescent="0.2">
      <c r="N5375" s="131"/>
    </row>
    <row r="5376" spans="14:14" x14ac:dyDescent="0.2">
      <c r="N5376" s="131"/>
    </row>
    <row r="5377" spans="14:14" x14ac:dyDescent="0.2">
      <c r="N5377" s="131"/>
    </row>
    <row r="5378" spans="14:14" x14ac:dyDescent="0.2">
      <c r="N5378" s="131"/>
    </row>
    <row r="5379" spans="14:14" x14ac:dyDescent="0.2">
      <c r="N5379" s="131"/>
    </row>
    <row r="5380" spans="14:14" x14ac:dyDescent="0.2">
      <c r="N5380" s="131"/>
    </row>
    <row r="5381" spans="14:14" x14ac:dyDescent="0.2">
      <c r="N5381" s="131"/>
    </row>
    <row r="5382" spans="14:14" x14ac:dyDescent="0.2">
      <c r="N5382" s="131"/>
    </row>
    <row r="5383" spans="14:14" x14ac:dyDescent="0.2">
      <c r="N5383" s="131"/>
    </row>
    <row r="5384" spans="14:14" x14ac:dyDescent="0.2">
      <c r="N5384" s="131"/>
    </row>
    <row r="5385" spans="14:14" x14ac:dyDescent="0.2">
      <c r="N5385" s="131"/>
    </row>
    <row r="5386" spans="14:14" x14ac:dyDescent="0.2">
      <c r="N5386" s="131"/>
    </row>
    <row r="5387" spans="14:14" x14ac:dyDescent="0.2">
      <c r="N5387" s="131"/>
    </row>
    <row r="5388" spans="14:14" x14ac:dyDescent="0.2">
      <c r="N5388" s="131"/>
    </row>
    <row r="5389" spans="14:14" x14ac:dyDescent="0.2">
      <c r="N5389" s="131"/>
    </row>
    <row r="5390" spans="14:14" x14ac:dyDescent="0.2">
      <c r="N5390" s="131"/>
    </row>
    <row r="5391" spans="14:14" x14ac:dyDescent="0.2">
      <c r="N5391" s="131"/>
    </row>
    <row r="5392" spans="14:14" x14ac:dyDescent="0.2">
      <c r="N5392" s="131"/>
    </row>
    <row r="5393" spans="14:14" x14ac:dyDescent="0.2">
      <c r="N5393" s="131"/>
    </row>
    <row r="5394" spans="14:14" x14ac:dyDescent="0.2">
      <c r="N5394" s="131"/>
    </row>
    <row r="5395" spans="14:14" x14ac:dyDescent="0.2">
      <c r="N5395" s="131"/>
    </row>
    <row r="5396" spans="14:14" x14ac:dyDescent="0.2">
      <c r="N5396" s="131"/>
    </row>
    <row r="5397" spans="14:14" x14ac:dyDescent="0.2">
      <c r="N5397" s="131"/>
    </row>
    <row r="5398" spans="14:14" x14ac:dyDescent="0.2">
      <c r="N5398" s="131"/>
    </row>
    <row r="5399" spans="14:14" x14ac:dyDescent="0.2">
      <c r="N5399" s="131"/>
    </row>
    <row r="5400" spans="14:14" x14ac:dyDescent="0.2">
      <c r="N5400" s="131"/>
    </row>
    <row r="5401" spans="14:14" x14ac:dyDescent="0.2">
      <c r="N5401" s="131"/>
    </row>
    <row r="5402" spans="14:14" x14ac:dyDescent="0.2">
      <c r="N5402" s="131"/>
    </row>
    <row r="5403" spans="14:14" x14ac:dyDescent="0.2">
      <c r="N5403" s="131"/>
    </row>
    <row r="5404" spans="14:14" x14ac:dyDescent="0.2">
      <c r="N5404" s="131"/>
    </row>
    <row r="5405" spans="14:14" x14ac:dyDescent="0.2">
      <c r="N5405" s="131"/>
    </row>
    <row r="5406" spans="14:14" x14ac:dyDescent="0.2">
      <c r="N5406" s="131"/>
    </row>
    <row r="5407" spans="14:14" x14ac:dyDescent="0.2">
      <c r="N5407" s="131"/>
    </row>
    <row r="5408" spans="14:14" x14ac:dyDescent="0.2">
      <c r="N5408" s="131"/>
    </row>
    <row r="5409" spans="14:14" x14ac:dyDescent="0.2">
      <c r="N5409" s="131"/>
    </row>
    <row r="5410" spans="14:14" x14ac:dyDescent="0.2">
      <c r="N5410" s="131"/>
    </row>
    <row r="5411" spans="14:14" x14ac:dyDescent="0.2">
      <c r="N5411" s="131"/>
    </row>
    <row r="5412" spans="14:14" x14ac:dyDescent="0.2">
      <c r="N5412" s="131"/>
    </row>
    <row r="5413" spans="14:14" x14ac:dyDescent="0.2">
      <c r="N5413" s="131"/>
    </row>
    <row r="5414" spans="14:14" x14ac:dyDescent="0.2">
      <c r="N5414" s="131"/>
    </row>
    <row r="5415" spans="14:14" x14ac:dyDescent="0.2">
      <c r="N5415" s="131"/>
    </row>
    <row r="5416" spans="14:14" x14ac:dyDescent="0.2">
      <c r="N5416" s="131"/>
    </row>
    <row r="5417" spans="14:14" x14ac:dyDescent="0.2">
      <c r="N5417" s="131"/>
    </row>
    <row r="5418" spans="14:14" x14ac:dyDescent="0.2">
      <c r="N5418" s="131"/>
    </row>
    <row r="5419" spans="14:14" x14ac:dyDescent="0.2">
      <c r="N5419" s="131"/>
    </row>
    <row r="5420" spans="14:14" x14ac:dyDescent="0.2">
      <c r="N5420" s="131"/>
    </row>
    <row r="5421" spans="14:14" x14ac:dyDescent="0.2">
      <c r="N5421" s="131"/>
    </row>
    <row r="5422" spans="14:14" x14ac:dyDescent="0.2">
      <c r="N5422" s="131"/>
    </row>
    <row r="5423" spans="14:14" x14ac:dyDescent="0.2">
      <c r="N5423" s="131"/>
    </row>
    <row r="5424" spans="14:14" x14ac:dyDescent="0.2">
      <c r="N5424" s="131"/>
    </row>
    <row r="5425" spans="14:14" x14ac:dyDescent="0.2">
      <c r="N5425" s="131"/>
    </row>
    <row r="5426" spans="14:14" x14ac:dyDescent="0.2">
      <c r="N5426" s="131"/>
    </row>
    <row r="5427" spans="14:14" x14ac:dyDescent="0.2">
      <c r="N5427" s="131"/>
    </row>
    <row r="5428" spans="14:14" x14ac:dyDescent="0.2">
      <c r="N5428" s="131"/>
    </row>
    <row r="5429" spans="14:14" x14ac:dyDescent="0.2">
      <c r="N5429" s="131"/>
    </row>
    <row r="5430" spans="14:14" x14ac:dyDescent="0.2">
      <c r="N5430" s="131"/>
    </row>
    <row r="5431" spans="14:14" x14ac:dyDescent="0.2">
      <c r="N5431" s="131"/>
    </row>
    <row r="5432" spans="14:14" x14ac:dyDescent="0.2">
      <c r="N5432" s="131"/>
    </row>
    <row r="5433" spans="14:14" x14ac:dyDescent="0.2">
      <c r="N5433" s="131"/>
    </row>
    <row r="5434" spans="14:14" x14ac:dyDescent="0.2">
      <c r="N5434" s="131"/>
    </row>
    <row r="5435" spans="14:14" x14ac:dyDescent="0.2">
      <c r="N5435" s="131"/>
    </row>
    <row r="5436" spans="14:14" x14ac:dyDescent="0.2">
      <c r="N5436" s="131"/>
    </row>
    <row r="5437" spans="14:14" x14ac:dyDescent="0.2">
      <c r="N5437" s="131"/>
    </row>
    <row r="5438" spans="14:14" x14ac:dyDescent="0.2">
      <c r="N5438" s="131"/>
    </row>
    <row r="5439" spans="14:14" x14ac:dyDescent="0.2">
      <c r="N5439" s="131"/>
    </row>
    <row r="5440" spans="14:14" x14ac:dyDescent="0.2">
      <c r="N5440" s="131"/>
    </row>
    <row r="5441" spans="14:14" x14ac:dyDescent="0.2">
      <c r="N5441" s="131"/>
    </row>
    <row r="5442" spans="14:14" x14ac:dyDescent="0.2">
      <c r="N5442" s="131"/>
    </row>
    <row r="5443" spans="14:14" x14ac:dyDescent="0.2">
      <c r="N5443" s="131"/>
    </row>
    <row r="5444" spans="14:14" x14ac:dyDescent="0.2">
      <c r="N5444" s="131"/>
    </row>
    <row r="5445" spans="14:14" x14ac:dyDescent="0.2">
      <c r="N5445" s="131"/>
    </row>
    <row r="5446" spans="14:14" x14ac:dyDescent="0.2">
      <c r="N5446" s="131"/>
    </row>
    <row r="5447" spans="14:14" x14ac:dyDescent="0.2">
      <c r="N5447" s="131"/>
    </row>
    <row r="5448" spans="14:14" x14ac:dyDescent="0.2">
      <c r="N5448" s="131"/>
    </row>
    <row r="5449" spans="14:14" x14ac:dyDescent="0.2">
      <c r="N5449" s="131"/>
    </row>
    <row r="5450" spans="14:14" x14ac:dyDescent="0.2">
      <c r="N5450" s="131"/>
    </row>
    <row r="5451" spans="14:14" x14ac:dyDescent="0.2">
      <c r="N5451" s="131"/>
    </row>
    <row r="5452" spans="14:14" x14ac:dyDescent="0.2">
      <c r="N5452" s="131"/>
    </row>
    <row r="5453" spans="14:14" x14ac:dyDescent="0.2">
      <c r="N5453" s="131"/>
    </row>
    <row r="5454" spans="14:14" x14ac:dyDescent="0.2">
      <c r="N5454" s="131"/>
    </row>
    <row r="5455" spans="14:14" x14ac:dyDescent="0.2">
      <c r="N5455" s="131"/>
    </row>
    <row r="5456" spans="14:14" x14ac:dyDescent="0.2">
      <c r="N5456" s="131"/>
    </row>
    <row r="5457" spans="14:14" x14ac:dyDescent="0.2">
      <c r="N5457" s="131"/>
    </row>
    <row r="5458" spans="14:14" x14ac:dyDescent="0.2">
      <c r="N5458" s="131"/>
    </row>
    <row r="5459" spans="14:14" x14ac:dyDescent="0.2">
      <c r="N5459" s="131"/>
    </row>
    <row r="5460" spans="14:14" x14ac:dyDescent="0.2">
      <c r="N5460" s="131"/>
    </row>
    <row r="5461" spans="14:14" x14ac:dyDescent="0.2">
      <c r="N5461" s="131"/>
    </row>
    <row r="5462" spans="14:14" x14ac:dyDescent="0.2">
      <c r="N5462" s="131"/>
    </row>
    <row r="5463" spans="14:14" x14ac:dyDescent="0.2">
      <c r="N5463" s="131"/>
    </row>
    <row r="5464" spans="14:14" x14ac:dyDescent="0.2">
      <c r="N5464" s="131"/>
    </row>
    <row r="5465" spans="14:14" x14ac:dyDescent="0.2">
      <c r="N5465" s="131"/>
    </row>
    <row r="5466" spans="14:14" x14ac:dyDescent="0.2">
      <c r="N5466" s="131"/>
    </row>
    <row r="5467" spans="14:14" x14ac:dyDescent="0.2">
      <c r="N5467" s="131"/>
    </row>
    <row r="5468" spans="14:14" x14ac:dyDescent="0.2">
      <c r="N5468" s="131"/>
    </row>
    <row r="5469" spans="14:14" x14ac:dyDescent="0.2">
      <c r="N5469" s="131"/>
    </row>
    <row r="5470" spans="14:14" x14ac:dyDescent="0.2">
      <c r="N5470" s="131"/>
    </row>
    <row r="5471" spans="14:14" x14ac:dyDescent="0.2">
      <c r="N5471" s="131"/>
    </row>
    <row r="5472" spans="14:14" x14ac:dyDescent="0.2">
      <c r="N5472" s="131"/>
    </row>
    <row r="5473" spans="14:14" x14ac:dyDescent="0.2">
      <c r="N5473" s="131"/>
    </row>
    <row r="5474" spans="14:14" x14ac:dyDescent="0.2">
      <c r="N5474" s="131"/>
    </row>
    <row r="5475" spans="14:14" x14ac:dyDescent="0.2">
      <c r="N5475" s="131"/>
    </row>
    <row r="5476" spans="14:14" x14ac:dyDescent="0.2">
      <c r="N5476" s="131"/>
    </row>
    <row r="5477" spans="14:14" x14ac:dyDescent="0.2">
      <c r="N5477" s="131"/>
    </row>
    <row r="5478" spans="14:14" x14ac:dyDescent="0.2">
      <c r="N5478" s="131"/>
    </row>
    <row r="5479" spans="14:14" x14ac:dyDescent="0.2">
      <c r="N5479" s="131"/>
    </row>
    <row r="5480" spans="14:14" x14ac:dyDescent="0.2">
      <c r="N5480" s="131"/>
    </row>
    <row r="5481" spans="14:14" x14ac:dyDescent="0.2">
      <c r="N5481" s="131"/>
    </row>
    <row r="5482" spans="14:14" x14ac:dyDescent="0.2">
      <c r="N5482" s="131"/>
    </row>
    <row r="5483" spans="14:14" x14ac:dyDescent="0.2">
      <c r="N5483" s="131"/>
    </row>
    <row r="5484" spans="14:14" x14ac:dyDescent="0.2">
      <c r="N5484" s="131"/>
    </row>
    <row r="5485" spans="14:14" x14ac:dyDescent="0.2">
      <c r="N5485" s="131"/>
    </row>
    <row r="5486" spans="14:14" x14ac:dyDescent="0.2">
      <c r="N5486" s="131"/>
    </row>
    <row r="5487" spans="14:14" x14ac:dyDescent="0.2">
      <c r="N5487" s="131"/>
    </row>
    <row r="5488" spans="14:14" x14ac:dyDescent="0.2">
      <c r="N5488" s="131"/>
    </row>
    <row r="5489" spans="14:14" x14ac:dyDescent="0.2">
      <c r="N5489" s="131"/>
    </row>
    <row r="5490" spans="14:14" x14ac:dyDescent="0.2">
      <c r="N5490" s="131"/>
    </row>
    <row r="5491" spans="14:14" x14ac:dyDescent="0.2">
      <c r="N5491" s="131"/>
    </row>
    <row r="5492" spans="14:14" x14ac:dyDescent="0.2">
      <c r="N5492" s="131"/>
    </row>
    <row r="5493" spans="14:14" x14ac:dyDescent="0.2">
      <c r="N5493" s="131"/>
    </row>
    <row r="5494" spans="14:14" x14ac:dyDescent="0.2">
      <c r="N5494" s="131"/>
    </row>
    <row r="5495" spans="14:14" x14ac:dyDescent="0.2">
      <c r="N5495" s="131"/>
    </row>
    <row r="5496" spans="14:14" x14ac:dyDescent="0.2">
      <c r="N5496" s="131"/>
    </row>
    <row r="5497" spans="14:14" x14ac:dyDescent="0.2">
      <c r="N5497" s="131"/>
    </row>
    <row r="5498" spans="14:14" x14ac:dyDescent="0.2">
      <c r="N5498" s="131"/>
    </row>
    <row r="5499" spans="14:14" x14ac:dyDescent="0.2">
      <c r="N5499" s="131"/>
    </row>
    <row r="5500" spans="14:14" x14ac:dyDescent="0.2">
      <c r="N5500" s="131"/>
    </row>
    <row r="5501" spans="14:14" x14ac:dyDescent="0.2">
      <c r="N5501" s="131"/>
    </row>
    <row r="5502" spans="14:14" x14ac:dyDescent="0.2">
      <c r="N5502" s="131"/>
    </row>
    <row r="5503" spans="14:14" x14ac:dyDescent="0.2">
      <c r="N5503" s="131"/>
    </row>
    <row r="5504" spans="14:14" x14ac:dyDescent="0.2">
      <c r="N5504" s="131"/>
    </row>
    <row r="5505" spans="14:14" x14ac:dyDescent="0.2">
      <c r="N5505" s="131"/>
    </row>
    <row r="5506" spans="14:14" x14ac:dyDescent="0.2">
      <c r="N5506" s="131"/>
    </row>
    <row r="5507" spans="14:14" x14ac:dyDescent="0.2">
      <c r="N5507" s="131"/>
    </row>
    <row r="5508" spans="14:14" x14ac:dyDescent="0.2">
      <c r="N5508" s="131"/>
    </row>
    <row r="5509" spans="14:14" x14ac:dyDescent="0.2">
      <c r="N5509" s="131"/>
    </row>
    <row r="5510" spans="14:14" x14ac:dyDescent="0.2">
      <c r="N5510" s="131"/>
    </row>
    <row r="5511" spans="14:14" x14ac:dyDescent="0.2">
      <c r="N5511" s="131"/>
    </row>
    <row r="5512" spans="14:14" x14ac:dyDescent="0.2">
      <c r="N5512" s="131"/>
    </row>
    <row r="5513" spans="14:14" x14ac:dyDescent="0.2">
      <c r="N5513" s="131"/>
    </row>
    <row r="5514" spans="14:14" x14ac:dyDescent="0.2">
      <c r="N5514" s="131"/>
    </row>
    <row r="5515" spans="14:14" x14ac:dyDescent="0.2">
      <c r="N5515" s="131"/>
    </row>
    <row r="5516" spans="14:14" x14ac:dyDescent="0.2">
      <c r="N5516" s="131"/>
    </row>
    <row r="5517" spans="14:14" x14ac:dyDescent="0.2">
      <c r="N5517" s="131"/>
    </row>
    <row r="5518" spans="14:14" x14ac:dyDescent="0.2">
      <c r="N5518" s="131"/>
    </row>
    <row r="5519" spans="14:14" x14ac:dyDescent="0.2">
      <c r="N5519" s="131"/>
    </row>
    <row r="5520" spans="14:14" x14ac:dyDescent="0.2">
      <c r="N5520" s="131"/>
    </row>
    <row r="5521" spans="14:14" x14ac:dyDescent="0.2">
      <c r="N5521" s="131"/>
    </row>
    <row r="5522" spans="14:14" x14ac:dyDescent="0.2">
      <c r="N5522" s="131"/>
    </row>
    <row r="5523" spans="14:14" x14ac:dyDescent="0.2">
      <c r="N5523" s="131"/>
    </row>
    <row r="5524" spans="14:14" x14ac:dyDescent="0.2">
      <c r="N5524" s="131"/>
    </row>
    <row r="5525" spans="14:14" x14ac:dyDescent="0.2">
      <c r="N5525" s="131"/>
    </row>
    <row r="5526" spans="14:14" x14ac:dyDescent="0.2">
      <c r="N5526" s="131"/>
    </row>
    <row r="5527" spans="14:14" x14ac:dyDescent="0.2">
      <c r="N5527" s="131"/>
    </row>
    <row r="5528" spans="14:14" x14ac:dyDescent="0.2">
      <c r="N5528" s="131"/>
    </row>
    <row r="5529" spans="14:14" x14ac:dyDescent="0.2">
      <c r="N5529" s="131"/>
    </row>
    <row r="5530" spans="14:14" x14ac:dyDescent="0.2">
      <c r="N5530" s="131"/>
    </row>
    <row r="5531" spans="14:14" x14ac:dyDescent="0.2">
      <c r="N5531" s="131"/>
    </row>
    <row r="5532" spans="14:14" x14ac:dyDescent="0.2">
      <c r="N5532" s="131"/>
    </row>
    <row r="5533" spans="14:14" x14ac:dyDescent="0.2">
      <c r="N5533" s="131"/>
    </row>
    <row r="5534" spans="14:14" x14ac:dyDescent="0.2">
      <c r="N5534" s="131"/>
    </row>
    <row r="5535" spans="14:14" x14ac:dyDescent="0.2">
      <c r="N5535" s="131"/>
    </row>
    <row r="5536" spans="14:14" x14ac:dyDescent="0.2">
      <c r="N5536" s="131"/>
    </row>
    <row r="5537" spans="14:14" x14ac:dyDescent="0.2">
      <c r="N5537" s="131"/>
    </row>
    <row r="5538" spans="14:14" x14ac:dyDescent="0.2">
      <c r="N5538" s="131"/>
    </row>
    <row r="5539" spans="14:14" x14ac:dyDescent="0.2">
      <c r="N5539" s="131"/>
    </row>
    <row r="5540" spans="14:14" x14ac:dyDescent="0.2">
      <c r="N5540" s="131"/>
    </row>
    <row r="5541" spans="14:14" x14ac:dyDescent="0.2">
      <c r="N5541" s="131"/>
    </row>
    <row r="5542" spans="14:14" x14ac:dyDescent="0.2">
      <c r="N5542" s="131"/>
    </row>
    <row r="5543" spans="14:14" x14ac:dyDescent="0.2">
      <c r="N5543" s="131"/>
    </row>
    <row r="5544" spans="14:14" x14ac:dyDescent="0.2">
      <c r="N5544" s="131"/>
    </row>
    <row r="5545" spans="14:14" x14ac:dyDescent="0.2">
      <c r="N5545" s="131"/>
    </row>
    <row r="5546" spans="14:14" x14ac:dyDescent="0.2">
      <c r="N5546" s="131"/>
    </row>
    <row r="5547" spans="14:14" x14ac:dyDescent="0.2">
      <c r="N5547" s="131"/>
    </row>
    <row r="5548" spans="14:14" x14ac:dyDescent="0.2">
      <c r="N5548" s="131"/>
    </row>
    <row r="5549" spans="14:14" x14ac:dyDescent="0.2">
      <c r="N5549" s="131"/>
    </row>
    <row r="5550" spans="14:14" x14ac:dyDescent="0.2">
      <c r="N5550" s="131"/>
    </row>
    <row r="5551" spans="14:14" x14ac:dyDescent="0.2">
      <c r="N5551" s="131"/>
    </row>
    <row r="5552" spans="14:14" x14ac:dyDescent="0.2">
      <c r="N5552" s="131"/>
    </row>
    <row r="5553" spans="14:14" x14ac:dyDescent="0.2">
      <c r="N5553" s="131"/>
    </row>
    <row r="5554" spans="14:14" x14ac:dyDescent="0.2">
      <c r="N5554" s="131"/>
    </row>
    <row r="5555" spans="14:14" x14ac:dyDescent="0.2">
      <c r="N5555" s="131"/>
    </row>
    <row r="5556" spans="14:14" x14ac:dyDescent="0.2">
      <c r="N5556" s="131"/>
    </row>
    <row r="5557" spans="14:14" x14ac:dyDescent="0.2">
      <c r="N5557" s="131"/>
    </row>
    <row r="5558" spans="14:14" x14ac:dyDescent="0.2">
      <c r="N5558" s="131"/>
    </row>
    <row r="5559" spans="14:14" x14ac:dyDescent="0.2">
      <c r="N5559" s="131"/>
    </row>
    <row r="5560" spans="14:14" x14ac:dyDescent="0.2">
      <c r="N5560" s="131"/>
    </row>
    <row r="5561" spans="14:14" x14ac:dyDescent="0.2">
      <c r="N5561" s="131"/>
    </row>
    <row r="5562" spans="14:14" x14ac:dyDescent="0.2">
      <c r="N5562" s="131"/>
    </row>
    <row r="5563" spans="14:14" x14ac:dyDescent="0.2">
      <c r="N5563" s="131"/>
    </row>
    <row r="5564" spans="14:14" x14ac:dyDescent="0.2">
      <c r="N5564" s="131"/>
    </row>
    <row r="5565" spans="14:14" x14ac:dyDescent="0.2">
      <c r="N5565" s="131"/>
    </row>
    <row r="5566" spans="14:14" x14ac:dyDescent="0.2">
      <c r="N5566" s="131"/>
    </row>
    <row r="5567" spans="14:14" x14ac:dyDescent="0.2">
      <c r="N5567" s="131"/>
    </row>
    <row r="5568" spans="14:14" x14ac:dyDescent="0.2">
      <c r="N5568" s="131"/>
    </row>
    <row r="5569" spans="14:14" x14ac:dyDescent="0.2">
      <c r="N5569" s="131"/>
    </row>
    <row r="5570" spans="14:14" x14ac:dyDescent="0.2">
      <c r="N5570" s="131"/>
    </row>
    <row r="5571" spans="14:14" x14ac:dyDescent="0.2">
      <c r="N5571" s="131"/>
    </row>
    <row r="5572" spans="14:14" x14ac:dyDescent="0.2">
      <c r="N5572" s="131"/>
    </row>
    <row r="5573" spans="14:14" x14ac:dyDescent="0.2">
      <c r="N5573" s="131"/>
    </row>
    <row r="5574" spans="14:14" x14ac:dyDescent="0.2">
      <c r="N5574" s="131"/>
    </row>
    <row r="5575" spans="14:14" x14ac:dyDescent="0.2">
      <c r="N5575" s="131"/>
    </row>
    <row r="5576" spans="14:14" x14ac:dyDescent="0.2">
      <c r="N5576" s="131"/>
    </row>
    <row r="5577" spans="14:14" x14ac:dyDescent="0.2">
      <c r="N5577" s="131"/>
    </row>
    <row r="5578" spans="14:14" x14ac:dyDescent="0.2">
      <c r="N5578" s="131"/>
    </row>
    <row r="5579" spans="14:14" x14ac:dyDescent="0.2">
      <c r="N5579" s="131"/>
    </row>
    <row r="5580" spans="14:14" x14ac:dyDescent="0.2">
      <c r="N5580" s="131"/>
    </row>
    <row r="5581" spans="14:14" x14ac:dyDescent="0.2">
      <c r="N5581" s="131"/>
    </row>
    <row r="5582" spans="14:14" x14ac:dyDescent="0.2">
      <c r="N5582" s="131"/>
    </row>
    <row r="5583" spans="14:14" x14ac:dyDescent="0.2">
      <c r="N5583" s="131"/>
    </row>
    <row r="5584" spans="14:14" x14ac:dyDescent="0.2">
      <c r="N5584" s="131"/>
    </row>
    <row r="5585" spans="14:14" x14ac:dyDescent="0.2">
      <c r="N5585" s="131"/>
    </row>
    <row r="5586" spans="14:14" x14ac:dyDescent="0.2">
      <c r="N5586" s="131"/>
    </row>
    <row r="5587" spans="14:14" x14ac:dyDescent="0.2">
      <c r="N5587" s="131"/>
    </row>
    <row r="5588" spans="14:14" x14ac:dyDescent="0.2">
      <c r="N5588" s="131"/>
    </row>
    <row r="5589" spans="14:14" x14ac:dyDescent="0.2">
      <c r="N5589" s="131"/>
    </row>
    <row r="5590" spans="14:14" x14ac:dyDescent="0.2">
      <c r="N5590" s="131"/>
    </row>
    <row r="5591" spans="14:14" x14ac:dyDescent="0.2">
      <c r="N5591" s="131"/>
    </row>
    <row r="5592" spans="14:14" x14ac:dyDescent="0.2">
      <c r="N5592" s="131"/>
    </row>
    <row r="5593" spans="14:14" x14ac:dyDescent="0.2">
      <c r="N5593" s="131"/>
    </row>
    <row r="5594" spans="14:14" x14ac:dyDescent="0.2">
      <c r="N5594" s="131"/>
    </row>
    <row r="5595" spans="14:14" x14ac:dyDescent="0.2">
      <c r="N5595" s="131"/>
    </row>
    <row r="5596" spans="14:14" x14ac:dyDescent="0.2">
      <c r="N5596" s="131"/>
    </row>
    <row r="5597" spans="14:14" x14ac:dyDescent="0.2">
      <c r="N5597" s="131"/>
    </row>
    <row r="5598" spans="14:14" x14ac:dyDescent="0.2">
      <c r="N5598" s="131"/>
    </row>
    <row r="5599" spans="14:14" x14ac:dyDescent="0.2">
      <c r="N5599" s="131"/>
    </row>
    <row r="5600" spans="14:14" x14ac:dyDescent="0.2">
      <c r="N5600" s="131"/>
    </row>
    <row r="5601" spans="14:14" x14ac:dyDescent="0.2">
      <c r="N5601" s="131"/>
    </row>
    <row r="5602" spans="14:14" x14ac:dyDescent="0.2">
      <c r="N5602" s="131"/>
    </row>
    <row r="5603" spans="14:14" x14ac:dyDescent="0.2">
      <c r="N5603" s="131"/>
    </row>
    <row r="5604" spans="14:14" x14ac:dyDescent="0.2">
      <c r="N5604" s="131"/>
    </row>
    <row r="5605" spans="14:14" x14ac:dyDescent="0.2">
      <c r="N5605" s="131"/>
    </row>
    <row r="5606" spans="14:14" x14ac:dyDescent="0.2">
      <c r="N5606" s="131"/>
    </row>
    <row r="5607" spans="14:14" x14ac:dyDescent="0.2">
      <c r="N5607" s="131"/>
    </row>
    <row r="5608" spans="14:14" x14ac:dyDescent="0.2">
      <c r="N5608" s="131"/>
    </row>
    <row r="5609" spans="14:14" x14ac:dyDescent="0.2">
      <c r="N5609" s="131"/>
    </row>
    <row r="5610" spans="14:14" x14ac:dyDescent="0.2">
      <c r="N5610" s="131"/>
    </row>
    <row r="5611" spans="14:14" x14ac:dyDescent="0.2">
      <c r="N5611" s="131"/>
    </row>
    <row r="5612" spans="14:14" x14ac:dyDescent="0.2">
      <c r="N5612" s="131"/>
    </row>
    <row r="5613" spans="14:14" x14ac:dyDescent="0.2">
      <c r="N5613" s="131"/>
    </row>
    <row r="5614" spans="14:14" x14ac:dyDescent="0.2">
      <c r="N5614" s="131"/>
    </row>
    <row r="5615" spans="14:14" x14ac:dyDescent="0.2">
      <c r="N5615" s="131"/>
    </row>
    <row r="5616" spans="14:14" x14ac:dyDescent="0.2">
      <c r="N5616" s="131"/>
    </row>
    <row r="5617" spans="14:14" x14ac:dyDescent="0.2">
      <c r="N5617" s="131"/>
    </row>
    <row r="5618" spans="14:14" x14ac:dyDescent="0.2">
      <c r="N5618" s="131"/>
    </row>
    <row r="5619" spans="14:14" x14ac:dyDescent="0.2">
      <c r="N5619" s="131"/>
    </row>
    <row r="5620" spans="14:14" x14ac:dyDescent="0.2">
      <c r="N5620" s="131"/>
    </row>
    <row r="5621" spans="14:14" x14ac:dyDescent="0.2">
      <c r="N5621" s="131"/>
    </row>
    <row r="5622" spans="14:14" x14ac:dyDescent="0.2">
      <c r="N5622" s="131"/>
    </row>
    <row r="5623" spans="14:14" x14ac:dyDescent="0.2">
      <c r="N5623" s="131"/>
    </row>
    <row r="5624" spans="14:14" x14ac:dyDescent="0.2">
      <c r="N5624" s="131"/>
    </row>
    <row r="5625" spans="14:14" x14ac:dyDescent="0.2">
      <c r="N5625" s="131"/>
    </row>
    <row r="5626" spans="14:14" x14ac:dyDescent="0.2">
      <c r="N5626" s="131"/>
    </row>
    <row r="5627" spans="14:14" x14ac:dyDescent="0.2">
      <c r="N5627" s="131"/>
    </row>
    <row r="5628" spans="14:14" x14ac:dyDescent="0.2">
      <c r="N5628" s="131"/>
    </row>
    <row r="5629" spans="14:14" x14ac:dyDescent="0.2">
      <c r="N5629" s="131"/>
    </row>
    <row r="5630" spans="14:14" x14ac:dyDescent="0.2">
      <c r="N5630" s="131"/>
    </row>
    <row r="5631" spans="14:14" x14ac:dyDescent="0.2">
      <c r="N5631" s="131"/>
    </row>
    <row r="5632" spans="14:14" x14ac:dyDescent="0.2">
      <c r="N5632" s="131"/>
    </row>
    <row r="5633" spans="14:14" x14ac:dyDescent="0.2">
      <c r="N5633" s="131"/>
    </row>
    <row r="5634" spans="14:14" x14ac:dyDescent="0.2">
      <c r="N5634" s="131"/>
    </row>
    <row r="5635" spans="14:14" x14ac:dyDescent="0.2">
      <c r="N5635" s="131"/>
    </row>
    <row r="5636" spans="14:14" x14ac:dyDescent="0.2">
      <c r="N5636" s="131"/>
    </row>
    <row r="5637" spans="14:14" x14ac:dyDescent="0.2">
      <c r="N5637" s="131"/>
    </row>
    <row r="5638" spans="14:14" x14ac:dyDescent="0.2">
      <c r="N5638" s="131"/>
    </row>
    <row r="5639" spans="14:14" x14ac:dyDescent="0.2">
      <c r="N5639" s="131"/>
    </row>
    <row r="5640" spans="14:14" x14ac:dyDescent="0.2">
      <c r="N5640" s="131"/>
    </row>
    <row r="5641" spans="14:14" x14ac:dyDescent="0.2">
      <c r="N5641" s="131"/>
    </row>
    <row r="5642" spans="14:14" x14ac:dyDescent="0.2">
      <c r="N5642" s="131"/>
    </row>
    <row r="5643" spans="14:14" x14ac:dyDescent="0.2">
      <c r="N5643" s="131"/>
    </row>
    <row r="5644" spans="14:14" x14ac:dyDescent="0.2">
      <c r="N5644" s="131"/>
    </row>
    <row r="5645" spans="14:14" x14ac:dyDescent="0.2">
      <c r="N5645" s="131"/>
    </row>
    <row r="5646" spans="14:14" x14ac:dyDescent="0.2">
      <c r="N5646" s="131"/>
    </row>
    <row r="5647" spans="14:14" x14ac:dyDescent="0.2">
      <c r="N5647" s="131"/>
    </row>
    <row r="5648" spans="14:14" x14ac:dyDescent="0.2">
      <c r="N5648" s="131"/>
    </row>
    <row r="5649" spans="14:14" x14ac:dyDescent="0.2">
      <c r="N5649" s="131"/>
    </row>
    <row r="5650" spans="14:14" x14ac:dyDescent="0.2">
      <c r="N5650" s="131"/>
    </row>
    <row r="5651" spans="14:14" x14ac:dyDescent="0.2">
      <c r="N5651" s="131"/>
    </row>
    <row r="5652" spans="14:14" x14ac:dyDescent="0.2">
      <c r="N5652" s="131"/>
    </row>
    <row r="5653" spans="14:14" x14ac:dyDescent="0.2">
      <c r="N5653" s="131"/>
    </row>
    <row r="5654" spans="14:14" x14ac:dyDescent="0.2">
      <c r="N5654" s="131"/>
    </row>
    <row r="5655" spans="14:14" x14ac:dyDescent="0.2">
      <c r="N5655" s="131"/>
    </row>
    <row r="5656" spans="14:14" x14ac:dyDescent="0.2">
      <c r="N5656" s="131"/>
    </row>
    <row r="5657" spans="14:14" x14ac:dyDescent="0.2">
      <c r="N5657" s="131"/>
    </row>
    <row r="5658" spans="14:14" x14ac:dyDescent="0.2">
      <c r="N5658" s="131"/>
    </row>
    <row r="5659" spans="14:14" x14ac:dyDescent="0.2">
      <c r="N5659" s="131"/>
    </row>
    <row r="5660" spans="14:14" x14ac:dyDescent="0.2">
      <c r="N5660" s="131"/>
    </row>
    <row r="5661" spans="14:14" x14ac:dyDescent="0.2">
      <c r="N5661" s="131"/>
    </row>
    <row r="5662" spans="14:14" x14ac:dyDescent="0.2">
      <c r="N5662" s="131"/>
    </row>
    <row r="5663" spans="14:14" x14ac:dyDescent="0.2">
      <c r="N5663" s="131"/>
    </row>
    <row r="5664" spans="14:14" x14ac:dyDescent="0.2">
      <c r="N5664" s="131"/>
    </row>
    <row r="5665" spans="14:14" x14ac:dyDescent="0.2">
      <c r="N5665" s="131"/>
    </row>
    <row r="5666" spans="14:14" x14ac:dyDescent="0.2">
      <c r="N5666" s="131"/>
    </row>
    <row r="5667" spans="14:14" x14ac:dyDescent="0.2">
      <c r="N5667" s="131"/>
    </row>
    <row r="5668" spans="14:14" x14ac:dyDescent="0.2">
      <c r="N5668" s="131"/>
    </row>
    <row r="5669" spans="14:14" x14ac:dyDescent="0.2">
      <c r="N5669" s="131"/>
    </row>
    <row r="5670" spans="14:14" x14ac:dyDescent="0.2">
      <c r="N5670" s="131"/>
    </row>
    <row r="5671" spans="14:14" x14ac:dyDescent="0.2">
      <c r="N5671" s="131"/>
    </row>
    <row r="5672" spans="14:14" x14ac:dyDescent="0.2">
      <c r="N5672" s="131"/>
    </row>
    <row r="5673" spans="14:14" x14ac:dyDescent="0.2">
      <c r="N5673" s="131"/>
    </row>
    <row r="5674" spans="14:14" x14ac:dyDescent="0.2">
      <c r="N5674" s="131"/>
    </row>
    <row r="5675" spans="14:14" x14ac:dyDescent="0.2">
      <c r="N5675" s="131"/>
    </row>
    <row r="5676" spans="14:14" x14ac:dyDescent="0.2">
      <c r="N5676" s="131"/>
    </row>
    <row r="5677" spans="14:14" x14ac:dyDescent="0.2">
      <c r="N5677" s="131"/>
    </row>
    <row r="5678" spans="14:14" x14ac:dyDescent="0.2">
      <c r="N5678" s="131"/>
    </row>
    <row r="5679" spans="14:14" x14ac:dyDescent="0.2">
      <c r="N5679" s="131"/>
    </row>
    <row r="5680" spans="14:14" x14ac:dyDescent="0.2">
      <c r="N5680" s="131"/>
    </row>
    <row r="5681" spans="14:14" x14ac:dyDescent="0.2">
      <c r="N5681" s="131"/>
    </row>
    <row r="5682" spans="14:14" x14ac:dyDescent="0.2">
      <c r="N5682" s="131"/>
    </row>
    <row r="5683" spans="14:14" x14ac:dyDescent="0.2">
      <c r="N5683" s="131"/>
    </row>
    <row r="5684" spans="14:14" x14ac:dyDescent="0.2">
      <c r="N5684" s="131"/>
    </row>
    <row r="5685" spans="14:14" x14ac:dyDescent="0.2">
      <c r="N5685" s="131"/>
    </row>
    <row r="5686" spans="14:14" x14ac:dyDescent="0.2">
      <c r="N5686" s="131"/>
    </row>
    <row r="5687" spans="14:14" x14ac:dyDescent="0.2">
      <c r="N5687" s="131"/>
    </row>
    <row r="5688" spans="14:14" x14ac:dyDescent="0.2">
      <c r="N5688" s="131"/>
    </row>
    <row r="5689" spans="14:14" x14ac:dyDescent="0.2">
      <c r="N5689" s="131"/>
    </row>
    <row r="5690" spans="14:14" x14ac:dyDescent="0.2">
      <c r="N5690" s="131"/>
    </row>
    <row r="5691" spans="14:14" x14ac:dyDescent="0.2">
      <c r="N5691" s="131"/>
    </row>
    <row r="5692" spans="14:14" x14ac:dyDescent="0.2">
      <c r="N5692" s="131"/>
    </row>
    <row r="5693" spans="14:14" x14ac:dyDescent="0.2">
      <c r="N5693" s="131"/>
    </row>
    <row r="5694" spans="14:14" x14ac:dyDescent="0.2">
      <c r="N5694" s="131"/>
    </row>
    <row r="5695" spans="14:14" x14ac:dyDescent="0.2">
      <c r="N5695" s="131"/>
    </row>
    <row r="5696" spans="14:14" x14ac:dyDescent="0.2">
      <c r="N5696" s="131"/>
    </row>
    <row r="5697" spans="14:14" x14ac:dyDescent="0.2">
      <c r="N5697" s="131"/>
    </row>
    <row r="5698" spans="14:14" x14ac:dyDescent="0.2">
      <c r="N5698" s="131"/>
    </row>
    <row r="5699" spans="14:14" x14ac:dyDescent="0.2">
      <c r="N5699" s="131"/>
    </row>
    <row r="5700" spans="14:14" x14ac:dyDescent="0.2">
      <c r="N5700" s="131"/>
    </row>
    <row r="5701" spans="14:14" x14ac:dyDescent="0.2">
      <c r="N5701" s="131"/>
    </row>
    <row r="5702" spans="14:14" x14ac:dyDescent="0.2">
      <c r="N5702" s="131"/>
    </row>
    <row r="5703" spans="14:14" x14ac:dyDescent="0.2">
      <c r="N5703" s="131"/>
    </row>
    <row r="5704" spans="14:14" x14ac:dyDescent="0.2">
      <c r="N5704" s="131"/>
    </row>
    <row r="5705" spans="14:14" x14ac:dyDescent="0.2">
      <c r="N5705" s="131"/>
    </row>
    <row r="5706" spans="14:14" x14ac:dyDescent="0.2">
      <c r="N5706" s="131"/>
    </row>
    <row r="5707" spans="14:14" x14ac:dyDescent="0.2">
      <c r="N5707" s="131"/>
    </row>
    <row r="5708" spans="14:14" x14ac:dyDescent="0.2">
      <c r="N5708" s="131"/>
    </row>
    <row r="5709" spans="14:14" x14ac:dyDescent="0.2">
      <c r="N5709" s="131"/>
    </row>
    <row r="5710" spans="14:14" x14ac:dyDescent="0.2">
      <c r="N5710" s="131"/>
    </row>
    <row r="5711" spans="14:14" x14ac:dyDescent="0.2">
      <c r="N5711" s="131"/>
    </row>
    <row r="5712" spans="14:14" x14ac:dyDescent="0.2">
      <c r="N5712" s="131"/>
    </row>
    <row r="5713" spans="14:14" x14ac:dyDescent="0.2">
      <c r="N5713" s="131"/>
    </row>
    <row r="5714" spans="14:14" x14ac:dyDescent="0.2">
      <c r="N5714" s="131"/>
    </row>
    <row r="5715" spans="14:14" x14ac:dyDescent="0.2">
      <c r="N5715" s="131"/>
    </row>
    <row r="5716" spans="14:14" x14ac:dyDescent="0.2">
      <c r="N5716" s="131"/>
    </row>
    <row r="5717" spans="14:14" x14ac:dyDescent="0.2">
      <c r="N5717" s="131"/>
    </row>
    <row r="5718" spans="14:14" x14ac:dyDescent="0.2">
      <c r="N5718" s="131"/>
    </row>
    <row r="5719" spans="14:14" x14ac:dyDescent="0.2">
      <c r="N5719" s="131"/>
    </row>
    <row r="5720" spans="14:14" x14ac:dyDescent="0.2">
      <c r="N5720" s="131"/>
    </row>
    <row r="5721" spans="14:14" x14ac:dyDescent="0.2">
      <c r="N5721" s="131"/>
    </row>
    <row r="5722" spans="14:14" x14ac:dyDescent="0.2">
      <c r="N5722" s="131"/>
    </row>
    <row r="5723" spans="14:14" x14ac:dyDescent="0.2">
      <c r="N5723" s="131"/>
    </row>
    <row r="5724" spans="14:14" x14ac:dyDescent="0.2">
      <c r="N5724" s="131"/>
    </row>
    <row r="5725" spans="14:14" x14ac:dyDescent="0.2">
      <c r="N5725" s="131"/>
    </row>
    <row r="5726" spans="14:14" x14ac:dyDescent="0.2">
      <c r="N5726" s="131"/>
    </row>
    <row r="5727" spans="14:14" x14ac:dyDescent="0.2">
      <c r="N5727" s="131"/>
    </row>
    <row r="5728" spans="14:14" x14ac:dyDescent="0.2">
      <c r="N5728" s="131"/>
    </row>
    <row r="5729" spans="14:14" x14ac:dyDescent="0.2">
      <c r="N5729" s="131"/>
    </row>
    <row r="5730" spans="14:14" x14ac:dyDescent="0.2">
      <c r="N5730" s="131"/>
    </row>
    <row r="5731" spans="14:14" x14ac:dyDescent="0.2">
      <c r="N5731" s="131"/>
    </row>
    <row r="5732" spans="14:14" x14ac:dyDescent="0.2">
      <c r="N5732" s="131"/>
    </row>
    <row r="5733" spans="14:14" x14ac:dyDescent="0.2">
      <c r="N5733" s="131"/>
    </row>
    <row r="5734" spans="14:14" x14ac:dyDescent="0.2">
      <c r="N5734" s="131"/>
    </row>
    <row r="5735" spans="14:14" x14ac:dyDescent="0.2">
      <c r="N5735" s="131"/>
    </row>
    <row r="5736" spans="14:14" x14ac:dyDescent="0.2">
      <c r="N5736" s="131"/>
    </row>
    <row r="5737" spans="14:14" x14ac:dyDescent="0.2">
      <c r="N5737" s="131"/>
    </row>
    <row r="5738" spans="14:14" x14ac:dyDescent="0.2">
      <c r="N5738" s="131"/>
    </row>
    <row r="5739" spans="14:14" x14ac:dyDescent="0.2">
      <c r="N5739" s="131"/>
    </row>
    <row r="5740" spans="14:14" x14ac:dyDescent="0.2">
      <c r="N5740" s="131"/>
    </row>
    <row r="5741" spans="14:14" x14ac:dyDescent="0.2">
      <c r="N5741" s="131"/>
    </row>
    <row r="5742" spans="14:14" x14ac:dyDescent="0.2">
      <c r="N5742" s="131"/>
    </row>
    <row r="5743" spans="14:14" x14ac:dyDescent="0.2">
      <c r="N5743" s="131"/>
    </row>
    <row r="5744" spans="14:14" x14ac:dyDescent="0.2">
      <c r="N5744" s="131"/>
    </row>
    <row r="5745" spans="14:14" x14ac:dyDescent="0.2">
      <c r="N5745" s="131"/>
    </row>
    <row r="5746" spans="14:14" x14ac:dyDescent="0.2">
      <c r="N5746" s="131"/>
    </row>
    <row r="5747" spans="14:14" x14ac:dyDescent="0.2">
      <c r="N5747" s="131"/>
    </row>
    <row r="5748" spans="14:14" x14ac:dyDescent="0.2">
      <c r="N5748" s="131"/>
    </row>
    <row r="5749" spans="14:14" x14ac:dyDescent="0.2">
      <c r="N5749" s="131"/>
    </row>
    <row r="5750" spans="14:14" x14ac:dyDescent="0.2">
      <c r="N5750" s="131"/>
    </row>
    <row r="5751" spans="14:14" x14ac:dyDescent="0.2">
      <c r="N5751" s="131"/>
    </row>
    <row r="5752" spans="14:14" x14ac:dyDescent="0.2">
      <c r="N5752" s="131"/>
    </row>
    <row r="5753" spans="14:14" x14ac:dyDescent="0.2">
      <c r="N5753" s="131"/>
    </row>
    <row r="5754" spans="14:14" x14ac:dyDescent="0.2">
      <c r="N5754" s="131"/>
    </row>
    <row r="5755" spans="14:14" x14ac:dyDescent="0.2">
      <c r="N5755" s="131"/>
    </row>
    <row r="5756" spans="14:14" x14ac:dyDescent="0.2">
      <c r="N5756" s="131"/>
    </row>
    <row r="5757" spans="14:14" x14ac:dyDescent="0.2">
      <c r="N5757" s="131"/>
    </row>
    <row r="5758" spans="14:14" x14ac:dyDescent="0.2">
      <c r="N5758" s="131"/>
    </row>
    <row r="5759" spans="14:14" x14ac:dyDescent="0.2">
      <c r="N5759" s="131"/>
    </row>
    <row r="5760" spans="14:14" x14ac:dyDescent="0.2">
      <c r="N5760" s="131"/>
    </row>
    <row r="5761" spans="14:14" x14ac:dyDescent="0.2">
      <c r="N5761" s="131"/>
    </row>
    <row r="5762" spans="14:14" x14ac:dyDescent="0.2">
      <c r="N5762" s="131"/>
    </row>
    <row r="5763" spans="14:14" x14ac:dyDescent="0.2">
      <c r="N5763" s="131"/>
    </row>
    <row r="5764" spans="14:14" x14ac:dyDescent="0.2">
      <c r="N5764" s="131"/>
    </row>
    <row r="5765" spans="14:14" x14ac:dyDescent="0.2">
      <c r="N5765" s="131"/>
    </row>
    <row r="5766" spans="14:14" x14ac:dyDescent="0.2">
      <c r="N5766" s="131"/>
    </row>
    <row r="5767" spans="14:14" x14ac:dyDescent="0.2">
      <c r="N5767" s="131"/>
    </row>
    <row r="5768" spans="14:14" x14ac:dyDescent="0.2">
      <c r="N5768" s="131"/>
    </row>
    <row r="5769" spans="14:14" x14ac:dyDescent="0.2">
      <c r="N5769" s="131"/>
    </row>
    <row r="5770" spans="14:14" x14ac:dyDescent="0.2">
      <c r="N5770" s="131"/>
    </row>
    <row r="5771" spans="14:14" x14ac:dyDescent="0.2">
      <c r="N5771" s="131"/>
    </row>
    <row r="5772" spans="14:14" x14ac:dyDescent="0.2">
      <c r="N5772" s="131"/>
    </row>
    <row r="5773" spans="14:14" x14ac:dyDescent="0.2">
      <c r="N5773" s="131"/>
    </row>
    <row r="5774" spans="14:14" x14ac:dyDescent="0.2">
      <c r="N5774" s="131"/>
    </row>
    <row r="5775" spans="14:14" x14ac:dyDescent="0.2">
      <c r="N5775" s="131"/>
    </row>
    <row r="5776" spans="14:14" x14ac:dyDescent="0.2">
      <c r="N5776" s="131"/>
    </row>
    <row r="5777" spans="14:14" x14ac:dyDescent="0.2">
      <c r="N5777" s="131"/>
    </row>
    <row r="5778" spans="14:14" x14ac:dyDescent="0.2">
      <c r="N5778" s="131"/>
    </row>
    <row r="5779" spans="14:14" x14ac:dyDescent="0.2">
      <c r="N5779" s="131"/>
    </row>
    <row r="5780" spans="14:14" x14ac:dyDescent="0.2">
      <c r="N5780" s="131"/>
    </row>
    <row r="5781" spans="14:14" x14ac:dyDescent="0.2">
      <c r="N5781" s="131"/>
    </row>
    <row r="5782" spans="14:14" x14ac:dyDescent="0.2">
      <c r="N5782" s="131"/>
    </row>
    <row r="5783" spans="14:14" x14ac:dyDescent="0.2">
      <c r="N5783" s="131"/>
    </row>
    <row r="5784" spans="14:14" x14ac:dyDescent="0.2">
      <c r="N5784" s="131"/>
    </row>
    <row r="5785" spans="14:14" x14ac:dyDescent="0.2">
      <c r="N5785" s="131"/>
    </row>
    <row r="5786" spans="14:14" x14ac:dyDescent="0.2">
      <c r="N5786" s="131"/>
    </row>
    <row r="5787" spans="14:14" x14ac:dyDescent="0.2">
      <c r="N5787" s="131"/>
    </row>
    <row r="5788" spans="14:14" x14ac:dyDescent="0.2">
      <c r="N5788" s="131"/>
    </row>
    <row r="5789" spans="14:14" x14ac:dyDescent="0.2">
      <c r="N5789" s="131"/>
    </row>
    <row r="5790" spans="14:14" x14ac:dyDescent="0.2">
      <c r="N5790" s="131"/>
    </row>
    <row r="5791" spans="14:14" x14ac:dyDescent="0.2">
      <c r="N5791" s="131"/>
    </row>
    <row r="5792" spans="14:14" x14ac:dyDescent="0.2">
      <c r="N5792" s="131"/>
    </row>
    <row r="5793" spans="14:14" x14ac:dyDescent="0.2">
      <c r="N5793" s="131"/>
    </row>
    <row r="5794" spans="14:14" x14ac:dyDescent="0.2">
      <c r="N5794" s="131"/>
    </row>
    <row r="5795" spans="14:14" x14ac:dyDescent="0.2">
      <c r="N5795" s="131"/>
    </row>
    <row r="5796" spans="14:14" x14ac:dyDescent="0.2">
      <c r="N5796" s="131"/>
    </row>
    <row r="5797" spans="14:14" x14ac:dyDescent="0.2">
      <c r="N5797" s="131"/>
    </row>
    <row r="5798" spans="14:14" x14ac:dyDescent="0.2">
      <c r="N5798" s="131"/>
    </row>
    <row r="5799" spans="14:14" x14ac:dyDescent="0.2">
      <c r="N5799" s="131"/>
    </row>
    <row r="5800" spans="14:14" x14ac:dyDescent="0.2">
      <c r="N5800" s="131"/>
    </row>
    <row r="5801" spans="14:14" x14ac:dyDescent="0.2">
      <c r="N5801" s="131"/>
    </row>
    <row r="5802" spans="14:14" x14ac:dyDescent="0.2">
      <c r="N5802" s="131"/>
    </row>
    <row r="5803" spans="14:14" x14ac:dyDescent="0.2">
      <c r="N5803" s="131"/>
    </row>
    <row r="5804" spans="14:14" x14ac:dyDescent="0.2">
      <c r="N5804" s="131"/>
    </row>
    <row r="5805" spans="14:14" x14ac:dyDescent="0.2">
      <c r="N5805" s="131"/>
    </row>
    <row r="5806" spans="14:14" x14ac:dyDescent="0.2">
      <c r="N5806" s="131"/>
    </row>
    <row r="5807" spans="14:14" x14ac:dyDescent="0.2">
      <c r="N5807" s="131"/>
    </row>
    <row r="5808" spans="14:14" x14ac:dyDescent="0.2">
      <c r="N5808" s="131"/>
    </row>
    <row r="5809" spans="14:14" x14ac:dyDescent="0.2">
      <c r="N5809" s="131"/>
    </row>
    <row r="5810" spans="14:14" x14ac:dyDescent="0.2">
      <c r="N5810" s="131"/>
    </row>
    <row r="5811" spans="14:14" x14ac:dyDescent="0.2">
      <c r="N5811" s="131"/>
    </row>
    <row r="5812" spans="14:14" x14ac:dyDescent="0.2">
      <c r="N5812" s="131"/>
    </row>
    <row r="5813" spans="14:14" x14ac:dyDescent="0.2">
      <c r="N5813" s="131"/>
    </row>
    <row r="5814" spans="14:14" x14ac:dyDescent="0.2">
      <c r="N5814" s="131"/>
    </row>
    <row r="5815" spans="14:14" x14ac:dyDescent="0.2">
      <c r="N5815" s="131"/>
    </row>
    <row r="5816" spans="14:14" x14ac:dyDescent="0.2">
      <c r="N5816" s="131"/>
    </row>
    <row r="5817" spans="14:14" x14ac:dyDescent="0.2">
      <c r="N5817" s="131"/>
    </row>
    <row r="5818" spans="14:14" x14ac:dyDescent="0.2">
      <c r="N5818" s="131"/>
    </row>
    <row r="5819" spans="14:14" x14ac:dyDescent="0.2">
      <c r="N5819" s="131"/>
    </row>
    <row r="5820" spans="14:14" x14ac:dyDescent="0.2">
      <c r="N5820" s="131"/>
    </row>
    <row r="5821" spans="14:14" x14ac:dyDescent="0.2">
      <c r="N5821" s="131"/>
    </row>
    <row r="5822" spans="14:14" x14ac:dyDescent="0.2">
      <c r="N5822" s="131"/>
    </row>
    <row r="5823" spans="14:14" x14ac:dyDescent="0.2">
      <c r="N5823" s="131"/>
    </row>
    <row r="5824" spans="14:14" x14ac:dyDescent="0.2">
      <c r="N5824" s="131"/>
    </row>
    <row r="5825" spans="14:14" x14ac:dyDescent="0.2">
      <c r="N5825" s="131"/>
    </row>
    <row r="5826" spans="14:14" x14ac:dyDescent="0.2">
      <c r="N5826" s="131"/>
    </row>
    <row r="5827" spans="14:14" x14ac:dyDescent="0.2">
      <c r="N5827" s="131"/>
    </row>
    <row r="5828" spans="14:14" x14ac:dyDescent="0.2">
      <c r="N5828" s="131"/>
    </row>
    <row r="5829" spans="14:14" x14ac:dyDescent="0.2">
      <c r="N5829" s="131"/>
    </row>
    <row r="5830" spans="14:14" x14ac:dyDescent="0.2">
      <c r="N5830" s="131"/>
    </row>
    <row r="5831" spans="14:14" x14ac:dyDescent="0.2">
      <c r="N5831" s="131"/>
    </row>
    <row r="5832" spans="14:14" x14ac:dyDescent="0.2">
      <c r="N5832" s="131"/>
    </row>
    <row r="5833" spans="14:14" x14ac:dyDescent="0.2">
      <c r="N5833" s="131"/>
    </row>
    <row r="5834" spans="14:14" x14ac:dyDescent="0.2">
      <c r="N5834" s="131"/>
    </row>
    <row r="5835" spans="14:14" x14ac:dyDescent="0.2">
      <c r="N5835" s="131"/>
    </row>
    <row r="5836" spans="14:14" x14ac:dyDescent="0.2">
      <c r="N5836" s="131"/>
    </row>
    <row r="5837" spans="14:14" x14ac:dyDescent="0.2">
      <c r="N5837" s="131"/>
    </row>
    <row r="5838" spans="14:14" x14ac:dyDescent="0.2">
      <c r="N5838" s="131"/>
    </row>
    <row r="5839" spans="14:14" x14ac:dyDescent="0.2">
      <c r="N5839" s="131"/>
    </row>
    <row r="5840" spans="14:14" x14ac:dyDescent="0.2">
      <c r="N5840" s="131"/>
    </row>
    <row r="5841" spans="14:14" x14ac:dyDescent="0.2">
      <c r="N5841" s="131"/>
    </row>
    <row r="5842" spans="14:14" x14ac:dyDescent="0.2">
      <c r="N5842" s="131"/>
    </row>
    <row r="5843" spans="14:14" x14ac:dyDescent="0.2">
      <c r="N5843" s="131"/>
    </row>
    <row r="5844" spans="14:14" x14ac:dyDescent="0.2">
      <c r="N5844" s="131"/>
    </row>
    <row r="5845" spans="14:14" x14ac:dyDescent="0.2">
      <c r="N5845" s="131"/>
    </row>
    <row r="5846" spans="14:14" x14ac:dyDescent="0.2">
      <c r="N5846" s="131"/>
    </row>
    <row r="5847" spans="14:14" x14ac:dyDescent="0.2">
      <c r="N5847" s="131"/>
    </row>
    <row r="5848" spans="14:14" x14ac:dyDescent="0.2">
      <c r="N5848" s="131"/>
    </row>
    <row r="5849" spans="14:14" x14ac:dyDescent="0.2">
      <c r="N5849" s="131"/>
    </row>
    <row r="5850" spans="14:14" x14ac:dyDescent="0.2">
      <c r="N5850" s="131"/>
    </row>
    <row r="5851" spans="14:14" x14ac:dyDescent="0.2">
      <c r="N5851" s="131"/>
    </row>
    <row r="5852" spans="14:14" x14ac:dyDescent="0.2">
      <c r="N5852" s="131"/>
    </row>
    <row r="5853" spans="14:14" x14ac:dyDescent="0.2">
      <c r="N5853" s="131"/>
    </row>
    <row r="5854" spans="14:14" x14ac:dyDescent="0.2">
      <c r="N5854" s="131"/>
    </row>
    <row r="5855" spans="14:14" x14ac:dyDescent="0.2">
      <c r="N5855" s="131"/>
    </row>
    <row r="5856" spans="14:14" x14ac:dyDescent="0.2">
      <c r="N5856" s="131"/>
    </row>
    <row r="5857" spans="14:14" x14ac:dyDescent="0.2">
      <c r="N5857" s="131"/>
    </row>
    <row r="5858" spans="14:14" x14ac:dyDescent="0.2">
      <c r="N5858" s="131"/>
    </row>
    <row r="5859" spans="14:14" x14ac:dyDescent="0.2">
      <c r="N5859" s="131"/>
    </row>
    <row r="5860" spans="14:14" x14ac:dyDescent="0.2">
      <c r="N5860" s="131"/>
    </row>
    <row r="5861" spans="14:14" x14ac:dyDescent="0.2">
      <c r="N5861" s="131"/>
    </row>
    <row r="5862" spans="14:14" x14ac:dyDescent="0.2">
      <c r="N5862" s="131"/>
    </row>
    <row r="5863" spans="14:14" x14ac:dyDescent="0.2">
      <c r="N5863" s="131"/>
    </row>
    <row r="5864" spans="14:14" x14ac:dyDescent="0.2">
      <c r="N5864" s="131"/>
    </row>
    <row r="5865" spans="14:14" x14ac:dyDescent="0.2">
      <c r="N5865" s="131"/>
    </row>
    <row r="5866" spans="14:14" x14ac:dyDescent="0.2">
      <c r="N5866" s="131"/>
    </row>
    <row r="5867" spans="14:14" x14ac:dyDescent="0.2">
      <c r="N5867" s="131"/>
    </row>
    <row r="5868" spans="14:14" x14ac:dyDescent="0.2">
      <c r="N5868" s="131"/>
    </row>
    <row r="5869" spans="14:14" x14ac:dyDescent="0.2">
      <c r="N5869" s="131"/>
    </row>
    <row r="5870" spans="14:14" x14ac:dyDescent="0.2">
      <c r="N5870" s="131"/>
    </row>
    <row r="5871" spans="14:14" x14ac:dyDescent="0.2">
      <c r="N5871" s="131"/>
    </row>
    <row r="5872" spans="14:14" x14ac:dyDescent="0.2">
      <c r="N5872" s="131"/>
    </row>
    <row r="5873" spans="14:14" x14ac:dyDescent="0.2">
      <c r="N5873" s="131"/>
    </row>
    <row r="5874" spans="14:14" x14ac:dyDescent="0.2">
      <c r="N5874" s="131"/>
    </row>
    <row r="5875" spans="14:14" x14ac:dyDescent="0.2">
      <c r="N5875" s="131"/>
    </row>
    <row r="5876" spans="14:14" x14ac:dyDescent="0.2">
      <c r="N5876" s="131"/>
    </row>
    <row r="5877" spans="14:14" x14ac:dyDescent="0.2">
      <c r="N5877" s="131"/>
    </row>
    <row r="5878" spans="14:14" x14ac:dyDescent="0.2">
      <c r="N5878" s="131"/>
    </row>
    <row r="5879" spans="14:14" x14ac:dyDescent="0.2">
      <c r="N5879" s="131"/>
    </row>
    <row r="5880" spans="14:14" x14ac:dyDescent="0.2">
      <c r="N5880" s="131"/>
    </row>
    <row r="5881" spans="14:14" x14ac:dyDescent="0.2">
      <c r="N5881" s="131"/>
    </row>
    <row r="5882" spans="14:14" x14ac:dyDescent="0.2">
      <c r="N5882" s="131"/>
    </row>
    <row r="5883" spans="14:14" x14ac:dyDescent="0.2">
      <c r="N5883" s="131"/>
    </row>
    <row r="5884" spans="14:14" x14ac:dyDescent="0.2">
      <c r="N5884" s="131"/>
    </row>
    <row r="5885" spans="14:14" x14ac:dyDescent="0.2">
      <c r="N5885" s="131"/>
    </row>
    <row r="5886" spans="14:14" x14ac:dyDescent="0.2">
      <c r="N5886" s="131"/>
    </row>
    <row r="5887" spans="14:14" x14ac:dyDescent="0.2">
      <c r="N5887" s="131"/>
    </row>
    <row r="5888" spans="14:14" x14ac:dyDescent="0.2">
      <c r="N5888" s="131"/>
    </row>
    <row r="5889" spans="14:14" x14ac:dyDescent="0.2">
      <c r="N5889" s="131"/>
    </row>
    <row r="5890" spans="14:14" x14ac:dyDescent="0.2">
      <c r="N5890" s="131"/>
    </row>
    <row r="5891" spans="14:14" x14ac:dyDescent="0.2">
      <c r="N5891" s="131"/>
    </row>
    <row r="5892" spans="14:14" x14ac:dyDescent="0.2">
      <c r="N5892" s="131"/>
    </row>
    <row r="5893" spans="14:14" x14ac:dyDescent="0.2">
      <c r="N5893" s="131"/>
    </row>
    <row r="5894" spans="14:14" x14ac:dyDescent="0.2">
      <c r="N5894" s="131"/>
    </row>
    <row r="5895" spans="14:14" x14ac:dyDescent="0.2">
      <c r="N5895" s="131"/>
    </row>
    <row r="5896" spans="14:14" x14ac:dyDescent="0.2">
      <c r="N5896" s="131"/>
    </row>
    <row r="5897" spans="14:14" x14ac:dyDescent="0.2">
      <c r="N5897" s="131"/>
    </row>
    <row r="5898" spans="14:14" x14ac:dyDescent="0.2">
      <c r="N5898" s="131"/>
    </row>
    <row r="5899" spans="14:14" x14ac:dyDescent="0.2">
      <c r="N5899" s="131"/>
    </row>
    <row r="5900" spans="14:14" x14ac:dyDescent="0.2">
      <c r="N5900" s="131"/>
    </row>
    <row r="5901" spans="14:14" x14ac:dyDescent="0.2">
      <c r="N5901" s="131"/>
    </row>
    <row r="5902" spans="14:14" x14ac:dyDescent="0.2">
      <c r="N5902" s="131"/>
    </row>
    <row r="5903" spans="14:14" x14ac:dyDescent="0.2">
      <c r="N5903" s="131"/>
    </row>
    <row r="5904" spans="14:14" x14ac:dyDescent="0.2">
      <c r="N5904" s="131"/>
    </row>
    <row r="5905" spans="14:14" x14ac:dyDescent="0.2">
      <c r="N5905" s="131"/>
    </row>
    <row r="5906" spans="14:14" x14ac:dyDescent="0.2">
      <c r="N5906" s="131"/>
    </row>
    <row r="5907" spans="14:14" x14ac:dyDescent="0.2">
      <c r="N5907" s="131"/>
    </row>
    <row r="5908" spans="14:14" x14ac:dyDescent="0.2">
      <c r="N5908" s="131"/>
    </row>
    <row r="5909" spans="14:14" x14ac:dyDescent="0.2">
      <c r="N5909" s="131"/>
    </row>
    <row r="5910" spans="14:14" x14ac:dyDescent="0.2">
      <c r="N5910" s="131"/>
    </row>
    <row r="5911" spans="14:14" x14ac:dyDescent="0.2">
      <c r="N5911" s="131"/>
    </row>
    <row r="5912" spans="14:14" x14ac:dyDescent="0.2">
      <c r="N5912" s="131"/>
    </row>
    <row r="5913" spans="14:14" x14ac:dyDescent="0.2">
      <c r="N5913" s="131"/>
    </row>
    <row r="5914" spans="14:14" x14ac:dyDescent="0.2">
      <c r="N5914" s="131"/>
    </row>
    <row r="5915" spans="14:14" x14ac:dyDescent="0.2">
      <c r="N5915" s="131"/>
    </row>
    <row r="5916" spans="14:14" x14ac:dyDescent="0.2">
      <c r="N5916" s="131"/>
    </row>
    <row r="5917" spans="14:14" x14ac:dyDescent="0.2">
      <c r="N5917" s="131"/>
    </row>
    <row r="5918" spans="14:14" x14ac:dyDescent="0.2">
      <c r="N5918" s="131"/>
    </row>
    <row r="5919" spans="14:14" x14ac:dyDescent="0.2">
      <c r="N5919" s="131"/>
    </row>
    <row r="5920" spans="14:14" x14ac:dyDescent="0.2">
      <c r="N5920" s="131"/>
    </row>
    <row r="5921" spans="14:14" x14ac:dyDescent="0.2">
      <c r="N5921" s="131"/>
    </row>
    <row r="5922" spans="14:14" x14ac:dyDescent="0.2">
      <c r="N5922" s="131"/>
    </row>
    <row r="5923" spans="14:14" x14ac:dyDescent="0.2">
      <c r="N5923" s="131"/>
    </row>
    <row r="5924" spans="14:14" x14ac:dyDescent="0.2">
      <c r="N5924" s="131"/>
    </row>
    <row r="5925" spans="14:14" x14ac:dyDescent="0.2">
      <c r="N5925" s="131"/>
    </row>
    <row r="5926" spans="14:14" x14ac:dyDescent="0.2">
      <c r="N5926" s="131"/>
    </row>
    <row r="5927" spans="14:14" x14ac:dyDescent="0.2">
      <c r="N5927" s="131"/>
    </row>
    <row r="5928" spans="14:14" x14ac:dyDescent="0.2">
      <c r="N5928" s="131"/>
    </row>
    <row r="5929" spans="14:14" x14ac:dyDescent="0.2">
      <c r="N5929" s="131"/>
    </row>
    <row r="5930" spans="14:14" x14ac:dyDescent="0.2">
      <c r="N5930" s="131"/>
    </row>
    <row r="5931" spans="14:14" x14ac:dyDescent="0.2">
      <c r="N5931" s="131"/>
    </row>
    <row r="5932" spans="14:14" x14ac:dyDescent="0.2">
      <c r="N5932" s="131"/>
    </row>
    <row r="5933" spans="14:14" x14ac:dyDescent="0.2">
      <c r="N5933" s="131"/>
    </row>
    <row r="5934" spans="14:14" x14ac:dyDescent="0.2">
      <c r="N5934" s="131"/>
    </row>
    <row r="5935" spans="14:14" x14ac:dyDescent="0.2">
      <c r="N5935" s="131"/>
    </row>
    <row r="5936" spans="14:14" x14ac:dyDescent="0.2">
      <c r="N5936" s="131"/>
    </row>
    <row r="5937" spans="14:14" x14ac:dyDescent="0.2">
      <c r="N5937" s="131"/>
    </row>
    <row r="5938" spans="14:14" x14ac:dyDescent="0.2">
      <c r="N5938" s="131"/>
    </row>
    <row r="5939" spans="14:14" x14ac:dyDescent="0.2">
      <c r="N5939" s="131"/>
    </row>
    <row r="5940" spans="14:14" x14ac:dyDescent="0.2">
      <c r="N5940" s="131"/>
    </row>
    <row r="5941" spans="14:14" x14ac:dyDescent="0.2">
      <c r="N5941" s="131"/>
    </row>
    <row r="5942" spans="14:14" x14ac:dyDescent="0.2">
      <c r="N5942" s="131"/>
    </row>
    <row r="5943" spans="14:14" x14ac:dyDescent="0.2">
      <c r="N5943" s="131"/>
    </row>
    <row r="5944" spans="14:14" x14ac:dyDescent="0.2">
      <c r="N5944" s="131"/>
    </row>
    <row r="5945" spans="14:14" x14ac:dyDescent="0.2">
      <c r="N5945" s="131"/>
    </row>
    <row r="5946" spans="14:14" x14ac:dyDescent="0.2">
      <c r="N5946" s="131"/>
    </row>
    <row r="5947" spans="14:14" x14ac:dyDescent="0.2">
      <c r="N5947" s="131"/>
    </row>
    <row r="5948" spans="14:14" x14ac:dyDescent="0.2">
      <c r="N5948" s="131"/>
    </row>
    <row r="5949" spans="14:14" x14ac:dyDescent="0.2">
      <c r="N5949" s="131"/>
    </row>
    <row r="5950" spans="14:14" x14ac:dyDescent="0.2">
      <c r="N5950" s="131"/>
    </row>
    <row r="5951" spans="14:14" x14ac:dyDescent="0.2">
      <c r="N5951" s="131"/>
    </row>
    <row r="5952" spans="14:14" x14ac:dyDescent="0.2">
      <c r="N5952" s="131"/>
    </row>
    <row r="5953" spans="14:14" x14ac:dyDescent="0.2">
      <c r="N5953" s="131"/>
    </row>
    <row r="5954" spans="14:14" x14ac:dyDescent="0.2">
      <c r="N5954" s="131"/>
    </row>
    <row r="5955" spans="14:14" x14ac:dyDescent="0.2">
      <c r="N5955" s="131"/>
    </row>
    <row r="5956" spans="14:14" x14ac:dyDescent="0.2">
      <c r="N5956" s="131"/>
    </row>
    <row r="5957" spans="14:14" x14ac:dyDescent="0.2">
      <c r="N5957" s="131"/>
    </row>
    <row r="5958" spans="14:14" x14ac:dyDescent="0.2">
      <c r="N5958" s="131"/>
    </row>
    <row r="5959" spans="14:14" x14ac:dyDescent="0.2">
      <c r="N5959" s="131"/>
    </row>
    <row r="5960" spans="14:14" x14ac:dyDescent="0.2">
      <c r="N5960" s="131"/>
    </row>
    <row r="5961" spans="14:14" x14ac:dyDescent="0.2">
      <c r="N5961" s="131"/>
    </row>
    <row r="5962" spans="14:14" x14ac:dyDescent="0.2">
      <c r="N5962" s="131"/>
    </row>
    <row r="5963" spans="14:14" x14ac:dyDescent="0.2">
      <c r="N5963" s="131"/>
    </row>
    <row r="5964" spans="14:14" x14ac:dyDescent="0.2">
      <c r="N5964" s="131"/>
    </row>
    <row r="5965" spans="14:14" x14ac:dyDescent="0.2">
      <c r="N5965" s="131"/>
    </row>
    <row r="5966" spans="14:14" x14ac:dyDescent="0.2">
      <c r="N5966" s="131"/>
    </row>
    <row r="5967" spans="14:14" x14ac:dyDescent="0.2">
      <c r="N5967" s="131"/>
    </row>
    <row r="5968" spans="14:14" x14ac:dyDescent="0.2">
      <c r="N5968" s="131"/>
    </row>
    <row r="5969" spans="14:14" x14ac:dyDescent="0.2">
      <c r="N5969" s="131"/>
    </row>
    <row r="5970" spans="14:14" x14ac:dyDescent="0.2">
      <c r="N5970" s="131"/>
    </row>
    <row r="5971" spans="14:14" x14ac:dyDescent="0.2">
      <c r="N5971" s="131"/>
    </row>
    <row r="5972" spans="14:14" x14ac:dyDescent="0.2">
      <c r="N5972" s="131"/>
    </row>
    <row r="5973" spans="14:14" x14ac:dyDescent="0.2">
      <c r="N5973" s="131"/>
    </row>
    <row r="5974" spans="14:14" x14ac:dyDescent="0.2">
      <c r="N5974" s="131"/>
    </row>
    <row r="5975" spans="14:14" x14ac:dyDescent="0.2">
      <c r="N5975" s="131"/>
    </row>
    <row r="5976" spans="14:14" x14ac:dyDescent="0.2">
      <c r="N5976" s="131"/>
    </row>
    <row r="5977" spans="14:14" x14ac:dyDescent="0.2">
      <c r="N5977" s="131"/>
    </row>
    <row r="5978" spans="14:14" x14ac:dyDescent="0.2">
      <c r="N5978" s="131"/>
    </row>
    <row r="5979" spans="14:14" x14ac:dyDescent="0.2">
      <c r="N5979" s="131"/>
    </row>
    <row r="5980" spans="14:14" x14ac:dyDescent="0.2">
      <c r="N5980" s="131"/>
    </row>
    <row r="5981" spans="14:14" x14ac:dyDescent="0.2">
      <c r="N5981" s="131"/>
    </row>
    <row r="5982" spans="14:14" x14ac:dyDescent="0.2">
      <c r="N5982" s="131"/>
    </row>
    <row r="5983" spans="14:14" x14ac:dyDescent="0.2">
      <c r="N5983" s="131"/>
    </row>
    <row r="5984" spans="14:14" x14ac:dyDescent="0.2">
      <c r="N5984" s="131"/>
    </row>
    <row r="5985" spans="14:14" x14ac:dyDescent="0.2">
      <c r="N5985" s="131"/>
    </row>
    <row r="5986" spans="14:14" x14ac:dyDescent="0.2">
      <c r="N5986" s="131"/>
    </row>
    <row r="5987" spans="14:14" x14ac:dyDescent="0.2">
      <c r="N5987" s="131"/>
    </row>
    <row r="5988" spans="14:14" x14ac:dyDescent="0.2">
      <c r="N5988" s="131"/>
    </row>
    <row r="5989" spans="14:14" x14ac:dyDescent="0.2">
      <c r="N5989" s="131"/>
    </row>
    <row r="5990" spans="14:14" x14ac:dyDescent="0.2">
      <c r="N5990" s="131"/>
    </row>
    <row r="5991" spans="14:14" x14ac:dyDescent="0.2">
      <c r="N5991" s="131"/>
    </row>
    <row r="5992" spans="14:14" x14ac:dyDescent="0.2">
      <c r="N5992" s="131"/>
    </row>
    <row r="5993" spans="14:14" x14ac:dyDescent="0.2">
      <c r="N5993" s="131"/>
    </row>
    <row r="5994" spans="14:14" x14ac:dyDescent="0.2">
      <c r="N5994" s="131"/>
    </row>
    <row r="5995" spans="14:14" x14ac:dyDescent="0.2">
      <c r="N5995" s="131"/>
    </row>
    <row r="5996" spans="14:14" x14ac:dyDescent="0.2">
      <c r="N5996" s="131"/>
    </row>
    <row r="5997" spans="14:14" x14ac:dyDescent="0.2">
      <c r="N5997" s="131"/>
    </row>
    <row r="5998" spans="14:14" x14ac:dyDescent="0.2">
      <c r="N5998" s="131"/>
    </row>
    <row r="5999" spans="14:14" x14ac:dyDescent="0.2">
      <c r="N5999" s="131"/>
    </row>
    <row r="6000" spans="14:14" x14ac:dyDescent="0.2">
      <c r="N6000" s="131"/>
    </row>
    <row r="6001" spans="14:14" x14ac:dyDescent="0.2">
      <c r="N6001" s="131"/>
    </row>
    <row r="6002" spans="14:14" x14ac:dyDescent="0.2">
      <c r="N6002" s="131"/>
    </row>
    <row r="6003" spans="14:14" x14ac:dyDescent="0.2">
      <c r="N6003" s="131"/>
    </row>
    <row r="6004" spans="14:14" x14ac:dyDescent="0.2">
      <c r="N6004" s="131"/>
    </row>
    <row r="6005" spans="14:14" x14ac:dyDescent="0.2">
      <c r="N6005" s="131"/>
    </row>
    <row r="6006" spans="14:14" x14ac:dyDescent="0.2">
      <c r="N6006" s="131"/>
    </row>
    <row r="6007" spans="14:14" x14ac:dyDescent="0.2">
      <c r="N6007" s="131"/>
    </row>
    <row r="6008" spans="14:14" x14ac:dyDescent="0.2">
      <c r="N6008" s="131"/>
    </row>
    <row r="6009" spans="14:14" x14ac:dyDescent="0.2">
      <c r="N6009" s="131"/>
    </row>
    <row r="6010" spans="14:14" x14ac:dyDescent="0.2">
      <c r="N6010" s="131"/>
    </row>
    <row r="6011" spans="14:14" x14ac:dyDescent="0.2">
      <c r="N6011" s="131"/>
    </row>
    <row r="6012" spans="14:14" x14ac:dyDescent="0.2">
      <c r="N6012" s="131"/>
    </row>
    <row r="6013" spans="14:14" x14ac:dyDescent="0.2">
      <c r="N6013" s="131"/>
    </row>
    <row r="6014" spans="14:14" x14ac:dyDescent="0.2">
      <c r="N6014" s="131"/>
    </row>
    <row r="6015" spans="14:14" x14ac:dyDescent="0.2">
      <c r="N6015" s="131"/>
    </row>
    <row r="6016" spans="14:14" x14ac:dyDescent="0.2">
      <c r="N6016" s="131"/>
    </row>
    <row r="6017" spans="14:14" x14ac:dyDescent="0.2">
      <c r="N6017" s="131"/>
    </row>
    <row r="6018" spans="14:14" x14ac:dyDescent="0.2">
      <c r="N6018" s="131"/>
    </row>
    <row r="6019" spans="14:14" x14ac:dyDescent="0.2">
      <c r="N6019" s="131"/>
    </row>
    <row r="6020" spans="14:14" x14ac:dyDescent="0.2">
      <c r="N6020" s="131"/>
    </row>
    <row r="6021" spans="14:14" x14ac:dyDescent="0.2">
      <c r="N6021" s="131"/>
    </row>
    <row r="6022" spans="14:14" x14ac:dyDescent="0.2">
      <c r="N6022" s="131"/>
    </row>
    <row r="6023" spans="14:14" x14ac:dyDescent="0.2">
      <c r="N6023" s="131"/>
    </row>
    <row r="6024" spans="14:14" x14ac:dyDescent="0.2">
      <c r="N6024" s="131"/>
    </row>
    <row r="6025" spans="14:14" x14ac:dyDescent="0.2">
      <c r="N6025" s="131"/>
    </row>
    <row r="6026" spans="14:14" x14ac:dyDescent="0.2">
      <c r="N6026" s="131"/>
    </row>
    <row r="6027" spans="14:14" x14ac:dyDescent="0.2">
      <c r="N6027" s="131"/>
    </row>
    <row r="6028" spans="14:14" x14ac:dyDescent="0.2">
      <c r="N6028" s="131"/>
    </row>
    <row r="6029" spans="14:14" x14ac:dyDescent="0.2">
      <c r="N6029" s="131"/>
    </row>
    <row r="6030" spans="14:14" x14ac:dyDescent="0.2">
      <c r="N6030" s="131"/>
    </row>
    <row r="6031" spans="14:14" x14ac:dyDescent="0.2">
      <c r="N6031" s="131"/>
    </row>
    <row r="6032" spans="14:14" x14ac:dyDescent="0.2">
      <c r="N6032" s="131"/>
    </row>
    <row r="6033" spans="14:14" x14ac:dyDescent="0.2">
      <c r="N6033" s="131"/>
    </row>
    <row r="6034" spans="14:14" x14ac:dyDescent="0.2">
      <c r="N6034" s="131"/>
    </row>
    <row r="6035" spans="14:14" x14ac:dyDescent="0.2">
      <c r="N6035" s="131"/>
    </row>
    <row r="6036" spans="14:14" x14ac:dyDescent="0.2">
      <c r="N6036" s="131"/>
    </row>
    <row r="6037" spans="14:14" x14ac:dyDescent="0.2">
      <c r="N6037" s="131"/>
    </row>
    <row r="6038" spans="14:14" x14ac:dyDescent="0.2">
      <c r="N6038" s="131"/>
    </row>
    <row r="6039" spans="14:14" x14ac:dyDescent="0.2">
      <c r="N6039" s="131"/>
    </row>
    <row r="6040" spans="14:14" x14ac:dyDescent="0.2">
      <c r="N6040" s="131"/>
    </row>
    <row r="6041" spans="14:14" x14ac:dyDescent="0.2">
      <c r="N6041" s="131"/>
    </row>
    <row r="6042" spans="14:14" x14ac:dyDescent="0.2">
      <c r="N6042" s="131"/>
    </row>
    <row r="6043" spans="14:14" x14ac:dyDescent="0.2">
      <c r="N6043" s="131"/>
    </row>
    <row r="6044" spans="14:14" x14ac:dyDescent="0.2">
      <c r="N6044" s="131"/>
    </row>
    <row r="6045" spans="14:14" x14ac:dyDescent="0.2">
      <c r="N6045" s="131"/>
    </row>
    <row r="6046" spans="14:14" x14ac:dyDescent="0.2">
      <c r="N6046" s="131"/>
    </row>
    <row r="6047" spans="14:14" x14ac:dyDescent="0.2">
      <c r="N6047" s="131"/>
    </row>
    <row r="6048" spans="14:14" x14ac:dyDescent="0.2">
      <c r="N6048" s="131"/>
    </row>
    <row r="6049" spans="14:14" x14ac:dyDescent="0.2">
      <c r="N6049" s="131"/>
    </row>
    <row r="6050" spans="14:14" x14ac:dyDescent="0.2">
      <c r="N6050" s="131"/>
    </row>
    <row r="6051" spans="14:14" x14ac:dyDescent="0.2">
      <c r="N6051" s="131"/>
    </row>
    <row r="6052" spans="14:14" x14ac:dyDescent="0.2">
      <c r="N6052" s="131"/>
    </row>
    <row r="6053" spans="14:14" x14ac:dyDescent="0.2">
      <c r="N6053" s="131"/>
    </row>
    <row r="6054" spans="14:14" x14ac:dyDescent="0.2">
      <c r="N6054" s="131"/>
    </row>
    <row r="6055" spans="14:14" x14ac:dyDescent="0.2">
      <c r="N6055" s="131"/>
    </row>
    <row r="6056" spans="14:14" x14ac:dyDescent="0.2">
      <c r="N6056" s="131"/>
    </row>
    <row r="6057" spans="14:14" x14ac:dyDescent="0.2">
      <c r="N6057" s="131"/>
    </row>
    <row r="6058" spans="14:14" x14ac:dyDescent="0.2">
      <c r="N6058" s="131"/>
    </row>
    <row r="6059" spans="14:14" x14ac:dyDescent="0.2">
      <c r="N6059" s="131"/>
    </row>
    <row r="6060" spans="14:14" x14ac:dyDescent="0.2">
      <c r="N6060" s="131"/>
    </row>
    <row r="6061" spans="14:14" x14ac:dyDescent="0.2">
      <c r="N6061" s="131"/>
    </row>
    <row r="6062" spans="14:14" x14ac:dyDescent="0.2">
      <c r="N6062" s="131"/>
    </row>
    <row r="6063" spans="14:14" x14ac:dyDescent="0.2">
      <c r="N6063" s="131"/>
    </row>
    <row r="6064" spans="14:14" x14ac:dyDescent="0.2">
      <c r="N6064" s="131"/>
    </row>
    <row r="6065" spans="14:14" x14ac:dyDescent="0.2">
      <c r="N6065" s="131"/>
    </row>
    <row r="6066" spans="14:14" x14ac:dyDescent="0.2">
      <c r="N6066" s="131"/>
    </row>
    <row r="6067" spans="14:14" x14ac:dyDescent="0.2">
      <c r="N6067" s="131"/>
    </row>
    <row r="6068" spans="14:14" x14ac:dyDescent="0.2">
      <c r="N6068" s="131"/>
    </row>
    <row r="6069" spans="14:14" x14ac:dyDescent="0.2">
      <c r="N6069" s="131"/>
    </row>
    <row r="6070" spans="14:14" x14ac:dyDescent="0.2">
      <c r="N6070" s="131"/>
    </row>
    <row r="6071" spans="14:14" x14ac:dyDescent="0.2">
      <c r="N6071" s="131"/>
    </row>
    <row r="6072" spans="14:14" x14ac:dyDescent="0.2">
      <c r="N6072" s="131"/>
    </row>
    <row r="6073" spans="14:14" x14ac:dyDescent="0.2">
      <c r="N6073" s="131"/>
    </row>
    <row r="6074" spans="14:14" x14ac:dyDescent="0.2">
      <c r="N6074" s="131"/>
    </row>
    <row r="6075" spans="14:14" x14ac:dyDescent="0.2">
      <c r="N6075" s="131"/>
    </row>
    <row r="6076" spans="14:14" x14ac:dyDescent="0.2">
      <c r="N6076" s="131"/>
    </row>
    <row r="6077" spans="14:14" x14ac:dyDescent="0.2">
      <c r="N6077" s="131"/>
    </row>
    <row r="6078" spans="14:14" x14ac:dyDescent="0.2">
      <c r="N6078" s="131"/>
    </row>
    <row r="6079" spans="14:14" x14ac:dyDescent="0.2">
      <c r="N6079" s="131"/>
    </row>
    <row r="6080" spans="14:14" x14ac:dyDescent="0.2">
      <c r="N6080" s="131"/>
    </row>
    <row r="6081" spans="14:14" x14ac:dyDescent="0.2">
      <c r="N6081" s="131"/>
    </row>
    <row r="6082" spans="14:14" x14ac:dyDescent="0.2">
      <c r="N6082" s="131"/>
    </row>
    <row r="6083" spans="14:14" x14ac:dyDescent="0.2">
      <c r="N6083" s="131"/>
    </row>
    <row r="6084" spans="14:14" x14ac:dyDescent="0.2">
      <c r="N6084" s="131"/>
    </row>
    <row r="6085" spans="14:14" x14ac:dyDescent="0.2">
      <c r="N6085" s="131"/>
    </row>
    <row r="6086" spans="14:14" x14ac:dyDescent="0.2">
      <c r="N6086" s="131"/>
    </row>
    <row r="6087" spans="14:14" x14ac:dyDescent="0.2">
      <c r="N6087" s="131"/>
    </row>
    <row r="6088" spans="14:14" x14ac:dyDescent="0.2">
      <c r="N6088" s="131"/>
    </row>
    <row r="6089" spans="14:14" x14ac:dyDescent="0.2">
      <c r="N6089" s="131"/>
    </row>
    <row r="6090" spans="14:14" x14ac:dyDescent="0.2">
      <c r="N6090" s="131"/>
    </row>
    <row r="6091" spans="14:14" x14ac:dyDescent="0.2">
      <c r="N6091" s="131"/>
    </row>
    <row r="6092" spans="14:14" x14ac:dyDescent="0.2">
      <c r="N6092" s="131"/>
    </row>
    <row r="6093" spans="14:14" x14ac:dyDescent="0.2">
      <c r="N6093" s="131"/>
    </row>
    <row r="6094" spans="14:14" x14ac:dyDescent="0.2">
      <c r="N6094" s="131"/>
    </row>
    <row r="6095" spans="14:14" x14ac:dyDescent="0.2">
      <c r="N6095" s="131"/>
    </row>
    <row r="6096" spans="14:14" x14ac:dyDescent="0.2">
      <c r="N6096" s="131"/>
    </row>
    <row r="6097" spans="14:14" x14ac:dyDescent="0.2">
      <c r="N6097" s="131"/>
    </row>
    <row r="6098" spans="14:14" x14ac:dyDescent="0.2">
      <c r="N6098" s="131"/>
    </row>
    <row r="6099" spans="14:14" x14ac:dyDescent="0.2">
      <c r="N6099" s="131"/>
    </row>
    <row r="6100" spans="14:14" x14ac:dyDescent="0.2">
      <c r="N6100" s="131"/>
    </row>
    <row r="6101" spans="14:14" x14ac:dyDescent="0.2">
      <c r="N6101" s="131"/>
    </row>
    <row r="6102" spans="14:14" x14ac:dyDescent="0.2">
      <c r="N6102" s="131"/>
    </row>
    <row r="6103" spans="14:14" x14ac:dyDescent="0.2">
      <c r="N6103" s="131"/>
    </row>
    <row r="6104" spans="14:14" x14ac:dyDescent="0.2">
      <c r="N6104" s="131"/>
    </row>
    <row r="6105" spans="14:14" x14ac:dyDescent="0.2">
      <c r="N6105" s="131"/>
    </row>
    <row r="6106" spans="14:14" x14ac:dyDescent="0.2">
      <c r="N6106" s="131"/>
    </row>
    <row r="6107" spans="14:14" x14ac:dyDescent="0.2">
      <c r="N6107" s="131"/>
    </row>
    <row r="6108" spans="14:14" x14ac:dyDescent="0.2">
      <c r="N6108" s="131"/>
    </row>
    <row r="6109" spans="14:14" x14ac:dyDescent="0.2">
      <c r="N6109" s="131"/>
    </row>
    <row r="6110" spans="14:14" x14ac:dyDescent="0.2">
      <c r="N6110" s="131"/>
    </row>
    <row r="6111" spans="14:14" x14ac:dyDescent="0.2">
      <c r="N6111" s="131"/>
    </row>
    <row r="6112" spans="14:14" x14ac:dyDescent="0.2">
      <c r="N6112" s="131"/>
    </row>
    <row r="6113" spans="14:14" x14ac:dyDescent="0.2">
      <c r="N6113" s="131"/>
    </row>
    <row r="6114" spans="14:14" x14ac:dyDescent="0.2">
      <c r="N6114" s="131"/>
    </row>
    <row r="6115" spans="14:14" x14ac:dyDescent="0.2">
      <c r="N6115" s="131"/>
    </row>
    <row r="6116" spans="14:14" x14ac:dyDescent="0.2">
      <c r="N6116" s="131"/>
    </row>
    <row r="6117" spans="14:14" x14ac:dyDescent="0.2">
      <c r="N6117" s="131"/>
    </row>
    <row r="6118" spans="14:14" x14ac:dyDescent="0.2">
      <c r="N6118" s="131"/>
    </row>
    <row r="6119" spans="14:14" x14ac:dyDescent="0.2">
      <c r="N6119" s="131"/>
    </row>
    <row r="6120" spans="14:14" x14ac:dyDescent="0.2">
      <c r="N6120" s="131"/>
    </row>
    <row r="6121" spans="14:14" x14ac:dyDescent="0.2">
      <c r="N6121" s="131"/>
    </row>
    <row r="6122" spans="14:14" x14ac:dyDescent="0.2">
      <c r="N6122" s="131"/>
    </row>
    <row r="6123" spans="14:14" x14ac:dyDescent="0.2">
      <c r="N6123" s="131"/>
    </row>
    <row r="6124" spans="14:14" x14ac:dyDescent="0.2">
      <c r="N6124" s="131"/>
    </row>
    <row r="6125" spans="14:14" x14ac:dyDescent="0.2">
      <c r="N6125" s="131"/>
    </row>
    <row r="6126" spans="14:14" x14ac:dyDescent="0.2">
      <c r="N6126" s="131"/>
    </row>
    <row r="6127" spans="14:14" x14ac:dyDescent="0.2">
      <c r="N6127" s="131"/>
    </row>
    <row r="6128" spans="14:14" x14ac:dyDescent="0.2">
      <c r="N6128" s="131"/>
    </row>
    <row r="6129" spans="14:14" x14ac:dyDescent="0.2">
      <c r="N6129" s="131"/>
    </row>
    <row r="6130" spans="14:14" x14ac:dyDescent="0.2">
      <c r="N6130" s="131"/>
    </row>
    <row r="6131" spans="14:14" x14ac:dyDescent="0.2">
      <c r="N6131" s="131"/>
    </row>
    <row r="6132" spans="14:14" x14ac:dyDescent="0.2">
      <c r="N6132" s="131"/>
    </row>
    <row r="6133" spans="14:14" x14ac:dyDescent="0.2">
      <c r="N6133" s="131"/>
    </row>
    <row r="6134" spans="14:14" x14ac:dyDescent="0.2">
      <c r="N6134" s="131"/>
    </row>
    <row r="6135" spans="14:14" x14ac:dyDescent="0.2">
      <c r="N6135" s="131"/>
    </row>
    <row r="6136" spans="14:14" x14ac:dyDescent="0.2">
      <c r="N6136" s="131"/>
    </row>
    <row r="6137" spans="14:14" x14ac:dyDescent="0.2">
      <c r="N6137" s="131"/>
    </row>
    <row r="6138" spans="14:14" x14ac:dyDescent="0.2">
      <c r="N6138" s="131"/>
    </row>
    <row r="6139" spans="14:14" x14ac:dyDescent="0.2">
      <c r="N6139" s="131"/>
    </row>
    <row r="6140" spans="14:14" x14ac:dyDescent="0.2">
      <c r="N6140" s="131"/>
    </row>
    <row r="6141" spans="14:14" x14ac:dyDescent="0.2">
      <c r="N6141" s="131"/>
    </row>
    <row r="6142" spans="14:14" x14ac:dyDescent="0.2">
      <c r="N6142" s="131"/>
    </row>
    <row r="6143" spans="14:14" x14ac:dyDescent="0.2">
      <c r="N6143" s="131"/>
    </row>
    <row r="6144" spans="14:14" x14ac:dyDescent="0.2">
      <c r="N6144" s="131"/>
    </row>
    <row r="6145" spans="14:14" x14ac:dyDescent="0.2">
      <c r="N6145" s="131"/>
    </row>
    <row r="6146" spans="14:14" x14ac:dyDescent="0.2">
      <c r="N6146" s="131"/>
    </row>
    <row r="6147" spans="14:14" x14ac:dyDescent="0.2">
      <c r="N6147" s="131"/>
    </row>
    <row r="6148" spans="14:14" x14ac:dyDescent="0.2">
      <c r="N6148" s="131"/>
    </row>
    <row r="6149" spans="14:14" x14ac:dyDescent="0.2">
      <c r="N6149" s="131"/>
    </row>
    <row r="6150" spans="14:14" x14ac:dyDescent="0.2">
      <c r="N6150" s="131"/>
    </row>
    <row r="6151" spans="14:14" x14ac:dyDescent="0.2">
      <c r="N6151" s="131"/>
    </row>
    <row r="6152" spans="14:14" x14ac:dyDescent="0.2">
      <c r="N6152" s="131"/>
    </row>
    <row r="6153" spans="14:14" x14ac:dyDescent="0.2">
      <c r="N6153" s="131"/>
    </row>
    <row r="6154" spans="14:14" x14ac:dyDescent="0.2">
      <c r="N6154" s="131"/>
    </row>
    <row r="6155" spans="14:14" x14ac:dyDescent="0.2">
      <c r="N6155" s="131"/>
    </row>
    <row r="6156" spans="14:14" x14ac:dyDescent="0.2">
      <c r="N6156" s="131"/>
    </row>
    <row r="6157" spans="14:14" x14ac:dyDescent="0.2">
      <c r="N6157" s="131"/>
    </row>
    <row r="6158" spans="14:14" x14ac:dyDescent="0.2">
      <c r="N6158" s="131"/>
    </row>
    <row r="6159" spans="14:14" x14ac:dyDescent="0.2">
      <c r="N6159" s="131"/>
    </row>
    <row r="6160" spans="14:14" x14ac:dyDescent="0.2">
      <c r="N6160" s="131"/>
    </row>
    <row r="6161" spans="14:14" x14ac:dyDescent="0.2">
      <c r="N6161" s="131"/>
    </row>
    <row r="6162" spans="14:14" x14ac:dyDescent="0.2">
      <c r="N6162" s="131"/>
    </row>
    <row r="6163" spans="14:14" x14ac:dyDescent="0.2">
      <c r="N6163" s="131"/>
    </row>
    <row r="6164" spans="14:14" x14ac:dyDescent="0.2">
      <c r="N6164" s="131"/>
    </row>
    <row r="6165" spans="14:14" x14ac:dyDescent="0.2">
      <c r="N6165" s="131"/>
    </row>
    <row r="6166" spans="14:14" x14ac:dyDescent="0.2">
      <c r="N6166" s="131"/>
    </row>
    <row r="6167" spans="14:14" x14ac:dyDescent="0.2">
      <c r="N6167" s="131"/>
    </row>
    <row r="6168" spans="14:14" x14ac:dyDescent="0.2">
      <c r="N6168" s="131"/>
    </row>
    <row r="6169" spans="14:14" x14ac:dyDescent="0.2">
      <c r="N6169" s="131"/>
    </row>
    <row r="6170" spans="14:14" x14ac:dyDescent="0.2">
      <c r="N6170" s="131"/>
    </row>
    <row r="6171" spans="14:14" x14ac:dyDescent="0.2">
      <c r="N6171" s="131"/>
    </row>
    <row r="6172" spans="14:14" x14ac:dyDescent="0.2">
      <c r="N6172" s="131"/>
    </row>
    <row r="6173" spans="14:14" x14ac:dyDescent="0.2">
      <c r="N6173" s="131"/>
    </row>
    <row r="6174" spans="14:14" x14ac:dyDescent="0.2">
      <c r="N6174" s="131"/>
    </row>
    <row r="6175" spans="14:14" x14ac:dyDescent="0.2">
      <c r="N6175" s="131"/>
    </row>
    <row r="6176" spans="14:14" x14ac:dyDescent="0.2">
      <c r="N6176" s="131"/>
    </row>
    <row r="6177" spans="14:14" x14ac:dyDescent="0.2">
      <c r="N6177" s="131"/>
    </row>
    <row r="6178" spans="14:14" x14ac:dyDescent="0.2">
      <c r="N6178" s="131"/>
    </row>
    <row r="6179" spans="14:14" x14ac:dyDescent="0.2">
      <c r="N6179" s="131"/>
    </row>
    <row r="6180" spans="14:14" x14ac:dyDescent="0.2">
      <c r="N6180" s="131"/>
    </row>
    <row r="6181" spans="14:14" x14ac:dyDescent="0.2">
      <c r="N6181" s="131"/>
    </row>
    <row r="6182" spans="14:14" x14ac:dyDescent="0.2">
      <c r="N6182" s="131"/>
    </row>
    <row r="6183" spans="14:14" x14ac:dyDescent="0.2">
      <c r="N6183" s="131"/>
    </row>
    <row r="6184" spans="14:14" x14ac:dyDescent="0.2">
      <c r="N6184" s="131"/>
    </row>
    <row r="6185" spans="14:14" x14ac:dyDescent="0.2">
      <c r="N6185" s="131"/>
    </row>
    <row r="6186" spans="14:14" x14ac:dyDescent="0.2">
      <c r="N6186" s="131"/>
    </row>
    <row r="6187" spans="14:14" x14ac:dyDescent="0.2">
      <c r="N6187" s="131"/>
    </row>
    <row r="6188" spans="14:14" x14ac:dyDescent="0.2">
      <c r="N6188" s="131"/>
    </row>
    <row r="6189" spans="14:14" x14ac:dyDescent="0.2">
      <c r="N6189" s="131"/>
    </row>
    <row r="6190" spans="14:14" x14ac:dyDescent="0.2">
      <c r="N6190" s="131"/>
    </row>
    <row r="6191" spans="14:14" x14ac:dyDescent="0.2">
      <c r="N6191" s="131"/>
    </row>
    <row r="6192" spans="14:14" x14ac:dyDescent="0.2">
      <c r="N6192" s="131"/>
    </row>
    <row r="6193" spans="14:14" x14ac:dyDescent="0.2">
      <c r="N6193" s="131"/>
    </row>
    <row r="6194" spans="14:14" x14ac:dyDescent="0.2">
      <c r="N6194" s="131"/>
    </row>
    <row r="6195" spans="14:14" x14ac:dyDescent="0.2">
      <c r="N6195" s="131"/>
    </row>
    <row r="6196" spans="14:14" x14ac:dyDescent="0.2">
      <c r="N6196" s="131"/>
    </row>
    <row r="6197" spans="14:14" x14ac:dyDescent="0.2">
      <c r="N6197" s="131"/>
    </row>
    <row r="6198" spans="14:14" x14ac:dyDescent="0.2">
      <c r="N6198" s="131"/>
    </row>
    <row r="6199" spans="14:14" x14ac:dyDescent="0.2">
      <c r="N6199" s="131"/>
    </row>
    <row r="6200" spans="14:14" x14ac:dyDescent="0.2">
      <c r="N6200" s="131"/>
    </row>
    <row r="6201" spans="14:14" x14ac:dyDescent="0.2">
      <c r="N6201" s="131"/>
    </row>
    <row r="6202" spans="14:14" x14ac:dyDescent="0.2">
      <c r="N6202" s="131"/>
    </row>
    <row r="6203" spans="14:14" x14ac:dyDescent="0.2">
      <c r="N6203" s="131"/>
    </row>
    <row r="6204" spans="14:14" x14ac:dyDescent="0.2">
      <c r="N6204" s="131"/>
    </row>
    <row r="6205" spans="14:14" x14ac:dyDescent="0.2">
      <c r="N6205" s="131"/>
    </row>
    <row r="6206" spans="14:14" x14ac:dyDescent="0.2">
      <c r="N6206" s="131"/>
    </row>
    <row r="6207" spans="14:14" x14ac:dyDescent="0.2">
      <c r="N6207" s="131"/>
    </row>
    <row r="6208" spans="14:14" x14ac:dyDescent="0.2">
      <c r="N6208" s="131"/>
    </row>
    <row r="6209" spans="14:14" x14ac:dyDescent="0.2">
      <c r="N6209" s="131"/>
    </row>
    <row r="6210" spans="14:14" x14ac:dyDescent="0.2">
      <c r="N6210" s="131"/>
    </row>
    <row r="6211" spans="14:14" x14ac:dyDescent="0.2">
      <c r="N6211" s="131"/>
    </row>
    <row r="6212" spans="14:14" x14ac:dyDescent="0.2">
      <c r="N6212" s="131"/>
    </row>
    <row r="6213" spans="14:14" x14ac:dyDescent="0.2">
      <c r="N6213" s="131"/>
    </row>
    <row r="6214" spans="14:14" x14ac:dyDescent="0.2">
      <c r="N6214" s="131"/>
    </row>
    <row r="6215" spans="14:14" x14ac:dyDescent="0.2">
      <c r="N6215" s="131"/>
    </row>
    <row r="6216" spans="14:14" x14ac:dyDescent="0.2">
      <c r="N6216" s="131"/>
    </row>
    <row r="6217" spans="14:14" x14ac:dyDescent="0.2">
      <c r="N6217" s="131"/>
    </row>
    <row r="6218" spans="14:14" x14ac:dyDescent="0.2">
      <c r="N6218" s="131"/>
    </row>
    <row r="6219" spans="14:14" x14ac:dyDescent="0.2">
      <c r="N6219" s="131"/>
    </row>
    <row r="6220" spans="14:14" x14ac:dyDescent="0.2">
      <c r="N6220" s="131"/>
    </row>
    <row r="6221" spans="14:14" x14ac:dyDescent="0.2">
      <c r="N6221" s="131"/>
    </row>
    <row r="6222" spans="14:14" x14ac:dyDescent="0.2">
      <c r="N6222" s="131"/>
    </row>
    <row r="6223" spans="14:14" x14ac:dyDescent="0.2">
      <c r="N6223" s="131"/>
    </row>
    <row r="6224" spans="14:14" x14ac:dyDescent="0.2">
      <c r="N6224" s="131"/>
    </row>
    <row r="6225" spans="14:14" x14ac:dyDescent="0.2">
      <c r="N6225" s="131"/>
    </row>
    <row r="6226" spans="14:14" x14ac:dyDescent="0.2">
      <c r="N6226" s="131"/>
    </row>
    <row r="6227" spans="14:14" x14ac:dyDescent="0.2">
      <c r="N6227" s="131"/>
    </row>
    <row r="6228" spans="14:14" x14ac:dyDescent="0.2">
      <c r="N6228" s="131"/>
    </row>
    <row r="6229" spans="14:14" x14ac:dyDescent="0.2">
      <c r="N6229" s="131"/>
    </row>
    <row r="6230" spans="14:14" x14ac:dyDescent="0.2">
      <c r="N6230" s="131"/>
    </row>
    <row r="6231" spans="14:14" x14ac:dyDescent="0.2">
      <c r="N6231" s="131"/>
    </row>
    <row r="6232" spans="14:14" x14ac:dyDescent="0.2">
      <c r="N6232" s="131"/>
    </row>
    <row r="6233" spans="14:14" x14ac:dyDescent="0.2">
      <c r="N6233" s="131"/>
    </row>
    <row r="6234" spans="14:14" x14ac:dyDescent="0.2">
      <c r="N6234" s="131"/>
    </row>
    <row r="6235" spans="14:14" x14ac:dyDescent="0.2">
      <c r="N6235" s="131"/>
    </row>
    <row r="6236" spans="14:14" x14ac:dyDescent="0.2">
      <c r="N6236" s="131"/>
    </row>
    <row r="6237" spans="14:14" x14ac:dyDescent="0.2">
      <c r="N6237" s="131"/>
    </row>
    <row r="6238" spans="14:14" x14ac:dyDescent="0.2">
      <c r="N6238" s="131"/>
    </row>
    <row r="6239" spans="14:14" x14ac:dyDescent="0.2">
      <c r="N6239" s="131"/>
    </row>
    <row r="6240" spans="14:14" x14ac:dyDescent="0.2">
      <c r="N6240" s="131"/>
    </row>
    <row r="6241" spans="14:14" x14ac:dyDescent="0.2">
      <c r="N6241" s="131"/>
    </row>
    <row r="6242" spans="14:14" x14ac:dyDescent="0.2">
      <c r="N6242" s="131"/>
    </row>
    <row r="6243" spans="14:14" x14ac:dyDescent="0.2">
      <c r="N6243" s="131"/>
    </row>
    <row r="6244" spans="14:14" x14ac:dyDescent="0.2">
      <c r="N6244" s="131"/>
    </row>
    <row r="6245" spans="14:14" x14ac:dyDescent="0.2">
      <c r="N6245" s="131"/>
    </row>
    <row r="6246" spans="14:14" x14ac:dyDescent="0.2">
      <c r="N6246" s="131"/>
    </row>
    <row r="6247" spans="14:14" x14ac:dyDescent="0.2">
      <c r="N6247" s="131"/>
    </row>
    <row r="6248" spans="14:14" x14ac:dyDescent="0.2">
      <c r="N6248" s="131"/>
    </row>
    <row r="6249" spans="14:14" x14ac:dyDescent="0.2">
      <c r="N6249" s="131"/>
    </row>
    <row r="6250" spans="14:14" x14ac:dyDescent="0.2">
      <c r="N6250" s="131"/>
    </row>
    <row r="6251" spans="14:14" x14ac:dyDescent="0.2">
      <c r="N6251" s="131"/>
    </row>
    <row r="6252" spans="14:14" x14ac:dyDescent="0.2">
      <c r="N6252" s="131"/>
    </row>
    <row r="6253" spans="14:14" x14ac:dyDescent="0.2">
      <c r="N6253" s="131"/>
    </row>
    <row r="6254" spans="14:14" x14ac:dyDescent="0.2">
      <c r="N6254" s="131"/>
    </row>
    <row r="6255" spans="14:14" x14ac:dyDescent="0.2">
      <c r="N6255" s="131"/>
    </row>
    <row r="6256" spans="14:14" x14ac:dyDescent="0.2">
      <c r="N6256" s="131"/>
    </row>
    <row r="6257" spans="14:14" x14ac:dyDescent="0.2">
      <c r="N6257" s="131"/>
    </row>
    <row r="6258" spans="14:14" x14ac:dyDescent="0.2">
      <c r="N6258" s="131"/>
    </row>
    <row r="6259" spans="14:14" x14ac:dyDescent="0.2">
      <c r="N6259" s="131"/>
    </row>
    <row r="6260" spans="14:14" x14ac:dyDescent="0.2">
      <c r="N6260" s="131"/>
    </row>
    <row r="6261" spans="14:14" x14ac:dyDescent="0.2">
      <c r="N6261" s="131"/>
    </row>
    <row r="6262" spans="14:14" x14ac:dyDescent="0.2">
      <c r="N6262" s="131"/>
    </row>
    <row r="6263" spans="14:14" x14ac:dyDescent="0.2">
      <c r="N6263" s="131"/>
    </row>
    <row r="6264" spans="14:14" x14ac:dyDescent="0.2">
      <c r="N6264" s="131"/>
    </row>
    <row r="6265" spans="14:14" x14ac:dyDescent="0.2">
      <c r="N6265" s="131"/>
    </row>
    <row r="6266" spans="14:14" x14ac:dyDescent="0.2">
      <c r="N6266" s="131"/>
    </row>
    <row r="6267" spans="14:14" x14ac:dyDescent="0.2">
      <c r="N6267" s="131"/>
    </row>
    <row r="6268" spans="14:14" x14ac:dyDescent="0.2">
      <c r="N6268" s="131"/>
    </row>
    <row r="6269" spans="14:14" x14ac:dyDescent="0.2">
      <c r="N6269" s="131"/>
    </row>
    <row r="6270" spans="14:14" x14ac:dyDescent="0.2">
      <c r="N6270" s="131"/>
    </row>
    <row r="6271" spans="14:14" x14ac:dyDescent="0.2">
      <c r="N6271" s="131"/>
    </row>
    <row r="6272" spans="14:14" x14ac:dyDescent="0.2">
      <c r="N6272" s="131"/>
    </row>
    <row r="6273" spans="14:14" x14ac:dyDescent="0.2">
      <c r="N6273" s="131"/>
    </row>
    <row r="6274" spans="14:14" x14ac:dyDescent="0.2">
      <c r="N6274" s="131"/>
    </row>
    <row r="6275" spans="14:14" x14ac:dyDescent="0.2">
      <c r="N6275" s="131"/>
    </row>
    <row r="6276" spans="14:14" x14ac:dyDescent="0.2">
      <c r="N6276" s="131"/>
    </row>
    <row r="6277" spans="14:14" x14ac:dyDescent="0.2">
      <c r="N6277" s="131"/>
    </row>
    <row r="6278" spans="14:14" x14ac:dyDescent="0.2">
      <c r="N6278" s="131"/>
    </row>
    <row r="6279" spans="14:14" x14ac:dyDescent="0.2">
      <c r="N6279" s="131"/>
    </row>
    <row r="6280" spans="14:14" x14ac:dyDescent="0.2">
      <c r="N6280" s="131"/>
    </row>
    <row r="6281" spans="14:14" x14ac:dyDescent="0.2">
      <c r="N6281" s="131"/>
    </row>
    <row r="6282" spans="14:14" x14ac:dyDescent="0.2">
      <c r="N6282" s="131"/>
    </row>
    <row r="6283" spans="14:14" x14ac:dyDescent="0.2">
      <c r="N6283" s="131"/>
    </row>
    <row r="6284" spans="14:14" x14ac:dyDescent="0.2">
      <c r="N6284" s="131"/>
    </row>
    <row r="6285" spans="14:14" x14ac:dyDescent="0.2">
      <c r="N6285" s="131"/>
    </row>
    <row r="6286" spans="14:14" x14ac:dyDescent="0.2">
      <c r="N6286" s="131"/>
    </row>
    <row r="6287" spans="14:14" x14ac:dyDescent="0.2">
      <c r="N6287" s="131"/>
    </row>
    <row r="6288" spans="14:14" x14ac:dyDescent="0.2">
      <c r="N6288" s="131"/>
    </row>
    <row r="6289" spans="14:14" x14ac:dyDescent="0.2">
      <c r="N6289" s="131"/>
    </row>
    <row r="6290" spans="14:14" x14ac:dyDescent="0.2">
      <c r="N6290" s="131"/>
    </row>
    <row r="6291" spans="14:14" x14ac:dyDescent="0.2">
      <c r="N6291" s="131"/>
    </row>
    <row r="6292" spans="14:14" x14ac:dyDescent="0.2">
      <c r="N6292" s="131"/>
    </row>
    <row r="6293" spans="14:14" x14ac:dyDescent="0.2">
      <c r="N6293" s="131"/>
    </row>
    <row r="6294" spans="14:14" x14ac:dyDescent="0.2">
      <c r="N6294" s="131"/>
    </row>
    <row r="6295" spans="14:14" x14ac:dyDescent="0.2">
      <c r="N6295" s="131"/>
    </row>
    <row r="6296" spans="14:14" x14ac:dyDescent="0.2">
      <c r="N6296" s="131"/>
    </row>
    <row r="6297" spans="14:14" x14ac:dyDescent="0.2">
      <c r="N6297" s="131"/>
    </row>
    <row r="6298" spans="14:14" x14ac:dyDescent="0.2">
      <c r="N6298" s="131"/>
    </row>
    <row r="6299" spans="14:14" x14ac:dyDescent="0.2">
      <c r="N6299" s="131"/>
    </row>
    <row r="6300" spans="14:14" x14ac:dyDescent="0.2">
      <c r="N6300" s="131"/>
    </row>
    <row r="6301" spans="14:14" x14ac:dyDescent="0.2">
      <c r="N6301" s="131"/>
    </row>
    <row r="6302" spans="14:14" x14ac:dyDescent="0.2">
      <c r="N6302" s="131"/>
    </row>
    <row r="6303" spans="14:14" x14ac:dyDescent="0.2">
      <c r="N6303" s="131"/>
    </row>
    <row r="6304" spans="14:14" x14ac:dyDescent="0.2">
      <c r="N6304" s="131"/>
    </row>
    <row r="6305" spans="14:14" x14ac:dyDescent="0.2">
      <c r="N6305" s="131"/>
    </row>
    <row r="6306" spans="14:14" x14ac:dyDescent="0.2">
      <c r="N6306" s="131"/>
    </row>
    <row r="6307" spans="14:14" x14ac:dyDescent="0.2">
      <c r="N6307" s="131"/>
    </row>
    <row r="6308" spans="14:14" x14ac:dyDescent="0.2">
      <c r="N6308" s="131"/>
    </row>
    <row r="6309" spans="14:14" x14ac:dyDescent="0.2">
      <c r="N6309" s="131"/>
    </row>
    <row r="6310" spans="14:14" x14ac:dyDescent="0.2">
      <c r="N6310" s="131"/>
    </row>
    <row r="6311" spans="14:14" x14ac:dyDescent="0.2">
      <c r="N6311" s="131"/>
    </row>
    <row r="6312" spans="14:14" x14ac:dyDescent="0.2">
      <c r="N6312" s="131"/>
    </row>
    <row r="6313" spans="14:14" x14ac:dyDescent="0.2">
      <c r="N6313" s="131"/>
    </row>
    <row r="6314" spans="14:14" x14ac:dyDescent="0.2">
      <c r="N6314" s="131"/>
    </row>
    <row r="6315" spans="14:14" x14ac:dyDescent="0.2">
      <c r="N6315" s="131"/>
    </row>
    <row r="6316" spans="14:14" x14ac:dyDescent="0.2">
      <c r="N6316" s="131"/>
    </row>
    <row r="6317" spans="14:14" x14ac:dyDescent="0.2">
      <c r="N6317" s="131"/>
    </row>
    <row r="6318" spans="14:14" x14ac:dyDescent="0.2">
      <c r="N6318" s="131"/>
    </row>
    <row r="6319" spans="14:14" x14ac:dyDescent="0.2">
      <c r="N6319" s="131"/>
    </row>
    <row r="6320" spans="14:14" x14ac:dyDescent="0.2">
      <c r="N6320" s="131"/>
    </row>
    <row r="6321" spans="14:14" x14ac:dyDescent="0.2">
      <c r="N6321" s="131"/>
    </row>
    <row r="6322" spans="14:14" x14ac:dyDescent="0.2">
      <c r="N6322" s="131"/>
    </row>
    <row r="6323" spans="14:14" x14ac:dyDescent="0.2">
      <c r="N6323" s="131"/>
    </row>
    <row r="6324" spans="14:14" x14ac:dyDescent="0.2">
      <c r="N6324" s="131"/>
    </row>
    <row r="6325" spans="14:14" x14ac:dyDescent="0.2">
      <c r="N6325" s="131"/>
    </row>
    <row r="6326" spans="14:14" x14ac:dyDescent="0.2">
      <c r="N6326" s="131"/>
    </row>
    <row r="6327" spans="14:14" x14ac:dyDescent="0.2">
      <c r="N6327" s="131"/>
    </row>
    <row r="6328" spans="14:14" x14ac:dyDescent="0.2">
      <c r="N6328" s="131"/>
    </row>
    <row r="6329" spans="14:14" x14ac:dyDescent="0.2">
      <c r="N6329" s="131"/>
    </row>
    <row r="6330" spans="14:14" x14ac:dyDescent="0.2">
      <c r="N6330" s="131"/>
    </row>
    <row r="6331" spans="14:14" x14ac:dyDescent="0.2">
      <c r="N6331" s="131"/>
    </row>
    <row r="6332" spans="14:14" x14ac:dyDescent="0.2">
      <c r="N6332" s="131"/>
    </row>
    <row r="6333" spans="14:14" x14ac:dyDescent="0.2">
      <c r="N6333" s="131"/>
    </row>
    <row r="6334" spans="14:14" x14ac:dyDescent="0.2">
      <c r="N6334" s="131"/>
    </row>
    <row r="6335" spans="14:14" x14ac:dyDescent="0.2">
      <c r="N6335" s="131"/>
    </row>
    <row r="6336" spans="14:14" x14ac:dyDescent="0.2">
      <c r="N6336" s="131"/>
    </row>
    <row r="6337" spans="14:14" x14ac:dyDescent="0.2">
      <c r="N6337" s="131"/>
    </row>
    <row r="6338" spans="14:14" x14ac:dyDescent="0.2">
      <c r="N6338" s="131"/>
    </row>
    <row r="6339" spans="14:14" x14ac:dyDescent="0.2">
      <c r="N6339" s="131"/>
    </row>
    <row r="6340" spans="14:14" x14ac:dyDescent="0.2">
      <c r="N6340" s="131"/>
    </row>
    <row r="6341" spans="14:14" x14ac:dyDescent="0.2">
      <c r="N6341" s="131"/>
    </row>
    <row r="6342" spans="14:14" x14ac:dyDescent="0.2">
      <c r="N6342" s="131"/>
    </row>
    <row r="6343" spans="14:14" x14ac:dyDescent="0.2">
      <c r="N6343" s="131"/>
    </row>
    <row r="6344" spans="14:14" x14ac:dyDescent="0.2">
      <c r="N6344" s="131"/>
    </row>
    <row r="6345" spans="14:14" x14ac:dyDescent="0.2">
      <c r="N6345" s="131"/>
    </row>
    <row r="6346" spans="14:14" x14ac:dyDescent="0.2">
      <c r="N6346" s="131"/>
    </row>
    <row r="6347" spans="14:14" x14ac:dyDescent="0.2">
      <c r="N6347" s="131"/>
    </row>
    <row r="6348" spans="14:14" x14ac:dyDescent="0.2">
      <c r="N6348" s="131"/>
    </row>
    <row r="6349" spans="14:14" x14ac:dyDescent="0.2">
      <c r="N6349" s="131"/>
    </row>
    <row r="6350" spans="14:14" x14ac:dyDescent="0.2">
      <c r="N6350" s="131"/>
    </row>
    <row r="6351" spans="14:14" x14ac:dyDescent="0.2">
      <c r="N6351" s="131"/>
    </row>
    <row r="6352" spans="14:14" x14ac:dyDescent="0.2">
      <c r="N6352" s="131"/>
    </row>
    <row r="6353" spans="14:14" x14ac:dyDescent="0.2">
      <c r="N6353" s="131"/>
    </row>
    <row r="6354" spans="14:14" x14ac:dyDescent="0.2">
      <c r="N6354" s="131"/>
    </row>
    <row r="6355" spans="14:14" x14ac:dyDescent="0.2">
      <c r="N6355" s="131"/>
    </row>
    <row r="6356" spans="14:14" x14ac:dyDescent="0.2">
      <c r="N6356" s="131"/>
    </row>
    <row r="6357" spans="14:14" x14ac:dyDescent="0.2">
      <c r="N6357" s="131"/>
    </row>
    <row r="6358" spans="14:14" x14ac:dyDescent="0.2">
      <c r="N6358" s="131"/>
    </row>
    <row r="6359" spans="14:14" x14ac:dyDescent="0.2">
      <c r="N6359" s="131"/>
    </row>
    <row r="6360" spans="14:14" x14ac:dyDescent="0.2">
      <c r="N6360" s="131"/>
    </row>
    <row r="6361" spans="14:14" x14ac:dyDescent="0.2">
      <c r="N6361" s="131"/>
    </row>
    <row r="6362" spans="14:14" x14ac:dyDescent="0.2">
      <c r="N6362" s="131"/>
    </row>
    <row r="6363" spans="14:14" x14ac:dyDescent="0.2">
      <c r="N6363" s="131"/>
    </row>
    <row r="6364" spans="14:14" x14ac:dyDescent="0.2">
      <c r="N6364" s="131"/>
    </row>
    <row r="6365" spans="14:14" x14ac:dyDescent="0.2">
      <c r="N6365" s="131"/>
    </row>
    <row r="6366" spans="14:14" x14ac:dyDescent="0.2">
      <c r="N6366" s="131"/>
    </row>
    <row r="6367" spans="14:14" x14ac:dyDescent="0.2">
      <c r="N6367" s="131"/>
    </row>
    <row r="6368" spans="14:14" x14ac:dyDescent="0.2">
      <c r="N6368" s="131"/>
    </row>
    <row r="6369" spans="14:14" x14ac:dyDescent="0.2">
      <c r="N6369" s="131"/>
    </row>
    <row r="6370" spans="14:14" x14ac:dyDescent="0.2">
      <c r="N6370" s="131"/>
    </row>
    <row r="6371" spans="14:14" x14ac:dyDescent="0.2">
      <c r="N6371" s="131"/>
    </row>
    <row r="6372" spans="14:14" x14ac:dyDescent="0.2">
      <c r="N6372" s="131"/>
    </row>
    <row r="6373" spans="14:14" x14ac:dyDescent="0.2">
      <c r="N6373" s="131"/>
    </row>
    <row r="6374" spans="14:14" x14ac:dyDescent="0.2">
      <c r="N6374" s="131"/>
    </row>
    <row r="6375" spans="14:14" x14ac:dyDescent="0.2">
      <c r="N6375" s="131"/>
    </row>
    <row r="6376" spans="14:14" x14ac:dyDescent="0.2">
      <c r="N6376" s="131"/>
    </row>
    <row r="6377" spans="14:14" x14ac:dyDescent="0.2">
      <c r="N6377" s="131"/>
    </row>
    <row r="6378" spans="14:14" x14ac:dyDescent="0.2">
      <c r="N6378" s="131"/>
    </row>
    <row r="6379" spans="14:14" x14ac:dyDescent="0.2">
      <c r="N6379" s="131"/>
    </row>
    <row r="6380" spans="14:14" x14ac:dyDescent="0.2">
      <c r="N6380" s="131"/>
    </row>
    <row r="6381" spans="14:14" x14ac:dyDescent="0.2">
      <c r="N6381" s="131"/>
    </row>
    <row r="6382" spans="14:14" x14ac:dyDescent="0.2">
      <c r="N6382" s="131"/>
    </row>
    <row r="6383" spans="14:14" x14ac:dyDescent="0.2">
      <c r="N6383" s="131"/>
    </row>
    <row r="6384" spans="14:14" x14ac:dyDescent="0.2">
      <c r="N6384" s="131"/>
    </row>
    <row r="6385" spans="14:14" x14ac:dyDescent="0.2">
      <c r="N6385" s="131"/>
    </row>
    <row r="6386" spans="14:14" x14ac:dyDescent="0.2">
      <c r="N6386" s="131"/>
    </row>
    <row r="6387" spans="14:14" x14ac:dyDescent="0.2">
      <c r="N6387" s="131"/>
    </row>
    <row r="6388" spans="14:14" x14ac:dyDescent="0.2">
      <c r="N6388" s="131"/>
    </row>
    <row r="6389" spans="14:14" x14ac:dyDescent="0.2">
      <c r="N6389" s="131"/>
    </row>
    <row r="6390" spans="14:14" x14ac:dyDescent="0.2">
      <c r="N6390" s="131"/>
    </row>
    <row r="6391" spans="14:14" x14ac:dyDescent="0.2">
      <c r="N6391" s="131"/>
    </row>
    <row r="6392" spans="14:14" x14ac:dyDescent="0.2">
      <c r="N6392" s="131"/>
    </row>
    <row r="6393" spans="14:14" x14ac:dyDescent="0.2">
      <c r="N6393" s="131"/>
    </row>
    <row r="6394" spans="14:14" x14ac:dyDescent="0.2">
      <c r="N6394" s="131"/>
    </row>
    <row r="6395" spans="14:14" x14ac:dyDescent="0.2">
      <c r="N6395" s="131"/>
    </row>
    <row r="6396" spans="14:14" x14ac:dyDescent="0.2">
      <c r="N6396" s="131"/>
    </row>
    <row r="6397" spans="14:14" x14ac:dyDescent="0.2">
      <c r="N6397" s="131"/>
    </row>
    <row r="6398" spans="14:14" x14ac:dyDescent="0.2">
      <c r="N6398" s="131"/>
    </row>
    <row r="6399" spans="14:14" x14ac:dyDescent="0.2">
      <c r="N6399" s="131"/>
    </row>
    <row r="6400" spans="14:14" x14ac:dyDescent="0.2">
      <c r="N6400" s="131"/>
    </row>
    <row r="6401" spans="14:14" x14ac:dyDescent="0.2">
      <c r="N6401" s="131"/>
    </row>
    <row r="6402" spans="14:14" x14ac:dyDescent="0.2">
      <c r="N6402" s="131"/>
    </row>
    <row r="6403" spans="14:14" x14ac:dyDescent="0.2">
      <c r="N6403" s="131"/>
    </row>
    <row r="6404" spans="14:14" x14ac:dyDescent="0.2">
      <c r="N6404" s="131"/>
    </row>
    <row r="6405" spans="14:14" x14ac:dyDescent="0.2">
      <c r="N6405" s="131"/>
    </row>
    <row r="6406" spans="14:14" x14ac:dyDescent="0.2">
      <c r="N6406" s="131"/>
    </row>
    <row r="6407" spans="14:14" x14ac:dyDescent="0.2">
      <c r="N6407" s="131"/>
    </row>
    <row r="6408" spans="14:14" x14ac:dyDescent="0.2">
      <c r="N6408" s="131"/>
    </row>
    <row r="6409" spans="14:14" x14ac:dyDescent="0.2">
      <c r="N6409" s="131"/>
    </row>
    <row r="6410" spans="14:14" x14ac:dyDescent="0.2">
      <c r="N6410" s="131"/>
    </row>
    <row r="6411" spans="14:14" x14ac:dyDescent="0.2">
      <c r="N6411" s="131"/>
    </row>
    <row r="6412" spans="14:14" x14ac:dyDescent="0.2">
      <c r="N6412" s="131"/>
    </row>
    <row r="6413" spans="14:14" x14ac:dyDescent="0.2">
      <c r="N6413" s="131"/>
    </row>
    <row r="6414" spans="14:14" x14ac:dyDescent="0.2">
      <c r="N6414" s="131"/>
    </row>
    <row r="6415" spans="14:14" x14ac:dyDescent="0.2">
      <c r="N6415" s="131"/>
    </row>
    <row r="6416" spans="14:14" x14ac:dyDescent="0.2">
      <c r="N6416" s="131"/>
    </row>
    <row r="6417" spans="14:14" x14ac:dyDescent="0.2">
      <c r="N6417" s="131"/>
    </row>
    <row r="6418" spans="14:14" x14ac:dyDescent="0.2">
      <c r="N6418" s="131"/>
    </row>
    <row r="6419" spans="14:14" x14ac:dyDescent="0.2">
      <c r="N6419" s="131"/>
    </row>
    <row r="6420" spans="14:14" x14ac:dyDescent="0.2">
      <c r="N6420" s="131"/>
    </row>
    <row r="6421" spans="14:14" x14ac:dyDescent="0.2">
      <c r="N6421" s="131"/>
    </row>
    <row r="6422" spans="14:14" x14ac:dyDescent="0.2">
      <c r="N6422" s="131"/>
    </row>
    <row r="6423" spans="14:14" x14ac:dyDescent="0.2">
      <c r="N6423" s="131"/>
    </row>
    <row r="6424" spans="14:14" x14ac:dyDescent="0.2">
      <c r="N6424" s="131"/>
    </row>
    <row r="6425" spans="14:14" x14ac:dyDescent="0.2">
      <c r="N6425" s="131"/>
    </row>
    <row r="6426" spans="14:14" x14ac:dyDescent="0.2">
      <c r="N6426" s="131"/>
    </row>
    <row r="6427" spans="14:14" x14ac:dyDescent="0.2">
      <c r="N6427" s="131"/>
    </row>
    <row r="6428" spans="14:14" x14ac:dyDescent="0.2">
      <c r="N6428" s="131"/>
    </row>
    <row r="6429" spans="14:14" x14ac:dyDescent="0.2">
      <c r="N6429" s="131"/>
    </row>
    <row r="6430" spans="14:14" x14ac:dyDescent="0.2">
      <c r="N6430" s="131"/>
    </row>
    <row r="6431" spans="14:14" x14ac:dyDescent="0.2">
      <c r="N6431" s="131"/>
    </row>
    <row r="6432" spans="14:14" x14ac:dyDescent="0.2">
      <c r="N6432" s="131"/>
    </row>
    <row r="6433" spans="14:14" x14ac:dyDescent="0.2">
      <c r="N6433" s="131"/>
    </row>
    <row r="6434" spans="14:14" x14ac:dyDescent="0.2">
      <c r="N6434" s="131"/>
    </row>
    <row r="6435" spans="14:14" x14ac:dyDescent="0.2">
      <c r="N6435" s="131"/>
    </row>
    <row r="6436" spans="14:14" x14ac:dyDescent="0.2">
      <c r="N6436" s="131"/>
    </row>
    <row r="6437" spans="14:14" x14ac:dyDescent="0.2">
      <c r="N6437" s="131"/>
    </row>
    <row r="6438" spans="14:14" x14ac:dyDescent="0.2">
      <c r="N6438" s="131"/>
    </row>
    <row r="6439" spans="14:14" x14ac:dyDescent="0.2">
      <c r="N6439" s="131"/>
    </row>
    <row r="6440" spans="14:14" x14ac:dyDescent="0.2">
      <c r="N6440" s="131"/>
    </row>
    <row r="6441" spans="14:14" x14ac:dyDescent="0.2">
      <c r="N6441" s="131"/>
    </row>
    <row r="6442" spans="14:14" x14ac:dyDescent="0.2">
      <c r="N6442" s="131"/>
    </row>
    <row r="6443" spans="14:14" x14ac:dyDescent="0.2">
      <c r="N6443" s="131"/>
    </row>
    <row r="6444" spans="14:14" x14ac:dyDescent="0.2">
      <c r="N6444" s="131"/>
    </row>
    <row r="6445" spans="14:14" x14ac:dyDescent="0.2">
      <c r="N6445" s="131"/>
    </row>
    <row r="6446" spans="14:14" x14ac:dyDescent="0.2">
      <c r="N6446" s="131"/>
    </row>
    <row r="6447" spans="14:14" x14ac:dyDescent="0.2">
      <c r="N6447" s="131"/>
    </row>
    <row r="6448" spans="14:14" x14ac:dyDescent="0.2">
      <c r="N6448" s="131"/>
    </row>
    <row r="6449" spans="14:14" x14ac:dyDescent="0.2">
      <c r="N6449" s="131"/>
    </row>
    <row r="6450" spans="14:14" x14ac:dyDescent="0.2">
      <c r="N6450" s="131"/>
    </row>
    <row r="6451" spans="14:14" x14ac:dyDescent="0.2">
      <c r="N6451" s="131"/>
    </row>
    <row r="6452" spans="14:14" x14ac:dyDescent="0.2">
      <c r="N6452" s="131"/>
    </row>
    <row r="6453" spans="14:14" x14ac:dyDescent="0.2">
      <c r="N6453" s="131"/>
    </row>
    <row r="6454" spans="14:14" x14ac:dyDescent="0.2">
      <c r="N6454" s="131"/>
    </row>
    <row r="6455" spans="14:14" x14ac:dyDescent="0.2">
      <c r="N6455" s="131"/>
    </row>
    <row r="6456" spans="14:14" x14ac:dyDescent="0.2">
      <c r="N6456" s="131"/>
    </row>
    <row r="6457" spans="14:14" x14ac:dyDescent="0.2">
      <c r="N6457" s="131"/>
    </row>
    <row r="6458" spans="14:14" x14ac:dyDescent="0.2">
      <c r="N6458" s="131"/>
    </row>
    <row r="6459" spans="14:14" x14ac:dyDescent="0.2">
      <c r="N6459" s="131"/>
    </row>
    <row r="6460" spans="14:14" x14ac:dyDescent="0.2">
      <c r="N6460" s="131"/>
    </row>
    <row r="6461" spans="14:14" x14ac:dyDescent="0.2">
      <c r="N6461" s="131"/>
    </row>
    <row r="6462" spans="14:14" x14ac:dyDescent="0.2">
      <c r="N6462" s="131"/>
    </row>
    <row r="6463" spans="14:14" x14ac:dyDescent="0.2">
      <c r="N6463" s="131"/>
    </row>
    <row r="6464" spans="14:14" x14ac:dyDescent="0.2">
      <c r="N6464" s="131"/>
    </row>
    <row r="6465" spans="14:14" x14ac:dyDescent="0.2">
      <c r="N6465" s="131"/>
    </row>
    <row r="6466" spans="14:14" x14ac:dyDescent="0.2">
      <c r="N6466" s="131"/>
    </row>
    <row r="6467" spans="14:14" x14ac:dyDescent="0.2">
      <c r="N6467" s="131"/>
    </row>
    <row r="6468" spans="14:14" x14ac:dyDescent="0.2">
      <c r="N6468" s="131"/>
    </row>
    <row r="6469" spans="14:14" x14ac:dyDescent="0.2">
      <c r="N6469" s="131"/>
    </row>
    <row r="6470" spans="14:14" x14ac:dyDescent="0.2">
      <c r="N6470" s="131"/>
    </row>
    <row r="6471" spans="14:14" x14ac:dyDescent="0.2">
      <c r="N6471" s="131"/>
    </row>
    <row r="6472" spans="14:14" x14ac:dyDescent="0.2">
      <c r="N6472" s="131"/>
    </row>
    <row r="6473" spans="14:14" x14ac:dyDescent="0.2">
      <c r="N6473" s="131"/>
    </row>
    <row r="6474" spans="14:14" x14ac:dyDescent="0.2">
      <c r="N6474" s="131"/>
    </row>
    <row r="6475" spans="14:14" x14ac:dyDescent="0.2">
      <c r="N6475" s="131"/>
    </row>
    <row r="6476" spans="14:14" x14ac:dyDescent="0.2">
      <c r="N6476" s="131"/>
    </row>
    <row r="6477" spans="14:14" x14ac:dyDescent="0.2">
      <c r="N6477" s="131"/>
    </row>
    <row r="6478" spans="14:14" x14ac:dyDescent="0.2">
      <c r="N6478" s="131"/>
    </row>
    <row r="6479" spans="14:14" x14ac:dyDescent="0.2">
      <c r="N6479" s="131"/>
    </row>
    <row r="6480" spans="14:14" x14ac:dyDescent="0.2">
      <c r="N6480" s="131"/>
    </row>
    <row r="6481" spans="14:14" x14ac:dyDescent="0.2">
      <c r="N6481" s="131"/>
    </row>
    <row r="6482" spans="14:14" x14ac:dyDescent="0.2">
      <c r="N6482" s="131"/>
    </row>
    <row r="6483" spans="14:14" x14ac:dyDescent="0.2">
      <c r="N6483" s="131"/>
    </row>
    <row r="6484" spans="14:14" x14ac:dyDescent="0.2">
      <c r="N6484" s="131"/>
    </row>
    <row r="6485" spans="14:14" x14ac:dyDescent="0.2">
      <c r="N6485" s="131"/>
    </row>
    <row r="6486" spans="14:14" x14ac:dyDescent="0.2">
      <c r="N6486" s="131"/>
    </row>
    <row r="6487" spans="14:14" x14ac:dyDescent="0.2">
      <c r="N6487" s="131"/>
    </row>
    <row r="6488" spans="14:14" x14ac:dyDescent="0.2">
      <c r="N6488" s="131"/>
    </row>
    <row r="6489" spans="14:14" x14ac:dyDescent="0.2">
      <c r="N6489" s="131"/>
    </row>
    <row r="6490" spans="14:14" x14ac:dyDescent="0.2">
      <c r="N6490" s="131"/>
    </row>
    <row r="6491" spans="14:14" x14ac:dyDescent="0.2">
      <c r="N6491" s="131"/>
    </row>
    <row r="6492" spans="14:14" x14ac:dyDescent="0.2">
      <c r="N6492" s="131"/>
    </row>
    <row r="6493" spans="14:14" x14ac:dyDescent="0.2">
      <c r="N6493" s="131"/>
    </row>
    <row r="6494" spans="14:14" x14ac:dyDescent="0.2">
      <c r="N6494" s="131"/>
    </row>
    <row r="6495" spans="14:14" x14ac:dyDescent="0.2">
      <c r="N6495" s="131"/>
    </row>
    <row r="6496" spans="14:14" x14ac:dyDescent="0.2">
      <c r="N6496" s="131"/>
    </row>
    <row r="6497" spans="14:14" x14ac:dyDescent="0.2">
      <c r="N6497" s="131"/>
    </row>
    <row r="6498" spans="14:14" x14ac:dyDescent="0.2">
      <c r="N6498" s="131"/>
    </row>
    <row r="6499" spans="14:14" x14ac:dyDescent="0.2">
      <c r="N6499" s="131"/>
    </row>
    <row r="6500" spans="14:14" x14ac:dyDescent="0.2">
      <c r="N6500" s="131"/>
    </row>
    <row r="6501" spans="14:14" x14ac:dyDescent="0.2">
      <c r="N6501" s="131"/>
    </row>
    <row r="6502" spans="14:14" x14ac:dyDescent="0.2">
      <c r="N6502" s="131"/>
    </row>
    <row r="6503" spans="14:14" x14ac:dyDescent="0.2">
      <c r="N6503" s="131"/>
    </row>
    <row r="6504" spans="14:14" x14ac:dyDescent="0.2">
      <c r="N6504" s="131"/>
    </row>
    <row r="6505" spans="14:14" x14ac:dyDescent="0.2">
      <c r="N6505" s="131"/>
    </row>
    <row r="6506" spans="14:14" x14ac:dyDescent="0.2">
      <c r="N6506" s="131"/>
    </row>
    <row r="6507" spans="14:14" x14ac:dyDescent="0.2">
      <c r="N6507" s="131"/>
    </row>
    <row r="6508" spans="14:14" x14ac:dyDescent="0.2">
      <c r="N6508" s="131"/>
    </row>
    <row r="6509" spans="14:14" x14ac:dyDescent="0.2">
      <c r="N6509" s="131"/>
    </row>
    <row r="6510" spans="14:14" x14ac:dyDescent="0.2">
      <c r="N6510" s="131"/>
    </row>
    <row r="6511" spans="14:14" x14ac:dyDescent="0.2">
      <c r="N6511" s="131"/>
    </row>
    <row r="6512" spans="14:14" x14ac:dyDescent="0.2">
      <c r="N6512" s="131"/>
    </row>
    <row r="6513" spans="14:14" x14ac:dyDescent="0.2">
      <c r="N6513" s="131"/>
    </row>
    <row r="6514" spans="14:14" x14ac:dyDescent="0.2">
      <c r="N6514" s="131"/>
    </row>
    <row r="6515" spans="14:14" x14ac:dyDescent="0.2">
      <c r="N6515" s="131"/>
    </row>
    <row r="6516" spans="14:14" x14ac:dyDescent="0.2">
      <c r="N6516" s="131"/>
    </row>
    <row r="6517" spans="14:14" x14ac:dyDescent="0.2">
      <c r="N6517" s="131"/>
    </row>
    <row r="6518" spans="14:14" x14ac:dyDescent="0.2">
      <c r="N6518" s="131"/>
    </row>
    <row r="6519" spans="14:14" x14ac:dyDescent="0.2">
      <c r="N6519" s="131"/>
    </row>
    <row r="6520" spans="14:14" x14ac:dyDescent="0.2">
      <c r="N6520" s="131"/>
    </row>
    <row r="6521" spans="14:14" x14ac:dyDescent="0.2">
      <c r="N6521" s="131"/>
    </row>
    <row r="6522" spans="14:14" x14ac:dyDescent="0.2">
      <c r="N6522" s="131"/>
    </row>
    <row r="6523" spans="14:14" x14ac:dyDescent="0.2">
      <c r="N6523" s="131"/>
    </row>
    <row r="6524" spans="14:14" x14ac:dyDescent="0.2">
      <c r="N6524" s="131"/>
    </row>
    <row r="6525" spans="14:14" x14ac:dyDescent="0.2">
      <c r="N6525" s="131"/>
    </row>
    <row r="6526" spans="14:14" x14ac:dyDescent="0.2">
      <c r="N6526" s="131"/>
    </row>
    <row r="6527" spans="14:14" x14ac:dyDescent="0.2">
      <c r="N6527" s="131"/>
    </row>
    <row r="6528" spans="14:14" x14ac:dyDescent="0.2">
      <c r="N6528" s="131"/>
    </row>
    <row r="6529" spans="14:14" x14ac:dyDescent="0.2">
      <c r="N6529" s="131"/>
    </row>
    <row r="6530" spans="14:14" x14ac:dyDescent="0.2">
      <c r="N6530" s="131"/>
    </row>
    <row r="6531" spans="14:14" x14ac:dyDescent="0.2">
      <c r="N6531" s="131"/>
    </row>
    <row r="6532" spans="14:14" x14ac:dyDescent="0.2">
      <c r="N6532" s="131"/>
    </row>
    <row r="6533" spans="14:14" x14ac:dyDescent="0.2">
      <c r="N6533" s="131"/>
    </row>
    <row r="6534" spans="14:14" x14ac:dyDescent="0.2">
      <c r="N6534" s="131"/>
    </row>
    <row r="6535" spans="14:14" x14ac:dyDescent="0.2">
      <c r="N6535" s="131"/>
    </row>
    <row r="6536" spans="14:14" x14ac:dyDescent="0.2">
      <c r="N6536" s="131"/>
    </row>
    <row r="6537" spans="14:14" x14ac:dyDescent="0.2">
      <c r="N6537" s="131"/>
    </row>
    <row r="6538" spans="14:14" x14ac:dyDescent="0.2">
      <c r="N6538" s="131"/>
    </row>
    <row r="6539" spans="14:14" x14ac:dyDescent="0.2">
      <c r="N6539" s="131"/>
    </row>
    <row r="6540" spans="14:14" x14ac:dyDescent="0.2">
      <c r="N6540" s="131"/>
    </row>
    <row r="6541" spans="14:14" x14ac:dyDescent="0.2">
      <c r="N6541" s="131"/>
    </row>
    <row r="6542" spans="14:14" x14ac:dyDescent="0.2">
      <c r="N6542" s="131"/>
    </row>
    <row r="6543" spans="14:14" x14ac:dyDescent="0.2">
      <c r="N6543" s="131"/>
    </row>
    <row r="6544" spans="14:14" x14ac:dyDescent="0.2">
      <c r="N6544" s="131"/>
    </row>
    <row r="6545" spans="14:14" x14ac:dyDescent="0.2">
      <c r="N6545" s="131"/>
    </row>
    <row r="6546" spans="14:14" x14ac:dyDescent="0.2">
      <c r="N6546" s="131"/>
    </row>
    <row r="6547" spans="14:14" x14ac:dyDescent="0.2">
      <c r="N6547" s="131"/>
    </row>
    <row r="6548" spans="14:14" x14ac:dyDescent="0.2">
      <c r="N6548" s="131"/>
    </row>
    <row r="6549" spans="14:14" x14ac:dyDescent="0.2">
      <c r="N6549" s="131"/>
    </row>
    <row r="6550" spans="14:14" x14ac:dyDescent="0.2">
      <c r="N6550" s="131"/>
    </row>
    <row r="6551" spans="14:14" x14ac:dyDescent="0.2">
      <c r="N6551" s="131"/>
    </row>
    <row r="6552" spans="14:14" x14ac:dyDescent="0.2">
      <c r="N6552" s="131"/>
    </row>
    <row r="6553" spans="14:14" x14ac:dyDescent="0.2">
      <c r="N6553" s="131"/>
    </row>
    <row r="6554" spans="14:14" x14ac:dyDescent="0.2">
      <c r="N6554" s="131"/>
    </row>
    <row r="6555" spans="14:14" x14ac:dyDescent="0.2">
      <c r="N6555" s="131"/>
    </row>
    <row r="6556" spans="14:14" x14ac:dyDescent="0.2">
      <c r="N6556" s="131"/>
    </row>
    <row r="6557" spans="14:14" x14ac:dyDescent="0.2">
      <c r="N6557" s="131"/>
    </row>
    <row r="6558" spans="14:14" x14ac:dyDescent="0.2">
      <c r="N6558" s="131"/>
    </row>
    <row r="6559" spans="14:14" x14ac:dyDescent="0.2">
      <c r="N6559" s="131"/>
    </row>
    <row r="6560" spans="14:14" x14ac:dyDescent="0.2">
      <c r="N6560" s="131"/>
    </row>
    <row r="6561" spans="14:14" x14ac:dyDescent="0.2">
      <c r="N6561" s="131"/>
    </row>
    <row r="6562" spans="14:14" x14ac:dyDescent="0.2">
      <c r="N6562" s="131"/>
    </row>
    <row r="6563" spans="14:14" x14ac:dyDescent="0.2">
      <c r="N6563" s="131"/>
    </row>
    <row r="6564" spans="14:14" x14ac:dyDescent="0.2">
      <c r="N6564" s="131"/>
    </row>
    <row r="6565" spans="14:14" x14ac:dyDescent="0.2">
      <c r="N6565" s="131"/>
    </row>
    <row r="6566" spans="14:14" x14ac:dyDescent="0.2">
      <c r="N6566" s="131"/>
    </row>
    <row r="6567" spans="14:14" x14ac:dyDescent="0.2">
      <c r="N6567" s="131"/>
    </row>
    <row r="6568" spans="14:14" x14ac:dyDescent="0.2">
      <c r="N6568" s="131"/>
    </row>
    <row r="6569" spans="14:14" x14ac:dyDescent="0.2">
      <c r="N6569" s="131"/>
    </row>
    <row r="6570" spans="14:14" x14ac:dyDescent="0.2">
      <c r="N6570" s="131"/>
    </row>
    <row r="6571" spans="14:14" x14ac:dyDescent="0.2">
      <c r="N6571" s="131"/>
    </row>
    <row r="6572" spans="14:14" x14ac:dyDescent="0.2">
      <c r="N6572" s="131"/>
    </row>
    <row r="6573" spans="14:14" x14ac:dyDescent="0.2">
      <c r="N6573" s="131"/>
    </row>
    <row r="6574" spans="14:14" x14ac:dyDescent="0.2">
      <c r="N6574" s="131"/>
    </row>
    <row r="6575" spans="14:14" x14ac:dyDescent="0.2">
      <c r="N6575" s="131"/>
    </row>
    <row r="6576" spans="14:14" x14ac:dyDescent="0.2">
      <c r="N6576" s="131"/>
    </row>
    <row r="6577" spans="14:14" x14ac:dyDescent="0.2">
      <c r="N6577" s="131"/>
    </row>
    <row r="6578" spans="14:14" x14ac:dyDescent="0.2">
      <c r="N6578" s="131"/>
    </row>
    <row r="6579" spans="14:14" x14ac:dyDescent="0.2">
      <c r="N6579" s="131"/>
    </row>
    <row r="6580" spans="14:14" x14ac:dyDescent="0.2">
      <c r="N6580" s="131"/>
    </row>
    <row r="6581" spans="14:14" x14ac:dyDescent="0.2">
      <c r="N6581" s="131"/>
    </row>
    <row r="6582" spans="14:14" x14ac:dyDescent="0.2">
      <c r="N6582" s="131"/>
    </row>
    <row r="6583" spans="14:14" x14ac:dyDescent="0.2">
      <c r="N6583" s="131"/>
    </row>
    <row r="6584" spans="14:14" x14ac:dyDescent="0.2">
      <c r="N6584" s="131"/>
    </row>
    <row r="6585" spans="14:14" x14ac:dyDescent="0.2">
      <c r="N6585" s="131"/>
    </row>
    <row r="6586" spans="14:14" x14ac:dyDescent="0.2">
      <c r="N6586" s="131"/>
    </row>
    <row r="6587" spans="14:14" x14ac:dyDescent="0.2">
      <c r="N6587" s="131"/>
    </row>
    <row r="6588" spans="14:14" x14ac:dyDescent="0.2">
      <c r="N6588" s="131"/>
    </row>
    <row r="6589" spans="14:14" x14ac:dyDescent="0.2">
      <c r="N6589" s="131"/>
    </row>
    <row r="6590" spans="14:14" x14ac:dyDescent="0.2">
      <c r="N6590" s="131"/>
    </row>
    <row r="6591" spans="14:14" x14ac:dyDescent="0.2">
      <c r="N6591" s="131"/>
    </row>
    <row r="6592" spans="14:14" x14ac:dyDescent="0.2">
      <c r="N6592" s="131"/>
    </row>
    <row r="6593" spans="14:14" x14ac:dyDescent="0.2">
      <c r="N6593" s="131"/>
    </row>
    <row r="6594" spans="14:14" x14ac:dyDescent="0.2">
      <c r="N6594" s="131"/>
    </row>
    <row r="6595" spans="14:14" x14ac:dyDescent="0.2">
      <c r="N6595" s="131"/>
    </row>
    <row r="6596" spans="14:14" x14ac:dyDescent="0.2">
      <c r="N6596" s="131"/>
    </row>
    <row r="6597" spans="14:14" x14ac:dyDescent="0.2">
      <c r="N6597" s="131"/>
    </row>
    <row r="6598" spans="14:14" x14ac:dyDescent="0.2">
      <c r="N6598" s="131"/>
    </row>
    <row r="6599" spans="14:14" x14ac:dyDescent="0.2">
      <c r="N6599" s="131"/>
    </row>
    <row r="6600" spans="14:14" x14ac:dyDescent="0.2">
      <c r="N6600" s="131"/>
    </row>
    <row r="6601" spans="14:14" x14ac:dyDescent="0.2">
      <c r="N6601" s="131"/>
    </row>
    <row r="6602" spans="14:14" x14ac:dyDescent="0.2">
      <c r="N6602" s="131"/>
    </row>
    <row r="6603" spans="14:14" x14ac:dyDescent="0.2">
      <c r="N6603" s="131"/>
    </row>
    <row r="6604" spans="14:14" x14ac:dyDescent="0.2">
      <c r="N6604" s="131"/>
    </row>
    <row r="6605" spans="14:14" x14ac:dyDescent="0.2">
      <c r="N6605" s="131"/>
    </row>
    <row r="6606" spans="14:14" x14ac:dyDescent="0.2">
      <c r="N6606" s="131"/>
    </row>
    <row r="6607" spans="14:14" x14ac:dyDescent="0.2">
      <c r="N6607" s="131"/>
    </row>
    <row r="6608" spans="14:14" x14ac:dyDescent="0.2">
      <c r="N6608" s="131"/>
    </row>
    <row r="6609" spans="14:14" x14ac:dyDescent="0.2">
      <c r="N6609" s="131"/>
    </row>
    <row r="6610" spans="14:14" x14ac:dyDescent="0.2">
      <c r="N6610" s="131"/>
    </row>
    <row r="6611" spans="14:14" x14ac:dyDescent="0.2">
      <c r="N6611" s="131"/>
    </row>
    <row r="6612" spans="14:14" x14ac:dyDescent="0.2">
      <c r="N6612" s="131"/>
    </row>
    <row r="6613" spans="14:14" x14ac:dyDescent="0.2">
      <c r="N6613" s="131"/>
    </row>
    <row r="6614" spans="14:14" x14ac:dyDescent="0.2">
      <c r="N6614" s="131"/>
    </row>
    <row r="6615" spans="14:14" x14ac:dyDescent="0.2">
      <c r="N6615" s="131"/>
    </row>
    <row r="6616" spans="14:14" x14ac:dyDescent="0.2">
      <c r="N6616" s="131"/>
    </row>
    <row r="6617" spans="14:14" x14ac:dyDescent="0.2">
      <c r="N6617" s="131"/>
    </row>
    <row r="6618" spans="14:14" x14ac:dyDescent="0.2">
      <c r="N6618" s="131"/>
    </row>
    <row r="6619" spans="14:14" x14ac:dyDescent="0.2">
      <c r="N6619" s="131"/>
    </row>
    <row r="6620" spans="14:14" x14ac:dyDescent="0.2">
      <c r="N6620" s="131"/>
    </row>
    <row r="6621" spans="14:14" x14ac:dyDescent="0.2">
      <c r="N6621" s="131"/>
    </row>
    <row r="6622" spans="14:14" x14ac:dyDescent="0.2">
      <c r="N6622" s="131"/>
    </row>
    <row r="6623" spans="14:14" x14ac:dyDescent="0.2">
      <c r="N6623" s="131"/>
    </row>
    <row r="6624" spans="14:14" x14ac:dyDescent="0.2">
      <c r="N6624" s="131"/>
    </row>
    <row r="6625" spans="14:14" x14ac:dyDescent="0.2">
      <c r="N6625" s="131"/>
    </row>
    <row r="6626" spans="14:14" x14ac:dyDescent="0.2">
      <c r="N6626" s="131"/>
    </row>
    <row r="6627" spans="14:14" x14ac:dyDescent="0.2">
      <c r="N6627" s="131"/>
    </row>
    <row r="6628" spans="14:14" x14ac:dyDescent="0.2">
      <c r="N6628" s="131"/>
    </row>
    <row r="6629" spans="14:14" x14ac:dyDescent="0.2">
      <c r="N6629" s="131"/>
    </row>
    <row r="6630" spans="14:14" x14ac:dyDescent="0.2">
      <c r="N6630" s="131"/>
    </row>
    <row r="6631" spans="14:14" x14ac:dyDescent="0.2">
      <c r="N6631" s="131"/>
    </row>
    <row r="6632" spans="14:14" x14ac:dyDescent="0.2">
      <c r="N6632" s="131"/>
    </row>
    <row r="6633" spans="14:14" x14ac:dyDescent="0.2">
      <c r="N6633" s="131"/>
    </row>
    <row r="6634" spans="14:14" x14ac:dyDescent="0.2">
      <c r="N6634" s="131"/>
    </row>
    <row r="6635" spans="14:14" x14ac:dyDescent="0.2">
      <c r="N6635" s="131"/>
    </row>
    <row r="6636" spans="14:14" x14ac:dyDescent="0.2">
      <c r="N6636" s="131"/>
    </row>
    <row r="6637" spans="14:14" x14ac:dyDescent="0.2">
      <c r="N6637" s="131"/>
    </row>
    <row r="6638" spans="14:14" x14ac:dyDescent="0.2">
      <c r="N6638" s="131"/>
    </row>
    <row r="6639" spans="14:14" x14ac:dyDescent="0.2">
      <c r="N6639" s="131"/>
    </row>
    <row r="6640" spans="14:14" x14ac:dyDescent="0.2">
      <c r="N6640" s="131"/>
    </row>
    <row r="6641" spans="14:14" x14ac:dyDescent="0.2">
      <c r="N6641" s="131"/>
    </row>
    <row r="6642" spans="14:14" x14ac:dyDescent="0.2">
      <c r="N6642" s="131"/>
    </row>
    <row r="6643" spans="14:14" x14ac:dyDescent="0.2">
      <c r="N6643" s="131"/>
    </row>
    <row r="6644" spans="14:14" x14ac:dyDescent="0.2">
      <c r="N6644" s="131"/>
    </row>
    <row r="6645" spans="14:14" x14ac:dyDescent="0.2">
      <c r="N6645" s="131"/>
    </row>
    <row r="6646" spans="14:14" x14ac:dyDescent="0.2">
      <c r="N6646" s="131"/>
    </row>
    <row r="6647" spans="14:14" x14ac:dyDescent="0.2">
      <c r="N6647" s="131"/>
    </row>
    <row r="6648" spans="14:14" x14ac:dyDescent="0.2">
      <c r="N6648" s="131"/>
    </row>
    <row r="6649" spans="14:14" x14ac:dyDescent="0.2">
      <c r="N6649" s="131"/>
    </row>
    <row r="6650" spans="14:14" x14ac:dyDescent="0.2">
      <c r="N6650" s="131"/>
    </row>
    <row r="6651" spans="14:14" x14ac:dyDescent="0.2">
      <c r="N6651" s="131"/>
    </row>
    <row r="6652" spans="14:14" x14ac:dyDescent="0.2">
      <c r="N6652" s="131"/>
    </row>
    <row r="6653" spans="14:14" x14ac:dyDescent="0.2">
      <c r="N6653" s="131"/>
    </row>
    <row r="6654" spans="14:14" x14ac:dyDescent="0.2">
      <c r="N6654" s="131"/>
    </row>
    <row r="6655" spans="14:14" x14ac:dyDescent="0.2">
      <c r="N6655" s="131"/>
    </row>
    <row r="6656" spans="14:14" x14ac:dyDescent="0.2">
      <c r="N6656" s="131"/>
    </row>
    <row r="6657" spans="14:14" x14ac:dyDescent="0.2">
      <c r="N6657" s="131"/>
    </row>
    <row r="6658" spans="14:14" x14ac:dyDescent="0.2">
      <c r="N6658" s="131"/>
    </row>
    <row r="6659" spans="14:14" x14ac:dyDescent="0.2">
      <c r="N6659" s="131"/>
    </row>
    <row r="6660" spans="14:14" x14ac:dyDescent="0.2">
      <c r="N6660" s="131"/>
    </row>
    <row r="6661" spans="14:14" x14ac:dyDescent="0.2">
      <c r="N6661" s="131"/>
    </row>
    <row r="6662" spans="14:14" x14ac:dyDescent="0.2">
      <c r="N6662" s="131"/>
    </row>
    <row r="6663" spans="14:14" x14ac:dyDescent="0.2">
      <c r="N6663" s="131"/>
    </row>
    <row r="6664" spans="14:14" x14ac:dyDescent="0.2">
      <c r="N6664" s="131"/>
    </row>
    <row r="6665" spans="14:14" x14ac:dyDescent="0.2">
      <c r="N6665" s="131"/>
    </row>
    <row r="6666" spans="14:14" x14ac:dyDescent="0.2">
      <c r="N6666" s="131"/>
    </row>
    <row r="6667" spans="14:14" x14ac:dyDescent="0.2">
      <c r="N6667" s="131"/>
    </row>
    <row r="6668" spans="14:14" x14ac:dyDescent="0.2">
      <c r="N6668" s="131"/>
    </row>
    <row r="6669" spans="14:14" x14ac:dyDescent="0.2">
      <c r="N6669" s="131"/>
    </row>
    <row r="6670" spans="14:14" x14ac:dyDescent="0.2">
      <c r="N6670" s="131"/>
    </row>
    <row r="6671" spans="14:14" x14ac:dyDescent="0.2">
      <c r="N6671" s="131"/>
    </row>
    <row r="6672" spans="14:14" x14ac:dyDescent="0.2">
      <c r="N6672" s="131"/>
    </row>
    <row r="6673" spans="14:14" x14ac:dyDescent="0.2">
      <c r="N6673" s="131"/>
    </row>
    <row r="6674" spans="14:14" x14ac:dyDescent="0.2">
      <c r="N6674" s="131"/>
    </row>
    <row r="6675" spans="14:14" x14ac:dyDescent="0.2">
      <c r="N6675" s="131"/>
    </row>
    <row r="6676" spans="14:14" x14ac:dyDescent="0.2">
      <c r="N6676" s="131"/>
    </row>
    <row r="6677" spans="14:14" x14ac:dyDescent="0.2">
      <c r="N6677" s="131"/>
    </row>
    <row r="6678" spans="14:14" x14ac:dyDescent="0.2">
      <c r="N6678" s="131"/>
    </row>
    <row r="6679" spans="14:14" x14ac:dyDescent="0.2">
      <c r="N6679" s="131"/>
    </row>
    <row r="6680" spans="14:14" x14ac:dyDescent="0.2">
      <c r="N6680" s="131"/>
    </row>
    <row r="6681" spans="14:14" x14ac:dyDescent="0.2">
      <c r="N6681" s="131"/>
    </row>
    <row r="6682" spans="14:14" x14ac:dyDescent="0.2">
      <c r="N6682" s="131"/>
    </row>
    <row r="6683" spans="14:14" x14ac:dyDescent="0.2">
      <c r="N6683" s="131"/>
    </row>
    <row r="6684" spans="14:14" x14ac:dyDescent="0.2">
      <c r="N6684" s="131"/>
    </row>
    <row r="6685" spans="14:14" x14ac:dyDescent="0.2">
      <c r="N6685" s="131"/>
    </row>
    <row r="6686" spans="14:14" x14ac:dyDescent="0.2">
      <c r="N6686" s="131"/>
    </row>
    <row r="6687" spans="14:14" x14ac:dyDescent="0.2">
      <c r="N6687" s="131"/>
    </row>
    <row r="6688" spans="14:14" x14ac:dyDescent="0.2">
      <c r="N6688" s="131"/>
    </row>
    <row r="6689" spans="14:14" x14ac:dyDescent="0.2">
      <c r="N6689" s="131"/>
    </row>
    <row r="6690" spans="14:14" x14ac:dyDescent="0.2">
      <c r="N6690" s="131"/>
    </row>
    <row r="6691" spans="14:14" x14ac:dyDescent="0.2">
      <c r="N6691" s="131"/>
    </row>
    <row r="6692" spans="14:14" x14ac:dyDescent="0.2">
      <c r="N6692" s="131"/>
    </row>
    <row r="6693" spans="14:14" x14ac:dyDescent="0.2">
      <c r="N6693" s="131"/>
    </row>
    <row r="6694" spans="14:14" x14ac:dyDescent="0.2">
      <c r="N6694" s="131"/>
    </row>
    <row r="6695" spans="14:14" x14ac:dyDescent="0.2">
      <c r="N6695" s="131"/>
    </row>
    <row r="6696" spans="14:14" x14ac:dyDescent="0.2">
      <c r="N6696" s="131"/>
    </row>
    <row r="6697" spans="14:14" x14ac:dyDescent="0.2">
      <c r="N6697" s="131"/>
    </row>
    <row r="6698" spans="14:14" x14ac:dyDescent="0.2">
      <c r="N6698" s="131"/>
    </row>
    <row r="6699" spans="14:14" x14ac:dyDescent="0.2">
      <c r="N6699" s="131"/>
    </row>
    <row r="6700" spans="14:14" x14ac:dyDescent="0.2">
      <c r="N6700" s="131"/>
    </row>
    <row r="6701" spans="14:14" x14ac:dyDescent="0.2">
      <c r="N6701" s="131"/>
    </row>
    <row r="6702" spans="14:14" x14ac:dyDescent="0.2">
      <c r="N6702" s="131"/>
    </row>
    <row r="6703" spans="14:14" x14ac:dyDescent="0.2">
      <c r="N6703" s="131"/>
    </row>
    <row r="6704" spans="14:14" x14ac:dyDescent="0.2">
      <c r="N6704" s="131"/>
    </row>
    <row r="6705" spans="14:14" x14ac:dyDescent="0.2">
      <c r="N6705" s="131"/>
    </row>
    <row r="6706" spans="14:14" x14ac:dyDescent="0.2">
      <c r="N6706" s="131"/>
    </row>
    <row r="6707" spans="14:14" x14ac:dyDescent="0.2">
      <c r="N6707" s="131"/>
    </row>
    <row r="6708" spans="14:14" x14ac:dyDescent="0.2">
      <c r="N6708" s="131"/>
    </row>
    <row r="6709" spans="14:14" x14ac:dyDescent="0.2">
      <c r="N6709" s="131"/>
    </row>
    <row r="6710" spans="14:14" x14ac:dyDescent="0.2">
      <c r="N6710" s="131"/>
    </row>
    <row r="6711" spans="14:14" x14ac:dyDescent="0.2">
      <c r="N6711" s="131"/>
    </row>
    <row r="6712" spans="14:14" x14ac:dyDescent="0.2">
      <c r="N6712" s="131"/>
    </row>
    <row r="6713" spans="14:14" x14ac:dyDescent="0.2">
      <c r="N6713" s="131"/>
    </row>
    <row r="6714" spans="14:14" x14ac:dyDescent="0.2">
      <c r="N6714" s="131"/>
    </row>
    <row r="6715" spans="14:14" x14ac:dyDescent="0.2">
      <c r="N6715" s="131"/>
    </row>
    <row r="6716" spans="14:14" x14ac:dyDescent="0.2">
      <c r="N6716" s="131"/>
    </row>
    <row r="6717" spans="14:14" x14ac:dyDescent="0.2">
      <c r="N6717" s="131"/>
    </row>
    <row r="6718" spans="14:14" x14ac:dyDescent="0.2">
      <c r="N6718" s="131"/>
    </row>
    <row r="6719" spans="14:14" x14ac:dyDescent="0.2">
      <c r="N6719" s="131"/>
    </row>
    <row r="6720" spans="14:14" x14ac:dyDescent="0.2">
      <c r="N6720" s="131"/>
    </row>
    <row r="6721" spans="14:14" x14ac:dyDescent="0.2">
      <c r="N6721" s="131"/>
    </row>
    <row r="6722" spans="14:14" x14ac:dyDescent="0.2">
      <c r="N6722" s="131"/>
    </row>
    <row r="6723" spans="14:14" x14ac:dyDescent="0.2">
      <c r="N6723" s="131"/>
    </row>
    <row r="6724" spans="14:14" x14ac:dyDescent="0.2">
      <c r="N6724" s="131"/>
    </row>
    <row r="6725" spans="14:14" x14ac:dyDescent="0.2">
      <c r="N6725" s="131"/>
    </row>
    <row r="6726" spans="14:14" x14ac:dyDescent="0.2">
      <c r="N6726" s="131"/>
    </row>
    <row r="6727" spans="14:14" x14ac:dyDescent="0.2">
      <c r="N6727" s="131"/>
    </row>
    <row r="6728" spans="14:14" x14ac:dyDescent="0.2">
      <c r="N6728" s="131"/>
    </row>
    <row r="6729" spans="14:14" x14ac:dyDescent="0.2">
      <c r="N6729" s="131"/>
    </row>
    <row r="6730" spans="14:14" x14ac:dyDescent="0.2">
      <c r="N6730" s="131"/>
    </row>
    <row r="6731" spans="14:14" x14ac:dyDescent="0.2">
      <c r="N6731" s="131"/>
    </row>
    <row r="6732" spans="14:14" x14ac:dyDescent="0.2">
      <c r="N6732" s="131"/>
    </row>
    <row r="6733" spans="14:14" x14ac:dyDescent="0.2">
      <c r="N6733" s="131"/>
    </row>
    <row r="6734" spans="14:14" x14ac:dyDescent="0.2">
      <c r="N6734" s="131"/>
    </row>
    <row r="6735" spans="14:14" x14ac:dyDescent="0.2">
      <c r="N6735" s="131"/>
    </row>
    <row r="6736" spans="14:14" x14ac:dyDescent="0.2">
      <c r="N6736" s="131"/>
    </row>
    <row r="6737" spans="14:14" x14ac:dyDescent="0.2">
      <c r="N6737" s="131"/>
    </row>
    <row r="6738" spans="14:14" x14ac:dyDescent="0.2">
      <c r="N6738" s="131"/>
    </row>
    <row r="6739" spans="14:14" x14ac:dyDescent="0.2">
      <c r="N6739" s="131"/>
    </row>
    <row r="6740" spans="14:14" x14ac:dyDescent="0.2">
      <c r="N6740" s="131"/>
    </row>
    <row r="6741" spans="14:14" x14ac:dyDescent="0.2">
      <c r="N6741" s="131"/>
    </row>
    <row r="6742" spans="14:14" x14ac:dyDescent="0.2">
      <c r="N6742" s="131"/>
    </row>
    <row r="6743" spans="14:14" x14ac:dyDescent="0.2">
      <c r="N6743" s="131"/>
    </row>
    <row r="6744" spans="14:14" x14ac:dyDescent="0.2">
      <c r="N6744" s="131"/>
    </row>
    <row r="6745" spans="14:14" x14ac:dyDescent="0.2">
      <c r="N6745" s="131"/>
    </row>
    <row r="6746" spans="14:14" x14ac:dyDescent="0.2">
      <c r="N6746" s="131"/>
    </row>
    <row r="6747" spans="14:14" x14ac:dyDescent="0.2">
      <c r="N6747" s="131"/>
    </row>
    <row r="6748" spans="14:14" x14ac:dyDescent="0.2">
      <c r="N6748" s="131"/>
    </row>
    <row r="6749" spans="14:14" x14ac:dyDescent="0.2">
      <c r="N6749" s="131"/>
    </row>
    <row r="6750" spans="14:14" x14ac:dyDescent="0.2">
      <c r="N6750" s="131"/>
    </row>
    <row r="6751" spans="14:14" x14ac:dyDescent="0.2">
      <c r="N6751" s="131"/>
    </row>
    <row r="6752" spans="14:14" x14ac:dyDescent="0.2">
      <c r="N6752" s="131"/>
    </row>
    <row r="6753" spans="14:14" x14ac:dyDescent="0.2">
      <c r="N6753" s="131"/>
    </row>
    <row r="6754" spans="14:14" x14ac:dyDescent="0.2">
      <c r="N6754" s="131"/>
    </row>
    <row r="6755" spans="14:14" x14ac:dyDescent="0.2">
      <c r="N6755" s="131"/>
    </row>
    <row r="6756" spans="14:14" x14ac:dyDescent="0.2">
      <c r="N6756" s="131"/>
    </row>
    <row r="6757" spans="14:14" x14ac:dyDescent="0.2">
      <c r="N6757" s="131"/>
    </row>
    <row r="6758" spans="14:14" x14ac:dyDescent="0.2">
      <c r="N6758" s="131"/>
    </row>
    <row r="6759" spans="14:14" x14ac:dyDescent="0.2">
      <c r="N6759" s="131"/>
    </row>
    <row r="6760" spans="14:14" x14ac:dyDescent="0.2">
      <c r="N6760" s="131"/>
    </row>
    <row r="6761" spans="14:14" x14ac:dyDescent="0.2">
      <c r="N6761" s="131"/>
    </row>
    <row r="6762" spans="14:14" x14ac:dyDescent="0.2">
      <c r="N6762" s="131"/>
    </row>
    <row r="6763" spans="14:14" x14ac:dyDescent="0.2">
      <c r="N6763" s="131"/>
    </row>
    <row r="6764" spans="14:14" x14ac:dyDescent="0.2">
      <c r="N6764" s="131"/>
    </row>
    <row r="6765" spans="14:14" x14ac:dyDescent="0.2">
      <c r="N6765" s="131"/>
    </row>
    <row r="6766" spans="14:14" x14ac:dyDescent="0.2">
      <c r="N6766" s="131"/>
    </row>
    <row r="6767" spans="14:14" x14ac:dyDescent="0.2">
      <c r="N6767" s="131"/>
    </row>
    <row r="6768" spans="14:14" x14ac:dyDescent="0.2">
      <c r="N6768" s="131"/>
    </row>
    <row r="6769" spans="14:14" x14ac:dyDescent="0.2">
      <c r="N6769" s="131"/>
    </row>
    <row r="6770" spans="14:14" x14ac:dyDescent="0.2">
      <c r="N6770" s="131"/>
    </row>
    <row r="6771" spans="14:14" x14ac:dyDescent="0.2">
      <c r="N6771" s="131"/>
    </row>
    <row r="6772" spans="14:14" x14ac:dyDescent="0.2">
      <c r="N6772" s="131"/>
    </row>
    <row r="6773" spans="14:14" x14ac:dyDescent="0.2">
      <c r="N6773" s="131"/>
    </row>
    <row r="6774" spans="14:14" x14ac:dyDescent="0.2">
      <c r="N6774" s="131"/>
    </row>
    <row r="6775" spans="14:14" x14ac:dyDescent="0.2">
      <c r="N6775" s="131"/>
    </row>
    <row r="6776" spans="14:14" x14ac:dyDescent="0.2">
      <c r="N6776" s="131"/>
    </row>
    <row r="6777" spans="14:14" x14ac:dyDescent="0.2">
      <c r="N6777" s="131"/>
    </row>
    <row r="6778" spans="14:14" x14ac:dyDescent="0.2">
      <c r="N6778" s="131"/>
    </row>
    <row r="6779" spans="14:14" x14ac:dyDescent="0.2">
      <c r="N6779" s="131"/>
    </row>
    <row r="6780" spans="14:14" x14ac:dyDescent="0.2">
      <c r="N6780" s="131"/>
    </row>
    <row r="6781" spans="14:14" x14ac:dyDescent="0.2">
      <c r="N6781" s="131"/>
    </row>
    <row r="6782" spans="14:14" x14ac:dyDescent="0.2">
      <c r="N6782" s="131"/>
    </row>
    <row r="6783" spans="14:14" x14ac:dyDescent="0.2">
      <c r="N6783" s="131"/>
    </row>
    <row r="6784" spans="14:14" x14ac:dyDescent="0.2">
      <c r="N6784" s="131"/>
    </row>
    <row r="6785" spans="14:14" x14ac:dyDescent="0.2">
      <c r="N6785" s="131"/>
    </row>
    <row r="6786" spans="14:14" x14ac:dyDescent="0.2">
      <c r="N6786" s="131"/>
    </row>
    <row r="6787" spans="14:14" x14ac:dyDescent="0.2">
      <c r="N6787" s="131"/>
    </row>
    <row r="6788" spans="14:14" x14ac:dyDescent="0.2">
      <c r="N6788" s="131"/>
    </row>
    <row r="6789" spans="14:14" x14ac:dyDescent="0.2">
      <c r="N6789" s="131"/>
    </row>
    <row r="6790" spans="14:14" x14ac:dyDescent="0.2">
      <c r="N6790" s="131"/>
    </row>
    <row r="6791" spans="14:14" x14ac:dyDescent="0.2">
      <c r="N6791" s="131"/>
    </row>
    <row r="6792" spans="14:14" x14ac:dyDescent="0.2">
      <c r="N6792" s="131"/>
    </row>
    <row r="6793" spans="14:14" x14ac:dyDescent="0.2">
      <c r="N6793" s="131"/>
    </row>
    <row r="6794" spans="14:14" x14ac:dyDescent="0.2">
      <c r="N6794" s="131"/>
    </row>
    <row r="6795" spans="14:14" x14ac:dyDescent="0.2">
      <c r="N6795" s="131"/>
    </row>
    <row r="6796" spans="14:14" x14ac:dyDescent="0.2">
      <c r="N6796" s="131"/>
    </row>
    <row r="6797" spans="14:14" x14ac:dyDescent="0.2">
      <c r="N6797" s="131"/>
    </row>
    <row r="6798" spans="14:14" x14ac:dyDescent="0.2">
      <c r="N6798" s="131"/>
    </row>
    <row r="6799" spans="14:14" x14ac:dyDescent="0.2">
      <c r="N6799" s="131"/>
    </row>
    <row r="6800" spans="14:14" x14ac:dyDescent="0.2">
      <c r="N6800" s="131"/>
    </row>
    <row r="6801" spans="14:14" x14ac:dyDescent="0.2">
      <c r="N6801" s="131"/>
    </row>
    <row r="6802" spans="14:14" x14ac:dyDescent="0.2">
      <c r="N6802" s="131"/>
    </row>
    <row r="6803" spans="14:14" x14ac:dyDescent="0.2">
      <c r="N6803" s="131"/>
    </row>
    <row r="6804" spans="14:14" x14ac:dyDescent="0.2">
      <c r="N6804" s="131"/>
    </row>
    <row r="6805" spans="14:14" x14ac:dyDescent="0.2">
      <c r="N6805" s="131"/>
    </row>
    <row r="6806" spans="14:14" x14ac:dyDescent="0.2">
      <c r="N6806" s="131"/>
    </row>
    <row r="6807" spans="14:14" x14ac:dyDescent="0.2">
      <c r="N6807" s="131"/>
    </row>
    <row r="6808" spans="14:14" x14ac:dyDescent="0.2">
      <c r="N6808" s="131"/>
    </row>
    <row r="6809" spans="14:14" x14ac:dyDescent="0.2">
      <c r="N6809" s="131"/>
    </row>
    <row r="6810" spans="14:14" x14ac:dyDescent="0.2">
      <c r="N6810" s="131"/>
    </row>
    <row r="6811" spans="14:14" x14ac:dyDescent="0.2">
      <c r="N6811" s="131"/>
    </row>
    <row r="6812" spans="14:14" x14ac:dyDescent="0.2">
      <c r="N6812" s="131"/>
    </row>
    <row r="6813" spans="14:14" x14ac:dyDescent="0.2">
      <c r="N6813" s="131"/>
    </row>
    <row r="6814" spans="14:14" x14ac:dyDescent="0.2">
      <c r="N6814" s="131"/>
    </row>
    <row r="6815" spans="14:14" x14ac:dyDescent="0.2">
      <c r="N6815" s="131"/>
    </row>
    <row r="6816" spans="14:14" x14ac:dyDescent="0.2">
      <c r="N6816" s="131"/>
    </row>
    <row r="6817" spans="14:14" x14ac:dyDescent="0.2">
      <c r="N6817" s="131"/>
    </row>
    <row r="6818" spans="14:14" x14ac:dyDescent="0.2">
      <c r="N6818" s="131"/>
    </row>
    <row r="6819" spans="14:14" x14ac:dyDescent="0.2">
      <c r="N6819" s="131"/>
    </row>
    <row r="6820" spans="14:14" x14ac:dyDescent="0.2">
      <c r="N6820" s="131"/>
    </row>
    <row r="6821" spans="14:14" x14ac:dyDescent="0.2">
      <c r="N6821" s="131"/>
    </row>
    <row r="6822" spans="14:14" x14ac:dyDescent="0.2">
      <c r="N6822" s="131"/>
    </row>
    <row r="6823" spans="14:14" x14ac:dyDescent="0.2">
      <c r="N6823" s="131"/>
    </row>
    <row r="6824" spans="14:14" x14ac:dyDescent="0.2">
      <c r="N6824" s="131"/>
    </row>
    <row r="6825" spans="14:14" x14ac:dyDescent="0.2">
      <c r="N6825" s="131"/>
    </row>
    <row r="6826" spans="14:14" x14ac:dyDescent="0.2">
      <c r="N6826" s="131"/>
    </row>
    <row r="6827" spans="14:14" x14ac:dyDescent="0.2">
      <c r="N6827" s="131"/>
    </row>
    <row r="6828" spans="14:14" x14ac:dyDescent="0.2">
      <c r="N6828" s="131"/>
    </row>
    <row r="6829" spans="14:14" x14ac:dyDescent="0.2">
      <c r="N6829" s="131"/>
    </row>
    <row r="6830" spans="14:14" x14ac:dyDescent="0.2">
      <c r="N6830" s="131"/>
    </row>
    <row r="6831" spans="14:14" x14ac:dyDescent="0.2">
      <c r="N6831" s="131"/>
    </row>
    <row r="6832" spans="14:14" x14ac:dyDescent="0.2">
      <c r="N6832" s="131"/>
    </row>
    <row r="6833" spans="14:14" x14ac:dyDescent="0.2">
      <c r="N6833" s="131"/>
    </row>
    <row r="6834" spans="14:14" x14ac:dyDescent="0.2">
      <c r="N6834" s="131"/>
    </row>
    <row r="6835" spans="14:14" x14ac:dyDescent="0.2">
      <c r="N6835" s="131"/>
    </row>
    <row r="6836" spans="14:14" x14ac:dyDescent="0.2">
      <c r="N6836" s="131"/>
    </row>
    <row r="6837" spans="14:14" x14ac:dyDescent="0.2">
      <c r="N6837" s="131"/>
    </row>
    <row r="6838" spans="14:14" x14ac:dyDescent="0.2">
      <c r="N6838" s="131"/>
    </row>
    <row r="6839" spans="14:14" x14ac:dyDescent="0.2">
      <c r="N6839" s="131"/>
    </row>
    <row r="6840" spans="14:14" x14ac:dyDescent="0.2">
      <c r="N6840" s="131"/>
    </row>
    <row r="6841" spans="14:14" x14ac:dyDescent="0.2">
      <c r="N6841" s="131"/>
    </row>
    <row r="6842" spans="14:14" x14ac:dyDescent="0.2">
      <c r="N6842" s="131"/>
    </row>
    <row r="6843" spans="14:14" x14ac:dyDescent="0.2">
      <c r="N6843" s="131"/>
    </row>
    <row r="6844" spans="14:14" x14ac:dyDescent="0.2">
      <c r="N6844" s="131"/>
    </row>
    <row r="6845" spans="14:14" x14ac:dyDescent="0.2">
      <c r="N6845" s="131"/>
    </row>
    <row r="6846" spans="14:14" x14ac:dyDescent="0.2">
      <c r="N6846" s="131"/>
    </row>
    <row r="6847" spans="14:14" x14ac:dyDescent="0.2">
      <c r="N6847" s="131"/>
    </row>
    <row r="6848" spans="14:14" x14ac:dyDescent="0.2">
      <c r="N6848" s="131"/>
    </row>
    <row r="6849" spans="14:14" x14ac:dyDescent="0.2">
      <c r="N6849" s="131"/>
    </row>
    <row r="6850" spans="14:14" x14ac:dyDescent="0.2">
      <c r="N6850" s="131"/>
    </row>
    <row r="6851" spans="14:14" x14ac:dyDescent="0.2">
      <c r="N6851" s="131"/>
    </row>
    <row r="6852" spans="14:14" x14ac:dyDescent="0.2">
      <c r="N6852" s="131"/>
    </row>
    <row r="6853" spans="14:14" x14ac:dyDescent="0.2">
      <c r="N6853" s="131"/>
    </row>
    <row r="6854" spans="14:14" x14ac:dyDescent="0.2">
      <c r="N6854" s="131"/>
    </row>
    <row r="6855" spans="14:14" x14ac:dyDescent="0.2">
      <c r="N6855" s="131"/>
    </row>
    <row r="6856" spans="14:14" x14ac:dyDescent="0.2">
      <c r="N6856" s="131"/>
    </row>
    <row r="6857" spans="14:14" x14ac:dyDescent="0.2">
      <c r="N6857" s="131"/>
    </row>
    <row r="6858" spans="14:14" x14ac:dyDescent="0.2">
      <c r="N6858" s="131"/>
    </row>
    <row r="6859" spans="14:14" x14ac:dyDescent="0.2">
      <c r="N6859" s="131"/>
    </row>
    <row r="6860" spans="14:14" x14ac:dyDescent="0.2">
      <c r="N6860" s="131"/>
    </row>
    <row r="6861" spans="14:14" x14ac:dyDescent="0.2">
      <c r="N6861" s="131"/>
    </row>
    <row r="6862" spans="14:14" x14ac:dyDescent="0.2">
      <c r="N6862" s="131"/>
    </row>
    <row r="6863" spans="14:14" x14ac:dyDescent="0.2">
      <c r="N6863" s="131"/>
    </row>
    <row r="6864" spans="14:14" x14ac:dyDescent="0.2">
      <c r="N6864" s="131"/>
    </row>
    <row r="6865" spans="14:14" x14ac:dyDescent="0.2">
      <c r="N6865" s="131"/>
    </row>
    <row r="6866" spans="14:14" x14ac:dyDescent="0.2">
      <c r="N6866" s="131"/>
    </row>
    <row r="6867" spans="14:14" x14ac:dyDescent="0.2">
      <c r="N6867" s="131"/>
    </row>
    <row r="6868" spans="14:14" x14ac:dyDescent="0.2">
      <c r="N6868" s="131"/>
    </row>
    <row r="6869" spans="14:14" x14ac:dyDescent="0.2">
      <c r="N6869" s="131"/>
    </row>
    <row r="6870" spans="14:14" x14ac:dyDescent="0.2">
      <c r="N6870" s="131"/>
    </row>
    <row r="6871" spans="14:14" x14ac:dyDescent="0.2">
      <c r="N6871" s="131"/>
    </row>
    <row r="6872" spans="14:14" x14ac:dyDescent="0.2">
      <c r="N6872" s="131"/>
    </row>
    <row r="6873" spans="14:14" x14ac:dyDescent="0.2">
      <c r="N6873" s="131"/>
    </row>
    <row r="6874" spans="14:14" x14ac:dyDescent="0.2">
      <c r="N6874" s="131"/>
    </row>
    <row r="6875" spans="14:14" x14ac:dyDescent="0.2">
      <c r="N6875" s="131"/>
    </row>
    <row r="6876" spans="14:14" x14ac:dyDescent="0.2">
      <c r="N6876" s="131"/>
    </row>
    <row r="6877" spans="14:14" x14ac:dyDescent="0.2">
      <c r="N6877" s="131"/>
    </row>
    <row r="6878" spans="14:14" x14ac:dyDescent="0.2">
      <c r="N6878" s="131"/>
    </row>
    <row r="6879" spans="14:14" x14ac:dyDescent="0.2">
      <c r="N6879" s="131"/>
    </row>
    <row r="6880" spans="14:14" x14ac:dyDescent="0.2">
      <c r="N6880" s="131"/>
    </row>
    <row r="6881" spans="14:14" x14ac:dyDescent="0.2">
      <c r="N6881" s="131"/>
    </row>
    <row r="6882" spans="14:14" x14ac:dyDescent="0.2">
      <c r="N6882" s="131"/>
    </row>
    <row r="6883" spans="14:14" x14ac:dyDescent="0.2">
      <c r="N6883" s="131"/>
    </row>
    <row r="6884" spans="14:14" x14ac:dyDescent="0.2">
      <c r="N6884" s="131"/>
    </row>
    <row r="6885" spans="14:14" x14ac:dyDescent="0.2">
      <c r="N6885" s="131"/>
    </row>
    <row r="6886" spans="14:14" x14ac:dyDescent="0.2">
      <c r="N6886" s="131"/>
    </row>
    <row r="6887" spans="14:14" x14ac:dyDescent="0.2">
      <c r="N6887" s="131"/>
    </row>
    <row r="6888" spans="14:14" x14ac:dyDescent="0.2">
      <c r="N6888" s="131"/>
    </row>
    <row r="6889" spans="14:14" x14ac:dyDescent="0.2">
      <c r="N6889" s="131"/>
    </row>
    <row r="6890" spans="14:14" x14ac:dyDescent="0.2">
      <c r="N6890" s="131"/>
    </row>
    <row r="6891" spans="14:14" x14ac:dyDescent="0.2">
      <c r="N6891" s="131"/>
    </row>
    <row r="6892" spans="14:14" x14ac:dyDescent="0.2">
      <c r="N6892" s="131"/>
    </row>
    <row r="6893" spans="14:14" x14ac:dyDescent="0.2">
      <c r="N6893" s="131"/>
    </row>
    <row r="6894" spans="14:14" x14ac:dyDescent="0.2">
      <c r="N6894" s="131"/>
    </row>
    <row r="6895" spans="14:14" x14ac:dyDescent="0.2">
      <c r="N6895" s="131"/>
    </row>
    <row r="6896" spans="14:14" x14ac:dyDescent="0.2">
      <c r="N6896" s="131"/>
    </row>
    <row r="6897" spans="14:14" x14ac:dyDescent="0.2">
      <c r="N6897" s="131"/>
    </row>
    <row r="6898" spans="14:14" x14ac:dyDescent="0.2">
      <c r="N6898" s="131"/>
    </row>
    <row r="6899" spans="14:14" x14ac:dyDescent="0.2">
      <c r="N6899" s="131"/>
    </row>
    <row r="6900" spans="14:14" x14ac:dyDescent="0.2">
      <c r="N6900" s="131"/>
    </row>
    <row r="6901" spans="14:14" x14ac:dyDescent="0.2">
      <c r="N6901" s="131"/>
    </row>
    <row r="6902" spans="14:14" x14ac:dyDescent="0.2">
      <c r="N6902" s="131"/>
    </row>
    <row r="6903" spans="14:14" x14ac:dyDescent="0.2">
      <c r="N6903" s="131"/>
    </row>
    <row r="6904" spans="14:14" x14ac:dyDescent="0.2">
      <c r="N6904" s="131"/>
    </row>
    <row r="6905" spans="14:14" x14ac:dyDescent="0.2">
      <c r="N6905" s="131"/>
    </row>
    <row r="6906" spans="14:14" x14ac:dyDescent="0.2">
      <c r="N6906" s="131"/>
    </row>
    <row r="6907" spans="14:14" x14ac:dyDescent="0.2">
      <c r="N6907" s="131"/>
    </row>
    <row r="6908" spans="14:14" x14ac:dyDescent="0.2">
      <c r="N6908" s="131"/>
    </row>
    <row r="6909" spans="14:14" x14ac:dyDescent="0.2">
      <c r="N6909" s="131"/>
    </row>
    <row r="6910" spans="14:14" x14ac:dyDescent="0.2">
      <c r="N6910" s="131"/>
    </row>
    <row r="6911" spans="14:14" x14ac:dyDescent="0.2">
      <c r="N6911" s="131"/>
    </row>
    <row r="6912" spans="14:14" x14ac:dyDescent="0.2">
      <c r="N6912" s="131"/>
    </row>
    <row r="6913" spans="14:14" x14ac:dyDescent="0.2">
      <c r="N6913" s="131"/>
    </row>
    <row r="6914" spans="14:14" x14ac:dyDescent="0.2">
      <c r="N6914" s="131"/>
    </row>
    <row r="6915" spans="14:14" x14ac:dyDescent="0.2">
      <c r="N6915" s="131"/>
    </row>
    <row r="6916" spans="14:14" x14ac:dyDescent="0.2">
      <c r="N6916" s="131"/>
    </row>
    <row r="6917" spans="14:14" x14ac:dyDescent="0.2">
      <c r="N6917" s="131"/>
    </row>
    <row r="6918" spans="14:14" x14ac:dyDescent="0.2">
      <c r="N6918" s="131"/>
    </row>
    <row r="6919" spans="14:14" x14ac:dyDescent="0.2">
      <c r="N6919" s="131"/>
    </row>
    <row r="6920" spans="14:14" x14ac:dyDescent="0.2">
      <c r="N6920" s="131"/>
    </row>
    <row r="6921" spans="14:14" x14ac:dyDescent="0.2">
      <c r="N6921" s="131"/>
    </row>
    <row r="6922" spans="14:14" x14ac:dyDescent="0.2">
      <c r="N6922" s="131"/>
    </row>
    <row r="6923" spans="14:14" x14ac:dyDescent="0.2">
      <c r="N6923" s="131"/>
    </row>
    <row r="6924" spans="14:14" x14ac:dyDescent="0.2">
      <c r="N6924" s="131"/>
    </row>
    <row r="6925" spans="14:14" x14ac:dyDescent="0.2">
      <c r="N6925" s="131"/>
    </row>
    <row r="6926" spans="14:14" x14ac:dyDescent="0.2">
      <c r="N6926" s="131"/>
    </row>
    <row r="6927" spans="14:14" x14ac:dyDescent="0.2">
      <c r="N6927" s="131"/>
    </row>
    <row r="6928" spans="14:14" x14ac:dyDescent="0.2">
      <c r="N6928" s="131"/>
    </row>
    <row r="6929" spans="14:14" x14ac:dyDescent="0.2">
      <c r="N6929" s="131"/>
    </row>
    <row r="6930" spans="14:14" x14ac:dyDescent="0.2">
      <c r="N6930" s="131"/>
    </row>
    <row r="6931" spans="14:14" x14ac:dyDescent="0.2">
      <c r="N6931" s="131"/>
    </row>
    <row r="6932" spans="14:14" x14ac:dyDescent="0.2">
      <c r="N6932" s="131"/>
    </row>
    <row r="6933" spans="14:14" x14ac:dyDescent="0.2">
      <c r="N6933" s="131"/>
    </row>
    <row r="6934" spans="14:14" x14ac:dyDescent="0.2">
      <c r="N6934" s="131"/>
    </row>
    <row r="6935" spans="14:14" x14ac:dyDescent="0.2">
      <c r="N6935" s="131"/>
    </row>
    <row r="6936" spans="14:14" x14ac:dyDescent="0.2">
      <c r="N6936" s="131"/>
    </row>
    <row r="6937" spans="14:14" x14ac:dyDescent="0.2">
      <c r="N6937" s="131"/>
    </row>
    <row r="6938" spans="14:14" x14ac:dyDescent="0.2">
      <c r="N6938" s="131"/>
    </row>
    <row r="6939" spans="14:14" x14ac:dyDescent="0.2">
      <c r="N6939" s="131"/>
    </row>
    <row r="6940" spans="14:14" x14ac:dyDescent="0.2">
      <c r="N6940" s="131"/>
    </row>
    <row r="6941" spans="14:14" x14ac:dyDescent="0.2">
      <c r="N6941" s="131"/>
    </row>
    <row r="6942" spans="14:14" x14ac:dyDescent="0.2">
      <c r="N6942" s="131"/>
    </row>
    <row r="6943" spans="14:14" x14ac:dyDescent="0.2">
      <c r="N6943" s="131"/>
    </row>
    <row r="6944" spans="14:14" x14ac:dyDescent="0.2">
      <c r="N6944" s="131"/>
    </row>
    <row r="6945" spans="14:14" x14ac:dyDescent="0.2">
      <c r="N6945" s="131"/>
    </row>
    <row r="6946" spans="14:14" x14ac:dyDescent="0.2">
      <c r="N6946" s="131"/>
    </row>
    <row r="6947" spans="14:14" x14ac:dyDescent="0.2">
      <c r="N6947" s="131"/>
    </row>
    <row r="6948" spans="14:14" x14ac:dyDescent="0.2">
      <c r="N6948" s="131"/>
    </row>
    <row r="6949" spans="14:14" x14ac:dyDescent="0.2">
      <c r="N6949" s="131"/>
    </row>
    <row r="6950" spans="14:14" x14ac:dyDescent="0.2">
      <c r="N6950" s="131"/>
    </row>
    <row r="6951" spans="14:14" x14ac:dyDescent="0.2">
      <c r="N6951" s="131"/>
    </row>
    <row r="6952" spans="14:14" x14ac:dyDescent="0.2">
      <c r="N6952" s="131"/>
    </row>
    <row r="6953" spans="14:14" x14ac:dyDescent="0.2">
      <c r="N6953" s="131"/>
    </row>
    <row r="6954" spans="14:14" x14ac:dyDescent="0.2">
      <c r="N6954" s="131"/>
    </row>
    <row r="6955" spans="14:14" x14ac:dyDescent="0.2">
      <c r="N6955" s="131"/>
    </row>
    <row r="6956" spans="14:14" x14ac:dyDescent="0.2">
      <c r="N6956" s="131"/>
    </row>
    <row r="6957" spans="14:14" x14ac:dyDescent="0.2">
      <c r="N6957" s="131"/>
    </row>
    <row r="6958" spans="14:14" x14ac:dyDescent="0.2">
      <c r="N6958" s="131"/>
    </row>
    <row r="6959" spans="14:14" x14ac:dyDescent="0.2">
      <c r="N6959" s="131"/>
    </row>
    <row r="6960" spans="14:14" x14ac:dyDescent="0.2">
      <c r="N6960" s="131"/>
    </row>
    <row r="6961" spans="14:14" x14ac:dyDescent="0.2">
      <c r="N6961" s="131"/>
    </row>
    <row r="6962" spans="14:14" x14ac:dyDescent="0.2">
      <c r="N6962" s="131"/>
    </row>
    <row r="6963" spans="14:14" x14ac:dyDescent="0.2">
      <c r="N6963" s="131"/>
    </row>
    <row r="6964" spans="14:14" x14ac:dyDescent="0.2">
      <c r="N6964" s="131"/>
    </row>
    <row r="6965" spans="14:14" x14ac:dyDescent="0.2">
      <c r="N6965" s="131"/>
    </row>
    <row r="6966" spans="14:14" x14ac:dyDescent="0.2">
      <c r="N6966" s="131"/>
    </row>
    <row r="6967" spans="14:14" x14ac:dyDescent="0.2">
      <c r="N6967" s="131"/>
    </row>
    <row r="6968" spans="14:14" x14ac:dyDescent="0.2">
      <c r="N6968" s="131"/>
    </row>
    <row r="6969" spans="14:14" x14ac:dyDescent="0.2">
      <c r="N6969" s="131"/>
    </row>
    <row r="6970" spans="14:14" x14ac:dyDescent="0.2">
      <c r="N6970" s="131"/>
    </row>
    <row r="6971" spans="14:14" x14ac:dyDescent="0.2">
      <c r="N6971" s="131"/>
    </row>
    <row r="6972" spans="14:14" x14ac:dyDescent="0.2">
      <c r="N6972" s="131"/>
    </row>
    <row r="6973" spans="14:14" x14ac:dyDescent="0.2">
      <c r="N6973" s="131"/>
    </row>
    <row r="6974" spans="14:14" x14ac:dyDescent="0.2">
      <c r="N6974" s="131"/>
    </row>
    <row r="6975" spans="14:14" x14ac:dyDescent="0.2">
      <c r="N6975" s="131"/>
    </row>
    <row r="6976" spans="14:14" x14ac:dyDescent="0.2">
      <c r="N6976" s="131"/>
    </row>
    <row r="6977" spans="14:14" x14ac:dyDescent="0.2">
      <c r="N6977" s="131"/>
    </row>
    <row r="6978" spans="14:14" x14ac:dyDescent="0.2">
      <c r="N6978" s="131"/>
    </row>
    <row r="6979" spans="14:14" x14ac:dyDescent="0.2">
      <c r="N6979" s="131"/>
    </row>
    <row r="6980" spans="14:14" x14ac:dyDescent="0.2">
      <c r="N6980" s="131"/>
    </row>
    <row r="6981" spans="14:14" x14ac:dyDescent="0.2">
      <c r="N6981" s="131"/>
    </row>
    <row r="6982" spans="14:14" x14ac:dyDescent="0.2">
      <c r="N6982" s="131"/>
    </row>
    <row r="6983" spans="14:14" x14ac:dyDescent="0.2">
      <c r="N6983" s="131"/>
    </row>
    <row r="6984" spans="14:14" x14ac:dyDescent="0.2">
      <c r="N6984" s="131"/>
    </row>
    <row r="6985" spans="14:14" x14ac:dyDescent="0.2">
      <c r="N6985" s="131"/>
    </row>
    <row r="6986" spans="14:14" x14ac:dyDescent="0.2">
      <c r="N6986" s="131"/>
    </row>
    <row r="6987" spans="14:14" x14ac:dyDescent="0.2">
      <c r="N6987" s="131"/>
    </row>
    <row r="6988" spans="14:14" x14ac:dyDescent="0.2">
      <c r="N6988" s="131"/>
    </row>
    <row r="6989" spans="14:14" x14ac:dyDescent="0.2">
      <c r="N6989" s="131"/>
    </row>
    <row r="6990" spans="14:14" x14ac:dyDescent="0.2">
      <c r="N6990" s="131"/>
    </row>
    <row r="6991" spans="14:14" x14ac:dyDescent="0.2">
      <c r="N6991" s="131"/>
    </row>
    <row r="6992" spans="14:14" x14ac:dyDescent="0.2">
      <c r="N6992" s="131"/>
    </row>
    <row r="6993" spans="14:14" x14ac:dyDescent="0.2">
      <c r="N6993" s="131"/>
    </row>
    <row r="6994" spans="14:14" x14ac:dyDescent="0.2">
      <c r="N6994" s="131"/>
    </row>
    <row r="6995" spans="14:14" x14ac:dyDescent="0.2">
      <c r="N6995" s="131"/>
    </row>
    <row r="6996" spans="14:14" x14ac:dyDescent="0.2">
      <c r="N6996" s="131"/>
    </row>
    <row r="6997" spans="14:14" x14ac:dyDescent="0.2">
      <c r="N6997" s="131"/>
    </row>
    <row r="6998" spans="14:14" x14ac:dyDescent="0.2">
      <c r="N6998" s="131"/>
    </row>
    <row r="6999" spans="14:14" x14ac:dyDescent="0.2">
      <c r="N6999" s="131"/>
    </row>
    <row r="7000" spans="14:14" x14ac:dyDescent="0.2">
      <c r="N7000" s="131"/>
    </row>
    <row r="7001" spans="14:14" x14ac:dyDescent="0.2">
      <c r="N7001" s="131"/>
    </row>
    <row r="7002" spans="14:14" x14ac:dyDescent="0.2">
      <c r="N7002" s="131"/>
    </row>
    <row r="7003" spans="14:14" x14ac:dyDescent="0.2">
      <c r="N7003" s="131"/>
    </row>
    <row r="7004" spans="14:14" x14ac:dyDescent="0.2">
      <c r="N7004" s="131"/>
    </row>
    <row r="7005" spans="14:14" x14ac:dyDescent="0.2">
      <c r="N7005" s="131"/>
    </row>
    <row r="7006" spans="14:14" x14ac:dyDescent="0.2">
      <c r="N7006" s="131"/>
    </row>
    <row r="7007" spans="14:14" x14ac:dyDescent="0.2">
      <c r="N7007" s="131"/>
    </row>
    <row r="7008" spans="14:14" x14ac:dyDescent="0.2">
      <c r="N7008" s="131"/>
    </row>
    <row r="7009" spans="14:14" x14ac:dyDescent="0.2">
      <c r="N7009" s="131"/>
    </row>
    <row r="7010" spans="14:14" x14ac:dyDescent="0.2">
      <c r="N7010" s="131"/>
    </row>
    <row r="7011" spans="14:14" x14ac:dyDescent="0.2">
      <c r="N7011" s="131"/>
    </row>
    <row r="7012" spans="14:14" x14ac:dyDescent="0.2">
      <c r="N7012" s="131"/>
    </row>
    <row r="7013" spans="14:14" x14ac:dyDescent="0.2">
      <c r="N7013" s="131"/>
    </row>
    <row r="7014" spans="14:14" x14ac:dyDescent="0.2">
      <c r="N7014" s="131"/>
    </row>
    <row r="7015" spans="14:14" x14ac:dyDescent="0.2">
      <c r="N7015" s="131"/>
    </row>
    <row r="7016" spans="14:14" x14ac:dyDescent="0.2">
      <c r="N7016" s="131"/>
    </row>
    <row r="7017" spans="14:14" x14ac:dyDescent="0.2">
      <c r="N7017" s="131"/>
    </row>
    <row r="7018" spans="14:14" x14ac:dyDescent="0.2">
      <c r="N7018" s="131"/>
    </row>
    <row r="7019" spans="14:14" x14ac:dyDescent="0.2">
      <c r="N7019" s="131"/>
    </row>
    <row r="7020" spans="14:14" x14ac:dyDescent="0.2">
      <c r="N7020" s="131"/>
    </row>
    <row r="7021" spans="14:14" x14ac:dyDescent="0.2">
      <c r="N7021" s="131"/>
    </row>
    <row r="7022" spans="14:14" x14ac:dyDescent="0.2">
      <c r="N7022" s="131"/>
    </row>
    <row r="7023" spans="14:14" x14ac:dyDescent="0.2">
      <c r="N7023" s="131"/>
    </row>
    <row r="7024" spans="14:14" x14ac:dyDescent="0.2">
      <c r="N7024" s="131"/>
    </row>
    <row r="7025" spans="14:14" x14ac:dyDescent="0.2">
      <c r="N7025" s="131"/>
    </row>
    <row r="7026" spans="14:14" x14ac:dyDescent="0.2">
      <c r="N7026" s="131"/>
    </row>
    <row r="7027" spans="14:14" x14ac:dyDescent="0.2">
      <c r="N7027" s="131"/>
    </row>
    <row r="7028" spans="14:14" x14ac:dyDescent="0.2">
      <c r="N7028" s="131"/>
    </row>
    <row r="7029" spans="14:14" x14ac:dyDescent="0.2">
      <c r="N7029" s="131"/>
    </row>
    <row r="7030" spans="14:14" x14ac:dyDescent="0.2">
      <c r="N7030" s="131"/>
    </row>
    <row r="7031" spans="14:14" x14ac:dyDescent="0.2">
      <c r="N7031" s="131"/>
    </row>
    <row r="7032" spans="14:14" x14ac:dyDescent="0.2">
      <c r="N7032" s="131"/>
    </row>
    <row r="7033" spans="14:14" x14ac:dyDescent="0.2">
      <c r="N7033" s="131"/>
    </row>
    <row r="7034" spans="14:14" x14ac:dyDescent="0.2">
      <c r="N7034" s="131"/>
    </row>
    <row r="7035" spans="14:14" x14ac:dyDescent="0.2">
      <c r="N7035" s="131"/>
    </row>
    <row r="7036" spans="14:14" x14ac:dyDescent="0.2">
      <c r="N7036" s="131"/>
    </row>
    <row r="7037" spans="14:14" x14ac:dyDescent="0.2">
      <c r="N7037" s="131"/>
    </row>
    <row r="7038" spans="14:14" x14ac:dyDescent="0.2">
      <c r="N7038" s="131"/>
    </row>
    <row r="7039" spans="14:14" x14ac:dyDescent="0.2">
      <c r="N7039" s="131"/>
    </row>
    <row r="7040" spans="14:14" x14ac:dyDescent="0.2">
      <c r="N7040" s="131"/>
    </row>
    <row r="7041" spans="14:14" x14ac:dyDescent="0.2">
      <c r="N7041" s="131"/>
    </row>
    <row r="7042" spans="14:14" x14ac:dyDescent="0.2">
      <c r="N7042" s="131"/>
    </row>
    <row r="7043" spans="14:14" x14ac:dyDescent="0.2">
      <c r="N7043" s="131"/>
    </row>
    <row r="7044" spans="14:14" x14ac:dyDescent="0.2">
      <c r="N7044" s="131"/>
    </row>
    <row r="7045" spans="14:14" x14ac:dyDescent="0.2">
      <c r="N7045" s="131"/>
    </row>
    <row r="7046" spans="14:14" x14ac:dyDescent="0.2">
      <c r="N7046" s="131"/>
    </row>
    <row r="7047" spans="14:14" x14ac:dyDescent="0.2">
      <c r="N7047" s="131"/>
    </row>
    <row r="7048" spans="14:14" x14ac:dyDescent="0.2">
      <c r="N7048" s="131"/>
    </row>
    <row r="7049" spans="14:14" x14ac:dyDescent="0.2">
      <c r="N7049" s="131"/>
    </row>
    <row r="7050" spans="14:14" x14ac:dyDescent="0.2">
      <c r="N7050" s="131"/>
    </row>
    <row r="7051" spans="14:14" x14ac:dyDescent="0.2">
      <c r="N7051" s="131"/>
    </row>
    <row r="7052" spans="14:14" x14ac:dyDescent="0.2">
      <c r="N7052" s="131"/>
    </row>
    <row r="7053" spans="14:14" x14ac:dyDescent="0.2">
      <c r="N7053" s="131"/>
    </row>
    <row r="7054" spans="14:14" x14ac:dyDescent="0.2">
      <c r="N7054" s="131"/>
    </row>
    <row r="7055" spans="14:14" x14ac:dyDescent="0.2">
      <c r="N7055" s="131"/>
    </row>
    <row r="7056" spans="14:14" x14ac:dyDescent="0.2">
      <c r="N7056" s="131"/>
    </row>
    <row r="7057" spans="14:14" x14ac:dyDescent="0.2">
      <c r="N7057" s="131"/>
    </row>
    <row r="7058" spans="14:14" x14ac:dyDescent="0.2">
      <c r="N7058" s="131"/>
    </row>
    <row r="7059" spans="14:14" x14ac:dyDescent="0.2">
      <c r="N7059" s="131"/>
    </row>
    <row r="7060" spans="14:14" x14ac:dyDescent="0.2">
      <c r="N7060" s="131"/>
    </row>
    <row r="7061" spans="14:14" x14ac:dyDescent="0.2">
      <c r="N7061" s="131"/>
    </row>
    <row r="7062" spans="14:14" x14ac:dyDescent="0.2">
      <c r="N7062" s="131"/>
    </row>
    <row r="7063" spans="14:14" x14ac:dyDescent="0.2">
      <c r="N7063" s="131"/>
    </row>
    <row r="7064" spans="14:14" x14ac:dyDescent="0.2">
      <c r="N7064" s="131"/>
    </row>
    <row r="7065" spans="14:14" x14ac:dyDescent="0.2">
      <c r="N7065" s="131"/>
    </row>
    <row r="7066" spans="14:14" x14ac:dyDescent="0.2">
      <c r="N7066" s="131"/>
    </row>
    <row r="7067" spans="14:14" x14ac:dyDescent="0.2">
      <c r="N7067" s="131"/>
    </row>
    <row r="7068" spans="14:14" x14ac:dyDescent="0.2">
      <c r="N7068" s="131"/>
    </row>
    <row r="7069" spans="14:14" x14ac:dyDescent="0.2">
      <c r="N7069" s="131"/>
    </row>
    <row r="7070" spans="14:14" x14ac:dyDescent="0.2">
      <c r="N7070" s="131"/>
    </row>
    <row r="7071" spans="14:14" x14ac:dyDescent="0.2">
      <c r="N7071" s="131"/>
    </row>
    <row r="7072" spans="14:14" x14ac:dyDescent="0.2">
      <c r="N7072" s="131"/>
    </row>
    <row r="7073" spans="14:14" x14ac:dyDescent="0.2">
      <c r="N7073" s="131"/>
    </row>
    <row r="7074" spans="14:14" x14ac:dyDescent="0.2">
      <c r="N7074" s="131"/>
    </row>
    <row r="7075" spans="14:14" x14ac:dyDescent="0.2">
      <c r="N7075" s="131"/>
    </row>
    <row r="7076" spans="14:14" x14ac:dyDescent="0.2">
      <c r="N7076" s="131"/>
    </row>
    <row r="7077" spans="14:14" x14ac:dyDescent="0.2">
      <c r="N7077" s="131"/>
    </row>
    <row r="7078" spans="14:14" x14ac:dyDescent="0.2">
      <c r="N7078" s="131"/>
    </row>
    <row r="7079" spans="14:14" x14ac:dyDescent="0.2">
      <c r="N7079" s="131"/>
    </row>
    <row r="7080" spans="14:14" x14ac:dyDescent="0.2">
      <c r="N7080" s="131"/>
    </row>
    <row r="7081" spans="14:14" x14ac:dyDescent="0.2">
      <c r="N7081" s="131"/>
    </row>
    <row r="7082" spans="14:14" x14ac:dyDescent="0.2">
      <c r="N7082" s="131"/>
    </row>
    <row r="7083" spans="14:14" x14ac:dyDescent="0.2">
      <c r="N7083" s="131"/>
    </row>
    <row r="7084" spans="14:14" x14ac:dyDescent="0.2">
      <c r="N7084" s="131"/>
    </row>
    <row r="7085" spans="14:14" x14ac:dyDescent="0.2">
      <c r="N7085" s="131"/>
    </row>
    <row r="7086" spans="14:14" x14ac:dyDescent="0.2">
      <c r="N7086" s="131"/>
    </row>
    <row r="7087" spans="14:14" x14ac:dyDescent="0.2">
      <c r="N7087" s="131"/>
    </row>
    <row r="7088" spans="14:14" x14ac:dyDescent="0.2">
      <c r="N7088" s="131"/>
    </row>
    <row r="7089" spans="14:14" x14ac:dyDescent="0.2">
      <c r="N7089" s="131"/>
    </row>
    <row r="7090" spans="14:14" x14ac:dyDescent="0.2">
      <c r="N7090" s="131"/>
    </row>
    <row r="7091" spans="14:14" x14ac:dyDescent="0.2">
      <c r="N7091" s="131"/>
    </row>
    <row r="7092" spans="14:14" x14ac:dyDescent="0.2">
      <c r="N7092" s="131"/>
    </row>
    <row r="7093" spans="14:14" x14ac:dyDescent="0.2">
      <c r="N7093" s="131"/>
    </row>
    <row r="7094" spans="14:14" x14ac:dyDescent="0.2">
      <c r="N7094" s="131"/>
    </row>
    <row r="7095" spans="14:14" x14ac:dyDescent="0.2">
      <c r="N7095" s="131"/>
    </row>
    <row r="7096" spans="14:14" x14ac:dyDescent="0.2">
      <c r="N7096" s="131"/>
    </row>
    <row r="7097" spans="14:14" x14ac:dyDescent="0.2">
      <c r="N7097" s="131"/>
    </row>
    <row r="7098" spans="14:14" x14ac:dyDescent="0.2">
      <c r="N7098" s="131"/>
    </row>
    <row r="7099" spans="14:14" x14ac:dyDescent="0.2">
      <c r="N7099" s="131"/>
    </row>
    <row r="7100" spans="14:14" x14ac:dyDescent="0.2">
      <c r="N7100" s="131"/>
    </row>
    <row r="7101" spans="14:14" x14ac:dyDescent="0.2">
      <c r="N7101" s="131"/>
    </row>
    <row r="7102" spans="14:14" x14ac:dyDescent="0.2">
      <c r="N7102" s="131"/>
    </row>
    <row r="7103" spans="14:14" x14ac:dyDescent="0.2">
      <c r="N7103" s="131"/>
    </row>
    <row r="7104" spans="14:14" x14ac:dyDescent="0.2">
      <c r="N7104" s="131"/>
    </row>
    <row r="7105" spans="14:14" x14ac:dyDescent="0.2">
      <c r="N7105" s="131"/>
    </row>
    <row r="7106" spans="14:14" x14ac:dyDescent="0.2">
      <c r="N7106" s="131"/>
    </row>
    <row r="7107" spans="14:14" x14ac:dyDescent="0.2">
      <c r="N7107" s="131"/>
    </row>
    <row r="7108" spans="14:14" x14ac:dyDescent="0.2">
      <c r="N7108" s="131"/>
    </row>
    <row r="7109" spans="14:14" x14ac:dyDescent="0.2">
      <c r="N7109" s="131"/>
    </row>
    <row r="7110" spans="14:14" x14ac:dyDescent="0.2">
      <c r="N7110" s="131"/>
    </row>
    <row r="7111" spans="14:14" x14ac:dyDescent="0.2">
      <c r="N7111" s="131"/>
    </row>
    <row r="7112" spans="14:14" x14ac:dyDescent="0.2">
      <c r="N7112" s="131"/>
    </row>
    <row r="7113" spans="14:14" x14ac:dyDescent="0.2">
      <c r="N7113" s="131"/>
    </row>
    <row r="7114" spans="14:14" x14ac:dyDescent="0.2">
      <c r="N7114" s="131"/>
    </row>
    <row r="7115" spans="14:14" x14ac:dyDescent="0.2">
      <c r="N7115" s="131"/>
    </row>
    <row r="7116" spans="14:14" x14ac:dyDescent="0.2">
      <c r="N7116" s="131"/>
    </row>
    <row r="7117" spans="14:14" x14ac:dyDescent="0.2">
      <c r="N7117" s="131"/>
    </row>
    <row r="7118" spans="14:14" x14ac:dyDescent="0.2">
      <c r="N7118" s="131"/>
    </row>
    <row r="7119" spans="14:14" x14ac:dyDescent="0.2">
      <c r="N7119" s="131"/>
    </row>
    <row r="7120" spans="14:14" x14ac:dyDescent="0.2">
      <c r="N7120" s="131"/>
    </row>
    <row r="7121" spans="14:14" x14ac:dyDescent="0.2">
      <c r="N7121" s="131"/>
    </row>
    <row r="7122" spans="14:14" x14ac:dyDescent="0.2">
      <c r="N7122" s="131"/>
    </row>
    <row r="7123" spans="14:14" x14ac:dyDescent="0.2">
      <c r="N7123" s="131"/>
    </row>
    <row r="7124" spans="14:14" x14ac:dyDescent="0.2">
      <c r="N7124" s="131"/>
    </row>
    <row r="7125" spans="14:14" x14ac:dyDescent="0.2">
      <c r="N7125" s="131"/>
    </row>
    <row r="7126" spans="14:14" x14ac:dyDescent="0.2">
      <c r="N7126" s="131"/>
    </row>
    <row r="7127" spans="14:14" x14ac:dyDescent="0.2">
      <c r="N7127" s="131"/>
    </row>
    <row r="7128" spans="14:14" x14ac:dyDescent="0.2">
      <c r="N7128" s="131"/>
    </row>
    <row r="7129" spans="14:14" x14ac:dyDescent="0.2">
      <c r="N7129" s="131"/>
    </row>
    <row r="7130" spans="14:14" x14ac:dyDescent="0.2">
      <c r="N7130" s="131"/>
    </row>
    <row r="7131" spans="14:14" x14ac:dyDescent="0.2">
      <c r="N7131" s="131"/>
    </row>
    <row r="7132" spans="14:14" x14ac:dyDescent="0.2">
      <c r="N7132" s="131"/>
    </row>
    <row r="7133" spans="14:14" x14ac:dyDescent="0.2">
      <c r="N7133" s="131"/>
    </row>
    <row r="7134" spans="14:14" x14ac:dyDescent="0.2">
      <c r="N7134" s="131"/>
    </row>
    <row r="7135" spans="14:14" x14ac:dyDescent="0.2">
      <c r="N7135" s="131"/>
    </row>
    <row r="7136" spans="14:14" x14ac:dyDescent="0.2">
      <c r="N7136" s="131"/>
    </row>
    <row r="7137" spans="14:14" x14ac:dyDescent="0.2">
      <c r="N7137" s="131"/>
    </row>
    <row r="7138" spans="14:14" x14ac:dyDescent="0.2">
      <c r="N7138" s="131"/>
    </row>
    <row r="7139" spans="14:14" x14ac:dyDescent="0.2">
      <c r="N7139" s="131"/>
    </row>
    <row r="7140" spans="14:14" x14ac:dyDescent="0.2">
      <c r="N7140" s="131"/>
    </row>
    <row r="7141" spans="14:14" x14ac:dyDescent="0.2">
      <c r="N7141" s="131"/>
    </row>
    <row r="7142" spans="14:14" x14ac:dyDescent="0.2">
      <c r="N7142" s="131"/>
    </row>
    <row r="7143" spans="14:14" x14ac:dyDescent="0.2">
      <c r="N7143" s="131"/>
    </row>
    <row r="7144" spans="14:14" x14ac:dyDescent="0.2">
      <c r="N7144" s="131"/>
    </row>
    <row r="7145" spans="14:14" x14ac:dyDescent="0.2">
      <c r="N7145" s="131"/>
    </row>
    <row r="7146" spans="14:14" x14ac:dyDescent="0.2">
      <c r="N7146" s="131"/>
    </row>
    <row r="7147" spans="14:14" x14ac:dyDescent="0.2">
      <c r="N7147" s="131"/>
    </row>
    <row r="7148" spans="14:14" x14ac:dyDescent="0.2">
      <c r="N7148" s="131"/>
    </row>
    <row r="7149" spans="14:14" x14ac:dyDescent="0.2">
      <c r="N7149" s="131"/>
    </row>
    <row r="7150" spans="14:14" x14ac:dyDescent="0.2">
      <c r="N7150" s="131"/>
    </row>
    <row r="7151" spans="14:14" x14ac:dyDescent="0.2">
      <c r="N7151" s="131"/>
    </row>
    <row r="7152" spans="14:14" x14ac:dyDescent="0.2">
      <c r="N7152" s="131"/>
    </row>
    <row r="7153" spans="14:14" x14ac:dyDescent="0.2">
      <c r="N7153" s="131"/>
    </row>
    <row r="7154" spans="14:14" x14ac:dyDescent="0.2">
      <c r="N7154" s="131"/>
    </row>
    <row r="7155" spans="14:14" x14ac:dyDescent="0.2">
      <c r="N7155" s="131"/>
    </row>
    <row r="7156" spans="14:14" x14ac:dyDescent="0.2">
      <c r="N7156" s="131"/>
    </row>
    <row r="7157" spans="14:14" x14ac:dyDescent="0.2">
      <c r="N7157" s="131"/>
    </row>
    <row r="7158" spans="14:14" x14ac:dyDescent="0.2">
      <c r="N7158" s="131"/>
    </row>
    <row r="7159" spans="14:14" x14ac:dyDescent="0.2">
      <c r="N7159" s="131"/>
    </row>
    <row r="7160" spans="14:14" x14ac:dyDescent="0.2">
      <c r="N7160" s="131"/>
    </row>
    <row r="7161" spans="14:14" x14ac:dyDescent="0.2">
      <c r="N7161" s="131"/>
    </row>
    <row r="7162" spans="14:14" x14ac:dyDescent="0.2">
      <c r="N7162" s="131"/>
    </row>
    <row r="7163" spans="14:14" x14ac:dyDescent="0.2">
      <c r="N7163" s="131"/>
    </row>
    <row r="7164" spans="14:14" x14ac:dyDescent="0.2">
      <c r="N7164" s="131"/>
    </row>
    <row r="7165" spans="14:14" x14ac:dyDescent="0.2">
      <c r="N7165" s="131"/>
    </row>
    <row r="7166" spans="14:14" x14ac:dyDescent="0.2">
      <c r="N7166" s="131"/>
    </row>
    <row r="7167" spans="14:14" x14ac:dyDescent="0.2">
      <c r="N7167" s="131"/>
    </row>
    <row r="7168" spans="14:14" x14ac:dyDescent="0.2">
      <c r="N7168" s="131"/>
    </row>
    <row r="7169" spans="14:14" x14ac:dyDescent="0.2">
      <c r="N7169" s="131"/>
    </row>
    <row r="7170" spans="14:14" x14ac:dyDescent="0.2">
      <c r="N7170" s="131"/>
    </row>
    <row r="7171" spans="14:14" x14ac:dyDescent="0.2">
      <c r="N7171" s="131"/>
    </row>
    <row r="7172" spans="14:14" x14ac:dyDescent="0.2">
      <c r="N7172" s="131"/>
    </row>
    <row r="7173" spans="14:14" x14ac:dyDescent="0.2">
      <c r="N7173" s="131"/>
    </row>
    <row r="7174" spans="14:14" x14ac:dyDescent="0.2">
      <c r="N7174" s="131"/>
    </row>
    <row r="7175" spans="14:14" x14ac:dyDescent="0.2">
      <c r="N7175" s="131"/>
    </row>
    <row r="7176" spans="14:14" x14ac:dyDescent="0.2">
      <c r="N7176" s="131"/>
    </row>
    <row r="7177" spans="14:14" x14ac:dyDescent="0.2">
      <c r="N7177" s="131"/>
    </row>
    <row r="7178" spans="14:14" x14ac:dyDescent="0.2">
      <c r="N7178" s="131"/>
    </row>
    <row r="7179" spans="14:14" x14ac:dyDescent="0.2">
      <c r="N7179" s="131"/>
    </row>
    <row r="7180" spans="14:14" x14ac:dyDescent="0.2">
      <c r="N7180" s="131"/>
    </row>
    <row r="7181" spans="14:14" x14ac:dyDescent="0.2">
      <c r="N7181" s="131"/>
    </row>
    <row r="7182" spans="14:14" x14ac:dyDescent="0.2">
      <c r="N7182" s="131"/>
    </row>
    <row r="7183" spans="14:14" x14ac:dyDescent="0.2">
      <c r="N7183" s="131"/>
    </row>
    <row r="7184" spans="14:14" x14ac:dyDescent="0.2">
      <c r="N7184" s="131"/>
    </row>
    <row r="7185" spans="14:14" x14ac:dyDescent="0.2">
      <c r="N7185" s="131"/>
    </row>
    <row r="7186" spans="14:14" x14ac:dyDescent="0.2">
      <c r="N7186" s="131"/>
    </row>
    <row r="7187" spans="14:14" x14ac:dyDescent="0.2">
      <c r="N7187" s="131"/>
    </row>
    <row r="7188" spans="14:14" x14ac:dyDescent="0.2">
      <c r="N7188" s="131"/>
    </row>
    <row r="7189" spans="14:14" x14ac:dyDescent="0.2">
      <c r="N7189" s="131"/>
    </row>
    <row r="7190" spans="14:14" x14ac:dyDescent="0.2">
      <c r="N7190" s="131"/>
    </row>
    <row r="7191" spans="14:14" x14ac:dyDescent="0.2">
      <c r="N7191" s="131"/>
    </row>
    <row r="7192" spans="14:14" x14ac:dyDescent="0.2">
      <c r="N7192" s="131"/>
    </row>
    <row r="7193" spans="14:14" x14ac:dyDescent="0.2">
      <c r="N7193" s="131"/>
    </row>
    <row r="7194" spans="14:14" x14ac:dyDescent="0.2">
      <c r="N7194" s="131"/>
    </row>
    <row r="7195" spans="14:14" x14ac:dyDescent="0.2">
      <c r="N7195" s="131"/>
    </row>
    <row r="7196" spans="14:14" x14ac:dyDescent="0.2">
      <c r="N7196" s="131"/>
    </row>
    <row r="7197" spans="14:14" x14ac:dyDescent="0.2">
      <c r="N7197" s="131"/>
    </row>
    <row r="7198" spans="14:14" x14ac:dyDescent="0.2">
      <c r="N7198" s="131"/>
    </row>
    <row r="7199" spans="14:14" x14ac:dyDescent="0.2">
      <c r="N7199" s="131"/>
    </row>
    <row r="7200" spans="14:14" x14ac:dyDescent="0.2">
      <c r="N7200" s="131"/>
    </row>
    <row r="7201" spans="14:14" x14ac:dyDescent="0.2">
      <c r="N7201" s="131"/>
    </row>
    <row r="7202" spans="14:14" x14ac:dyDescent="0.2">
      <c r="N7202" s="131"/>
    </row>
    <row r="7203" spans="14:14" x14ac:dyDescent="0.2">
      <c r="N7203" s="131"/>
    </row>
    <row r="7204" spans="14:14" x14ac:dyDescent="0.2">
      <c r="N7204" s="131"/>
    </row>
    <row r="7205" spans="14:14" x14ac:dyDescent="0.2">
      <c r="N7205" s="131"/>
    </row>
    <row r="7206" spans="14:14" x14ac:dyDescent="0.2">
      <c r="N7206" s="131"/>
    </row>
    <row r="7207" spans="14:14" x14ac:dyDescent="0.2">
      <c r="N7207" s="131"/>
    </row>
    <row r="7208" spans="14:14" x14ac:dyDescent="0.2">
      <c r="N7208" s="131"/>
    </row>
    <row r="7209" spans="14:14" x14ac:dyDescent="0.2">
      <c r="N7209" s="131"/>
    </row>
    <row r="7210" spans="14:14" x14ac:dyDescent="0.2">
      <c r="N7210" s="131"/>
    </row>
    <row r="7211" spans="14:14" x14ac:dyDescent="0.2">
      <c r="N7211" s="131"/>
    </row>
    <row r="7212" spans="14:14" x14ac:dyDescent="0.2">
      <c r="N7212" s="131"/>
    </row>
    <row r="7213" spans="14:14" x14ac:dyDescent="0.2">
      <c r="N7213" s="131"/>
    </row>
    <row r="7214" spans="14:14" x14ac:dyDescent="0.2">
      <c r="N7214" s="131"/>
    </row>
    <row r="7215" spans="14:14" x14ac:dyDescent="0.2">
      <c r="N7215" s="131"/>
    </row>
    <row r="7216" spans="14:14" x14ac:dyDescent="0.2">
      <c r="N7216" s="131"/>
    </row>
    <row r="7217" spans="14:14" x14ac:dyDescent="0.2">
      <c r="N7217" s="131"/>
    </row>
    <row r="7218" spans="14:14" x14ac:dyDescent="0.2">
      <c r="N7218" s="131"/>
    </row>
    <row r="7219" spans="14:14" x14ac:dyDescent="0.2">
      <c r="N7219" s="131"/>
    </row>
    <row r="7220" spans="14:14" x14ac:dyDescent="0.2">
      <c r="N7220" s="131"/>
    </row>
    <row r="7221" spans="14:14" x14ac:dyDescent="0.2">
      <c r="N7221" s="131"/>
    </row>
    <row r="7222" spans="14:14" x14ac:dyDescent="0.2">
      <c r="N7222" s="131"/>
    </row>
    <row r="7223" spans="14:14" x14ac:dyDescent="0.2">
      <c r="N7223" s="131"/>
    </row>
    <row r="7224" spans="14:14" x14ac:dyDescent="0.2">
      <c r="N7224" s="131"/>
    </row>
    <row r="7225" spans="14:14" x14ac:dyDescent="0.2">
      <c r="N7225" s="131"/>
    </row>
    <row r="7226" spans="14:14" x14ac:dyDescent="0.2">
      <c r="N7226" s="131"/>
    </row>
    <row r="7227" spans="14:14" x14ac:dyDescent="0.2">
      <c r="N7227" s="131"/>
    </row>
    <row r="7228" spans="14:14" x14ac:dyDescent="0.2">
      <c r="N7228" s="131"/>
    </row>
    <row r="7229" spans="14:14" x14ac:dyDescent="0.2">
      <c r="N7229" s="131"/>
    </row>
    <row r="7230" spans="14:14" x14ac:dyDescent="0.2">
      <c r="N7230" s="131"/>
    </row>
    <row r="7231" spans="14:14" x14ac:dyDescent="0.2">
      <c r="N7231" s="131"/>
    </row>
    <row r="7232" spans="14:14" x14ac:dyDescent="0.2">
      <c r="N7232" s="131"/>
    </row>
    <row r="7233" spans="14:14" x14ac:dyDescent="0.2">
      <c r="N7233" s="131"/>
    </row>
    <row r="7234" spans="14:14" x14ac:dyDescent="0.2">
      <c r="N7234" s="131"/>
    </row>
    <row r="7235" spans="14:14" x14ac:dyDescent="0.2">
      <c r="N7235" s="131"/>
    </row>
    <row r="7236" spans="14:14" x14ac:dyDescent="0.2">
      <c r="N7236" s="131"/>
    </row>
    <row r="7237" spans="14:14" x14ac:dyDescent="0.2">
      <c r="N7237" s="131"/>
    </row>
    <row r="7238" spans="14:14" x14ac:dyDescent="0.2">
      <c r="N7238" s="131"/>
    </row>
    <row r="7239" spans="14:14" x14ac:dyDescent="0.2">
      <c r="N7239" s="131"/>
    </row>
    <row r="7240" spans="14:14" x14ac:dyDescent="0.2">
      <c r="N7240" s="131"/>
    </row>
    <row r="7241" spans="14:14" x14ac:dyDescent="0.2">
      <c r="N7241" s="131"/>
    </row>
    <row r="7242" spans="14:14" x14ac:dyDescent="0.2">
      <c r="N7242" s="131"/>
    </row>
    <row r="7243" spans="14:14" x14ac:dyDescent="0.2">
      <c r="N7243" s="131"/>
    </row>
    <row r="7244" spans="14:14" x14ac:dyDescent="0.2">
      <c r="N7244" s="131"/>
    </row>
    <row r="7245" spans="14:14" x14ac:dyDescent="0.2">
      <c r="N7245" s="131"/>
    </row>
    <row r="7246" spans="14:14" x14ac:dyDescent="0.2">
      <c r="N7246" s="131"/>
    </row>
    <row r="7247" spans="14:14" x14ac:dyDescent="0.2">
      <c r="N7247" s="131"/>
    </row>
    <row r="7248" spans="14:14" x14ac:dyDescent="0.2">
      <c r="N7248" s="131"/>
    </row>
    <row r="7249" spans="14:14" x14ac:dyDescent="0.2">
      <c r="N7249" s="131"/>
    </row>
    <row r="7250" spans="14:14" x14ac:dyDescent="0.2">
      <c r="N7250" s="131"/>
    </row>
    <row r="7251" spans="14:14" x14ac:dyDescent="0.2">
      <c r="N7251" s="131"/>
    </row>
    <row r="7252" spans="14:14" x14ac:dyDescent="0.2">
      <c r="N7252" s="131"/>
    </row>
    <row r="7253" spans="14:14" x14ac:dyDescent="0.2">
      <c r="N7253" s="131"/>
    </row>
    <row r="7254" spans="14:14" x14ac:dyDescent="0.2">
      <c r="N7254" s="131"/>
    </row>
    <row r="7255" spans="14:14" x14ac:dyDescent="0.2">
      <c r="N7255" s="131"/>
    </row>
    <row r="7256" spans="14:14" x14ac:dyDescent="0.2">
      <c r="N7256" s="131"/>
    </row>
    <row r="7257" spans="14:14" x14ac:dyDescent="0.2">
      <c r="N7257" s="131"/>
    </row>
    <row r="7258" spans="14:14" x14ac:dyDescent="0.2">
      <c r="N7258" s="131"/>
    </row>
    <row r="7259" spans="14:14" x14ac:dyDescent="0.2">
      <c r="N7259" s="131"/>
    </row>
    <row r="7260" spans="14:14" x14ac:dyDescent="0.2">
      <c r="N7260" s="131"/>
    </row>
    <row r="7261" spans="14:14" x14ac:dyDescent="0.2">
      <c r="N7261" s="131"/>
    </row>
    <row r="7262" spans="14:14" x14ac:dyDescent="0.2">
      <c r="N7262" s="131"/>
    </row>
    <row r="7263" spans="14:14" x14ac:dyDescent="0.2">
      <c r="N7263" s="131"/>
    </row>
    <row r="7264" spans="14:14" x14ac:dyDescent="0.2">
      <c r="N7264" s="131"/>
    </row>
    <row r="7265" spans="14:14" x14ac:dyDescent="0.2">
      <c r="N7265" s="131"/>
    </row>
    <row r="7266" spans="14:14" x14ac:dyDescent="0.2">
      <c r="N7266" s="131"/>
    </row>
    <row r="7267" spans="14:14" x14ac:dyDescent="0.2">
      <c r="N7267" s="131"/>
    </row>
    <row r="7268" spans="14:14" x14ac:dyDescent="0.2">
      <c r="N7268" s="131"/>
    </row>
    <row r="7269" spans="14:14" x14ac:dyDescent="0.2">
      <c r="N7269" s="131"/>
    </row>
    <row r="7270" spans="14:14" x14ac:dyDescent="0.2">
      <c r="N7270" s="131"/>
    </row>
    <row r="7271" spans="14:14" x14ac:dyDescent="0.2">
      <c r="N7271" s="131"/>
    </row>
    <row r="7272" spans="14:14" x14ac:dyDescent="0.2">
      <c r="N7272" s="131"/>
    </row>
    <row r="7273" spans="14:14" x14ac:dyDescent="0.2">
      <c r="N7273" s="131"/>
    </row>
    <row r="7274" spans="14:14" x14ac:dyDescent="0.2">
      <c r="N7274" s="131"/>
    </row>
    <row r="7275" spans="14:14" x14ac:dyDescent="0.2">
      <c r="N7275" s="131"/>
    </row>
    <row r="7276" spans="14:14" x14ac:dyDescent="0.2">
      <c r="N7276" s="131"/>
    </row>
    <row r="7277" spans="14:14" x14ac:dyDescent="0.2">
      <c r="N7277" s="131"/>
    </row>
    <row r="7278" spans="14:14" x14ac:dyDescent="0.2">
      <c r="N7278" s="131"/>
    </row>
    <row r="7279" spans="14:14" x14ac:dyDescent="0.2">
      <c r="N7279" s="131"/>
    </row>
    <row r="7280" spans="14:14" x14ac:dyDescent="0.2">
      <c r="N7280" s="131"/>
    </row>
    <row r="7281" spans="14:14" x14ac:dyDescent="0.2">
      <c r="N7281" s="131"/>
    </row>
    <row r="7282" spans="14:14" x14ac:dyDescent="0.2">
      <c r="N7282" s="131"/>
    </row>
    <row r="7283" spans="14:14" x14ac:dyDescent="0.2">
      <c r="N7283" s="131"/>
    </row>
    <row r="7284" spans="14:14" x14ac:dyDescent="0.2">
      <c r="N7284" s="131"/>
    </row>
    <row r="7285" spans="14:14" x14ac:dyDescent="0.2">
      <c r="N7285" s="131"/>
    </row>
    <row r="7286" spans="14:14" x14ac:dyDescent="0.2">
      <c r="N7286" s="131"/>
    </row>
    <row r="7287" spans="14:14" x14ac:dyDescent="0.2">
      <c r="N7287" s="131"/>
    </row>
    <row r="7288" spans="14:14" x14ac:dyDescent="0.2">
      <c r="N7288" s="131"/>
    </row>
    <row r="7289" spans="14:14" x14ac:dyDescent="0.2">
      <c r="N7289" s="131"/>
    </row>
    <row r="7290" spans="14:14" x14ac:dyDescent="0.2">
      <c r="N7290" s="131"/>
    </row>
    <row r="7291" spans="14:14" x14ac:dyDescent="0.2">
      <c r="N7291" s="131"/>
    </row>
    <row r="7292" spans="14:14" x14ac:dyDescent="0.2">
      <c r="N7292" s="131"/>
    </row>
    <row r="7293" spans="14:14" x14ac:dyDescent="0.2">
      <c r="N7293" s="131"/>
    </row>
    <row r="7294" spans="14:14" x14ac:dyDescent="0.2">
      <c r="N7294" s="131"/>
    </row>
    <row r="7295" spans="14:14" x14ac:dyDescent="0.2">
      <c r="N7295" s="131"/>
    </row>
    <row r="7296" spans="14:14" x14ac:dyDescent="0.2">
      <c r="N7296" s="131"/>
    </row>
    <row r="7297" spans="14:14" x14ac:dyDescent="0.2">
      <c r="N7297" s="131"/>
    </row>
    <row r="7298" spans="14:14" x14ac:dyDescent="0.2">
      <c r="N7298" s="131"/>
    </row>
    <row r="7299" spans="14:14" x14ac:dyDescent="0.2">
      <c r="N7299" s="131"/>
    </row>
    <row r="7300" spans="14:14" x14ac:dyDescent="0.2">
      <c r="N7300" s="131"/>
    </row>
    <row r="7301" spans="14:14" x14ac:dyDescent="0.2">
      <c r="N7301" s="131"/>
    </row>
    <row r="7302" spans="14:14" x14ac:dyDescent="0.2">
      <c r="N7302" s="131"/>
    </row>
    <row r="7303" spans="14:14" x14ac:dyDescent="0.2">
      <c r="N7303" s="131"/>
    </row>
    <row r="7304" spans="14:14" x14ac:dyDescent="0.2">
      <c r="N7304" s="131"/>
    </row>
    <row r="7305" spans="14:14" x14ac:dyDescent="0.2">
      <c r="N7305" s="131"/>
    </row>
    <row r="7306" spans="14:14" x14ac:dyDescent="0.2">
      <c r="N7306" s="131"/>
    </row>
    <row r="7307" spans="14:14" x14ac:dyDescent="0.2">
      <c r="N7307" s="131"/>
    </row>
    <row r="7308" spans="14:14" x14ac:dyDescent="0.2">
      <c r="N7308" s="131"/>
    </row>
    <row r="7309" spans="14:14" x14ac:dyDescent="0.2">
      <c r="N7309" s="131"/>
    </row>
    <row r="7310" spans="14:14" x14ac:dyDescent="0.2">
      <c r="N7310" s="131"/>
    </row>
    <row r="7311" spans="14:14" x14ac:dyDescent="0.2">
      <c r="N7311" s="131"/>
    </row>
    <row r="7312" spans="14:14" x14ac:dyDescent="0.2">
      <c r="N7312" s="131"/>
    </row>
    <row r="7313" spans="14:14" x14ac:dyDescent="0.2">
      <c r="N7313" s="131"/>
    </row>
    <row r="7314" spans="14:14" x14ac:dyDescent="0.2">
      <c r="N7314" s="131"/>
    </row>
    <row r="7315" spans="14:14" x14ac:dyDescent="0.2">
      <c r="N7315" s="131"/>
    </row>
    <row r="7316" spans="14:14" x14ac:dyDescent="0.2">
      <c r="N7316" s="131"/>
    </row>
    <row r="7317" spans="14:14" x14ac:dyDescent="0.2">
      <c r="N7317" s="131"/>
    </row>
    <row r="7318" spans="14:14" x14ac:dyDescent="0.2">
      <c r="N7318" s="131"/>
    </row>
    <row r="7319" spans="14:14" x14ac:dyDescent="0.2">
      <c r="N7319" s="131"/>
    </row>
    <row r="7320" spans="14:14" x14ac:dyDescent="0.2">
      <c r="N7320" s="131"/>
    </row>
    <row r="7321" spans="14:14" x14ac:dyDescent="0.2">
      <c r="N7321" s="131"/>
    </row>
    <row r="7322" spans="14:14" x14ac:dyDescent="0.2">
      <c r="N7322" s="131"/>
    </row>
    <row r="7323" spans="14:14" x14ac:dyDescent="0.2">
      <c r="N7323" s="131"/>
    </row>
    <row r="7324" spans="14:14" x14ac:dyDescent="0.2">
      <c r="N7324" s="131"/>
    </row>
    <row r="7325" spans="14:14" x14ac:dyDescent="0.2">
      <c r="N7325" s="131"/>
    </row>
    <row r="7326" spans="14:14" x14ac:dyDescent="0.2">
      <c r="N7326" s="131"/>
    </row>
    <row r="7327" spans="14:14" x14ac:dyDescent="0.2">
      <c r="N7327" s="131"/>
    </row>
    <row r="7328" spans="14:14" x14ac:dyDescent="0.2">
      <c r="N7328" s="131"/>
    </row>
    <row r="7329" spans="14:14" x14ac:dyDescent="0.2">
      <c r="N7329" s="131"/>
    </row>
    <row r="7330" spans="14:14" x14ac:dyDescent="0.2">
      <c r="N7330" s="131"/>
    </row>
    <row r="7331" spans="14:14" x14ac:dyDescent="0.2">
      <c r="N7331" s="131"/>
    </row>
    <row r="7332" spans="14:14" x14ac:dyDescent="0.2">
      <c r="N7332" s="131"/>
    </row>
    <row r="7333" spans="14:14" x14ac:dyDescent="0.2">
      <c r="N7333" s="131"/>
    </row>
    <row r="7334" spans="14:14" x14ac:dyDescent="0.2">
      <c r="N7334" s="131"/>
    </row>
    <row r="7335" spans="14:14" x14ac:dyDescent="0.2">
      <c r="N7335" s="131"/>
    </row>
    <row r="7336" spans="14:14" x14ac:dyDescent="0.2">
      <c r="N7336" s="131"/>
    </row>
    <row r="7337" spans="14:14" x14ac:dyDescent="0.2">
      <c r="N7337" s="131"/>
    </row>
    <row r="7338" spans="14:14" x14ac:dyDescent="0.2">
      <c r="N7338" s="131"/>
    </row>
    <row r="7339" spans="14:14" x14ac:dyDescent="0.2">
      <c r="N7339" s="131"/>
    </row>
    <row r="7340" spans="14:14" x14ac:dyDescent="0.2">
      <c r="N7340" s="131"/>
    </row>
    <row r="7341" spans="14:14" x14ac:dyDescent="0.2">
      <c r="N7341" s="131"/>
    </row>
    <row r="7342" spans="14:14" x14ac:dyDescent="0.2">
      <c r="N7342" s="131"/>
    </row>
    <row r="7343" spans="14:14" x14ac:dyDescent="0.2">
      <c r="N7343" s="131"/>
    </row>
    <row r="7344" spans="14:14" x14ac:dyDescent="0.2">
      <c r="N7344" s="131"/>
    </row>
    <row r="7345" spans="14:14" x14ac:dyDescent="0.2">
      <c r="N7345" s="131"/>
    </row>
    <row r="7346" spans="14:14" x14ac:dyDescent="0.2">
      <c r="N7346" s="131"/>
    </row>
    <row r="7347" spans="14:14" x14ac:dyDescent="0.2">
      <c r="N7347" s="131"/>
    </row>
    <row r="7348" spans="14:14" x14ac:dyDescent="0.2">
      <c r="N7348" s="131"/>
    </row>
    <row r="7349" spans="14:14" x14ac:dyDescent="0.2">
      <c r="N7349" s="131"/>
    </row>
    <row r="7350" spans="14:14" x14ac:dyDescent="0.2">
      <c r="N7350" s="131"/>
    </row>
    <row r="7351" spans="14:14" x14ac:dyDescent="0.2">
      <c r="N7351" s="131"/>
    </row>
    <row r="7352" spans="14:14" x14ac:dyDescent="0.2">
      <c r="N7352" s="131"/>
    </row>
    <row r="7353" spans="14:14" x14ac:dyDescent="0.2">
      <c r="N7353" s="131"/>
    </row>
    <row r="7354" spans="14:14" x14ac:dyDescent="0.2">
      <c r="N7354" s="131"/>
    </row>
    <row r="7355" spans="14:14" x14ac:dyDescent="0.2">
      <c r="N7355" s="131"/>
    </row>
    <row r="7356" spans="14:14" x14ac:dyDescent="0.2">
      <c r="N7356" s="131"/>
    </row>
    <row r="7357" spans="14:14" x14ac:dyDescent="0.2">
      <c r="N7357" s="131"/>
    </row>
    <row r="7358" spans="14:14" x14ac:dyDescent="0.2">
      <c r="N7358" s="131"/>
    </row>
    <row r="7359" spans="14:14" x14ac:dyDescent="0.2">
      <c r="N7359" s="131"/>
    </row>
    <row r="7360" spans="14:14" x14ac:dyDescent="0.2">
      <c r="N7360" s="131"/>
    </row>
    <row r="7361" spans="14:14" x14ac:dyDescent="0.2">
      <c r="N7361" s="131"/>
    </row>
    <row r="7362" spans="14:14" x14ac:dyDescent="0.2">
      <c r="N7362" s="131"/>
    </row>
    <row r="7363" spans="14:14" x14ac:dyDescent="0.2">
      <c r="N7363" s="131"/>
    </row>
    <row r="7364" spans="14:14" x14ac:dyDescent="0.2">
      <c r="N7364" s="131"/>
    </row>
    <row r="7365" spans="14:14" x14ac:dyDescent="0.2">
      <c r="N7365" s="131"/>
    </row>
    <row r="7366" spans="14:14" x14ac:dyDescent="0.2">
      <c r="N7366" s="131"/>
    </row>
    <row r="7367" spans="14:14" x14ac:dyDescent="0.2">
      <c r="N7367" s="131"/>
    </row>
    <row r="7368" spans="14:14" x14ac:dyDescent="0.2">
      <c r="N7368" s="131"/>
    </row>
    <row r="7369" spans="14:14" x14ac:dyDescent="0.2">
      <c r="N7369" s="131"/>
    </row>
    <row r="7370" spans="14:14" x14ac:dyDescent="0.2">
      <c r="N7370" s="131"/>
    </row>
    <row r="7371" spans="14:14" x14ac:dyDescent="0.2">
      <c r="N7371" s="131"/>
    </row>
    <row r="7372" spans="14:14" x14ac:dyDescent="0.2">
      <c r="N7372" s="131"/>
    </row>
    <row r="7373" spans="14:14" x14ac:dyDescent="0.2">
      <c r="N7373" s="131"/>
    </row>
    <row r="7374" spans="14:14" x14ac:dyDescent="0.2">
      <c r="N7374" s="131"/>
    </row>
    <row r="7375" spans="14:14" x14ac:dyDescent="0.2">
      <c r="N7375" s="131"/>
    </row>
    <row r="7376" spans="14:14" x14ac:dyDescent="0.2">
      <c r="N7376" s="131"/>
    </row>
    <row r="7377" spans="14:14" x14ac:dyDescent="0.2">
      <c r="N7377" s="131"/>
    </row>
    <row r="7378" spans="14:14" x14ac:dyDescent="0.2">
      <c r="N7378" s="131"/>
    </row>
    <row r="7379" spans="14:14" x14ac:dyDescent="0.2">
      <c r="N7379" s="131"/>
    </row>
    <row r="7380" spans="14:14" x14ac:dyDescent="0.2">
      <c r="N7380" s="131"/>
    </row>
    <row r="7381" spans="14:14" x14ac:dyDescent="0.2">
      <c r="N7381" s="131"/>
    </row>
    <row r="7382" spans="14:14" x14ac:dyDescent="0.2">
      <c r="N7382" s="131"/>
    </row>
    <row r="7383" spans="14:14" x14ac:dyDescent="0.2">
      <c r="N7383" s="131"/>
    </row>
    <row r="7384" spans="14:14" x14ac:dyDescent="0.2">
      <c r="N7384" s="131"/>
    </row>
    <row r="7385" spans="14:14" x14ac:dyDescent="0.2">
      <c r="N7385" s="131"/>
    </row>
    <row r="7386" spans="14:14" x14ac:dyDescent="0.2">
      <c r="N7386" s="131"/>
    </row>
    <row r="7387" spans="14:14" x14ac:dyDescent="0.2">
      <c r="N7387" s="131"/>
    </row>
    <row r="7388" spans="14:14" x14ac:dyDescent="0.2">
      <c r="N7388" s="131"/>
    </row>
    <row r="7389" spans="14:14" x14ac:dyDescent="0.2">
      <c r="N7389" s="131"/>
    </row>
    <row r="7390" spans="14:14" x14ac:dyDescent="0.2">
      <c r="N7390" s="131"/>
    </row>
    <row r="7391" spans="14:14" x14ac:dyDescent="0.2">
      <c r="N7391" s="131"/>
    </row>
    <row r="7392" spans="14:14" x14ac:dyDescent="0.2">
      <c r="N7392" s="131"/>
    </row>
    <row r="7393" spans="14:14" x14ac:dyDescent="0.2">
      <c r="N7393" s="131"/>
    </row>
    <row r="7394" spans="14:14" x14ac:dyDescent="0.2">
      <c r="N7394" s="131"/>
    </row>
    <row r="7395" spans="14:14" x14ac:dyDescent="0.2">
      <c r="N7395" s="131"/>
    </row>
    <row r="7396" spans="14:14" x14ac:dyDescent="0.2">
      <c r="N7396" s="131"/>
    </row>
    <row r="7397" spans="14:14" x14ac:dyDescent="0.2">
      <c r="N7397" s="131"/>
    </row>
    <row r="7398" spans="14:14" x14ac:dyDescent="0.2">
      <c r="N7398" s="131"/>
    </row>
    <row r="7399" spans="14:14" x14ac:dyDescent="0.2">
      <c r="N7399" s="131"/>
    </row>
    <row r="7400" spans="14:14" x14ac:dyDescent="0.2">
      <c r="N7400" s="131"/>
    </row>
    <row r="7401" spans="14:14" x14ac:dyDescent="0.2">
      <c r="N7401" s="131"/>
    </row>
    <row r="7402" spans="14:14" x14ac:dyDescent="0.2">
      <c r="N7402" s="131"/>
    </row>
    <row r="7403" spans="14:14" x14ac:dyDescent="0.2">
      <c r="N7403" s="131"/>
    </row>
    <row r="7404" spans="14:14" x14ac:dyDescent="0.2">
      <c r="N7404" s="131"/>
    </row>
    <row r="7405" spans="14:14" x14ac:dyDescent="0.2">
      <c r="N7405" s="131"/>
    </row>
    <row r="7406" spans="14:14" x14ac:dyDescent="0.2">
      <c r="N7406" s="131"/>
    </row>
    <row r="7407" spans="14:14" x14ac:dyDescent="0.2">
      <c r="N7407" s="131"/>
    </row>
    <row r="7408" spans="14:14" x14ac:dyDescent="0.2">
      <c r="N7408" s="131"/>
    </row>
    <row r="7409" spans="14:14" x14ac:dyDescent="0.2">
      <c r="N7409" s="131"/>
    </row>
    <row r="7410" spans="14:14" x14ac:dyDescent="0.2">
      <c r="N7410" s="131"/>
    </row>
    <row r="7411" spans="14:14" x14ac:dyDescent="0.2">
      <c r="N7411" s="131"/>
    </row>
    <row r="7412" spans="14:14" x14ac:dyDescent="0.2">
      <c r="N7412" s="131"/>
    </row>
    <row r="7413" spans="14:14" x14ac:dyDescent="0.2">
      <c r="N7413" s="131"/>
    </row>
    <row r="7414" spans="14:14" x14ac:dyDescent="0.2">
      <c r="N7414" s="131"/>
    </row>
    <row r="7415" spans="14:14" x14ac:dyDescent="0.2">
      <c r="N7415" s="131"/>
    </row>
    <row r="7416" spans="14:14" x14ac:dyDescent="0.2">
      <c r="N7416" s="131"/>
    </row>
    <row r="7417" spans="14:14" x14ac:dyDescent="0.2">
      <c r="N7417" s="131"/>
    </row>
    <row r="7418" spans="14:14" x14ac:dyDescent="0.2">
      <c r="N7418" s="131"/>
    </row>
    <row r="7419" spans="14:14" x14ac:dyDescent="0.2">
      <c r="N7419" s="131"/>
    </row>
    <row r="7420" spans="14:14" x14ac:dyDescent="0.2">
      <c r="N7420" s="131"/>
    </row>
    <row r="7421" spans="14:14" x14ac:dyDescent="0.2">
      <c r="N7421" s="131"/>
    </row>
    <row r="7422" spans="14:14" x14ac:dyDescent="0.2">
      <c r="N7422" s="131"/>
    </row>
    <row r="7423" spans="14:14" x14ac:dyDescent="0.2">
      <c r="N7423" s="131"/>
    </row>
    <row r="7424" spans="14:14" x14ac:dyDescent="0.2">
      <c r="N7424" s="131"/>
    </row>
    <row r="7425" spans="14:14" x14ac:dyDescent="0.2">
      <c r="N7425" s="131"/>
    </row>
    <row r="7426" spans="14:14" x14ac:dyDescent="0.2">
      <c r="N7426" s="131"/>
    </row>
    <row r="7427" spans="14:14" x14ac:dyDescent="0.2">
      <c r="N7427" s="131"/>
    </row>
    <row r="7428" spans="14:14" x14ac:dyDescent="0.2">
      <c r="N7428" s="131"/>
    </row>
    <row r="7429" spans="14:14" x14ac:dyDescent="0.2">
      <c r="N7429" s="131"/>
    </row>
    <row r="7430" spans="14:14" x14ac:dyDescent="0.2">
      <c r="N7430" s="131"/>
    </row>
    <row r="7431" spans="14:14" x14ac:dyDescent="0.2">
      <c r="N7431" s="131"/>
    </row>
    <row r="7432" spans="14:14" x14ac:dyDescent="0.2">
      <c r="N7432" s="131"/>
    </row>
    <row r="7433" spans="14:14" x14ac:dyDescent="0.2">
      <c r="N7433" s="131"/>
    </row>
    <row r="7434" spans="14:14" x14ac:dyDescent="0.2">
      <c r="N7434" s="131"/>
    </row>
    <row r="7435" spans="14:14" x14ac:dyDescent="0.2">
      <c r="N7435" s="131"/>
    </row>
    <row r="7436" spans="14:14" x14ac:dyDescent="0.2">
      <c r="N7436" s="131"/>
    </row>
    <row r="7437" spans="14:14" x14ac:dyDescent="0.2">
      <c r="N7437" s="131"/>
    </row>
    <row r="7438" spans="14:14" x14ac:dyDescent="0.2">
      <c r="N7438" s="131"/>
    </row>
    <row r="7439" spans="14:14" x14ac:dyDescent="0.2">
      <c r="N7439" s="131"/>
    </row>
    <row r="7440" spans="14:14" x14ac:dyDescent="0.2">
      <c r="N7440" s="131"/>
    </row>
    <row r="7441" spans="14:14" x14ac:dyDescent="0.2">
      <c r="N7441" s="131"/>
    </row>
    <row r="7442" spans="14:14" x14ac:dyDescent="0.2">
      <c r="N7442" s="131"/>
    </row>
    <row r="7443" spans="14:14" x14ac:dyDescent="0.2">
      <c r="N7443" s="131"/>
    </row>
    <row r="7444" spans="14:14" x14ac:dyDescent="0.2">
      <c r="N7444" s="131"/>
    </row>
    <row r="7445" spans="14:14" x14ac:dyDescent="0.2">
      <c r="N7445" s="131"/>
    </row>
    <row r="7446" spans="14:14" x14ac:dyDescent="0.2">
      <c r="N7446" s="131"/>
    </row>
    <row r="7447" spans="14:14" x14ac:dyDescent="0.2">
      <c r="N7447" s="131"/>
    </row>
    <row r="7448" spans="14:14" x14ac:dyDescent="0.2">
      <c r="N7448" s="131"/>
    </row>
    <row r="7449" spans="14:14" x14ac:dyDescent="0.2">
      <c r="N7449" s="131"/>
    </row>
    <row r="7450" spans="14:14" x14ac:dyDescent="0.2">
      <c r="N7450" s="131"/>
    </row>
    <row r="7451" spans="14:14" x14ac:dyDescent="0.2">
      <c r="N7451" s="131"/>
    </row>
    <row r="7452" spans="14:14" x14ac:dyDescent="0.2">
      <c r="N7452" s="131"/>
    </row>
    <row r="7453" spans="14:14" x14ac:dyDescent="0.2">
      <c r="N7453" s="131"/>
    </row>
    <row r="7454" spans="14:14" x14ac:dyDescent="0.2">
      <c r="N7454" s="131"/>
    </row>
    <row r="7455" spans="14:14" x14ac:dyDescent="0.2">
      <c r="N7455" s="131"/>
    </row>
    <row r="7456" spans="14:14" x14ac:dyDescent="0.2">
      <c r="N7456" s="131"/>
    </row>
    <row r="7457" spans="14:14" x14ac:dyDescent="0.2">
      <c r="N7457" s="131"/>
    </row>
    <row r="7458" spans="14:14" x14ac:dyDescent="0.2">
      <c r="N7458" s="131"/>
    </row>
    <row r="7459" spans="14:14" x14ac:dyDescent="0.2">
      <c r="N7459" s="131"/>
    </row>
    <row r="7460" spans="14:14" x14ac:dyDescent="0.2">
      <c r="N7460" s="131"/>
    </row>
    <row r="7461" spans="14:14" x14ac:dyDescent="0.2">
      <c r="N7461" s="131"/>
    </row>
    <row r="7462" spans="14:14" x14ac:dyDescent="0.2">
      <c r="N7462" s="131"/>
    </row>
    <row r="7463" spans="14:14" x14ac:dyDescent="0.2">
      <c r="N7463" s="131"/>
    </row>
    <row r="7464" spans="14:14" x14ac:dyDescent="0.2">
      <c r="N7464" s="131"/>
    </row>
    <row r="7465" spans="14:14" x14ac:dyDescent="0.2">
      <c r="N7465" s="131"/>
    </row>
    <row r="7466" spans="14:14" x14ac:dyDescent="0.2">
      <c r="N7466" s="131"/>
    </row>
    <row r="7467" spans="14:14" x14ac:dyDescent="0.2">
      <c r="N7467" s="131"/>
    </row>
    <row r="7468" spans="14:14" x14ac:dyDescent="0.2">
      <c r="N7468" s="131"/>
    </row>
    <row r="7469" spans="14:14" x14ac:dyDescent="0.2">
      <c r="N7469" s="131"/>
    </row>
    <row r="7470" spans="14:14" x14ac:dyDescent="0.2">
      <c r="N7470" s="131"/>
    </row>
    <row r="7471" spans="14:14" x14ac:dyDescent="0.2">
      <c r="N7471" s="131"/>
    </row>
    <row r="7472" spans="14:14" x14ac:dyDescent="0.2">
      <c r="N7472" s="131"/>
    </row>
    <row r="7473" spans="14:14" x14ac:dyDescent="0.2">
      <c r="N7473" s="131"/>
    </row>
    <row r="7474" spans="14:14" x14ac:dyDescent="0.2">
      <c r="N7474" s="131"/>
    </row>
    <row r="7475" spans="14:14" x14ac:dyDescent="0.2">
      <c r="N7475" s="131"/>
    </row>
    <row r="7476" spans="14:14" x14ac:dyDescent="0.2">
      <c r="N7476" s="131"/>
    </row>
    <row r="7477" spans="14:14" x14ac:dyDescent="0.2">
      <c r="N7477" s="131"/>
    </row>
    <row r="7478" spans="14:14" x14ac:dyDescent="0.2">
      <c r="N7478" s="131"/>
    </row>
    <row r="7479" spans="14:14" x14ac:dyDescent="0.2">
      <c r="N7479" s="131"/>
    </row>
    <row r="7480" spans="14:14" x14ac:dyDescent="0.2">
      <c r="N7480" s="131"/>
    </row>
    <row r="7481" spans="14:14" x14ac:dyDescent="0.2">
      <c r="N7481" s="131"/>
    </row>
    <row r="7482" spans="14:14" x14ac:dyDescent="0.2">
      <c r="N7482" s="131"/>
    </row>
    <row r="7483" spans="14:14" x14ac:dyDescent="0.2">
      <c r="N7483" s="131"/>
    </row>
    <row r="7484" spans="14:14" x14ac:dyDescent="0.2">
      <c r="N7484" s="131"/>
    </row>
    <row r="7485" spans="14:14" x14ac:dyDescent="0.2">
      <c r="N7485" s="131"/>
    </row>
    <row r="7486" spans="14:14" x14ac:dyDescent="0.2">
      <c r="N7486" s="131"/>
    </row>
    <row r="7487" spans="14:14" x14ac:dyDescent="0.2">
      <c r="N7487" s="131"/>
    </row>
    <row r="7488" spans="14:14" x14ac:dyDescent="0.2">
      <c r="N7488" s="131"/>
    </row>
    <row r="7489" spans="14:14" x14ac:dyDescent="0.2">
      <c r="N7489" s="131"/>
    </row>
    <row r="7490" spans="14:14" x14ac:dyDescent="0.2">
      <c r="N7490" s="131"/>
    </row>
    <row r="7491" spans="14:14" x14ac:dyDescent="0.2">
      <c r="N7491" s="131"/>
    </row>
    <row r="7492" spans="14:14" x14ac:dyDescent="0.2">
      <c r="N7492" s="131"/>
    </row>
    <row r="7493" spans="14:14" x14ac:dyDescent="0.2">
      <c r="N7493" s="131"/>
    </row>
    <row r="7494" spans="14:14" x14ac:dyDescent="0.2">
      <c r="N7494" s="131"/>
    </row>
    <row r="7495" spans="14:14" x14ac:dyDescent="0.2">
      <c r="N7495" s="131"/>
    </row>
    <row r="7496" spans="14:14" x14ac:dyDescent="0.2">
      <c r="N7496" s="131"/>
    </row>
    <row r="7497" spans="14:14" x14ac:dyDescent="0.2">
      <c r="N7497" s="131"/>
    </row>
    <row r="7498" spans="14:14" x14ac:dyDescent="0.2">
      <c r="N7498" s="131"/>
    </row>
    <row r="7499" spans="14:14" x14ac:dyDescent="0.2">
      <c r="N7499" s="131"/>
    </row>
    <row r="7500" spans="14:14" x14ac:dyDescent="0.2">
      <c r="N7500" s="131"/>
    </row>
    <row r="7501" spans="14:14" x14ac:dyDescent="0.2">
      <c r="N7501" s="131"/>
    </row>
    <row r="7502" spans="14:14" x14ac:dyDescent="0.2">
      <c r="N7502" s="131"/>
    </row>
    <row r="7503" spans="14:14" x14ac:dyDescent="0.2">
      <c r="N7503" s="131"/>
    </row>
    <row r="7504" spans="14:14" x14ac:dyDescent="0.2">
      <c r="N7504" s="131"/>
    </row>
    <row r="7505" spans="14:14" x14ac:dyDescent="0.2">
      <c r="N7505" s="131"/>
    </row>
    <row r="7506" spans="14:14" x14ac:dyDescent="0.2">
      <c r="N7506" s="131"/>
    </row>
    <row r="7507" spans="14:14" x14ac:dyDescent="0.2">
      <c r="N7507" s="131"/>
    </row>
    <row r="7508" spans="14:14" x14ac:dyDescent="0.2">
      <c r="N7508" s="131"/>
    </row>
    <row r="7509" spans="14:14" x14ac:dyDescent="0.2">
      <c r="N7509" s="131"/>
    </row>
    <row r="7510" spans="14:14" x14ac:dyDescent="0.2">
      <c r="N7510" s="131"/>
    </row>
    <row r="7511" spans="14:14" x14ac:dyDescent="0.2">
      <c r="N7511" s="131"/>
    </row>
    <row r="7512" spans="14:14" x14ac:dyDescent="0.2">
      <c r="N7512" s="131"/>
    </row>
    <row r="7513" spans="14:14" x14ac:dyDescent="0.2">
      <c r="N7513" s="131"/>
    </row>
    <row r="7514" spans="14:14" x14ac:dyDescent="0.2">
      <c r="N7514" s="131"/>
    </row>
    <row r="7515" spans="14:14" x14ac:dyDescent="0.2">
      <c r="N7515" s="131"/>
    </row>
    <row r="7516" spans="14:14" x14ac:dyDescent="0.2">
      <c r="N7516" s="131"/>
    </row>
    <row r="7517" spans="14:14" x14ac:dyDescent="0.2">
      <c r="N7517" s="131"/>
    </row>
    <row r="7518" spans="14:14" x14ac:dyDescent="0.2">
      <c r="N7518" s="131"/>
    </row>
    <row r="7519" spans="14:14" x14ac:dyDescent="0.2">
      <c r="N7519" s="131"/>
    </row>
    <row r="7520" spans="14:14" x14ac:dyDescent="0.2">
      <c r="N7520" s="131"/>
    </row>
    <row r="7521" spans="14:14" x14ac:dyDescent="0.2">
      <c r="N7521" s="131"/>
    </row>
    <row r="7522" spans="14:14" x14ac:dyDescent="0.2">
      <c r="N7522" s="131"/>
    </row>
    <row r="7523" spans="14:14" x14ac:dyDescent="0.2">
      <c r="N7523" s="131"/>
    </row>
    <row r="7524" spans="14:14" x14ac:dyDescent="0.2">
      <c r="N7524" s="131"/>
    </row>
    <row r="7525" spans="14:14" x14ac:dyDescent="0.2">
      <c r="N7525" s="131"/>
    </row>
    <row r="7526" spans="14:14" x14ac:dyDescent="0.2">
      <c r="N7526" s="131"/>
    </row>
    <row r="7527" spans="14:14" x14ac:dyDescent="0.2">
      <c r="N7527" s="131"/>
    </row>
    <row r="7528" spans="14:14" x14ac:dyDescent="0.2">
      <c r="N7528" s="131"/>
    </row>
    <row r="7529" spans="14:14" x14ac:dyDescent="0.2">
      <c r="N7529" s="131"/>
    </row>
    <row r="7530" spans="14:14" x14ac:dyDescent="0.2">
      <c r="N7530" s="131"/>
    </row>
    <row r="7531" spans="14:14" x14ac:dyDescent="0.2">
      <c r="N7531" s="131"/>
    </row>
    <row r="7532" spans="14:14" x14ac:dyDescent="0.2">
      <c r="N7532" s="131"/>
    </row>
    <row r="7533" spans="14:14" x14ac:dyDescent="0.2">
      <c r="N7533" s="131"/>
    </row>
    <row r="7534" spans="14:14" x14ac:dyDescent="0.2">
      <c r="N7534" s="131"/>
    </row>
    <row r="7535" spans="14:14" x14ac:dyDescent="0.2">
      <c r="N7535" s="131"/>
    </row>
    <row r="7536" spans="14:14" x14ac:dyDescent="0.2">
      <c r="N7536" s="131"/>
    </row>
    <row r="7537" spans="14:14" x14ac:dyDescent="0.2">
      <c r="N7537" s="131"/>
    </row>
    <row r="7538" spans="14:14" x14ac:dyDescent="0.2">
      <c r="N7538" s="131"/>
    </row>
    <row r="7539" spans="14:14" x14ac:dyDescent="0.2">
      <c r="N7539" s="131"/>
    </row>
    <row r="7540" spans="14:14" x14ac:dyDescent="0.2">
      <c r="N7540" s="131"/>
    </row>
    <row r="7541" spans="14:14" x14ac:dyDescent="0.2">
      <c r="N7541" s="131"/>
    </row>
    <row r="7542" spans="14:14" x14ac:dyDescent="0.2">
      <c r="N7542" s="131"/>
    </row>
    <row r="7543" spans="14:14" x14ac:dyDescent="0.2">
      <c r="N7543" s="131"/>
    </row>
    <row r="7544" spans="14:14" x14ac:dyDescent="0.2">
      <c r="N7544" s="131"/>
    </row>
    <row r="7545" spans="14:14" x14ac:dyDescent="0.2">
      <c r="N7545" s="131"/>
    </row>
    <row r="7546" spans="14:14" x14ac:dyDescent="0.2">
      <c r="N7546" s="131"/>
    </row>
    <row r="7547" spans="14:14" x14ac:dyDescent="0.2">
      <c r="N7547" s="131"/>
    </row>
    <row r="7548" spans="14:14" x14ac:dyDescent="0.2">
      <c r="N7548" s="131"/>
    </row>
    <row r="7549" spans="14:14" x14ac:dyDescent="0.2">
      <c r="N7549" s="131"/>
    </row>
    <row r="7550" spans="14:14" x14ac:dyDescent="0.2">
      <c r="N7550" s="131"/>
    </row>
    <row r="7551" spans="14:14" x14ac:dyDescent="0.2">
      <c r="N7551" s="131"/>
    </row>
    <row r="7552" spans="14:14" x14ac:dyDescent="0.2">
      <c r="N7552" s="131"/>
    </row>
    <row r="7553" spans="14:14" x14ac:dyDescent="0.2">
      <c r="N7553" s="131"/>
    </row>
    <row r="7554" spans="14:14" x14ac:dyDescent="0.2">
      <c r="N7554" s="131"/>
    </row>
    <row r="7555" spans="14:14" x14ac:dyDescent="0.2">
      <c r="N7555" s="131"/>
    </row>
    <row r="7556" spans="14:14" x14ac:dyDescent="0.2">
      <c r="N7556" s="131"/>
    </row>
    <row r="7557" spans="14:14" x14ac:dyDescent="0.2">
      <c r="N7557" s="131"/>
    </row>
    <row r="7558" spans="14:14" x14ac:dyDescent="0.2">
      <c r="N7558" s="131"/>
    </row>
    <row r="7559" spans="14:14" x14ac:dyDescent="0.2">
      <c r="N7559" s="131"/>
    </row>
    <row r="7560" spans="14:14" x14ac:dyDescent="0.2">
      <c r="N7560" s="131"/>
    </row>
    <row r="7561" spans="14:14" x14ac:dyDescent="0.2">
      <c r="N7561" s="131"/>
    </row>
    <row r="7562" spans="14:14" x14ac:dyDescent="0.2">
      <c r="N7562" s="131"/>
    </row>
    <row r="7563" spans="14:14" x14ac:dyDescent="0.2">
      <c r="N7563" s="131"/>
    </row>
    <row r="7564" spans="14:14" x14ac:dyDescent="0.2">
      <c r="N7564" s="131"/>
    </row>
    <row r="7565" spans="14:14" x14ac:dyDescent="0.2">
      <c r="N7565" s="131"/>
    </row>
    <row r="7566" spans="14:14" x14ac:dyDescent="0.2">
      <c r="N7566" s="131"/>
    </row>
    <row r="7567" spans="14:14" x14ac:dyDescent="0.2">
      <c r="N7567" s="131"/>
    </row>
    <row r="7568" spans="14:14" x14ac:dyDescent="0.2">
      <c r="N7568" s="131"/>
    </row>
    <row r="7569" spans="14:14" x14ac:dyDescent="0.2">
      <c r="N7569" s="131"/>
    </row>
    <row r="7570" spans="14:14" x14ac:dyDescent="0.2">
      <c r="N7570" s="131"/>
    </row>
    <row r="7571" spans="14:14" x14ac:dyDescent="0.2">
      <c r="N7571" s="131"/>
    </row>
    <row r="7572" spans="14:14" x14ac:dyDescent="0.2">
      <c r="N7572" s="131"/>
    </row>
    <row r="7573" spans="14:14" x14ac:dyDescent="0.2">
      <c r="N7573" s="131"/>
    </row>
    <row r="7574" spans="14:14" x14ac:dyDescent="0.2">
      <c r="N7574" s="131"/>
    </row>
    <row r="7575" spans="14:14" x14ac:dyDescent="0.2">
      <c r="N7575" s="131"/>
    </row>
    <row r="7576" spans="14:14" x14ac:dyDescent="0.2">
      <c r="N7576" s="131"/>
    </row>
    <row r="7577" spans="14:14" x14ac:dyDescent="0.2">
      <c r="N7577" s="131"/>
    </row>
    <row r="7578" spans="14:14" x14ac:dyDescent="0.2">
      <c r="N7578" s="131"/>
    </row>
    <row r="7579" spans="14:14" x14ac:dyDescent="0.2">
      <c r="N7579" s="131"/>
    </row>
    <row r="7580" spans="14:14" x14ac:dyDescent="0.2">
      <c r="N7580" s="131"/>
    </row>
    <row r="7581" spans="14:14" x14ac:dyDescent="0.2">
      <c r="N7581" s="131"/>
    </row>
    <row r="7582" spans="14:14" x14ac:dyDescent="0.2">
      <c r="N7582" s="131"/>
    </row>
    <row r="7583" spans="14:14" x14ac:dyDescent="0.2">
      <c r="N7583" s="131"/>
    </row>
    <row r="7584" spans="14:14" x14ac:dyDescent="0.2">
      <c r="N7584" s="131"/>
    </row>
    <row r="7585" spans="14:14" x14ac:dyDescent="0.2">
      <c r="N7585" s="131"/>
    </row>
    <row r="7586" spans="14:14" x14ac:dyDescent="0.2">
      <c r="N7586" s="131"/>
    </row>
    <row r="7587" spans="14:14" x14ac:dyDescent="0.2">
      <c r="N7587" s="131"/>
    </row>
    <row r="7588" spans="14:14" x14ac:dyDescent="0.2">
      <c r="N7588" s="131"/>
    </row>
    <row r="7589" spans="14:14" x14ac:dyDescent="0.2">
      <c r="N7589" s="131"/>
    </row>
    <row r="7590" spans="14:14" x14ac:dyDescent="0.2">
      <c r="N7590" s="131"/>
    </row>
    <row r="7591" spans="14:14" x14ac:dyDescent="0.2">
      <c r="N7591" s="131"/>
    </row>
    <row r="7592" spans="14:14" x14ac:dyDescent="0.2">
      <c r="N7592" s="131"/>
    </row>
    <row r="7593" spans="14:14" x14ac:dyDescent="0.2">
      <c r="N7593" s="131"/>
    </row>
    <row r="7594" spans="14:14" x14ac:dyDescent="0.2">
      <c r="N7594" s="131"/>
    </row>
    <row r="7595" spans="14:14" x14ac:dyDescent="0.2">
      <c r="N7595" s="131"/>
    </row>
    <row r="7596" spans="14:14" x14ac:dyDescent="0.2">
      <c r="N7596" s="131"/>
    </row>
    <row r="7597" spans="14:14" x14ac:dyDescent="0.2">
      <c r="N7597" s="131"/>
    </row>
    <row r="7598" spans="14:14" x14ac:dyDescent="0.2">
      <c r="N7598" s="131"/>
    </row>
    <row r="7599" spans="14:14" x14ac:dyDescent="0.2">
      <c r="N7599" s="131"/>
    </row>
    <row r="7600" spans="14:14" x14ac:dyDescent="0.2">
      <c r="N7600" s="131"/>
    </row>
    <row r="7601" spans="14:14" x14ac:dyDescent="0.2">
      <c r="N7601" s="131"/>
    </row>
    <row r="7602" spans="14:14" x14ac:dyDescent="0.2">
      <c r="N7602" s="131"/>
    </row>
    <row r="7603" spans="14:14" x14ac:dyDescent="0.2">
      <c r="N7603" s="131"/>
    </row>
    <row r="7604" spans="14:14" x14ac:dyDescent="0.2">
      <c r="N7604" s="131"/>
    </row>
    <row r="7605" spans="14:14" x14ac:dyDescent="0.2">
      <c r="N7605" s="131"/>
    </row>
    <row r="7606" spans="14:14" x14ac:dyDescent="0.2">
      <c r="N7606" s="131"/>
    </row>
    <row r="7607" spans="14:14" x14ac:dyDescent="0.2">
      <c r="N7607" s="131"/>
    </row>
    <row r="7608" spans="14:14" x14ac:dyDescent="0.2">
      <c r="N7608" s="131"/>
    </row>
    <row r="7609" spans="14:14" x14ac:dyDescent="0.2">
      <c r="N7609" s="131"/>
    </row>
    <row r="7610" spans="14:14" x14ac:dyDescent="0.2">
      <c r="N7610" s="131"/>
    </row>
    <row r="7611" spans="14:14" x14ac:dyDescent="0.2">
      <c r="N7611" s="131"/>
    </row>
    <row r="7612" spans="14:14" x14ac:dyDescent="0.2">
      <c r="N7612" s="131"/>
    </row>
    <row r="7613" spans="14:14" x14ac:dyDescent="0.2">
      <c r="N7613" s="131"/>
    </row>
    <row r="7614" spans="14:14" x14ac:dyDescent="0.2">
      <c r="N7614" s="131"/>
    </row>
    <row r="7615" spans="14:14" x14ac:dyDescent="0.2">
      <c r="N7615" s="131"/>
    </row>
    <row r="7616" spans="14:14" x14ac:dyDescent="0.2">
      <c r="N7616" s="131"/>
    </row>
    <row r="7617" spans="14:14" x14ac:dyDescent="0.2">
      <c r="N7617" s="131"/>
    </row>
    <row r="7618" spans="14:14" x14ac:dyDescent="0.2">
      <c r="N7618" s="131"/>
    </row>
    <row r="7619" spans="14:14" x14ac:dyDescent="0.2">
      <c r="N7619" s="131"/>
    </row>
    <row r="7620" spans="14:14" x14ac:dyDescent="0.2">
      <c r="N7620" s="131"/>
    </row>
    <row r="7621" spans="14:14" x14ac:dyDescent="0.2">
      <c r="N7621" s="131"/>
    </row>
    <row r="7622" spans="14:14" x14ac:dyDescent="0.2">
      <c r="N7622" s="131"/>
    </row>
    <row r="7623" spans="14:14" x14ac:dyDescent="0.2">
      <c r="N7623" s="131"/>
    </row>
    <row r="7624" spans="14:14" x14ac:dyDescent="0.2">
      <c r="N7624" s="131"/>
    </row>
    <row r="7625" spans="14:14" x14ac:dyDescent="0.2">
      <c r="N7625" s="131"/>
    </row>
    <row r="7626" spans="14:14" x14ac:dyDescent="0.2">
      <c r="N7626" s="131"/>
    </row>
    <row r="7627" spans="14:14" x14ac:dyDescent="0.2">
      <c r="N7627" s="131"/>
    </row>
    <row r="7628" spans="14:14" x14ac:dyDescent="0.2">
      <c r="N7628" s="131"/>
    </row>
    <row r="7629" spans="14:14" x14ac:dyDescent="0.2">
      <c r="N7629" s="131"/>
    </row>
    <row r="7630" spans="14:14" x14ac:dyDescent="0.2">
      <c r="N7630" s="131"/>
    </row>
    <row r="7631" spans="14:14" x14ac:dyDescent="0.2">
      <c r="N7631" s="131"/>
    </row>
    <row r="7632" spans="14:14" x14ac:dyDescent="0.2">
      <c r="N7632" s="131"/>
    </row>
    <row r="7633" spans="14:14" x14ac:dyDescent="0.2">
      <c r="N7633" s="131"/>
    </row>
    <row r="7634" spans="14:14" x14ac:dyDescent="0.2">
      <c r="N7634" s="131"/>
    </row>
    <row r="7635" spans="14:14" x14ac:dyDescent="0.2">
      <c r="N7635" s="131"/>
    </row>
    <row r="7636" spans="14:14" x14ac:dyDescent="0.2">
      <c r="N7636" s="131"/>
    </row>
    <row r="7637" spans="14:14" x14ac:dyDescent="0.2">
      <c r="N7637" s="131"/>
    </row>
    <row r="7638" spans="14:14" x14ac:dyDescent="0.2">
      <c r="N7638" s="131"/>
    </row>
    <row r="7639" spans="14:14" x14ac:dyDescent="0.2">
      <c r="N7639" s="131"/>
    </row>
    <row r="7640" spans="14:14" x14ac:dyDescent="0.2">
      <c r="N7640" s="131"/>
    </row>
    <row r="7641" spans="14:14" x14ac:dyDescent="0.2">
      <c r="N7641" s="131"/>
    </row>
    <row r="7642" spans="14:14" x14ac:dyDescent="0.2">
      <c r="N7642" s="131"/>
    </row>
    <row r="7643" spans="14:14" x14ac:dyDescent="0.2">
      <c r="N7643" s="131"/>
    </row>
    <row r="7644" spans="14:14" x14ac:dyDescent="0.2">
      <c r="N7644" s="131"/>
    </row>
    <row r="7645" spans="14:14" x14ac:dyDescent="0.2">
      <c r="N7645" s="131"/>
    </row>
    <row r="7646" spans="14:14" x14ac:dyDescent="0.2">
      <c r="N7646" s="131"/>
    </row>
    <row r="7647" spans="14:14" x14ac:dyDescent="0.2">
      <c r="N7647" s="131"/>
    </row>
    <row r="7648" spans="14:14" x14ac:dyDescent="0.2">
      <c r="N7648" s="131"/>
    </row>
    <row r="7649" spans="14:14" x14ac:dyDescent="0.2">
      <c r="N7649" s="131"/>
    </row>
    <row r="7650" spans="14:14" x14ac:dyDescent="0.2">
      <c r="N7650" s="131"/>
    </row>
    <row r="7651" spans="14:14" x14ac:dyDescent="0.2">
      <c r="N7651" s="131"/>
    </row>
    <row r="7652" spans="14:14" x14ac:dyDescent="0.2">
      <c r="N7652" s="131"/>
    </row>
    <row r="7653" spans="14:14" x14ac:dyDescent="0.2">
      <c r="N7653" s="131"/>
    </row>
    <row r="7654" spans="14:14" x14ac:dyDescent="0.2">
      <c r="N7654" s="131"/>
    </row>
    <row r="7655" spans="14:14" x14ac:dyDescent="0.2">
      <c r="N7655" s="131"/>
    </row>
    <row r="7656" spans="14:14" x14ac:dyDescent="0.2">
      <c r="N7656" s="131"/>
    </row>
    <row r="7657" spans="14:14" x14ac:dyDescent="0.2">
      <c r="N7657" s="131"/>
    </row>
    <row r="7658" spans="14:14" x14ac:dyDescent="0.2">
      <c r="N7658" s="131"/>
    </row>
    <row r="7659" spans="14:14" x14ac:dyDescent="0.2">
      <c r="N7659" s="131"/>
    </row>
    <row r="7660" spans="14:14" x14ac:dyDescent="0.2">
      <c r="N7660" s="131"/>
    </row>
    <row r="7661" spans="14:14" x14ac:dyDescent="0.2">
      <c r="N7661" s="131"/>
    </row>
    <row r="7662" spans="14:14" x14ac:dyDescent="0.2">
      <c r="N7662" s="131"/>
    </row>
    <row r="7663" spans="14:14" x14ac:dyDescent="0.2">
      <c r="N7663" s="131"/>
    </row>
    <row r="7664" spans="14:14" x14ac:dyDescent="0.2">
      <c r="N7664" s="131"/>
    </row>
    <row r="7665" spans="14:14" x14ac:dyDescent="0.2">
      <c r="N7665" s="131"/>
    </row>
    <row r="7666" spans="14:14" x14ac:dyDescent="0.2">
      <c r="N7666" s="131"/>
    </row>
    <row r="7667" spans="14:14" x14ac:dyDescent="0.2">
      <c r="N7667" s="131"/>
    </row>
    <row r="7668" spans="14:14" x14ac:dyDescent="0.2">
      <c r="N7668" s="131"/>
    </row>
    <row r="7669" spans="14:14" x14ac:dyDescent="0.2">
      <c r="N7669" s="131"/>
    </row>
    <row r="7670" spans="14:14" x14ac:dyDescent="0.2">
      <c r="N7670" s="131"/>
    </row>
    <row r="7671" spans="14:14" x14ac:dyDescent="0.2">
      <c r="N7671" s="131"/>
    </row>
    <row r="7672" spans="14:14" x14ac:dyDescent="0.2">
      <c r="N7672" s="131"/>
    </row>
    <row r="7673" spans="14:14" x14ac:dyDescent="0.2">
      <c r="N7673" s="131"/>
    </row>
    <row r="7674" spans="14:14" x14ac:dyDescent="0.2">
      <c r="N7674" s="131"/>
    </row>
    <row r="7675" spans="14:14" x14ac:dyDescent="0.2">
      <c r="N7675" s="131"/>
    </row>
    <row r="7676" spans="14:14" x14ac:dyDescent="0.2">
      <c r="N7676" s="131"/>
    </row>
    <row r="7677" spans="14:14" x14ac:dyDescent="0.2">
      <c r="N7677" s="131"/>
    </row>
    <row r="7678" spans="14:14" x14ac:dyDescent="0.2">
      <c r="N7678" s="131"/>
    </row>
    <row r="7679" spans="14:14" x14ac:dyDescent="0.2">
      <c r="N7679" s="131"/>
    </row>
    <row r="7680" spans="14:14" x14ac:dyDescent="0.2">
      <c r="N7680" s="131"/>
    </row>
    <row r="7681" spans="14:14" x14ac:dyDescent="0.2">
      <c r="N7681" s="131"/>
    </row>
    <row r="7682" spans="14:14" x14ac:dyDescent="0.2">
      <c r="N7682" s="131"/>
    </row>
    <row r="7683" spans="14:14" x14ac:dyDescent="0.2">
      <c r="N7683" s="131"/>
    </row>
    <row r="7684" spans="14:14" x14ac:dyDescent="0.2">
      <c r="N7684" s="131"/>
    </row>
    <row r="7685" spans="14:14" x14ac:dyDescent="0.2">
      <c r="N7685" s="131"/>
    </row>
    <row r="7686" spans="14:14" x14ac:dyDescent="0.2">
      <c r="N7686" s="131"/>
    </row>
    <row r="7687" spans="14:14" x14ac:dyDescent="0.2">
      <c r="N7687" s="131"/>
    </row>
    <row r="7688" spans="14:14" x14ac:dyDescent="0.2">
      <c r="N7688" s="131"/>
    </row>
    <row r="7689" spans="14:14" x14ac:dyDescent="0.2">
      <c r="N7689" s="131"/>
    </row>
    <row r="7690" spans="14:14" x14ac:dyDescent="0.2">
      <c r="N7690" s="131"/>
    </row>
    <row r="7691" spans="14:14" x14ac:dyDescent="0.2">
      <c r="N7691" s="131"/>
    </row>
    <row r="7692" spans="14:14" x14ac:dyDescent="0.2">
      <c r="N7692" s="131"/>
    </row>
    <row r="7693" spans="14:14" x14ac:dyDescent="0.2">
      <c r="N7693" s="131"/>
    </row>
    <row r="7694" spans="14:14" x14ac:dyDescent="0.2">
      <c r="N7694" s="131"/>
    </row>
    <row r="7695" spans="14:14" x14ac:dyDescent="0.2">
      <c r="N7695" s="131"/>
    </row>
    <row r="7696" spans="14:14" x14ac:dyDescent="0.2">
      <c r="N7696" s="131"/>
    </row>
    <row r="7697" spans="14:14" x14ac:dyDescent="0.2">
      <c r="N7697" s="131"/>
    </row>
    <row r="7698" spans="14:14" x14ac:dyDescent="0.2">
      <c r="N7698" s="131"/>
    </row>
    <row r="7699" spans="14:14" x14ac:dyDescent="0.2">
      <c r="N7699" s="131"/>
    </row>
    <row r="7700" spans="14:14" x14ac:dyDescent="0.2">
      <c r="N7700" s="131"/>
    </row>
    <row r="7701" spans="14:14" x14ac:dyDescent="0.2">
      <c r="N7701" s="131"/>
    </row>
    <row r="7702" spans="14:14" x14ac:dyDescent="0.2">
      <c r="N7702" s="131"/>
    </row>
    <row r="7703" spans="14:14" x14ac:dyDescent="0.2">
      <c r="N7703" s="131"/>
    </row>
    <row r="7704" spans="14:14" x14ac:dyDescent="0.2">
      <c r="N7704" s="131"/>
    </row>
    <row r="7705" spans="14:14" x14ac:dyDescent="0.2">
      <c r="N7705" s="131"/>
    </row>
    <row r="7706" spans="14:14" x14ac:dyDescent="0.2">
      <c r="N7706" s="131"/>
    </row>
    <row r="7707" spans="14:14" x14ac:dyDescent="0.2">
      <c r="N7707" s="131"/>
    </row>
    <row r="7708" spans="14:14" x14ac:dyDescent="0.2">
      <c r="N7708" s="131"/>
    </row>
    <row r="7709" spans="14:14" x14ac:dyDescent="0.2">
      <c r="N7709" s="131"/>
    </row>
    <row r="7710" spans="14:14" x14ac:dyDescent="0.2">
      <c r="N7710" s="131"/>
    </row>
    <row r="7711" spans="14:14" x14ac:dyDescent="0.2">
      <c r="N7711" s="131"/>
    </row>
    <row r="7712" spans="14:14" x14ac:dyDescent="0.2">
      <c r="N7712" s="131"/>
    </row>
    <row r="7713" spans="14:14" x14ac:dyDescent="0.2">
      <c r="N7713" s="131"/>
    </row>
    <row r="7714" spans="14:14" x14ac:dyDescent="0.2">
      <c r="N7714" s="131"/>
    </row>
    <row r="7715" spans="14:14" x14ac:dyDescent="0.2">
      <c r="N7715" s="131"/>
    </row>
    <row r="7716" spans="14:14" x14ac:dyDescent="0.2">
      <c r="N7716" s="131"/>
    </row>
    <row r="7717" spans="14:14" x14ac:dyDescent="0.2">
      <c r="N7717" s="131"/>
    </row>
    <row r="7718" spans="14:14" x14ac:dyDescent="0.2">
      <c r="N7718" s="131"/>
    </row>
    <row r="7719" spans="14:14" x14ac:dyDescent="0.2">
      <c r="N7719" s="131"/>
    </row>
    <row r="7720" spans="14:14" x14ac:dyDescent="0.2">
      <c r="N7720" s="131"/>
    </row>
    <row r="7721" spans="14:14" x14ac:dyDescent="0.2">
      <c r="N7721" s="131"/>
    </row>
    <row r="7722" spans="14:14" x14ac:dyDescent="0.2">
      <c r="N7722" s="131"/>
    </row>
    <row r="7723" spans="14:14" x14ac:dyDescent="0.2">
      <c r="N7723" s="131"/>
    </row>
    <row r="7724" spans="14:14" x14ac:dyDescent="0.2">
      <c r="N7724" s="131"/>
    </row>
    <row r="7725" spans="14:14" x14ac:dyDescent="0.2">
      <c r="N7725" s="131"/>
    </row>
    <row r="7726" spans="14:14" x14ac:dyDescent="0.2">
      <c r="N7726" s="131"/>
    </row>
    <row r="7727" spans="14:14" x14ac:dyDescent="0.2">
      <c r="N7727" s="131"/>
    </row>
    <row r="7728" spans="14:14" x14ac:dyDescent="0.2">
      <c r="N7728" s="131"/>
    </row>
    <row r="7729" spans="14:14" x14ac:dyDescent="0.2">
      <c r="N7729" s="131"/>
    </row>
    <row r="7730" spans="14:14" x14ac:dyDescent="0.2">
      <c r="N7730" s="131"/>
    </row>
    <row r="7731" spans="14:14" x14ac:dyDescent="0.2">
      <c r="N7731" s="131"/>
    </row>
    <row r="7732" spans="14:14" x14ac:dyDescent="0.2">
      <c r="N7732" s="131"/>
    </row>
    <row r="7733" spans="14:14" x14ac:dyDescent="0.2">
      <c r="N7733" s="131"/>
    </row>
    <row r="7734" spans="14:14" x14ac:dyDescent="0.2">
      <c r="N7734" s="131"/>
    </row>
    <row r="7735" spans="14:14" x14ac:dyDescent="0.2">
      <c r="N7735" s="131"/>
    </row>
    <row r="7736" spans="14:14" x14ac:dyDescent="0.2">
      <c r="N7736" s="131"/>
    </row>
    <row r="7737" spans="14:14" x14ac:dyDescent="0.2">
      <c r="N7737" s="131"/>
    </row>
    <row r="7738" spans="14:14" x14ac:dyDescent="0.2">
      <c r="N7738" s="131"/>
    </row>
    <row r="7739" spans="14:14" x14ac:dyDescent="0.2">
      <c r="N7739" s="131"/>
    </row>
    <row r="7740" spans="14:14" x14ac:dyDescent="0.2">
      <c r="N7740" s="131"/>
    </row>
    <row r="7741" spans="14:14" x14ac:dyDescent="0.2">
      <c r="N7741" s="131"/>
    </row>
    <row r="7742" spans="14:14" x14ac:dyDescent="0.2">
      <c r="N7742" s="131"/>
    </row>
    <row r="7743" spans="14:14" x14ac:dyDescent="0.2">
      <c r="N7743" s="131"/>
    </row>
    <row r="7744" spans="14:14" x14ac:dyDescent="0.2">
      <c r="N7744" s="131"/>
    </row>
    <row r="7745" spans="14:14" x14ac:dyDescent="0.2">
      <c r="N7745" s="131"/>
    </row>
    <row r="7746" spans="14:14" x14ac:dyDescent="0.2">
      <c r="N7746" s="131"/>
    </row>
    <row r="7747" spans="14:14" x14ac:dyDescent="0.2">
      <c r="N7747" s="131"/>
    </row>
    <row r="7748" spans="14:14" x14ac:dyDescent="0.2">
      <c r="N7748" s="131"/>
    </row>
    <row r="7749" spans="14:14" x14ac:dyDescent="0.2">
      <c r="N7749" s="131"/>
    </row>
    <row r="7750" spans="14:14" x14ac:dyDescent="0.2">
      <c r="N7750" s="131"/>
    </row>
    <row r="7751" spans="14:14" x14ac:dyDescent="0.2">
      <c r="N7751" s="131"/>
    </row>
    <row r="7752" spans="14:14" x14ac:dyDescent="0.2">
      <c r="N7752" s="131"/>
    </row>
    <row r="7753" spans="14:14" x14ac:dyDescent="0.2">
      <c r="N7753" s="131"/>
    </row>
    <row r="7754" spans="14:14" x14ac:dyDescent="0.2">
      <c r="N7754" s="131"/>
    </row>
    <row r="7755" spans="14:14" x14ac:dyDescent="0.2">
      <c r="N7755" s="131"/>
    </row>
    <row r="7756" spans="14:14" x14ac:dyDescent="0.2">
      <c r="N7756" s="131"/>
    </row>
    <row r="7757" spans="14:14" x14ac:dyDescent="0.2">
      <c r="N7757" s="131"/>
    </row>
    <row r="7758" spans="14:14" x14ac:dyDescent="0.2">
      <c r="N7758" s="131"/>
    </row>
    <row r="7759" spans="14:14" x14ac:dyDescent="0.2">
      <c r="N7759" s="131"/>
    </row>
    <row r="7760" spans="14:14" x14ac:dyDescent="0.2">
      <c r="N7760" s="131"/>
    </row>
    <row r="7761" spans="14:14" x14ac:dyDescent="0.2">
      <c r="N7761" s="131"/>
    </row>
    <row r="7762" spans="14:14" x14ac:dyDescent="0.2">
      <c r="N7762" s="131"/>
    </row>
    <row r="7763" spans="14:14" x14ac:dyDescent="0.2">
      <c r="N7763" s="131"/>
    </row>
    <row r="7764" spans="14:14" x14ac:dyDescent="0.2">
      <c r="N7764" s="131"/>
    </row>
    <row r="7765" spans="14:14" x14ac:dyDescent="0.2">
      <c r="N7765" s="131"/>
    </row>
    <row r="7766" spans="14:14" x14ac:dyDescent="0.2">
      <c r="N7766" s="131"/>
    </row>
    <row r="7767" spans="14:14" x14ac:dyDescent="0.2">
      <c r="N7767" s="131"/>
    </row>
    <row r="7768" spans="14:14" x14ac:dyDescent="0.2">
      <c r="N7768" s="131"/>
    </row>
    <row r="7769" spans="14:14" x14ac:dyDescent="0.2">
      <c r="N7769" s="131"/>
    </row>
    <row r="7770" spans="14:14" x14ac:dyDescent="0.2">
      <c r="N7770" s="131"/>
    </row>
    <row r="7771" spans="14:14" x14ac:dyDescent="0.2">
      <c r="N7771" s="131"/>
    </row>
    <row r="7772" spans="14:14" x14ac:dyDescent="0.2">
      <c r="N7772" s="131"/>
    </row>
    <row r="7773" spans="14:14" x14ac:dyDescent="0.2">
      <c r="N7773" s="131"/>
    </row>
    <row r="7774" spans="14:14" x14ac:dyDescent="0.2">
      <c r="N7774" s="131"/>
    </row>
    <row r="7775" spans="14:14" x14ac:dyDescent="0.2">
      <c r="N7775" s="131"/>
    </row>
    <row r="7776" spans="14:14" x14ac:dyDescent="0.2">
      <c r="N7776" s="131"/>
    </row>
    <row r="7777" spans="14:14" x14ac:dyDescent="0.2">
      <c r="N7777" s="131"/>
    </row>
    <row r="7778" spans="14:14" x14ac:dyDescent="0.2">
      <c r="N7778" s="131"/>
    </row>
    <row r="7779" spans="14:14" x14ac:dyDescent="0.2">
      <c r="N7779" s="131"/>
    </row>
    <row r="7780" spans="14:14" x14ac:dyDescent="0.2">
      <c r="N7780" s="131"/>
    </row>
    <row r="7781" spans="14:14" x14ac:dyDescent="0.2">
      <c r="N7781" s="131"/>
    </row>
    <row r="7782" spans="14:14" x14ac:dyDescent="0.2">
      <c r="N7782" s="131"/>
    </row>
    <row r="7783" spans="14:14" x14ac:dyDescent="0.2">
      <c r="N7783" s="131"/>
    </row>
    <row r="7784" spans="14:14" x14ac:dyDescent="0.2">
      <c r="N7784" s="131"/>
    </row>
    <row r="7785" spans="14:14" x14ac:dyDescent="0.2">
      <c r="N7785" s="131"/>
    </row>
    <row r="7786" spans="14:14" x14ac:dyDescent="0.2">
      <c r="N7786" s="131"/>
    </row>
    <row r="7787" spans="14:14" x14ac:dyDescent="0.2">
      <c r="N7787" s="131"/>
    </row>
    <row r="7788" spans="14:14" x14ac:dyDescent="0.2">
      <c r="N7788" s="131"/>
    </row>
    <row r="7789" spans="14:14" x14ac:dyDescent="0.2">
      <c r="N7789" s="131"/>
    </row>
    <row r="7790" spans="14:14" x14ac:dyDescent="0.2">
      <c r="N7790" s="131"/>
    </row>
    <row r="7791" spans="14:14" x14ac:dyDescent="0.2">
      <c r="N7791" s="131"/>
    </row>
    <row r="7792" spans="14:14" x14ac:dyDescent="0.2">
      <c r="N7792" s="131"/>
    </row>
    <row r="7793" spans="14:14" x14ac:dyDescent="0.2">
      <c r="N7793" s="131"/>
    </row>
    <row r="7794" spans="14:14" x14ac:dyDescent="0.2">
      <c r="N7794" s="131"/>
    </row>
    <row r="7795" spans="14:14" x14ac:dyDescent="0.2">
      <c r="N7795" s="131"/>
    </row>
    <row r="7796" spans="14:14" x14ac:dyDescent="0.2">
      <c r="N7796" s="131"/>
    </row>
    <row r="7797" spans="14:14" x14ac:dyDescent="0.2">
      <c r="N7797" s="131"/>
    </row>
    <row r="7798" spans="14:14" x14ac:dyDescent="0.2">
      <c r="N7798" s="131"/>
    </row>
    <row r="7799" spans="14:14" x14ac:dyDescent="0.2">
      <c r="N7799" s="131"/>
    </row>
    <row r="7800" spans="14:14" x14ac:dyDescent="0.2">
      <c r="N7800" s="131"/>
    </row>
    <row r="7801" spans="14:14" x14ac:dyDescent="0.2">
      <c r="N7801" s="131"/>
    </row>
    <row r="7802" spans="14:14" x14ac:dyDescent="0.2">
      <c r="N7802" s="131"/>
    </row>
    <row r="7803" spans="14:14" x14ac:dyDescent="0.2">
      <c r="N7803" s="131"/>
    </row>
    <row r="7804" spans="14:14" x14ac:dyDescent="0.2">
      <c r="N7804" s="131"/>
    </row>
    <row r="7805" spans="14:14" x14ac:dyDescent="0.2">
      <c r="N7805" s="131"/>
    </row>
    <row r="7806" spans="14:14" x14ac:dyDescent="0.2">
      <c r="N7806" s="131"/>
    </row>
    <row r="7807" spans="14:14" x14ac:dyDescent="0.2">
      <c r="N7807" s="131"/>
    </row>
    <row r="7808" spans="14:14" x14ac:dyDescent="0.2">
      <c r="N7808" s="131"/>
    </row>
    <row r="7809" spans="14:14" x14ac:dyDescent="0.2">
      <c r="N7809" s="131"/>
    </row>
    <row r="7810" spans="14:14" x14ac:dyDescent="0.2">
      <c r="N7810" s="131"/>
    </row>
    <row r="7811" spans="14:14" x14ac:dyDescent="0.2">
      <c r="N7811" s="131"/>
    </row>
    <row r="7812" spans="14:14" x14ac:dyDescent="0.2">
      <c r="N7812" s="131"/>
    </row>
    <row r="7813" spans="14:14" x14ac:dyDescent="0.2">
      <c r="N7813" s="131"/>
    </row>
    <row r="7814" spans="14:14" x14ac:dyDescent="0.2">
      <c r="N7814" s="131"/>
    </row>
    <row r="7815" spans="14:14" x14ac:dyDescent="0.2">
      <c r="N7815" s="131"/>
    </row>
    <row r="7816" spans="14:14" x14ac:dyDescent="0.2">
      <c r="N7816" s="131"/>
    </row>
    <row r="7817" spans="14:14" x14ac:dyDescent="0.2">
      <c r="N7817" s="131"/>
    </row>
    <row r="7818" spans="14:14" x14ac:dyDescent="0.2">
      <c r="N7818" s="131"/>
    </row>
    <row r="7819" spans="14:14" x14ac:dyDescent="0.2">
      <c r="N7819" s="131"/>
    </row>
    <row r="7820" spans="14:14" x14ac:dyDescent="0.2">
      <c r="N7820" s="131"/>
    </row>
    <row r="7821" spans="14:14" x14ac:dyDescent="0.2">
      <c r="N7821" s="131"/>
    </row>
    <row r="7822" spans="14:14" x14ac:dyDescent="0.2">
      <c r="N7822" s="131"/>
    </row>
    <row r="7823" spans="14:14" x14ac:dyDescent="0.2">
      <c r="N7823" s="131"/>
    </row>
    <row r="7824" spans="14:14" x14ac:dyDescent="0.2">
      <c r="N7824" s="131"/>
    </row>
    <row r="7825" spans="14:14" x14ac:dyDescent="0.2">
      <c r="N7825" s="131"/>
    </row>
    <row r="7826" spans="14:14" x14ac:dyDescent="0.2">
      <c r="N7826" s="131"/>
    </row>
    <row r="7827" spans="14:14" x14ac:dyDescent="0.2">
      <c r="N7827" s="131"/>
    </row>
    <row r="7828" spans="14:14" x14ac:dyDescent="0.2">
      <c r="N7828" s="131"/>
    </row>
    <row r="7829" spans="14:14" x14ac:dyDescent="0.2">
      <c r="N7829" s="131"/>
    </row>
    <row r="7830" spans="14:14" x14ac:dyDescent="0.2">
      <c r="N7830" s="131"/>
    </row>
    <row r="7831" spans="14:14" x14ac:dyDescent="0.2">
      <c r="N7831" s="131"/>
    </row>
    <row r="7832" spans="14:14" x14ac:dyDescent="0.2">
      <c r="N7832" s="131"/>
    </row>
    <row r="7833" spans="14:14" x14ac:dyDescent="0.2">
      <c r="N7833" s="131"/>
    </row>
    <row r="7834" spans="14:14" x14ac:dyDescent="0.2">
      <c r="N7834" s="131"/>
    </row>
    <row r="7835" spans="14:14" x14ac:dyDescent="0.2">
      <c r="N7835" s="131"/>
    </row>
    <row r="7836" spans="14:14" x14ac:dyDescent="0.2">
      <c r="N7836" s="131"/>
    </row>
    <row r="7837" spans="14:14" x14ac:dyDescent="0.2">
      <c r="N7837" s="131"/>
    </row>
    <row r="7838" spans="14:14" x14ac:dyDescent="0.2">
      <c r="N7838" s="131"/>
    </row>
    <row r="7839" spans="14:14" x14ac:dyDescent="0.2">
      <c r="N7839" s="131"/>
    </row>
    <row r="7840" spans="14:14" x14ac:dyDescent="0.2">
      <c r="N7840" s="131"/>
    </row>
    <row r="7841" spans="14:14" x14ac:dyDescent="0.2">
      <c r="N7841" s="131"/>
    </row>
    <row r="7842" spans="14:14" x14ac:dyDescent="0.2">
      <c r="N7842" s="131"/>
    </row>
    <row r="7843" spans="14:14" x14ac:dyDescent="0.2">
      <c r="N7843" s="131"/>
    </row>
    <row r="7844" spans="14:14" x14ac:dyDescent="0.2">
      <c r="N7844" s="131"/>
    </row>
    <row r="7845" spans="14:14" x14ac:dyDescent="0.2">
      <c r="N7845" s="131"/>
    </row>
    <row r="7846" spans="14:14" x14ac:dyDescent="0.2">
      <c r="N7846" s="131"/>
    </row>
    <row r="7847" spans="14:14" x14ac:dyDescent="0.2">
      <c r="N7847" s="131"/>
    </row>
    <row r="7848" spans="14:14" x14ac:dyDescent="0.2">
      <c r="N7848" s="131"/>
    </row>
    <row r="7849" spans="14:14" x14ac:dyDescent="0.2">
      <c r="N7849" s="131"/>
    </row>
    <row r="7850" spans="14:14" x14ac:dyDescent="0.2">
      <c r="N7850" s="131"/>
    </row>
    <row r="7851" spans="14:14" x14ac:dyDescent="0.2">
      <c r="N7851" s="131"/>
    </row>
    <row r="7852" spans="14:14" x14ac:dyDescent="0.2">
      <c r="N7852" s="131"/>
    </row>
    <row r="7853" spans="14:14" x14ac:dyDescent="0.2">
      <c r="N7853" s="131"/>
    </row>
    <row r="7854" spans="14:14" x14ac:dyDescent="0.2">
      <c r="N7854" s="131"/>
    </row>
    <row r="7855" spans="14:14" x14ac:dyDescent="0.2">
      <c r="N7855" s="131"/>
    </row>
    <row r="7856" spans="14:14" x14ac:dyDescent="0.2">
      <c r="N7856" s="131"/>
    </row>
    <row r="7857" spans="14:14" x14ac:dyDescent="0.2">
      <c r="N7857" s="131"/>
    </row>
    <row r="7858" spans="14:14" x14ac:dyDescent="0.2">
      <c r="N7858" s="131"/>
    </row>
    <row r="7859" spans="14:14" x14ac:dyDescent="0.2">
      <c r="N7859" s="131"/>
    </row>
    <row r="7860" spans="14:14" x14ac:dyDescent="0.2">
      <c r="N7860" s="131"/>
    </row>
    <row r="7861" spans="14:14" x14ac:dyDescent="0.2">
      <c r="N7861" s="131"/>
    </row>
    <row r="7862" spans="14:14" x14ac:dyDescent="0.2">
      <c r="N7862" s="131"/>
    </row>
    <row r="7863" spans="14:14" x14ac:dyDescent="0.2">
      <c r="N7863" s="131"/>
    </row>
    <row r="7864" spans="14:14" x14ac:dyDescent="0.2">
      <c r="N7864" s="131"/>
    </row>
    <row r="7865" spans="14:14" x14ac:dyDescent="0.2">
      <c r="N7865" s="131"/>
    </row>
    <row r="7866" spans="14:14" x14ac:dyDescent="0.2">
      <c r="N7866" s="131"/>
    </row>
    <row r="7867" spans="14:14" x14ac:dyDescent="0.2">
      <c r="N7867" s="131"/>
    </row>
    <row r="7868" spans="14:14" x14ac:dyDescent="0.2">
      <c r="N7868" s="131"/>
    </row>
    <row r="7869" spans="14:14" x14ac:dyDescent="0.2">
      <c r="N7869" s="131"/>
    </row>
    <row r="7870" spans="14:14" x14ac:dyDescent="0.2">
      <c r="N7870" s="131"/>
    </row>
    <row r="7871" spans="14:14" x14ac:dyDescent="0.2">
      <c r="N7871" s="131"/>
    </row>
    <row r="7872" spans="14:14" x14ac:dyDescent="0.2">
      <c r="N7872" s="131"/>
    </row>
    <row r="7873" spans="14:14" x14ac:dyDescent="0.2">
      <c r="N7873" s="131"/>
    </row>
    <row r="7874" spans="14:14" x14ac:dyDescent="0.2">
      <c r="N7874" s="131"/>
    </row>
    <row r="7875" spans="14:14" x14ac:dyDescent="0.2">
      <c r="N7875" s="131"/>
    </row>
    <row r="7876" spans="14:14" x14ac:dyDescent="0.2">
      <c r="N7876" s="131"/>
    </row>
    <row r="7877" spans="14:14" x14ac:dyDescent="0.2">
      <c r="N7877" s="131"/>
    </row>
    <row r="7878" spans="14:14" x14ac:dyDescent="0.2">
      <c r="N7878" s="131"/>
    </row>
    <row r="7879" spans="14:14" x14ac:dyDescent="0.2">
      <c r="N7879" s="131"/>
    </row>
    <row r="7880" spans="14:14" x14ac:dyDescent="0.2">
      <c r="N7880" s="131"/>
    </row>
    <row r="7881" spans="14:14" x14ac:dyDescent="0.2">
      <c r="N7881" s="131"/>
    </row>
    <row r="7882" spans="14:14" x14ac:dyDescent="0.2">
      <c r="N7882" s="131"/>
    </row>
    <row r="7883" spans="14:14" x14ac:dyDescent="0.2">
      <c r="N7883" s="131"/>
    </row>
    <row r="7884" spans="14:14" x14ac:dyDescent="0.2">
      <c r="N7884" s="131"/>
    </row>
    <row r="7885" spans="14:14" x14ac:dyDescent="0.2">
      <c r="N7885" s="131"/>
    </row>
    <row r="7886" spans="14:14" x14ac:dyDescent="0.2">
      <c r="N7886" s="131"/>
    </row>
    <row r="7887" spans="14:14" x14ac:dyDescent="0.2">
      <c r="N7887" s="131"/>
    </row>
    <row r="7888" spans="14:14" x14ac:dyDescent="0.2">
      <c r="N7888" s="131"/>
    </row>
    <row r="7889" spans="14:14" x14ac:dyDescent="0.2">
      <c r="N7889" s="131"/>
    </row>
    <row r="7890" spans="14:14" x14ac:dyDescent="0.2">
      <c r="N7890" s="131"/>
    </row>
    <row r="7891" spans="14:14" x14ac:dyDescent="0.2">
      <c r="N7891" s="131"/>
    </row>
    <row r="7892" spans="14:14" x14ac:dyDescent="0.2">
      <c r="N7892" s="131"/>
    </row>
    <row r="7893" spans="14:14" x14ac:dyDescent="0.2">
      <c r="N7893" s="131"/>
    </row>
    <row r="7894" spans="14:14" x14ac:dyDescent="0.2">
      <c r="N7894" s="131"/>
    </row>
    <row r="7895" spans="14:14" x14ac:dyDescent="0.2">
      <c r="N7895" s="131"/>
    </row>
    <row r="7896" spans="14:14" x14ac:dyDescent="0.2">
      <c r="N7896" s="131"/>
    </row>
    <row r="7897" spans="14:14" x14ac:dyDescent="0.2">
      <c r="N7897" s="131"/>
    </row>
    <row r="7898" spans="14:14" x14ac:dyDescent="0.2">
      <c r="N7898" s="131"/>
    </row>
    <row r="7899" spans="14:14" x14ac:dyDescent="0.2">
      <c r="N7899" s="131"/>
    </row>
    <row r="7900" spans="14:14" x14ac:dyDescent="0.2">
      <c r="N7900" s="131"/>
    </row>
    <row r="7901" spans="14:14" x14ac:dyDescent="0.2">
      <c r="N7901" s="131"/>
    </row>
    <row r="7902" spans="14:14" x14ac:dyDescent="0.2">
      <c r="N7902" s="131"/>
    </row>
    <row r="7903" spans="14:14" x14ac:dyDescent="0.2">
      <c r="N7903" s="131"/>
    </row>
    <row r="7904" spans="14:14" x14ac:dyDescent="0.2">
      <c r="N7904" s="131"/>
    </row>
    <row r="7905" spans="14:14" x14ac:dyDescent="0.2">
      <c r="N7905" s="131"/>
    </row>
    <row r="7906" spans="14:14" x14ac:dyDescent="0.2">
      <c r="N7906" s="131"/>
    </row>
    <row r="7907" spans="14:14" x14ac:dyDescent="0.2">
      <c r="N7907" s="131"/>
    </row>
    <row r="7908" spans="14:14" x14ac:dyDescent="0.2">
      <c r="N7908" s="131"/>
    </row>
    <row r="7909" spans="14:14" x14ac:dyDescent="0.2">
      <c r="N7909" s="131"/>
    </row>
    <row r="7910" spans="14:14" x14ac:dyDescent="0.2">
      <c r="N7910" s="131"/>
    </row>
    <row r="7911" spans="14:14" x14ac:dyDescent="0.2">
      <c r="N7911" s="131"/>
    </row>
    <row r="7912" spans="14:14" x14ac:dyDescent="0.2">
      <c r="N7912" s="131"/>
    </row>
    <row r="7913" spans="14:14" x14ac:dyDescent="0.2">
      <c r="N7913" s="131"/>
    </row>
    <row r="7914" spans="14:14" x14ac:dyDescent="0.2">
      <c r="N7914" s="131"/>
    </row>
    <row r="7915" spans="14:14" x14ac:dyDescent="0.2">
      <c r="N7915" s="131"/>
    </row>
    <row r="7916" spans="14:14" x14ac:dyDescent="0.2">
      <c r="N7916" s="131"/>
    </row>
    <row r="7917" spans="14:14" x14ac:dyDescent="0.2">
      <c r="N7917" s="131"/>
    </row>
    <row r="7918" spans="14:14" x14ac:dyDescent="0.2">
      <c r="N7918" s="131"/>
    </row>
    <row r="7919" spans="14:14" x14ac:dyDescent="0.2">
      <c r="N7919" s="131"/>
    </row>
    <row r="7920" spans="14:14" x14ac:dyDescent="0.2">
      <c r="N7920" s="131"/>
    </row>
    <row r="7921" spans="14:14" x14ac:dyDescent="0.2">
      <c r="N7921" s="131"/>
    </row>
    <row r="7922" spans="14:14" x14ac:dyDescent="0.2">
      <c r="N7922" s="131"/>
    </row>
    <row r="7923" spans="14:14" x14ac:dyDescent="0.2">
      <c r="N7923" s="131"/>
    </row>
    <row r="7924" spans="14:14" x14ac:dyDescent="0.2">
      <c r="N7924" s="131"/>
    </row>
    <row r="7925" spans="14:14" x14ac:dyDescent="0.2">
      <c r="N7925" s="131"/>
    </row>
    <row r="7926" spans="14:14" x14ac:dyDescent="0.2">
      <c r="N7926" s="131"/>
    </row>
    <row r="7927" spans="14:14" x14ac:dyDescent="0.2">
      <c r="N7927" s="131"/>
    </row>
    <row r="7928" spans="14:14" x14ac:dyDescent="0.2">
      <c r="N7928" s="131"/>
    </row>
    <row r="7929" spans="14:14" x14ac:dyDescent="0.2">
      <c r="N7929" s="131"/>
    </row>
    <row r="7930" spans="14:14" x14ac:dyDescent="0.2">
      <c r="N7930" s="131"/>
    </row>
    <row r="7931" spans="14:14" x14ac:dyDescent="0.2">
      <c r="N7931" s="131"/>
    </row>
    <row r="7932" spans="14:14" x14ac:dyDescent="0.2">
      <c r="N7932" s="131"/>
    </row>
    <row r="7933" spans="14:14" x14ac:dyDescent="0.2">
      <c r="N7933" s="131"/>
    </row>
    <row r="7934" spans="14:14" x14ac:dyDescent="0.2">
      <c r="N7934" s="131"/>
    </row>
    <row r="7935" spans="14:14" x14ac:dyDescent="0.2">
      <c r="N7935" s="131"/>
    </row>
    <row r="7936" spans="14:14" x14ac:dyDescent="0.2">
      <c r="N7936" s="131"/>
    </row>
    <row r="7937" spans="14:14" x14ac:dyDescent="0.2">
      <c r="N7937" s="131"/>
    </row>
    <row r="7938" spans="14:14" x14ac:dyDescent="0.2">
      <c r="N7938" s="131"/>
    </row>
    <row r="7939" spans="14:14" x14ac:dyDescent="0.2">
      <c r="N7939" s="131"/>
    </row>
    <row r="7940" spans="14:14" x14ac:dyDescent="0.2">
      <c r="N7940" s="131"/>
    </row>
    <row r="7941" spans="14:14" x14ac:dyDescent="0.2">
      <c r="N7941" s="131"/>
    </row>
    <row r="7942" spans="14:14" x14ac:dyDescent="0.2">
      <c r="N7942" s="131"/>
    </row>
    <row r="7943" spans="14:14" x14ac:dyDescent="0.2">
      <c r="N7943" s="131"/>
    </row>
    <row r="7944" spans="14:14" x14ac:dyDescent="0.2">
      <c r="N7944" s="131"/>
    </row>
    <row r="7945" spans="14:14" x14ac:dyDescent="0.2">
      <c r="N7945" s="131"/>
    </row>
    <row r="7946" spans="14:14" x14ac:dyDescent="0.2">
      <c r="N7946" s="131"/>
    </row>
    <row r="7947" spans="14:14" x14ac:dyDescent="0.2">
      <c r="N7947" s="131"/>
    </row>
    <row r="7948" spans="14:14" x14ac:dyDescent="0.2">
      <c r="N7948" s="131"/>
    </row>
    <row r="7949" spans="14:14" x14ac:dyDescent="0.2">
      <c r="N7949" s="131"/>
    </row>
    <row r="7950" spans="14:14" x14ac:dyDescent="0.2">
      <c r="N7950" s="131"/>
    </row>
    <row r="7951" spans="14:14" x14ac:dyDescent="0.2">
      <c r="N7951" s="131"/>
    </row>
    <row r="7952" spans="14:14" x14ac:dyDescent="0.2">
      <c r="N7952" s="131"/>
    </row>
    <row r="7953" spans="14:14" x14ac:dyDescent="0.2">
      <c r="N7953" s="131"/>
    </row>
    <row r="7954" spans="14:14" x14ac:dyDescent="0.2">
      <c r="N7954" s="131"/>
    </row>
    <row r="7955" spans="14:14" x14ac:dyDescent="0.2">
      <c r="N7955" s="131"/>
    </row>
    <row r="7956" spans="14:14" x14ac:dyDescent="0.2">
      <c r="N7956" s="131"/>
    </row>
    <row r="7957" spans="14:14" x14ac:dyDescent="0.2">
      <c r="N7957" s="131"/>
    </row>
    <row r="7958" spans="14:14" x14ac:dyDescent="0.2">
      <c r="N7958" s="131"/>
    </row>
    <row r="7959" spans="14:14" x14ac:dyDescent="0.2">
      <c r="N7959" s="131"/>
    </row>
    <row r="7960" spans="14:14" x14ac:dyDescent="0.2">
      <c r="N7960" s="131"/>
    </row>
    <row r="7961" spans="14:14" x14ac:dyDescent="0.2">
      <c r="N7961" s="131"/>
    </row>
    <row r="7962" spans="14:14" x14ac:dyDescent="0.2">
      <c r="N7962" s="131"/>
    </row>
    <row r="7963" spans="14:14" x14ac:dyDescent="0.2">
      <c r="N7963" s="131"/>
    </row>
    <row r="7964" spans="14:14" x14ac:dyDescent="0.2">
      <c r="N7964" s="131"/>
    </row>
    <row r="7965" spans="14:14" x14ac:dyDescent="0.2">
      <c r="N7965" s="131"/>
    </row>
    <row r="7966" spans="14:14" x14ac:dyDescent="0.2">
      <c r="N7966" s="131"/>
    </row>
    <row r="7967" spans="14:14" x14ac:dyDescent="0.2">
      <c r="N7967" s="131"/>
    </row>
    <row r="7968" spans="14:14" x14ac:dyDescent="0.2">
      <c r="N7968" s="131"/>
    </row>
    <row r="7969" spans="14:14" x14ac:dyDescent="0.2">
      <c r="N7969" s="131"/>
    </row>
    <row r="7970" spans="14:14" x14ac:dyDescent="0.2">
      <c r="N7970" s="131"/>
    </row>
    <row r="7971" spans="14:14" x14ac:dyDescent="0.2">
      <c r="N7971" s="131"/>
    </row>
    <row r="7972" spans="14:14" x14ac:dyDescent="0.2">
      <c r="N7972" s="131"/>
    </row>
    <row r="7973" spans="14:14" x14ac:dyDescent="0.2">
      <c r="N7973" s="131"/>
    </row>
    <row r="7974" spans="14:14" x14ac:dyDescent="0.2">
      <c r="N7974" s="131"/>
    </row>
    <row r="7975" spans="14:14" x14ac:dyDescent="0.2">
      <c r="N7975" s="131"/>
    </row>
    <row r="7976" spans="14:14" x14ac:dyDescent="0.2">
      <c r="N7976" s="131"/>
    </row>
    <row r="7977" spans="14:14" x14ac:dyDescent="0.2">
      <c r="N7977" s="131"/>
    </row>
    <row r="7978" spans="14:14" x14ac:dyDescent="0.2">
      <c r="N7978" s="131"/>
    </row>
    <row r="7979" spans="14:14" x14ac:dyDescent="0.2">
      <c r="N7979" s="131"/>
    </row>
    <row r="7980" spans="14:14" x14ac:dyDescent="0.2">
      <c r="N7980" s="131"/>
    </row>
    <row r="7981" spans="14:14" x14ac:dyDescent="0.2">
      <c r="N7981" s="131"/>
    </row>
    <row r="7982" spans="14:14" x14ac:dyDescent="0.2">
      <c r="N7982" s="131"/>
    </row>
    <row r="7983" spans="14:14" x14ac:dyDescent="0.2">
      <c r="N7983" s="131"/>
    </row>
    <row r="7984" spans="14:14" x14ac:dyDescent="0.2">
      <c r="N7984" s="131"/>
    </row>
    <row r="7985" spans="14:14" x14ac:dyDescent="0.2">
      <c r="N7985" s="131"/>
    </row>
    <row r="7986" spans="14:14" x14ac:dyDescent="0.2">
      <c r="N7986" s="131"/>
    </row>
    <row r="7987" spans="14:14" x14ac:dyDescent="0.2">
      <c r="N7987" s="131"/>
    </row>
    <row r="7988" spans="14:14" x14ac:dyDescent="0.2">
      <c r="N7988" s="131"/>
    </row>
    <row r="7989" spans="14:14" x14ac:dyDescent="0.2">
      <c r="N7989" s="131"/>
    </row>
    <row r="7990" spans="14:14" x14ac:dyDescent="0.2">
      <c r="N7990" s="131"/>
    </row>
    <row r="7991" spans="14:14" x14ac:dyDescent="0.2">
      <c r="N7991" s="131"/>
    </row>
    <row r="7992" spans="14:14" x14ac:dyDescent="0.2">
      <c r="N7992" s="131"/>
    </row>
    <row r="7993" spans="14:14" x14ac:dyDescent="0.2">
      <c r="N7993" s="131"/>
    </row>
    <row r="7994" spans="14:14" x14ac:dyDescent="0.2">
      <c r="N7994" s="131"/>
    </row>
    <row r="7995" spans="14:14" x14ac:dyDescent="0.2">
      <c r="N7995" s="131"/>
    </row>
    <row r="7996" spans="14:14" x14ac:dyDescent="0.2">
      <c r="N7996" s="131"/>
    </row>
    <row r="7997" spans="14:14" x14ac:dyDescent="0.2">
      <c r="N7997" s="131"/>
    </row>
    <row r="7998" spans="14:14" x14ac:dyDescent="0.2">
      <c r="N7998" s="131"/>
    </row>
    <row r="7999" spans="14:14" x14ac:dyDescent="0.2">
      <c r="N7999" s="131"/>
    </row>
    <row r="8000" spans="14:14" x14ac:dyDescent="0.2">
      <c r="N8000" s="131"/>
    </row>
    <row r="8001" spans="14:14" x14ac:dyDescent="0.2">
      <c r="N8001" s="131"/>
    </row>
    <row r="8002" spans="14:14" x14ac:dyDescent="0.2">
      <c r="N8002" s="131"/>
    </row>
    <row r="8003" spans="14:14" x14ac:dyDescent="0.2">
      <c r="N8003" s="131"/>
    </row>
    <row r="8004" spans="14:14" x14ac:dyDescent="0.2">
      <c r="N8004" s="131"/>
    </row>
    <row r="8005" spans="14:14" x14ac:dyDescent="0.2">
      <c r="N8005" s="131"/>
    </row>
    <row r="8006" spans="14:14" x14ac:dyDescent="0.2">
      <c r="N8006" s="131"/>
    </row>
    <row r="8007" spans="14:14" x14ac:dyDescent="0.2">
      <c r="N8007" s="131"/>
    </row>
    <row r="8008" spans="14:14" x14ac:dyDescent="0.2">
      <c r="N8008" s="131"/>
    </row>
    <row r="8009" spans="14:14" x14ac:dyDescent="0.2">
      <c r="N8009" s="131"/>
    </row>
    <row r="8010" spans="14:14" x14ac:dyDescent="0.2">
      <c r="N8010" s="131"/>
    </row>
    <row r="8011" spans="14:14" x14ac:dyDescent="0.2">
      <c r="N8011" s="131"/>
    </row>
    <row r="8012" spans="14:14" x14ac:dyDescent="0.2">
      <c r="N8012" s="131"/>
    </row>
    <row r="8013" spans="14:14" x14ac:dyDescent="0.2">
      <c r="N8013" s="131"/>
    </row>
    <row r="8014" spans="14:14" x14ac:dyDescent="0.2">
      <c r="N8014" s="131"/>
    </row>
    <row r="8015" spans="14:14" x14ac:dyDescent="0.2">
      <c r="N8015" s="131"/>
    </row>
    <row r="8016" spans="14:14" x14ac:dyDescent="0.2">
      <c r="N8016" s="131"/>
    </row>
    <row r="8017" spans="14:14" x14ac:dyDescent="0.2">
      <c r="N8017" s="131"/>
    </row>
    <row r="8018" spans="14:14" x14ac:dyDescent="0.2">
      <c r="N8018" s="131"/>
    </row>
    <row r="8019" spans="14:14" x14ac:dyDescent="0.2">
      <c r="N8019" s="131"/>
    </row>
    <row r="8020" spans="14:14" x14ac:dyDescent="0.2">
      <c r="N8020" s="131"/>
    </row>
    <row r="8021" spans="14:14" x14ac:dyDescent="0.2">
      <c r="N8021" s="131"/>
    </row>
    <row r="8022" spans="14:14" x14ac:dyDescent="0.2">
      <c r="N8022" s="131"/>
    </row>
    <row r="8023" spans="14:14" x14ac:dyDescent="0.2">
      <c r="N8023" s="131"/>
    </row>
    <row r="8024" spans="14:14" x14ac:dyDescent="0.2">
      <c r="N8024" s="131"/>
    </row>
    <row r="8025" spans="14:14" x14ac:dyDescent="0.2">
      <c r="N8025" s="131"/>
    </row>
    <row r="8026" spans="14:14" x14ac:dyDescent="0.2">
      <c r="N8026" s="131"/>
    </row>
    <row r="8027" spans="14:14" x14ac:dyDescent="0.2">
      <c r="N8027" s="131"/>
    </row>
    <row r="8028" spans="14:14" x14ac:dyDescent="0.2">
      <c r="N8028" s="131"/>
    </row>
    <row r="8029" spans="14:14" x14ac:dyDescent="0.2">
      <c r="N8029" s="131"/>
    </row>
    <row r="8030" spans="14:14" x14ac:dyDescent="0.2">
      <c r="N8030" s="131"/>
    </row>
    <row r="8031" spans="14:14" x14ac:dyDescent="0.2">
      <c r="N8031" s="131"/>
    </row>
    <row r="8032" spans="14:14" x14ac:dyDescent="0.2">
      <c r="N8032" s="131"/>
    </row>
    <row r="8033" spans="14:14" x14ac:dyDescent="0.2">
      <c r="N8033" s="131"/>
    </row>
    <row r="8034" spans="14:14" x14ac:dyDescent="0.2">
      <c r="N8034" s="131"/>
    </row>
    <row r="8035" spans="14:14" x14ac:dyDescent="0.2">
      <c r="N8035" s="131"/>
    </row>
    <row r="8036" spans="14:14" x14ac:dyDescent="0.2">
      <c r="N8036" s="131"/>
    </row>
    <row r="8037" spans="14:14" x14ac:dyDescent="0.2">
      <c r="N8037" s="131"/>
    </row>
    <row r="8038" spans="14:14" x14ac:dyDescent="0.2">
      <c r="N8038" s="131"/>
    </row>
    <row r="8039" spans="14:14" x14ac:dyDescent="0.2">
      <c r="N8039" s="131"/>
    </row>
    <row r="8040" spans="14:14" x14ac:dyDescent="0.2">
      <c r="N8040" s="131"/>
    </row>
    <row r="8041" spans="14:14" x14ac:dyDescent="0.2">
      <c r="N8041" s="131"/>
    </row>
    <row r="8042" spans="14:14" x14ac:dyDescent="0.2">
      <c r="N8042" s="131"/>
    </row>
    <row r="8043" spans="14:14" x14ac:dyDescent="0.2">
      <c r="N8043" s="131"/>
    </row>
    <row r="8044" spans="14:14" x14ac:dyDescent="0.2">
      <c r="N8044" s="131"/>
    </row>
    <row r="8045" spans="14:14" x14ac:dyDescent="0.2">
      <c r="N8045" s="131"/>
    </row>
    <row r="8046" spans="14:14" x14ac:dyDescent="0.2">
      <c r="N8046" s="131"/>
    </row>
    <row r="8047" spans="14:14" x14ac:dyDescent="0.2">
      <c r="N8047" s="131"/>
    </row>
    <row r="8048" spans="14:14" x14ac:dyDescent="0.2">
      <c r="N8048" s="131"/>
    </row>
    <row r="8049" spans="14:14" x14ac:dyDescent="0.2">
      <c r="N8049" s="131"/>
    </row>
    <row r="8050" spans="14:14" x14ac:dyDescent="0.2">
      <c r="N8050" s="131"/>
    </row>
    <row r="8051" spans="14:14" x14ac:dyDescent="0.2">
      <c r="N8051" s="131"/>
    </row>
    <row r="8052" spans="14:14" x14ac:dyDescent="0.2">
      <c r="N8052" s="131"/>
    </row>
    <row r="8053" spans="14:14" x14ac:dyDescent="0.2">
      <c r="N8053" s="131"/>
    </row>
    <row r="8054" spans="14:14" x14ac:dyDescent="0.2">
      <c r="N8054" s="131"/>
    </row>
    <row r="8055" spans="14:14" x14ac:dyDescent="0.2">
      <c r="N8055" s="131"/>
    </row>
    <row r="8056" spans="14:14" x14ac:dyDescent="0.2">
      <c r="N8056" s="131"/>
    </row>
    <row r="8057" spans="14:14" x14ac:dyDescent="0.2">
      <c r="N8057" s="131"/>
    </row>
    <row r="8058" spans="14:14" x14ac:dyDescent="0.2">
      <c r="N8058" s="131"/>
    </row>
    <row r="8059" spans="14:14" x14ac:dyDescent="0.2">
      <c r="N8059" s="131"/>
    </row>
    <row r="8060" spans="14:14" x14ac:dyDescent="0.2">
      <c r="N8060" s="131"/>
    </row>
    <row r="8061" spans="14:14" x14ac:dyDescent="0.2">
      <c r="N8061" s="131"/>
    </row>
    <row r="8062" spans="14:14" x14ac:dyDescent="0.2">
      <c r="N8062" s="131"/>
    </row>
    <row r="8063" spans="14:14" x14ac:dyDescent="0.2">
      <c r="N8063" s="131"/>
    </row>
    <row r="8064" spans="14:14" x14ac:dyDescent="0.2">
      <c r="N8064" s="131"/>
    </row>
    <row r="8065" spans="14:14" x14ac:dyDescent="0.2">
      <c r="N8065" s="131"/>
    </row>
    <row r="8066" spans="14:14" x14ac:dyDescent="0.2">
      <c r="N8066" s="131"/>
    </row>
    <row r="8067" spans="14:14" x14ac:dyDescent="0.2">
      <c r="N8067" s="131"/>
    </row>
    <row r="8068" spans="14:14" x14ac:dyDescent="0.2">
      <c r="N8068" s="131"/>
    </row>
    <row r="8069" spans="14:14" x14ac:dyDescent="0.2">
      <c r="N8069" s="131"/>
    </row>
    <row r="8070" spans="14:14" x14ac:dyDescent="0.2">
      <c r="N8070" s="131"/>
    </row>
    <row r="8071" spans="14:14" x14ac:dyDescent="0.2">
      <c r="N8071" s="131"/>
    </row>
    <row r="8072" spans="14:14" x14ac:dyDescent="0.2">
      <c r="N8072" s="131"/>
    </row>
    <row r="8073" spans="14:14" x14ac:dyDescent="0.2">
      <c r="N8073" s="131"/>
    </row>
    <row r="8074" spans="14:14" x14ac:dyDescent="0.2">
      <c r="N8074" s="131"/>
    </row>
    <row r="8075" spans="14:14" x14ac:dyDescent="0.2">
      <c r="N8075" s="131"/>
    </row>
    <row r="8076" spans="14:14" x14ac:dyDescent="0.2">
      <c r="N8076" s="131"/>
    </row>
    <row r="8077" spans="14:14" x14ac:dyDescent="0.2">
      <c r="N8077" s="131"/>
    </row>
    <row r="8078" spans="14:14" x14ac:dyDescent="0.2">
      <c r="N8078" s="131"/>
    </row>
    <row r="8079" spans="14:14" x14ac:dyDescent="0.2">
      <c r="N8079" s="131"/>
    </row>
    <row r="8080" spans="14:14" x14ac:dyDescent="0.2">
      <c r="N8080" s="131"/>
    </row>
    <row r="8081" spans="14:14" x14ac:dyDescent="0.2">
      <c r="N8081" s="131"/>
    </row>
    <row r="8082" spans="14:14" x14ac:dyDescent="0.2">
      <c r="N8082" s="131"/>
    </row>
    <row r="8083" spans="14:14" x14ac:dyDescent="0.2">
      <c r="N8083" s="131"/>
    </row>
    <row r="8084" spans="14:14" x14ac:dyDescent="0.2">
      <c r="N8084" s="131"/>
    </row>
    <row r="8085" spans="14:14" x14ac:dyDescent="0.2">
      <c r="N8085" s="131"/>
    </row>
    <row r="8086" spans="14:14" x14ac:dyDescent="0.2">
      <c r="N8086" s="131"/>
    </row>
    <row r="8087" spans="14:14" x14ac:dyDescent="0.2">
      <c r="N8087" s="131"/>
    </row>
    <row r="8088" spans="14:14" x14ac:dyDescent="0.2">
      <c r="N8088" s="131"/>
    </row>
    <row r="8089" spans="14:14" x14ac:dyDescent="0.2">
      <c r="N8089" s="131"/>
    </row>
    <row r="8090" spans="14:14" x14ac:dyDescent="0.2">
      <c r="N8090" s="131"/>
    </row>
    <row r="8091" spans="14:14" x14ac:dyDescent="0.2">
      <c r="N8091" s="131"/>
    </row>
    <row r="8092" spans="14:14" x14ac:dyDescent="0.2">
      <c r="N8092" s="131"/>
    </row>
    <row r="8093" spans="14:14" x14ac:dyDescent="0.2">
      <c r="N8093" s="131"/>
    </row>
    <row r="8094" spans="14:14" x14ac:dyDescent="0.2">
      <c r="N8094" s="131"/>
    </row>
    <row r="8095" spans="14:14" x14ac:dyDescent="0.2">
      <c r="N8095" s="131"/>
    </row>
    <row r="8096" spans="14:14" x14ac:dyDescent="0.2">
      <c r="N8096" s="131"/>
    </row>
    <row r="8097" spans="14:14" x14ac:dyDescent="0.2">
      <c r="N8097" s="131"/>
    </row>
    <row r="8098" spans="14:14" x14ac:dyDescent="0.2">
      <c r="N8098" s="131"/>
    </row>
    <row r="8099" spans="14:14" x14ac:dyDescent="0.2">
      <c r="N8099" s="131"/>
    </row>
    <row r="8100" spans="14:14" x14ac:dyDescent="0.2">
      <c r="N8100" s="131"/>
    </row>
    <row r="8101" spans="14:14" x14ac:dyDescent="0.2">
      <c r="N8101" s="131"/>
    </row>
    <row r="8102" spans="14:14" x14ac:dyDescent="0.2">
      <c r="N8102" s="131"/>
    </row>
    <row r="8103" spans="14:14" x14ac:dyDescent="0.2">
      <c r="N8103" s="131"/>
    </row>
    <row r="8104" spans="14:14" x14ac:dyDescent="0.2">
      <c r="N8104" s="131"/>
    </row>
    <row r="8105" spans="14:14" x14ac:dyDescent="0.2">
      <c r="N8105" s="131"/>
    </row>
    <row r="8106" spans="14:14" x14ac:dyDescent="0.2">
      <c r="N8106" s="131"/>
    </row>
    <row r="8107" spans="14:14" x14ac:dyDescent="0.2">
      <c r="N8107" s="131"/>
    </row>
    <row r="8108" spans="14:14" x14ac:dyDescent="0.2">
      <c r="N8108" s="131"/>
    </row>
    <row r="8109" spans="14:14" x14ac:dyDescent="0.2">
      <c r="N8109" s="131"/>
    </row>
    <row r="8110" spans="14:14" x14ac:dyDescent="0.2">
      <c r="N8110" s="131"/>
    </row>
    <row r="8111" spans="14:14" x14ac:dyDescent="0.2">
      <c r="N8111" s="131"/>
    </row>
    <row r="8112" spans="14:14" x14ac:dyDescent="0.2">
      <c r="N8112" s="131"/>
    </row>
    <row r="8113" spans="14:14" x14ac:dyDescent="0.2">
      <c r="N8113" s="131"/>
    </row>
    <row r="8114" spans="14:14" x14ac:dyDescent="0.2">
      <c r="N8114" s="131"/>
    </row>
    <row r="8115" spans="14:14" x14ac:dyDescent="0.2">
      <c r="N8115" s="131"/>
    </row>
    <row r="8116" spans="14:14" x14ac:dyDescent="0.2">
      <c r="N8116" s="131"/>
    </row>
    <row r="8117" spans="14:14" x14ac:dyDescent="0.2">
      <c r="N8117" s="131"/>
    </row>
    <row r="8118" spans="14:14" x14ac:dyDescent="0.2">
      <c r="N8118" s="131"/>
    </row>
    <row r="8119" spans="14:14" x14ac:dyDescent="0.2">
      <c r="N8119" s="131"/>
    </row>
    <row r="8120" spans="14:14" x14ac:dyDescent="0.2">
      <c r="N8120" s="131"/>
    </row>
    <row r="8121" spans="14:14" x14ac:dyDescent="0.2">
      <c r="N8121" s="131"/>
    </row>
    <row r="8122" spans="14:14" x14ac:dyDescent="0.2">
      <c r="N8122" s="131"/>
    </row>
    <row r="8123" spans="14:14" x14ac:dyDescent="0.2">
      <c r="N8123" s="131"/>
    </row>
    <row r="8124" spans="14:14" x14ac:dyDescent="0.2">
      <c r="N8124" s="131"/>
    </row>
    <row r="8125" spans="14:14" x14ac:dyDescent="0.2">
      <c r="N8125" s="131"/>
    </row>
    <row r="8126" spans="14:14" x14ac:dyDescent="0.2">
      <c r="N8126" s="131"/>
    </row>
    <row r="8127" spans="14:14" x14ac:dyDescent="0.2">
      <c r="N8127" s="131"/>
    </row>
    <row r="8128" spans="14:14" x14ac:dyDescent="0.2">
      <c r="N8128" s="131"/>
    </row>
    <row r="8129" spans="14:14" x14ac:dyDescent="0.2">
      <c r="N8129" s="131"/>
    </row>
    <row r="8130" spans="14:14" x14ac:dyDescent="0.2">
      <c r="N8130" s="131"/>
    </row>
    <row r="8131" spans="14:14" x14ac:dyDescent="0.2">
      <c r="N8131" s="131"/>
    </row>
    <row r="8132" spans="14:14" x14ac:dyDescent="0.2">
      <c r="N8132" s="131"/>
    </row>
    <row r="8133" spans="14:14" x14ac:dyDescent="0.2">
      <c r="N8133" s="131"/>
    </row>
    <row r="8134" spans="14:14" x14ac:dyDescent="0.2">
      <c r="N8134" s="131"/>
    </row>
    <row r="8135" spans="14:14" x14ac:dyDescent="0.2">
      <c r="N8135" s="131"/>
    </row>
    <row r="8136" spans="14:14" x14ac:dyDescent="0.2">
      <c r="N8136" s="131"/>
    </row>
    <row r="8137" spans="14:14" x14ac:dyDescent="0.2">
      <c r="N8137" s="131"/>
    </row>
    <row r="8138" spans="14:14" x14ac:dyDescent="0.2">
      <c r="N8138" s="131"/>
    </row>
    <row r="8139" spans="14:14" x14ac:dyDescent="0.2">
      <c r="N8139" s="131"/>
    </row>
    <row r="8140" spans="14:14" x14ac:dyDescent="0.2">
      <c r="N8140" s="131"/>
    </row>
    <row r="8141" spans="14:14" x14ac:dyDescent="0.2">
      <c r="N8141" s="131"/>
    </row>
    <row r="8142" spans="14:14" x14ac:dyDescent="0.2">
      <c r="N8142" s="131"/>
    </row>
    <row r="8143" spans="14:14" x14ac:dyDescent="0.2">
      <c r="N8143" s="131"/>
    </row>
    <row r="8144" spans="14:14" x14ac:dyDescent="0.2">
      <c r="N8144" s="131"/>
    </row>
    <row r="8145" spans="14:14" x14ac:dyDescent="0.2">
      <c r="N8145" s="131"/>
    </row>
    <row r="8146" spans="14:14" x14ac:dyDescent="0.2">
      <c r="N8146" s="131"/>
    </row>
    <row r="8147" spans="14:14" x14ac:dyDescent="0.2">
      <c r="N8147" s="131"/>
    </row>
    <row r="8148" spans="14:14" x14ac:dyDescent="0.2">
      <c r="N8148" s="131"/>
    </row>
    <row r="8149" spans="14:14" x14ac:dyDescent="0.2">
      <c r="N8149" s="131"/>
    </row>
    <row r="8150" spans="14:14" x14ac:dyDescent="0.2">
      <c r="N8150" s="131"/>
    </row>
    <row r="8151" spans="14:14" x14ac:dyDescent="0.2">
      <c r="N8151" s="131"/>
    </row>
    <row r="8152" spans="14:14" x14ac:dyDescent="0.2">
      <c r="N8152" s="131"/>
    </row>
    <row r="8153" spans="14:14" x14ac:dyDescent="0.2">
      <c r="N8153" s="131"/>
    </row>
    <row r="8154" spans="14:14" x14ac:dyDescent="0.2">
      <c r="N8154" s="131"/>
    </row>
    <row r="8155" spans="14:14" x14ac:dyDescent="0.2">
      <c r="N8155" s="131"/>
    </row>
    <row r="8156" spans="14:14" x14ac:dyDescent="0.2">
      <c r="N8156" s="131"/>
    </row>
    <row r="8157" spans="14:14" x14ac:dyDescent="0.2">
      <c r="N8157" s="131"/>
    </row>
    <row r="8158" spans="14:14" x14ac:dyDescent="0.2">
      <c r="N8158" s="131"/>
    </row>
    <row r="8159" spans="14:14" x14ac:dyDescent="0.2">
      <c r="N8159" s="131"/>
    </row>
    <row r="8160" spans="14:14" x14ac:dyDescent="0.2">
      <c r="N8160" s="131"/>
    </row>
    <row r="8161" spans="14:14" x14ac:dyDescent="0.2">
      <c r="N8161" s="131"/>
    </row>
    <row r="8162" spans="14:14" x14ac:dyDescent="0.2">
      <c r="N8162" s="131"/>
    </row>
    <row r="8163" spans="14:14" x14ac:dyDescent="0.2">
      <c r="N8163" s="131"/>
    </row>
    <row r="8164" spans="14:14" x14ac:dyDescent="0.2">
      <c r="N8164" s="131"/>
    </row>
    <row r="8165" spans="14:14" x14ac:dyDescent="0.2">
      <c r="N8165" s="131"/>
    </row>
    <row r="8166" spans="14:14" x14ac:dyDescent="0.2">
      <c r="N8166" s="131"/>
    </row>
    <row r="8167" spans="14:14" x14ac:dyDescent="0.2">
      <c r="N8167" s="131"/>
    </row>
    <row r="8168" spans="14:14" x14ac:dyDescent="0.2">
      <c r="N8168" s="131"/>
    </row>
    <row r="8169" spans="14:14" x14ac:dyDescent="0.2">
      <c r="N8169" s="131"/>
    </row>
    <row r="8170" spans="14:14" x14ac:dyDescent="0.2">
      <c r="N8170" s="131"/>
    </row>
    <row r="8171" spans="14:14" x14ac:dyDescent="0.2">
      <c r="N8171" s="131"/>
    </row>
    <row r="8172" spans="14:14" x14ac:dyDescent="0.2">
      <c r="N8172" s="131"/>
    </row>
    <row r="8173" spans="14:14" x14ac:dyDescent="0.2">
      <c r="N8173" s="131"/>
    </row>
    <row r="8174" spans="14:14" x14ac:dyDescent="0.2">
      <c r="N8174" s="131"/>
    </row>
    <row r="8175" spans="14:14" x14ac:dyDescent="0.2">
      <c r="N8175" s="131"/>
    </row>
    <row r="8176" spans="14:14" x14ac:dyDescent="0.2">
      <c r="N8176" s="131"/>
    </row>
    <row r="8177" spans="14:14" x14ac:dyDescent="0.2">
      <c r="N8177" s="131"/>
    </row>
    <row r="8178" spans="14:14" x14ac:dyDescent="0.2">
      <c r="N8178" s="131"/>
    </row>
    <row r="8179" spans="14:14" x14ac:dyDescent="0.2">
      <c r="N8179" s="131"/>
    </row>
    <row r="8180" spans="14:14" x14ac:dyDescent="0.2">
      <c r="N8180" s="131"/>
    </row>
    <row r="8181" spans="14:14" x14ac:dyDescent="0.2">
      <c r="N8181" s="131"/>
    </row>
    <row r="8182" spans="14:14" x14ac:dyDescent="0.2">
      <c r="N8182" s="131"/>
    </row>
    <row r="8183" spans="14:14" x14ac:dyDescent="0.2">
      <c r="N8183" s="131"/>
    </row>
    <row r="8184" spans="14:14" x14ac:dyDescent="0.2">
      <c r="N8184" s="131"/>
    </row>
    <row r="8185" spans="14:14" x14ac:dyDescent="0.2">
      <c r="N8185" s="131"/>
    </row>
    <row r="8186" spans="14:14" x14ac:dyDescent="0.2">
      <c r="N8186" s="131"/>
    </row>
    <row r="8187" spans="14:14" x14ac:dyDescent="0.2">
      <c r="N8187" s="131"/>
    </row>
    <row r="8188" spans="14:14" x14ac:dyDescent="0.2">
      <c r="N8188" s="131"/>
    </row>
    <row r="8189" spans="14:14" x14ac:dyDescent="0.2">
      <c r="N8189" s="131"/>
    </row>
    <row r="8190" spans="14:14" x14ac:dyDescent="0.2">
      <c r="N8190" s="131"/>
    </row>
    <row r="8191" spans="14:14" x14ac:dyDescent="0.2">
      <c r="N8191" s="131"/>
    </row>
    <row r="8192" spans="14:14" x14ac:dyDescent="0.2">
      <c r="N8192" s="131"/>
    </row>
    <row r="8193" spans="14:14" x14ac:dyDescent="0.2">
      <c r="N8193" s="131"/>
    </row>
    <row r="8194" spans="14:14" x14ac:dyDescent="0.2">
      <c r="N8194" s="131"/>
    </row>
    <row r="8195" spans="14:14" x14ac:dyDescent="0.2">
      <c r="N8195" s="131"/>
    </row>
    <row r="8196" spans="14:14" x14ac:dyDescent="0.2">
      <c r="N8196" s="131"/>
    </row>
    <row r="8197" spans="14:14" x14ac:dyDescent="0.2">
      <c r="N8197" s="131"/>
    </row>
    <row r="8198" spans="14:14" x14ac:dyDescent="0.2">
      <c r="N8198" s="131"/>
    </row>
    <row r="8199" spans="14:14" x14ac:dyDescent="0.2">
      <c r="N8199" s="131"/>
    </row>
    <row r="8200" spans="14:14" x14ac:dyDescent="0.2">
      <c r="N8200" s="131"/>
    </row>
    <row r="8201" spans="14:14" x14ac:dyDescent="0.2">
      <c r="N8201" s="131"/>
    </row>
    <row r="8202" spans="14:14" x14ac:dyDescent="0.2">
      <c r="N8202" s="131"/>
    </row>
    <row r="8203" spans="14:14" x14ac:dyDescent="0.2">
      <c r="N8203" s="131"/>
    </row>
    <row r="8204" spans="14:14" x14ac:dyDescent="0.2">
      <c r="N8204" s="131"/>
    </row>
    <row r="8205" spans="14:14" x14ac:dyDescent="0.2">
      <c r="N8205" s="131"/>
    </row>
    <row r="8206" spans="14:14" x14ac:dyDescent="0.2">
      <c r="N8206" s="131"/>
    </row>
    <row r="8207" spans="14:14" x14ac:dyDescent="0.2">
      <c r="N8207" s="131"/>
    </row>
    <row r="8208" spans="14:14" x14ac:dyDescent="0.2">
      <c r="N8208" s="131"/>
    </row>
    <row r="8209" spans="14:14" x14ac:dyDescent="0.2">
      <c r="N8209" s="131"/>
    </row>
    <row r="8210" spans="14:14" x14ac:dyDescent="0.2">
      <c r="N8210" s="131"/>
    </row>
    <row r="8211" spans="14:14" x14ac:dyDescent="0.2">
      <c r="N8211" s="131"/>
    </row>
    <row r="8212" spans="14:14" x14ac:dyDescent="0.2">
      <c r="N8212" s="131"/>
    </row>
    <row r="8213" spans="14:14" x14ac:dyDescent="0.2">
      <c r="N8213" s="131"/>
    </row>
    <row r="8214" spans="14:14" x14ac:dyDescent="0.2">
      <c r="N8214" s="131"/>
    </row>
    <row r="8215" spans="14:14" x14ac:dyDescent="0.2">
      <c r="N8215" s="131"/>
    </row>
    <row r="8216" spans="14:14" x14ac:dyDescent="0.2">
      <c r="N8216" s="131"/>
    </row>
    <row r="8217" spans="14:14" x14ac:dyDescent="0.2">
      <c r="N8217" s="131"/>
    </row>
    <row r="8218" spans="14:14" x14ac:dyDescent="0.2">
      <c r="N8218" s="131"/>
    </row>
    <row r="8219" spans="14:14" x14ac:dyDescent="0.2">
      <c r="N8219" s="131"/>
    </row>
    <row r="8220" spans="14:14" x14ac:dyDescent="0.2">
      <c r="N8220" s="131"/>
    </row>
    <row r="8221" spans="14:14" x14ac:dyDescent="0.2">
      <c r="N8221" s="131"/>
    </row>
    <row r="8222" spans="14:14" x14ac:dyDescent="0.2">
      <c r="N8222" s="131"/>
    </row>
    <row r="8223" spans="14:14" x14ac:dyDescent="0.2">
      <c r="N8223" s="131"/>
    </row>
    <row r="8224" spans="14:14" x14ac:dyDescent="0.2">
      <c r="N8224" s="131"/>
    </row>
    <row r="8225" spans="14:14" x14ac:dyDescent="0.2">
      <c r="N8225" s="131"/>
    </row>
    <row r="8226" spans="14:14" x14ac:dyDescent="0.2">
      <c r="N8226" s="131"/>
    </row>
    <row r="8227" spans="14:14" x14ac:dyDescent="0.2">
      <c r="N8227" s="131"/>
    </row>
    <row r="8228" spans="14:14" x14ac:dyDescent="0.2">
      <c r="N8228" s="131"/>
    </row>
    <row r="8229" spans="14:14" x14ac:dyDescent="0.2">
      <c r="N8229" s="131"/>
    </row>
    <row r="8230" spans="14:14" x14ac:dyDescent="0.2">
      <c r="N8230" s="131"/>
    </row>
    <row r="8231" spans="14:14" x14ac:dyDescent="0.2">
      <c r="N8231" s="131"/>
    </row>
    <row r="8232" spans="14:14" x14ac:dyDescent="0.2">
      <c r="N8232" s="131"/>
    </row>
    <row r="8233" spans="14:14" x14ac:dyDescent="0.2">
      <c r="N8233" s="131"/>
    </row>
    <row r="8234" spans="14:14" x14ac:dyDescent="0.2">
      <c r="N8234" s="131"/>
    </row>
    <row r="8235" spans="14:14" x14ac:dyDescent="0.2">
      <c r="N8235" s="131"/>
    </row>
    <row r="8236" spans="14:14" x14ac:dyDescent="0.2">
      <c r="N8236" s="131"/>
    </row>
    <row r="8237" spans="14:14" x14ac:dyDescent="0.2">
      <c r="N8237" s="131"/>
    </row>
    <row r="8238" spans="14:14" x14ac:dyDescent="0.2">
      <c r="N8238" s="131"/>
    </row>
    <row r="8239" spans="14:14" x14ac:dyDescent="0.2">
      <c r="N8239" s="131"/>
    </row>
    <row r="8240" spans="14:14" x14ac:dyDescent="0.2">
      <c r="N8240" s="131"/>
    </row>
    <row r="8241" spans="14:14" x14ac:dyDescent="0.2">
      <c r="N8241" s="131"/>
    </row>
    <row r="8242" spans="14:14" x14ac:dyDescent="0.2">
      <c r="N8242" s="131"/>
    </row>
    <row r="8243" spans="14:14" x14ac:dyDescent="0.2">
      <c r="N8243" s="131"/>
    </row>
    <row r="8244" spans="14:14" x14ac:dyDescent="0.2">
      <c r="N8244" s="131"/>
    </row>
    <row r="8245" spans="14:14" x14ac:dyDescent="0.2">
      <c r="N8245" s="131"/>
    </row>
    <row r="8246" spans="14:14" x14ac:dyDescent="0.2">
      <c r="N8246" s="131"/>
    </row>
    <row r="8247" spans="14:14" x14ac:dyDescent="0.2">
      <c r="N8247" s="131"/>
    </row>
    <row r="8248" spans="14:14" x14ac:dyDescent="0.2">
      <c r="N8248" s="131"/>
    </row>
    <row r="8249" spans="14:14" x14ac:dyDescent="0.2">
      <c r="N8249" s="131"/>
    </row>
    <row r="8250" spans="14:14" x14ac:dyDescent="0.2">
      <c r="N8250" s="131"/>
    </row>
    <row r="8251" spans="14:14" x14ac:dyDescent="0.2">
      <c r="N8251" s="131"/>
    </row>
    <row r="8252" spans="14:14" x14ac:dyDescent="0.2">
      <c r="N8252" s="131"/>
    </row>
    <row r="8253" spans="14:14" x14ac:dyDescent="0.2">
      <c r="N8253" s="131"/>
    </row>
    <row r="8254" spans="14:14" x14ac:dyDescent="0.2">
      <c r="N8254" s="131"/>
    </row>
    <row r="8255" spans="14:14" x14ac:dyDescent="0.2">
      <c r="N8255" s="131"/>
    </row>
    <row r="8256" spans="14:14" x14ac:dyDescent="0.2">
      <c r="N8256" s="131"/>
    </row>
    <row r="8257" spans="14:14" x14ac:dyDescent="0.2">
      <c r="N8257" s="131"/>
    </row>
    <row r="8258" spans="14:14" x14ac:dyDescent="0.2">
      <c r="N8258" s="131"/>
    </row>
    <row r="8259" spans="14:14" x14ac:dyDescent="0.2">
      <c r="N8259" s="131"/>
    </row>
    <row r="8260" spans="14:14" x14ac:dyDescent="0.2">
      <c r="N8260" s="131"/>
    </row>
    <row r="8261" spans="14:14" x14ac:dyDescent="0.2">
      <c r="N8261" s="131"/>
    </row>
    <row r="8262" spans="14:14" x14ac:dyDescent="0.2">
      <c r="N8262" s="131"/>
    </row>
    <row r="8263" spans="14:14" x14ac:dyDescent="0.2">
      <c r="N8263" s="131"/>
    </row>
    <row r="8264" spans="14:14" x14ac:dyDescent="0.2">
      <c r="N8264" s="131"/>
    </row>
    <row r="8265" spans="14:14" x14ac:dyDescent="0.2">
      <c r="N8265" s="131"/>
    </row>
    <row r="8266" spans="14:14" x14ac:dyDescent="0.2">
      <c r="N8266" s="131"/>
    </row>
    <row r="8267" spans="14:14" x14ac:dyDescent="0.2">
      <c r="N8267" s="131"/>
    </row>
    <row r="8268" spans="14:14" x14ac:dyDescent="0.2">
      <c r="N8268" s="131"/>
    </row>
    <row r="8269" spans="14:14" x14ac:dyDescent="0.2">
      <c r="N8269" s="131"/>
    </row>
    <row r="8270" spans="14:14" x14ac:dyDescent="0.2">
      <c r="N8270" s="131"/>
    </row>
    <row r="8271" spans="14:14" x14ac:dyDescent="0.2">
      <c r="N8271" s="131"/>
    </row>
    <row r="8272" spans="14:14" x14ac:dyDescent="0.2">
      <c r="N8272" s="131"/>
    </row>
    <row r="8273" spans="14:14" x14ac:dyDescent="0.2">
      <c r="N8273" s="131"/>
    </row>
    <row r="8274" spans="14:14" x14ac:dyDescent="0.2">
      <c r="N8274" s="131"/>
    </row>
    <row r="8275" spans="14:14" x14ac:dyDescent="0.2">
      <c r="N8275" s="131"/>
    </row>
    <row r="8276" spans="14:14" x14ac:dyDescent="0.2">
      <c r="N8276" s="131"/>
    </row>
    <row r="8277" spans="14:14" x14ac:dyDescent="0.2">
      <c r="N8277" s="131"/>
    </row>
    <row r="8278" spans="14:14" x14ac:dyDescent="0.2">
      <c r="N8278" s="131"/>
    </row>
    <row r="8279" spans="14:14" x14ac:dyDescent="0.2">
      <c r="N8279" s="131"/>
    </row>
    <row r="8280" spans="14:14" x14ac:dyDescent="0.2">
      <c r="N8280" s="131"/>
    </row>
    <row r="8281" spans="14:14" x14ac:dyDescent="0.2">
      <c r="N8281" s="131"/>
    </row>
    <row r="8282" spans="14:14" x14ac:dyDescent="0.2">
      <c r="N8282" s="131"/>
    </row>
    <row r="8283" spans="14:14" x14ac:dyDescent="0.2">
      <c r="N8283" s="131"/>
    </row>
    <row r="8284" spans="14:14" x14ac:dyDescent="0.2">
      <c r="N8284" s="131"/>
    </row>
    <row r="8285" spans="14:14" x14ac:dyDescent="0.2">
      <c r="N8285" s="131"/>
    </row>
    <row r="8286" spans="14:14" x14ac:dyDescent="0.2">
      <c r="N8286" s="131"/>
    </row>
    <row r="8287" spans="14:14" x14ac:dyDescent="0.2">
      <c r="N8287" s="131"/>
    </row>
    <row r="8288" spans="14:14" x14ac:dyDescent="0.2">
      <c r="N8288" s="131"/>
    </row>
    <row r="8289" spans="14:14" x14ac:dyDescent="0.2">
      <c r="N8289" s="131"/>
    </row>
    <row r="8290" spans="14:14" x14ac:dyDescent="0.2">
      <c r="N8290" s="131"/>
    </row>
    <row r="8291" spans="14:14" x14ac:dyDescent="0.2">
      <c r="N8291" s="131"/>
    </row>
    <row r="8292" spans="14:14" x14ac:dyDescent="0.2">
      <c r="N8292" s="131"/>
    </row>
    <row r="8293" spans="14:14" x14ac:dyDescent="0.2">
      <c r="N8293" s="131"/>
    </row>
    <row r="8294" spans="14:14" x14ac:dyDescent="0.2">
      <c r="N8294" s="131"/>
    </row>
    <row r="8295" spans="14:14" x14ac:dyDescent="0.2">
      <c r="N8295" s="131"/>
    </row>
    <row r="8296" spans="14:14" x14ac:dyDescent="0.2">
      <c r="N8296" s="131"/>
    </row>
    <row r="8297" spans="14:14" x14ac:dyDescent="0.2">
      <c r="N8297" s="131"/>
    </row>
    <row r="8298" spans="14:14" x14ac:dyDescent="0.2">
      <c r="N8298" s="131"/>
    </row>
    <row r="8299" spans="14:14" x14ac:dyDescent="0.2">
      <c r="N8299" s="131"/>
    </row>
    <row r="8300" spans="14:14" x14ac:dyDescent="0.2">
      <c r="N8300" s="131"/>
    </row>
    <row r="8301" spans="14:14" x14ac:dyDescent="0.2">
      <c r="N8301" s="131"/>
    </row>
    <row r="8302" spans="14:14" x14ac:dyDescent="0.2">
      <c r="N8302" s="131"/>
    </row>
    <row r="8303" spans="14:14" x14ac:dyDescent="0.2">
      <c r="N8303" s="131"/>
    </row>
    <row r="8304" spans="14:14" x14ac:dyDescent="0.2">
      <c r="N8304" s="131"/>
    </row>
    <row r="8305" spans="14:14" x14ac:dyDescent="0.2">
      <c r="N8305" s="131"/>
    </row>
    <row r="8306" spans="14:14" x14ac:dyDescent="0.2">
      <c r="N8306" s="131"/>
    </row>
    <row r="8307" spans="14:14" x14ac:dyDescent="0.2">
      <c r="N8307" s="131"/>
    </row>
    <row r="8308" spans="14:14" x14ac:dyDescent="0.2">
      <c r="N8308" s="131"/>
    </row>
    <row r="8309" spans="14:14" x14ac:dyDescent="0.2">
      <c r="N8309" s="131"/>
    </row>
    <row r="8310" spans="14:14" x14ac:dyDescent="0.2">
      <c r="N8310" s="131"/>
    </row>
    <row r="8311" spans="14:14" x14ac:dyDescent="0.2">
      <c r="N8311" s="131"/>
    </row>
    <row r="8312" spans="14:14" x14ac:dyDescent="0.2">
      <c r="N8312" s="131"/>
    </row>
    <row r="8313" spans="14:14" x14ac:dyDescent="0.2">
      <c r="N8313" s="131"/>
    </row>
    <row r="8314" spans="14:14" x14ac:dyDescent="0.2">
      <c r="N8314" s="131"/>
    </row>
    <row r="8315" spans="14:14" x14ac:dyDescent="0.2">
      <c r="N8315" s="131"/>
    </row>
    <row r="8316" spans="14:14" x14ac:dyDescent="0.2">
      <c r="N8316" s="131"/>
    </row>
    <row r="8317" spans="14:14" x14ac:dyDescent="0.2">
      <c r="N8317" s="131"/>
    </row>
    <row r="8318" spans="14:14" x14ac:dyDescent="0.2">
      <c r="N8318" s="131"/>
    </row>
    <row r="8319" spans="14:14" x14ac:dyDescent="0.2">
      <c r="N8319" s="131"/>
    </row>
    <row r="8320" spans="14:14" x14ac:dyDescent="0.2">
      <c r="N8320" s="131"/>
    </row>
    <row r="8321" spans="14:14" x14ac:dyDescent="0.2">
      <c r="N8321" s="131"/>
    </row>
    <row r="8322" spans="14:14" x14ac:dyDescent="0.2">
      <c r="N8322" s="131"/>
    </row>
    <row r="8323" spans="14:14" x14ac:dyDescent="0.2">
      <c r="N8323" s="131"/>
    </row>
    <row r="8324" spans="14:14" x14ac:dyDescent="0.2">
      <c r="N8324" s="131"/>
    </row>
    <row r="8325" spans="14:14" x14ac:dyDescent="0.2">
      <c r="N8325" s="131"/>
    </row>
    <row r="8326" spans="14:14" x14ac:dyDescent="0.2">
      <c r="N8326" s="131"/>
    </row>
    <row r="8327" spans="14:14" x14ac:dyDescent="0.2">
      <c r="N8327" s="131"/>
    </row>
    <row r="8328" spans="14:14" x14ac:dyDescent="0.2">
      <c r="N8328" s="131"/>
    </row>
    <row r="8329" spans="14:14" x14ac:dyDescent="0.2">
      <c r="N8329" s="131"/>
    </row>
    <row r="8330" spans="14:14" x14ac:dyDescent="0.2">
      <c r="N8330" s="131"/>
    </row>
    <row r="8331" spans="14:14" x14ac:dyDescent="0.2">
      <c r="N8331" s="131"/>
    </row>
    <row r="8332" spans="14:14" x14ac:dyDescent="0.2">
      <c r="N8332" s="131"/>
    </row>
    <row r="8333" spans="14:14" x14ac:dyDescent="0.2">
      <c r="N8333" s="131"/>
    </row>
    <row r="8334" spans="14:14" x14ac:dyDescent="0.2">
      <c r="N8334" s="131"/>
    </row>
    <row r="8335" spans="14:14" x14ac:dyDescent="0.2">
      <c r="N8335" s="131"/>
    </row>
    <row r="8336" spans="14:14" x14ac:dyDescent="0.2">
      <c r="N8336" s="131"/>
    </row>
    <row r="8337" spans="14:14" x14ac:dyDescent="0.2">
      <c r="N8337" s="131"/>
    </row>
    <row r="8338" spans="14:14" x14ac:dyDescent="0.2">
      <c r="N8338" s="131"/>
    </row>
    <row r="8339" spans="14:14" x14ac:dyDescent="0.2">
      <c r="N8339" s="131"/>
    </row>
    <row r="8340" spans="14:14" x14ac:dyDescent="0.2">
      <c r="N8340" s="131"/>
    </row>
    <row r="8341" spans="14:14" x14ac:dyDescent="0.2">
      <c r="N8341" s="131"/>
    </row>
    <row r="8342" spans="14:14" x14ac:dyDescent="0.2">
      <c r="N8342" s="131"/>
    </row>
    <row r="8343" spans="14:14" x14ac:dyDescent="0.2">
      <c r="N8343" s="131"/>
    </row>
    <row r="8344" spans="14:14" x14ac:dyDescent="0.2">
      <c r="N8344" s="131"/>
    </row>
    <row r="8345" spans="14:14" x14ac:dyDescent="0.2">
      <c r="N8345" s="131"/>
    </row>
    <row r="8346" spans="14:14" x14ac:dyDescent="0.2">
      <c r="N8346" s="131"/>
    </row>
    <row r="8347" spans="14:14" x14ac:dyDescent="0.2">
      <c r="N8347" s="131"/>
    </row>
    <row r="8348" spans="14:14" x14ac:dyDescent="0.2">
      <c r="N8348" s="131"/>
    </row>
    <row r="8349" spans="14:14" x14ac:dyDescent="0.2">
      <c r="N8349" s="131"/>
    </row>
    <row r="8350" spans="14:14" x14ac:dyDescent="0.2">
      <c r="N8350" s="131"/>
    </row>
    <row r="8351" spans="14:14" x14ac:dyDescent="0.2">
      <c r="N8351" s="131"/>
    </row>
    <row r="8352" spans="14:14" x14ac:dyDescent="0.2">
      <c r="N8352" s="131"/>
    </row>
    <row r="8353" spans="14:14" x14ac:dyDescent="0.2">
      <c r="N8353" s="131"/>
    </row>
    <row r="8354" spans="14:14" x14ac:dyDescent="0.2">
      <c r="N8354" s="131"/>
    </row>
    <row r="8355" spans="14:14" x14ac:dyDescent="0.2">
      <c r="N8355" s="131"/>
    </row>
    <row r="8356" spans="14:14" x14ac:dyDescent="0.2">
      <c r="N8356" s="131"/>
    </row>
    <row r="8357" spans="14:14" x14ac:dyDescent="0.2">
      <c r="N8357" s="131"/>
    </row>
    <row r="8358" spans="14:14" x14ac:dyDescent="0.2">
      <c r="N8358" s="131"/>
    </row>
    <row r="8359" spans="14:14" x14ac:dyDescent="0.2">
      <c r="N8359" s="131"/>
    </row>
    <row r="8360" spans="14:14" x14ac:dyDescent="0.2">
      <c r="N8360" s="131"/>
    </row>
    <row r="8361" spans="14:14" x14ac:dyDescent="0.2">
      <c r="N8361" s="131"/>
    </row>
    <row r="8362" spans="14:14" x14ac:dyDescent="0.2">
      <c r="N8362" s="131"/>
    </row>
    <row r="8363" spans="14:14" x14ac:dyDescent="0.2">
      <c r="N8363" s="131"/>
    </row>
    <row r="8364" spans="14:14" x14ac:dyDescent="0.2">
      <c r="N8364" s="131"/>
    </row>
    <row r="8365" spans="14:14" x14ac:dyDescent="0.2">
      <c r="N8365" s="131"/>
    </row>
    <row r="8366" spans="14:14" x14ac:dyDescent="0.2">
      <c r="N8366" s="131"/>
    </row>
    <row r="8367" spans="14:14" x14ac:dyDescent="0.2">
      <c r="N8367" s="131"/>
    </row>
    <row r="8368" spans="14:14" x14ac:dyDescent="0.2">
      <c r="N8368" s="131"/>
    </row>
    <row r="8369" spans="14:14" x14ac:dyDescent="0.2">
      <c r="N8369" s="131"/>
    </row>
    <row r="8370" spans="14:14" x14ac:dyDescent="0.2">
      <c r="N8370" s="131"/>
    </row>
    <row r="8371" spans="14:14" x14ac:dyDescent="0.2">
      <c r="N8371" s="131"/>
    </row>
    <row r="8372" spans="14:14" x14ac:dyDescent="0.2">
      <c r="N8372" s="131"/>
    </row>
    <row r="8373" spans="14:14" x14ac:dyDescent="0.2">
      <c r="N8373" s="131"/>
    </row>
    <row r="8374" spans="14:14" x14ac:dyDescent="0.2">
      <c r="N8374" s="131"/>
    </row>
    <row r="8375" spans="14:14" x14ac:dyDescent="0.2">
      <c r="N8375" s="131"/>
    </row>
    <row r="8376" spans="14:14" x14ac:dyDescent="0.2">
      <c r="N8376" s="131"/>
    </row>
    <row r="8377" spans="14:14" x14ac:dyDescent="0.2">
      <c r="N8377" s="131"/>
    </row>
    <row r="8378" spans="14:14" x14ac:dyDescent="0.2">
      <c r="N8378" s="131"/>
    </row>
    <row r="8379" spans="14:14" x14ac:dyDescent="0.2">
      <c r="N8379" s="131"/>
    </row>
    <row r="8380" spans="14:14" x14ac:dyDescent="0.2">
      <c r="N8380" s="131"/>
    </row>
    <row r="8381" spans="14:14" x14ac:dyDescent="0.2">
      <c r="N8381" s="131"/>
    </row>
    <row r="8382" spans="14:14" x14ac:dyDescent="0.2">
      <c r="N8382" s="131"/>
    </row>
    <row r="8383" spans="14:14" x14ac:dyDescent="0.2">
      <c r="N8383" s="131"/>
    </row>
    <row r="8384" spans="14:14" x14ac:dyDescent="0.2">
      <c r="N8384" s="131"/>
    </row>
    <row r="8385" spans="14:14" x14ac:dyDescent="0.2">
      <c r="N8385" s="131"/>
    </row>
    <row r="8386" spans="14:14" x14ac:dyDescent="0.2">
      <c r="N8386" s="131"/>
    </row>
    <row r="8387" spans="14:14" x14ac:dyDescent="0.2">
      <c r="N8387" s="131"/>
    </row>
    <row r="8388" spans="14:14" x14ac:dyDescent="0.2">
      <c r="N8388" s="131"/>
    </row>
    <row r="8389" spans="14:14" x14ac:dyDescent="0.2">
      <c r="N8389" s="131"/>
    </row>
    <row r="8390" spans="14:14" x14ac:dyDescent="0.2">
      <c r="N8390" s="131"/>
    </row>
    <row r="8391" spans="14:14" x14ac:dyDescent="0.2">
      <c r="N8391" s="131"/>
    </row>
    <row r="8392" spans="14:14" x14ac:dyDescent="0.2">
      <c r="N8392" s="131"/>
    </row>
    <row r="8393" spans="14:14" x14ac:dyDescent="0.2">
      <c r="N8393" s="131"/>
    </row>
    <row r="8394" spans="14:14" x14ac:dyDescent="0.2">
      <c r="N8394" s="131"/>
    </row>
    <row r="8395" spans="14:14" x14ac:dyDescent="0.2">
      <c r="N8395" s="131"/>
    </row>
    <row r="8396" spans="14:14" x14ac:dyDescent="0.2">
      <c r="N8396" s="131"/>
    </row>
    <row r="8397" spans="14:14" x14ac:dyDescent="0.2">
      <c r="N8397" s="131"/>
    </row>
    <row r="8398" spans="14:14" x14ac:dyDescent="0.2">
      <c r="N8398" s="131"/>
    </row>
    <row r="8399" spans="14:14" x14ac:dyDescent="0.2">
      <c r="N8399" s="131"/>
    </row>
    <row r="8400" spans="14:14" x14ac:dyDescent="0.2">
      <c r="N8400" s="131"/>
    </row>
    <row r="8401" spans="14:14" x14ac:dyDescent="0.2">
      <c r="N8401" s="131"/>
    </row>
    <row r="8402" spans="14:14" x14ac:dyDescent="0.2">
      <c r="N8402" s="131"/>
    </row>
    <row r="8403" spans="14:14" x14ac:dyDescent="0.2">
      <c r="N8403" s="131"/>
    </row>
    <row r="8404" spans="14:14" x14ac:dyDescent="0.2">
      <c r="N8404" s="131"/>
    </row>
    <row r="8405" spans="14:14" x14ac:dyDescent="0.2">
      <c r="N8405" s="131"/>
    </row>
    <row r="8406" spans="14:14" x14ac:dyDescent="0.2">
      <c r="N8406" s="131"/>
    </row>
    <row r="8407" spans="14:14" x14ac:dyDescent="0.2">
      <c r="N8407" s="131"/>
    </row>
    <row r="8408" spans="14:14" x14ac:dyDescent="0.2">
      <c r="N8408" s="131"/>
    </row>
    <row r="8409" spans="14:14" x14ac:dyDescent="0.2">
      <c r="N8409" s="131"/>
    </row>
    <row r="8410" spans="14:14" x14ac:dyDescent="0.2">
      <c r="N8410" s="131"/>
    </row>
    <row r="8411" spans="14:14" x14ac:dyDescent="0.2">
      <c r="N8411" s="131"/>
    </row>
    <row r="8412" spans="14:14" x14ac:dyDescent="0.2">
      <c r="N8412" s="131"/>
    </row>
    <row r="8413" spans="14:14" x14ac:dyDescent="0.2">
      <c r="N8413" s="131"/>
    </row>
    <row r="8414" spans="14:14" x14ac:dyDescent="0.2">
      <c r="N8414" s="131"/>
    </row>
    <row r="8415" spans="14:14" x14ac:dyDescent="0.2">
      <c r="N8415" s="131"/>
    </row>
    <row r="8416" spans="14:14" x14ac:dyDescent="0.2">
      <c r="N8416" s="131"/>
    </row>
    <row r="8417" spans="14:14" x14ac:dyDescent="0.2">
      <c r="N8417" s="131"/>
    </row>
    <row r="8418" spans="14:14" x14ac:dyDescent="0.2">
      <c r="N8418" s="131"/>
    </row>
    <row r="8419" spans="14:14" x14ac:dyDescent="0.2">
      <c r="N8419" s="131"/>
    </row>
    <row r="8420" spans="14:14" x14ac:dyDescent="0.2">
      <c r="N8420" s="131"/>
    </row>
    <row r="8421" spans="14:14" x14ac:dyDescent="0.2">
      <c r="N8421" s="131"/>
    </row>
    <row r="8422" spans="14:14" x14ac:dyDescent="0.2">
      <c r="N8422" s="131"/>
    </row>
    <row r="8423" spans="14:14" x14ac:dyDescent="0.2">
      <c r="N8423" s="131"/>
    </row>
    <row r="8424" spans="14:14" x14ac:dyDescent="0.2">
      <c r="N8424" s="131"/>
    </row>
    <row r="8425" spans="14:14" x14ac:dyDescent="0.2">
      <c r="N8425" s="131"/>
    </row>
    <row r="8426" spans="14:14" x14ac:dyDescent="0.2">
      <c r="N8426" s="131"/>
    </row>
    <row r="8427" spans="14:14" x14ac:dyDescent="0.2">
      <c r="N8427" s="131"/>
    </row>
    <row r="8428" spans="14:14" x14ac:dyDescent="0.2">
      <c r="N8428" s="131"/>
    </row>
    <row r="8429" spans="14:14" x14ac:dyDescent="0.2">
      <c r="N8429" s="131"/>
    </row>
    <row r="8430" spans="14:14" x14ac:dyDescent="0.2">
      <c r="N8430" s="131"/>
    </row>
    <row r="8431" spans="14:14" x14ac:dyDescent="0.2">
      <c r="N8431" s="131"/>
    </row>
    <row r="8432" spans="14:14" x14ac:dyDescent="0.2">
      <c r="N8432" s="131"/>
    </row>
    <row r="8433" spans="14:14" x14ac:dyDescent="0.2">
      <c r="N8433" s="131"/>
    </row>
    <row r="8434" spans="14:14" x14ac:dyDescent="0.2">
      <c r="N8434" s="131"/>
    </row>
    <row r="8435" spans="14:14" x14ac:dyDescent="0.2">
      <c r="N8435" s="131"/>
    </row>
    <row r="8436" spans="14:14" x14ac:dyDescent="0.2">
      <c r="N8436" s="131"/>
    </row>
    <row r="8437" spans="14:14" x14ac:dyDescent="0.2">
      <c r="N8437" s="131"/>
    </row>
    <row r="8438" spans="14:14" x14ac:dyDescent="0.2">
      <c r="N8438" s="131"/>
    </row>
    <row r="8439" spans="14:14" x14ac:dyDescent="0.2">
      <c r="N8439" s="131"/>
    </row>
    <row r="8440" spans="14:14" x14ac:dyDescent="0.2">
      <c r="N8440" s="131"/>
    </row>
    <row r="8441" spans="14:14" x14ac:dyDescent="0.2">
      <c r="N8441" s="131"/>
    </row>
    <row r="8442" spans="14:14" x14ac:dyDescent="0.2">
      <c r="N8442" s="131"/>
    </row>
    <row r="8443" spans="14:14" x14ac:dyDescent="0.2">
      <c r="N8443" s="131"/>
    </row>
    <row r="8444" spans="14:14" x14ac:dyDescent="0.2">
      <c r="N8444" s="131"/>
    </row>
    <row r="8445" spans="14:14" x14ac:dyDescent="0.2">
      <c r="N8445" s="131"/>
    </row>
    <row r="8446" spans="14:14" x14ac:dyDescent="0.2">
      <c r="N8446" s="131"/>
    </row>
    <row r="8447" spans="14:14" x14ac:dyDescent="0.2">
      <c r="N8447" s="131"/>
    </row>
    <row r="8448" spans="14:14" x14ac:dyDescent="0.2">
      <c r="N8448" s="131"/>
    </row>
    <row r="8449" spans="14:14" x14ac:dyDescent="0.2">
      <c r="N8449" s="131"/>
    </row>
    <row r="8450" spans="14:14" x14ac:dyDescent="0.2">
      <c r="N8450" s="131"/>
    </row>
    <row r="8451" spans="14:14" x14ac:dyDescent="0.2">
      <c r="N8451" s="131"/>
    </row>
    <row r="8452" spans="14:14" x14ac:dyDescent="0.2">
      <c r="N8452" s="131"/>
    </row>
    <row r="8453" spans="14:14" x14ac:dyDescent="0.2">
      <c r="N8453" s="131"/>
    </row>
    <row r="8454" spans="14:14" x14ac:dyDescent="0.2">
      <c r="N8454" s="131"/>
    </row>
    <row r="8455" spans="14:14" x14ac:dyDescent="0.2">
      <c r="N8455" s="131"/>
    </row>
    <row r="8456" spans="14:14" x14ac:dyDescent="0.2">
      <c r="N8456" s="131"/>
    </row>
    <row r="8457" spans="14:14" x14ac:dyDescent="0.2">
      <c r="N8457" s="131"/>
    </row>
    <row r="8458" spans="14:14" x14ac:dyDescent="0.2">
      <c r="N8458" s="131"/>
    </row>
    <row r="8459" spans="14:14" x14ac:dyDescent="0.2">
      <c r="N8459" s="131"/>
    </row>
    <row r="8460" spans="14:14" x14ac:dyDescent="0.2">
      <c r="N8460" s="131"/>
    </row>
    <row r="8461" spans="14:14" x14ac:dyDescent="0.2">
      <c r="N8461" s="131"/>
    </row>
    <row r="8462" spans="14:14" x14ac:dyDescent="0.2">
      <c r="N8462" s="131"/>
    </row>
    <row r="8463" spans="14:14" x14ac:dyDescent="0.2">
      <c r="N8463" s="131"/>
    </row>
    <row r="8464" spans="14:14" x14ac:dyDescent="0.2">
      <c r="N8464" s="131"/>
    </row>
    <row r="8465" spans="14:14" x14ac:dyDescent="0.2">
      <c r="N8465" s="131"/>
    </row>
    <row r="8466" spans="14:14" x14ac:dyDescent="0.2">
      <c r="N8466" s="131"/>
    </row>
    <row r="8467" spans="14:14" x14ac:dyDescent="0.2">
      <c r="N8467" s="131"/>
    </row>
    <row r="8468" spans="14:14" x14ac:dyDescent="0.2">
      <c r="N8468" s="131"/>
    </row>
    <row r="8469" spans="14:14" x14ac:dyDescent="0.2">
      <c r="N8469" s="131"/>
    </row>
    <row r="8470" spans="14:14" x14ac:dyDescent="0.2">
      <c r="N8470" s="131"/>
    </row>
    <row r="8471" spans="14:14" x14ac:dyDescent="0.2">
      <c r="N8471" s="131"/>
    </row>
    <row r="8472" spans="14:14" x14ac:dyDescent="0.2">
      <c r="N8472" s="131"/>
    </row>
    <row r="8473" spans="14:14" x14ac:dyDescent="0.2">
      <c r="N8473" s="131"/>
    </row>
    <row r="8474" spans="14:14" x14ac:dyDescent="0.2">
      <c r="N8474" s="131"/>
    </row>
    <row r="8475" spans="14:14" x14ac:dyDescent="0.2">
      <c r="N8475" s="131"/>
    </row>
    <row r="8476" spans="14:14" x14ac:dyDescent="0.2">
      <c r="N8476" s="131"/>
    </row>
    <row r="8477" spans="14:14" x14ac:dyDescent="0.2">
      <c r="N8477" s="131"/>
    </row>
    <row r="8478" spans="14:14" x14ac:dyDescent="0.2">
      <c r="N8478" s="131"/>
    </row>
    <row r="8479" spans="14:14" x14ac:dyDescent="0.2">
      <c r="N8479" s="131"/>
    </row>
    <row r="8480" spans="14:14" x14ac:dyDescent="0.2">
      <c r="N8480" s="131"/>
    </row>
    <row r="8481" spans="14:14" x14ac:dyDescent="0.2">
      <c r="N8481" s="131"/>
    </row>
    <row r="8482" spans="14:14" x14ac:dyDescent="0.2">
      <c r="N8482" s="131"/>
    </row>
    <row r="8483" spans="14:14" x14ac:dyDescent="0.2">
      <c r="N8483" s="131"/>
    </row>
    <row r="8484" spans="14:14" x14ac:dyDescent="0.2">
      <c r="N8484" s="131"/>
    </row>
    <row r="8485" spans="14:14" x14ac:dyDescent="0.2">
      <c r="N8485" s="131"/>
    </row>
    <row r="8486" spans="14:14" x14ac:dyDescent="0.2">
      <c r="N8486" s="131"/>
    </row>
    <row r="8487" spans="14:14" x14ac:dyDescent="0.2">
      <c r="N8487" s="131"/>
    </row>
    <row r="8488" spans="14:14" x14ac:dyDescent="0.2">
      <c r="N8488" s="131"/>
    </row>
    <row r="8489" spans="14:14" x14ac:dyDescent="0.2">
      <c r="N8489" s="131"/>
    </row>
    <row r="8490" spans="14:14" x14ac:dyDescent="0.2">
      <c r="N8490" s="131"/>
    </row>
    <row r="8491" spans="14:14" x14ac:dyDescent="0.2">
      <c r="N8491" s="131"/>
    </row>
    <row r="8492" spans="14:14" x14ac:dyDescent="0.2">
      <c r="N8492" s="131"/>
    </row>
    <row r="8493" spans="14:14" x14ac:dyDescent="0.2">
      <c r="N8493" s="131"/>
    </row>
    <row r="8494" spans="14:14" x14ac:dyDescent="0.2">
      <c r="N8494" s="131"/>
    </row>
    <row r="8495" spans="14:14" x14ac:dyDescent="0.2">
      <c r="N8495" s="131"/>
    </row>
    <row r="8496" spans="14:14" x14ac:dyDescent="0.2">
      <c r="N8496" s="131"/>
    </row>
    <row r="8497" spans="14:14" x14ac:dyDescent="0.2">
      <c r="N8497" s="131"/>
    </row>
    <row r="8498" spans="14:14" x14ac:dyDescent="0.2">
      <c r="N8498" s="131"/>
    </row>
    <row r="8499" spans="14:14" x14ac:dyDescent="0.2">
      <c r="N8499" s="131"/>
    </row>
    <row r="8500" spans="14:14" x14ac:dyDescent="0.2">
      <c r="N8500" s="131"/>
    </row>
    <row r="8501" spans="14:14" x14ac:dyDescent="0.2">
      <c r="N8501" s="131"/>
    </row>
    <row r="8502" spans="14:14" x14ac:dyDescent="0.2">
      <c r="N8502" s="131"/>
    </row>
    <row r="8503" spans="14:14" x14ac:dyDescent="0.2">
      <c r="N8503" s="131"/>
    </row>
    <row r="8504" spans="14:14" x14ac:dyDescent="0.2">
      <c r="N8504" s="131"/>
    </row>
    <row r="8505" spans="14:14" x14ac:dyDescent="0.2">
      <c r="N8505" s="131"/>
    </row>
    <row r="8506" spans="14:14" x14ac:dyDescent="0.2">
      <c r="N8506" s="131"/>
    </row>
    <row r="8507" spans="14:14" x14ac:dyDescent="0.2">
      <c r="N8507" s="131"/>
    </row>
    <row r="8508" spans="14:14" x14ac:dyDescent="0.2">
      <c r="N8508" s="131"/>
    </row>
    <row r="8509" spans="14:14" x14ac:dyDescent="0.2">
      <c r="N8509" s="131"/>
    </row>
    <row r="8510" spans="14:14" x14ac:dyDescent="0.2">
      <c r="N8510" s="131"/>
    </row>
    <row r="8511" spans="14:14" x14ac:dyDescent="0.2">
      <c r="N8511" s="131"/>
    </row>
    <row r="8512" spans="14:14" x14ac:dyDescent="0.2">
      <c r="N8512" s="131"/>
    </row>
    <row r="8513" spans="14:14" x14ac:dyDescent="0.2">
      <c r="N8513" s="131"/>
    </row>
    <row r="8514" spans="14:14" x14ac:dyDescent="0.2">
      <c r="N8514" s="131"/>
    </row>
    <row r="8515" spans="14:14" x14ac:dyDescent="0.2">
      <c r="N8515" s="131"/>
    </row>
    <row r="8516" spans="14:14" x14ac:dyDescent="0.2">
      <c r="N8516" s="131"/>
    </row>
    <row r="8517" spans="14:14" x14ac:dyDescent="0.2">
      <c r="N8517" s="131"/>
    </row>
    <row r="8518" spans="14:14" x14ac:dyDescent="0.2">
      <c r="N8518" s="131"/>
    </row>
    <row r="8519" spans="14:14" x14ac:dyDescent="0.2">
      <c r="N8519" s="131"/>
    </row>
    <row r="8520" spans="14:14" x14ac:dyDescent="0.2">
      <c r="N8520" s="131"/>
    </row>
    <row r="8521" spans="14:14" x14ac:dyDescent="0.2">
      <c r="N8521" s="131"/>
    </row>
    <row r="8522" spans="14:14" x14ac:dyDescent="0.2">
      <c r="N8522" s="131"/>
    </row>
    <row r="8523" spans="14:14" x14ac:dyDescent="0.2">
      <c r="N8523" s="131"/>
    </row>
    <row r="8524" spans="14:14" x14ac:dyDescent="0.2">
      <c r="N8524" s="131"/>
    </row>
    <row r="8525" spans="14:14" x14ac:dyDescent="0.2">
      <c r="N8525" s="131"/>
    </row>
    <row r="8526" spans="14:14" x14ac:dyDescent="0.2">
      <c r="N8526" s="131"/>
    </row>
    <row r="8527" spans="14:14" x14ac:dyDescent="0.2">
      <c r="N8527" s="131"/>
    </row>
    <row r="8528" spans="14:14" x14ac:dyDescent="0.2">
      <c r="N8528" s="131"/>
    </row>
    <row r="8529" spans="14:14" x14ac:dyDescent="0.2">
      <c r="N8529" s="131"/>
    </row>
    <row r="8530" spans="14:14" x14ac:dyDescent="0.2">
      <c r="N8530" s="131"/>
    </row>
    <row r="8531" spans="14:14" x14ac:dyDescent="0.2">
      <c r="N8531" s="131"/>
    </row>
    <row r="8532" spans="14:14" x14ac:dyDescent="0.2">
      <c r="N8532" s="131"/>
    </row>
    <row r="8533" spans="14:14" x14ac:dyDescent="0.2">
      <c r="N8533" s="131"/>
    </row>
    <row r="8534" spans="14:14" x14ac:dyDescent="0.2">
      <c r="N8534" s="131"/>
    </row>
    <row r="8535" spans="14:14" x14ac:dyDescent="0.2">
      <c r="N8535" s="131"/>
    </row>
    <row r="8536" spans="14:14" x14ac:dyDescent="0.2">
      <c r="N8536" s="131"/>
    </row>
    <row r="8537" spans="14:14" x14ac:dyDescent="0.2">
      <c r="N8537" s="131"/>
    </row>
    <row r="8538" spans="14:14" x14ac:dyDescent="0.2">
      <c r="N8538" s="131"/>
    </row>
    <row r="8539" spans="14:14" x14ac:dyDescent="0.2">
      <c r="N8539" s="131"/>
    </row>
    <row r="8540" spans="14:14" x14ac:dyDescent="0.2">
      <c r="N8540" s="131"/>
    </row>
    <row r="8541" spans="14:14" x14ac:dyDescent="0.2">
      <c r="N8541" s="131"/>
    </row>
    <row r="8542" spans="14:14" x14ac:dyDescent="0.2">
      <c r="N8542" s="131"/>
    </row>
    <row r="8543" spans="14:14" x14ac:dyDescent="0.2">
      <c r="N8543" s="131"/>
    </row>
    <row r="8544" spans="14:14" x14ac:dyDescent="0.2">
      <c r="N8544" s="131"/>
    </row>
    <row r="8545" spans="14:14" x14ac:dyDescent="0.2">
      <c r="N8545" s="131"/>
    </row>
    <row r="8546" spans="14:14" x14ac:dyDescent="0.2">
      <c r="N8546" s="131"/>
    </row>
    <row r="8547" spans="14:14" x14ac:dyDescent="0.2">
      <c r="N8547" s="131"/>
    </row>
    <row r="8548" spans="14:14" x14ac:dyDescent="0.2">
      <c r="N8548" s="131"/>
    </row>
    <row r="8549" spans="14:14" x14ac:dyDescent="0.2">
      <c r="N8549" s="131"/>
    </row>
    <row r="8550" spans="14:14" x14ac:dyDescent="0.2">
      <c r="N8550" s="131"/>
    </row>
    <row r="8551" spans="14:14" x14ac:dyDescent="0.2">
      <c r="N8551" s="131"/>
    </row>
    <row r="8552" spans="14:14" x14ac:dyDescent="0.2">
      <c r="N8552" s="131"/>
    </row>
    <row r="8553" spans="14:14" x14ac:dyDescent="0.2">
      <c r="N8553" s="131"/>
    </row>
    <row r="8554" spans="14:14" x14ac:dyDescent="0.2">
      <c r="N8554" s="131"/>
    </row>
    <row r="8555" spans="14:14" x14ac:dyDescent="0.2">
      <c r="N8555" s="131"/>
    </row>
    <row r="8556" spans="14:14" x14ac:dyDescent="0.2">
      <c r="N8556" s="131"/>
    </row>
    <row r="8557" spans="14:14" x14ac:dyDescent="0.2">
      <c r="N8557" s="131"/>
    </row>
    <row r="8558" spans="14:14" x14ac:dyDescent="0.2">
      <c r="N8558" s="131"/>
    </row>
    <row r="8559" spans="14:14" x14ac:dyDescent="0.2">
      <c r="N8559" s="131"/>
    </row>
    <row r="8560" spans="14:14" x14ac:dyDescent="0.2">
      <c r="N8560" s="131"/>
    </row>
    <row r="8561" spans="14:14" x14ac:dyDescent="0.2">
      <c r="N8561" s="131"/>
    </row>
    <row r="8562" spans="14:14" x14ac:dyDescent="0.2">
      <c r="N8562" s="131"/>
    </row>
    <row r="8563" spans="14:14" x14ac:dyDescent="0.2">
      <c r="N8563" s="131"/>
    </row>
    <row r="8564" spans="14:14" x14ac:dyDescent="0.2">
      <c r="N8564" s="131"/>
    </row>
    <row r="8565" spans="14:14" x14ac:dyDescent="0.2">
      <c r="N8565" s="131"/>
    </row>
    <row r="8566" spans="14:14" x14ac:dyDescent="0.2">
      <c r="N8566" s="131"/>
    </row>
    <row r="8567" spans="14:14" x14ac:dyDescent="0.2">
      <c r="N8567" s="131"/>
    </row>
    <row r="8568" spans="14:14" x14ac:dyDescent="0.2">
      <c r="N8568" s="131"/>
    </row>
    <row r="8569" spans="14:14" x14ac:dyDescent="0.2">
      <c r="N8569" s="131"/>
    </row>
    <row r="8570" spans="14:14" x14ac:dyDescent="0.2">
      <c r="N8570" s="131"/>
    </row>
    <row r="8571" spans="14:14" x14ac:dyDescent="0.2">
      <c r="N8571" s="131"/>
    </row>
    <row r="8572" spans="14:14" x14ac:dyDescent="0.2">
      <c r="N8572" s="131"/>
    </row>
    <row r="8573" spans="14:14" x14ac:dyDescent="0.2">
      <c r="N8573" s="131"/>
    </row>
    <row r="8574" spans="14:14" x14ac:dyDescent="0.2">
      <c r="N8574" s="131"/>
    </row>
    <row r="8575" spans="14:14" x14ac:dyDescent="0.2">
      <c r="N8575" s="131"/>
    </row>
    <row r="8576" spans="14:14" x14ac:dyDescent="0.2">
      <c r="N8576" s="131"/>
    </row>
    <row r="8577" spans="14:14" x14ac:dyDescent="0.2">
      <c r="N8577" s="131"/>
    </row>
    <row r="8578" spans="14:14" x14ac:dyDescent="0.2">
      <c r="N8578" s="131"/>
    </row>
    <row r="8579" spans="14:14" x14ac:dyDescent="0.2">
      <c r="N8579" s="131"/>
    </row>
    <row r="8580" spans="14:14" x14ac:dyDescent="0.2">
      <c r="N8580" s="131"/>
    </row>
    <row r="8581" spans="14:14" x14ac:dyDescent="0.2">
      <c r="N8581" s="131"/>
    </row>
    <row r="8582" spans="14:14" x14ac:dyDescent="0.2">
      <c r="N8582" s="131"/>
    </row>
    <row r="8583" spans="14:14" x14ac:dyDescent="0.2">
      <c r="N8583" s="131"/>
    </row>
    <row r="8584" spans="14:14" x14ac:dyDescent="0.2">
      <c r="N8584" s="131"/>
    </row>
    <row r="8585" spans="14:14" x14ac:dyDescent="0.2">
      <c r="N8585" s="131"/>
    </row>
    <row r="8586" spans="14:14" x14ac:dyDescent="0.2">
      <c r="N8586" s="131"/>
    </row>
    <row r="8587" spans="14:14" x14ac:dyDescent="0.2">
      <c r="N8587" s="131"/>
    </row>
    <row r="8588" spans="14:14" x14ac:dyDescent="0.2">
      <c r="N8588" s="131"/>
    </row>
    <row r="8589" spans="14:14" x14ac:dyDescent="0.2">
      <c r="N8589" s="131"/>
    </row>
    <row r="8590" spans="14:14" x14ac:dyDescent="0.2">
      <c r="N8590" s="131"/>
    </row>
    <row r="8591" spans="14:14" x14ac:dyDescent="0.2">
      <c r="N8591" s="131"/>
    </row>
    <row r="8592" spans="14:14" x14ac:dyDescent="0.2">
      <c r="N8592" s="131"/>
    </row>
    <row r="8593" spans="14:14" x14ac:dyDescent="0.2">
      <c r="N8593" s="131"/>
    </row>
    <row r="8594" spans="14:14" x14ac:dyDescent="0.2">
      <c r="N8594" s="131"/>
    </row>
    <row r="8595" spans="14:14" x14ac:dyDescent="0.2">
      <c r="N8595" s="131"/>
    </row>
    <row r="8596" spans="14:14" x14ac:dyDescent="0.2">
      <c r="N8596" s="131"/>
    </row>
    <row r="8597" spans="14:14" x14ac:dyDescent="0.2">
      <c r="N8597" s="131"/>
    </row>
    <row r="8598" spans="14:14" x14ac:dyDescent="0.2">
      <c r="N8598" s="131"/>
    </row>
    <row r="8599" spans="14:14" x14ac:dyDescent="0.2">
      <c r="N8599" s="131"/>
    </row>
    <row r="8600" spans="14:14" x14ac:dyDescent="0.2">
      <c r="N8600" s="131"/>
    </row>
    <row r="8601" spans="14:14" x14ac:dyDescent="0.2">
      <c r="N8601" s="131"/>
    </row>
    <row r="8602" spans="14:14" x14ac:dyDescent="0.2">
      <c r="N8602" s="131"/>
    </row>
    <row r="8603" spans="14:14" x14ac:dyDescent="0.2">
      <c r="N8603" s="131"/>
    </row>
    <row r="8604" spans="14:14" x14ac:dyDescent="0.2">
      <c r="N8604" s="131"/>
    </row>
    <row r="8605" spans="14:14" x14ac:dyDescent="0.2">
      <c r="N8605" s="131"/>
    </row>
    <row r="8606" spans="14:14" x14ac:dyDescent="0.2">
      <c r="N8606" s="131"/>
    </row>
    <row r="8607" spans="14:14" x14ac:dyDescent="0.2">
      <c r="N8607" s="131"/>
    </row>
    <row r="8608" spans="14:14" x14ac:dyDescent="0.2">
      <c r="N8608" s="131"/>
    </row>
    <row r="8609" spans="14:14" x14ac:dyDescent="0.2">
      <c r="N8609" s="131"/>
    </row>
    <row r="8610" spans="14:14" x14ac:dyDescent="0.2">
      <c r="N8610" s="131"/>
    </row>
    <row r="8611" spans="14:14" x14ac:dyDescent="0.2">
      <c r="N8611" s="131"/>
    </row>
    <row r="8612" spans="14:14" x14ac:dyDescent="0.2">
      <c r="N8612" s="131"/>
    </row>
    <row r="8613" spans="14:14" x14ac:dyDescent="0.2">
      <c r="N8613" s="131"/>
    </row>
    <row r="8614" spans="14:14" x14ac:dyDescent="0.2">
      <c r="N8614" s="131"/>
    </row>
    <row r="8615" spans="14:14" x14ac:dyDescent="0.2">
      <c r="N8615" s="131"/>
    </row>
    <row r="8616" spans="14:14" x14ac:dyDescent="0.2">
      <c r="N8616" s="131"/>
    </row>
    <row r="8617" spans="14:14" x14ac:dyDescent="0.2">
      <c r="N8617" s="131"/>
    </row>
    <row r="8618" spans="14:14" x14ac:dyDescent="0.2">
      <c r="N8618" s="131"/>
    </row>
    <row r="8619" spans="14:14" x14ac:dyDescent="0.2">
      <c r="N8619" s="131"/>
    </row>
    <row r="8620" spans="14:14" x14ac:dyDescent="0.2">
      <c r="N8620" s="131"/>
    </row>
    <row r="8621" spans="14:14" x14ac:dyDescent="0.2">
      <c r="N8621" s="131"/>
    </row>
    <row r="8622" spans="14:14" x14ac:dyDescent="0.2">
      <c r="N8622" s="131"/>
    </row>
    <row r="8623" spans="14:14" x14ac:dyDescent="0.2">
      <c r="N8623" s="131"/>
    </row>
    <row r="8624" spans="14:14" x14ac:dyDescent="0.2">
      <c r="N8624" s="131"/>
    </row>
    <row r="8625" spans="14:14" x14ac:dyDescent="0.2">
      <c r="N8625" s="131"/>
    </row>
    <row r="8626" spans="14:14" x14ac:dyDescent="0.2">
      <c r="N8626" s="131"/>
    </row>
    <row r="8627" spans="14:14" x14ac:dyDescent="0.2">
      <c r="N8627" s="131"/>
    </row>
    <row r="8628" spans="14:14" x14ac:dyDescent="0.2">
      <c r="N8628" s="131"/>
    </row>
    <row r="8629" spans="14:14" x14ac:dyDescent="0.2">
      <c r="N8629" s="131"/>
    </row>
    <row r="8630" spans="14:14" x14ac:dyDescent="0.2">
      <c r="N8630" s="131"/>
    </row>
    <row r="8631" spans="14:14" x14ac:dyDescent="0.2">
      <c r="N8631" s="131"/>
    </row>
    <row r="8632" spans="14:14" x14ac:dyDescent="0.2">
      <c r="N8632" s="131"/>
    </row>
    <row r="8633" spans="14:14" x14ac:dyDescent="0.2">
      <c r="N8633" s="131"/>
    </row>
    <row r="8634" spans="14:14" x14ac:dyDescent="0.2">
      <c r="N8634" s="131"/>
    </row>
    <row r="8635" spans="14:14" x14ac:dyDescent="0.2">
      <c r="N8635" s="131"/>
    </row>
    <row r="8636" spans="14:14" x14ac:dyDescent="0.2">
      <c r="N8636" s="131"/>
    </row>
    <row r="8637" spans="14:14" x14ac:dyDescent="0.2">
      <c r="N8637" s="131"/>
    </row>
    <row r="8638" spans="14:14" x14ac:dyDescent="0.2">
      <c r="N8638" s="131"/>
    </row>
    <row r="8639" spans="14:14" x14ac:dyDescent="0.2">
      <c r="N8639" s="131"/>
    </row>
    <row r="8640" spans="14:14" x14ac:dyDescent="0.2">
      <c r="N8640" s="131"/>
    </row>
    <row r="8641" spans="14:14" x14ac:dyDescent="0.2">
      <c r="N8641" s="131"/>
    </row>
    <row r="8642" spans="14:14" x14ac:dyDescent="0.2">
      <c r="N8642" s="131"/>
    </row>
    <row r="8643" spans="14:14" x14ac:dyDescent="0.2">
      <c r="N8643" s="131"/>
    </row>
    <row r="8644" spans="14:14" x14ac:dyDescent="0.2">
      <c r="N8644" s="131"/>
    </row>
    <row r="8645" spans="14:14" x14ac:dyDescent="0.2">
      <c r="N8645" s="131"/>
    </row>
    <row r="8646" spans="14:14" x14ac:dyDescent="0.2">
      <c r="N8646" s="131"/>
    </row>
    <row r="8647" spans="14:14" x14ac:dyDescent="0.2">
      <c r="N8647" s="131"/>
    </row>
    <row r="8648" spans="14:14" x14ac:dyDescent="0.2">
      <c r="N8648" s="131"/>
    </row>
    <row r="8649" spans="14:14" x14ac:dyDescent="0.2">
      <c r="N8649" s="131"/>
    </row>
    <row r="8650" spans="14:14" x14ac:dyDescent="0.2">
      <c r="N8650" s="131"/>
    </row>
    <row r="8651" spans="14:14" x14ac:dyDescent="0.2">
      <c r="N8651" s="131"/>
    </row>
    <row r="8652" spans="14:14" x14ac:dyDescent="0.2">
      <c r="N8652" s="131"/>
    </row>
    <row r="8653" spans="14:14" x14ac:dyDescent="0.2">
      <c r="N8653" s="131"/>
    </row>
    <row r="8654" spans="14:14" x14ac:dyDescent="0.2">
      <c r="N8654" s="131"/>
    </row>
    <row r="8655" spans="14:14" x14ac:dyDescent="0.2">
      <c r="N8655" s="131"/>
    </row>
    <row r="8656" spans="14:14" x14ac:dyDescent="0.2">
      <c r="N8656" s="131"/>
    </row>
    <row r="8657" spans="14:14" x14ac:dyDescent="0.2">
      <c r="N8657" s="131"/>
    </row>
    <row r="8658" spans="14:14" x14ac:dyDescent="0.2">
      <c r="N8658" s="131"/>
    </row>
    <row r="8659" spans="14:14" x14ac:dyDescent="0.2">
      <c r="N8659" s="131"/>
    </row>
    <row r="8660" spans="14:14" x14ac:dyDescent="0.2">
      <c r="N8660" s="131"/>
    </row>
    <row r="8661" spans="14:14" x14ac:dyDescent="0.2">
      <c r="N8661" s="131"/>
    </row>
    <row r="8662" spans="14:14" x14ac:dyDescent="0.2">
      <c r="N8662" s="131"/>
    </row>
    <row r="8663" spans="14:14" x14ac:dyDescent="0.2">
      <c r="N8663" s="131"/>
    </row>
    <row r="8664" spans="14:14" x14ac:dyDescent="0.2">
      <c r="N8664" s="131"/>
    </row>
    <row r="8665" spans="14:14" x14ac:dyDescent="0.2">
      <c r="N8665" s="131"/>
    </row>
    <row r="8666" spans="14:14" x14ac:dyDescent="0.2">
      <c r="N8666" s="131"/>
    </row>
    <row r="8667" spans="14:14" x14ac:dyDescent="0.2">
      <c r="N8667" s="131"/>
    </row>
    <row r="8668" spans="14:14" x14ac:dyDescent="0.2">
      <c r="N8668" s="131"/>
    </row>
    <row r="8669" spans="14:14" x14ac:dyDescent="0.2">
      <c r="N8669" s="131"/>
    </row>
    <row r="8670" spans="14:14" x14ac:dyDescent="0.2">
      <c r="N8670" s="131"/>
    </row>
    <row r="8671" spans="14:14" x14ac:dyDescent="0.2">
      <c r="N8671" s="131"/>
    </row>
    <row r="8672" spans="14:14" x14ac:dyDescent="0.2">
      <c r="N8672" s="131"/>
    </row>
    <row r="8673" spans="14:14" x14ac:dyDescent="0.2">
      <c r="N8673" s="131"/>
    </row>
    <row r="8674" spans="14:14" x14ac:dyDescent="0.2">
      <c r="N8674" s="131"/>
    </row>
    <row r="8675" spans="14:14" x14ac:dyDescent="0.2">
      <c r="N8675" s="131"/>
    </row>
    <row r="8676" spans="14:14" x14ac:dyDescent="0.2">
      <c r="N8676" s="131"/>
    </row>
    <row r="8677" spans="14:14" x14ac:dyDescent="0.2">
      <c r="N8677" s="131"/>
    </row>
    <row r="8678" spans="14:14" x14ac:dyDescent="0.2">
      <c r="N8678" s="131"/>
    </row>
    <row r="8679" spans="14:14" x14ac:dyDescent="0.2">
      <c r="N8679" s="131"/>
    </row>
    <row r="8680" spans="14:14" x14ac:dyDescent="0.2">
      <c r="N8680" s="131"/>
    </row>
    <row r="8681" spans="14:14" x14ac:dyDescent="0.2">
      <c r="N8681" s="131"/>
    </row>
    <row r="8682" spans="14:14" x14ac:dyDescent="0.2">
      <c r="N8682" s="131"/>
    </row>
    <row r="8683" spans="14:14" x14ac:dyDescent="0.2">
      <c r="N8683" s="131"/>
    </row>
    <row r="8684" spans="14:14" x14ac:dyDescent="0.2">
      <c r="N8684" s="131"/>
    </row>
    <row r="8685" spans="14:14" x14ac:dyDescent="0.2">
      <c r="N8685" s="131"/>
    </row>
    <row r="8686" spans="14:14" x14ac:dyDescent="0.2">
      <c r="N8686" s="131"/>
    </row>
    <row r="8687" spans="14:14" x14ac:dyDescent="0.2">
      <c r="N8687" s="131"/>
    </row>
    <row r="8688" spans="14:14" x14ac:dyDescent="0.2">
      <c r="N8688" s="131"/>
    </row>
    <row r="8689" spans="14:14" x14ac:dyDescent="0.2">
      <c r="N8689" s="131"/>
    </row>
    <row r="8690" spans="14:14" x14ac:dyDescent="0.2">
      <c r="N8690" s="131"/>
    </row>
    <row r="8691" spans="14:14" x14ac:dyDescent="0.2">
      <c r="N8691" s="131"/>
    </row>
    <row r="8692" spans="14:14" x14ac:dyDescent="0.2">
      <c r="N8692" s="131"/>
    </row>
    <row r="8693" spans="14:14" x14ac:dyDescent="0.2">
      <c r="N8693" s="131"/>
    </row>
    <row r="8694" spans="14:14" x14ac:dyDescent="0.2">
      <c r="N8694" s="131"/>
    </row>
    <row r="8695" spans="14:14" x14ac:dyDescent="0.2">
      <c r="N8695" s="131"/>
    </row>
    <row r="8696" spans="14:14" x14ac:dyDescent="0.2">
      <c r="N8696" s="131"/>
    </row>
    <row r="8697" spans="14:14" x14ac:dyDescent="0.2">
      <c r="N8697" s="131"/>
    </row>
    <row r="8698" spans="14:14" x14ac:dyDescent="0.2">
      <c r="N8698" s="131"/>
    </row>
    <row r="8699" spans="14:14" x14ac:dyDescent="0.2">
      <c r="N8699" s="131"/>
    </row>
    <row r="8700" spans="14:14" x14ac:dyDescent="0.2">
      <c r="N8700" s="131"/>
    </row>
    <row r="8701" spans="14:14" x14ac:dyDescent="0.2">
      <c r="N8701" s="131"/>
    </row>
    <row r="8702" spans="14:14" x14ac:dyDescent="0.2">
      <c r="N8702" s="131"/>
    </row>
    <row r="8703" spans="14:14" x14ac:dyDescent="0.2">
      <c r="N8703" s="131"/>
    </row>
    <row r="8704" spans="14:14" x14ac:dyDescent="0.2">
      <c r="N8704" s="131"/>
    </row>
    <row r="8705" spans="14:14" x14ac:dyDescent="0.2">
      <c r="N8705" s="131"/>
    </row>
    <row r="8706" spans="14:14" x14ac:dyDescent="0.2">
      <c r="N8706" s="131"/>
    </row>
    <row r="8707" spans="14:14" x14ac:dyDescent="0.2">
      <c r="N8707" s="131"/>
    </row>
    <row r="8708" spans="14:14" x14ac:dyDescent="0.2">
      <c r="N8708" s="131"/>
    </row>
    <row r="8709" spans="14:14" x14ac:dyDescent="0.2">
      <c r="N8709" s="131"/>
    </row>
    <row r="8710" spans="14:14" x14ac:dyDescent="0.2">
      <c r="N8710" s="131"/>
    </row>
    <row r="8711" spans="14:14" x14ac:dyDescent="0.2">
      <c r="N8711" s="131"/>
    </row>
    <row r="8712" spans="14:14" x14ac:dyDescent="0.2">
      <c r="N8712" s="131"/>
    </row>
    <row r="8713" spans="14:14" x14ac:dyDescent="0.2">
      <c r="N8713" s="131"/>
    </row>
    <row r="8714" spans="14:14" x14ac:dyDescent="0.2">
      <c r="N8714" s="131"/>
    </row>
    <row r="8715" spans="14:14" x14ac:dyDescent="0.2">
      <c r="N8715" s="131"/>
    </row>
    <row r="8716" spans="14:14" x14ac:dyDescent="0.2">
      <c r="N8716" s="131"/>
    </row>
    <row r="8717" spans="14:14" x14ac:dyDescent="0.2">
      <c r="N8717" s="131"/>
    </row>
    <row r="8718" spans="14:14" x14ac:dyDescent="0.2">
      <c r="N8718" s="131"/>
    </row>
    <row r="8719" spans="14:14" x14ac:dyDescent="0.2">
      <c r="N8719" s="131"/>
    </row>
    <row r="8720" spans="14:14" x14ac:dyDescent="0.2">
      <c r="N8720" s="131"/>
    </row>
    <row r="8721" spans="14:14" x14ac:dyDescent="0.2">
      <c r="N8721" s="131"/>
    </row>
    <row r="8722" spans="14:14" x14ac:dyDescent="0.2">
      <c r="N8722" s="131"/>
    </row>
    <row r="8723" spans="14:14" x14ac:dyDescent="0.2">
      <c r="N8723" s="131"/>
    </row>
    <row r="8724" spans="14:14" x14ac:dyDescent="0.2">
      <c r="N8724" s="131"/>
    </row>
    <row r="8725" spans="14:14" x14ac:dyDescent="0.2">
      <c r="N8725" s="131"/>
    </row>
    <row r="8726" spans="14:14" x14ac:dyDescent="0.2">
      <c r="N8726" s="131"/>
    </row>
    <row r="8727" spans="14:14" x14ac:dyDescent="0.2">
      <c r="N8727" s="131"/>
    </row>
    <row r="8728" spans="14:14" x14ac:dyDescent="0.2">
      <c r="N8728" s="131"/>
    </row>
    <row r="8729" spans="14:14" x14ac:dyDescent="0.2">
      <c r="N8729" s="131"/>
    </row>
    <row r="8730" spans="14:14" x14ac:dyDescent="0.2">
      <c r="N8730" s="131"/>
    </row>
    <row r="8731" spans="14:14" x14ac:dyDescent="0.2">
      <c r="N8731" s="131"/>
    </row>
    <row r="8732" spans="14:14" x14ac:dyDescent="0.2">
      <c r="N8732" s="131"/>
    </row>
    <row r="8733" spans="14:14" x14ac:dyDescent="0.2">
      <c r="N8733" s="131"/>
    </row>
    <row r="8734" spans="14:14" x14ac:dyDescent="0.2">
      <c r="N8734" s="131"/>
    </row>
    <row r="8735" spans="14:14" x14ac:dyDescent="0.2">
      <c r="N8735" s="131"/>
    </row>
    <row r="8736" spans="14:14" x14ac:dyDescent="0.2">
      <c r="N8736" s="131"/>
    </row>
    <row r="8737" spans="14:14" x14ac:dyDescent="0.2">
      <c r="N8737" s="131"/>
    </row>
    <row r="8738" spans="14:14" x14ac:dyDescent="0.2">
      <c r="N8738" s="131"/>
    </row>
    <row r="8739" spans="14:14" x14ac:dyDescent="0.2">
      <c r="N8739" s="131"/>
    </row>
    <row r="8740" spans="14:14" x14ac:dyDescent="0.2">
      <c r="N8740" s="131"/>
    </row>
    <row r="8741" spans="14:14" x14ac:dyDescent="0.2">
      <c r="N8741" s="131"/>
    </row>
    <row r="8742" spans="14:14" x14ac:dyDescent="0.2">
      <c r="N8742" s="131"/>
    </row>
    <row r="8743" spans="14:14" x14ac:dyDescent="0.2">
      <c r="N8743" s="131"/>
    </row>
    <row r="8744" spans="14:14" x14ac:dyDescent="0.2">
      <c r="N8744" s="131"/>
    </row>
    <row r="8745" spans="14:14" x14ac:dyDescent="0.2">
      <c r="N8745" s="131"/>
    </row>
    <row r="8746" spans="14:14" x14ac:dyDescent="0.2">
      <c r="N8746" s="131"/>
    </row>
    <row r="8747" spans="14:14" x14ac:dyDescent="0.2">
      <c r="N8747" s="131"/>
    </row>
    <row r="8748" spans="14:14" x14ac:dyDescent="0.2">
      <c r="N8748" s="131"/>
    </row>
    <row r="8749" spans="14:14" x14ac:dyDescent="0.2">
      <c r="N8749" s="131"/>
    </row>
    <row r="8750" spans="14:14" x14ac:dyDescent="0.2">
      <c r="N8750" s="131"/>
    </row>
    <row r="8751" spans="14:14" x14ac:dyDescent="0.2">
      <c r="N8751" s="131"/>
    </row>
    <row r="8752" spans="14:14" x14ac:dyDescent="0.2">
      <c r="N8752" s="131"/>
    </row>
    <row r="8753" spans="14:14" x14ac:dyDescent="0.2">
      <c r="N8753" s="131"/>
    </row>
    <row r="8754" spans="14:14" x14ac:dyDescent="0.2">
      <c r="N8754" s="131"/>
    </row>
    <row r="8755" spans="14:14" x14ac:dyDescent="0.2">
      <c r="N8755" s="131"/>
    </row>
    <row r="8756" spans="14:14" x14ac:dyDescent="0.2">
      <c r="N8756" s="131"/>
    </row>
    <row r="8757" spans="14:14" x14ac:dyDescent="0.2">
      <c r="N8757" s="131"/>
    </row>
    <row r="8758" spans="14:14" x14ac:dyDescent="0.2">
      <c r="N8758" s="131"/>
    </row>
    <row r="8759" spans="14:14" x14ac:dyDescent="0.2">
      <c r="N8759" s="131"/>
    </row>
    <row r="8760" spans="14:14" x14ac:dyDescent="0.2">
      <c r="N8760" s="131"/>
    </row>
    <row r="8761" spans="14:14" x14ac:dyDescent="0.2">
      <c r="N8761" s="131"/>
    </row>
    <row r="8762" spans="14:14" x14ac:dyDescent="0.2">
      <c r="N8762" s="131"/>
    </row>
    <row r="8763" spans="14:14" x14ac:dyDescent="0.2">
      <c r="N8763" s="131"/>
    </row>
    <row r="8764" spans="14:14" x14ac:dyDescent="0.2">
      <c r="N8764" s="131"/>
    </row>
    <row r="8765" spans="14:14" x14ac:dyDescent="0.2">
      <c r="N8765" s="131"/>
    </row>
    <row r="8766" spans="14:14" x14ac:dyDescent="0.2">
      <c r="N8766" s="131"/>
    </row>
    <row r="8767" spans="14:14" x14ac:dyDescent="0.2">
      <c r="N8767" s="131"/>
    </row>
    <row r="8768" spans="14:14" x14ac:dyDescent="0.2">
      <c r="N8768" s="131"/>
    </row>
    <row r="8769" spans="14:14" x14ac:dyDescent="0.2">
      <c r="N8769" s="131"/>
    </row>
    <row r="8770" spans="14:14" x14ac:dyDescent="0.2">
      <c r="N8770" s="131"/>
    </row>
    <row r="8771" spans="14:14" x14ac:dyDescent="0.2">
      <c r="N8771" s="131"/>
    </row>
    <row r="8772" spans="14:14" x14ac:dyDescent="0.2">
      <c r="N8772" s="131"/>
    </row>
    <row r="8773" spans="14:14" x14ac:dyDescent="0.2">
      <c r="N8773" s="131"/>
    </row>
    <row r="8774" spans="14:14" x14ac:dyDescent="0.2">
      <c r="N8774" s="131"/>
    </row>
    <row r="8775" spans="14:14" x14ac:dyDescent="0.2">
      <c r="N8775" s="131"/>
    </row>
    <row r="8776" spans="14:14" x14ac:dyDescent="0.2">
      <c r="N8776" s="131"/>
    </row>
    <row r="8777" spans="14:14" x14ac:dyDescent="0.2">
      <c r="N8777" s="131"/>
    </row>
    <row r="8778" spans="14:14" x14ac:dyDescent="0.2">
      <c r="N8778" s="131"/>
    </row>
    <row r="8779" spans="14:14" x14ac:dyDescent="0.2">
      <c r="N8779" s="131"/>
    </row>
    <row r="8780" spans="14:14" x14ac:dyDescent="0.2">
      <c r="N8780" s="131"/>
    </row>
    <row r="8781" spans="14:14" x14ac:dyDescent="0.2">
      <c r="N8781" s="131"/>
    </row>
    <row r="8782" spans="14:14" x14ac:dyDescent="0.2">
      <c r="N8782" s="131"/>
    </row>
    <row r="8783" spans="14:14" x14ac:dyDescent="0.2">
      <c r="N8783" s="131"/>
    </row>
    <row r="8784" spans="14:14" x14ac:dyDescent="0.2">
      <c r="N8784" s="131"/>
    </row>
    <row r="8785" spans="14:14" x14ac:dyDescent="0.2">
      <c r="N8785" s="131"/>
    </row>
    <row r="8786" spans="14:14" x14ac:dyDescent="0.2">
      <c r="N8786" s="131"/>
    </row>
    <row r="8787" spans="14:14" x14ac:dyDescent="0.2">
      <c r="N8787" s="131"/>
    </row>
    <row r="8788" spans="14:14" x14ac:dyDescent="0.2">
      <c r="N8788" s="131"/>
    </row>
    <row r="8789" spans="14:14" x14ac:dyDescent="0.2">
      <c r="N8789" s="131"/>
    </row>
    <row r="8790" spans="14:14" x14ac:dyDescent="0.2">
      <c r="N8790" s="131"/>
    </row>
    <row r="8791" spans="14:14" x14ac:dyDescent="0.2">
      <c r="N8791" s="131"/>
    </row>
    <row r="8792" spans="14:14" x14ac:dyDescent="0.2">
      <c r="N8792" s="131"/>
    </row>
    <row r="8793" spans="14:14" x14ac:dyDescent="0.2">
      <c r="N8793" s="131"/>
    </row>
    <row r="8794" spans="14:14" x14ac:dyDescent="0.2">
      <c r="N8794" s="131"/>
    </row>
    <row r="8795" spans="14:14" x14ac:dyDescent="0.2">
      <c r="N8795" s="131"/>
    </row>
    <row r="8796" spans="14:14" x14ac:dyDescent="0.2">
      <c r="N8796" s="131"/>
    </row>
    <row r="8797" spans="14:14" x14ac:dyDescent="0.2">
      <c r="N8797" s="131"/>
    </row>
    <row r="8798" spans="14:14" x14ac:dyDescent="0.2">
      <c r="N8798" s="131"/>
    </row>
    <row r="8799" spans="14:14" x14ac:dyDescent="0.2">
      <c r="N8799" s="131"/>
    </row>
    <row r="8800" spans="14:14" x14ac:dyDescent="0.2">
      <c r="N8800" s="131"/>
    </row>
    <row r="8801" spans="14:14" x14ac:dyDescent="0.2">
      <c r="N8801" s="131"/>
    </row>
    <row r="8802" spans="14:14" x14ac:dyDescent="0.2">
      <c r="N8802" s="131"/>
    </row>
    <row r="8803" spans="14:14" x14ac:dyDescent="0.2">
      <c r="N8803" s="131"/>
    </row>
    <row r="8804" spans="14:14" x14ac:dyDescent="0.2">
      <c r="N8804" s="131"/>
    </row>
    <row r="8805" spans="14:14" x14ac:dyDescent="0.2">
      <c r="N8805" s="131"/>
    </row>
    <row r="8806" spans="14:14" x14ac:dyDescent="0.2">
      <c r="N8806" s="131"/>
    </row>
    <row r="8807" spans="14:14" x14ac:dyDescent="0.2">
      <c r="N8807" s="131"/>
    </row>
    <row r="8808" spans="14:14" x14ac:dyDescent="0.2">
      <c r="N8808" s="131"/>
    </row>
    <row r="8809" spans="14:14" x14ac:dyDescent="0.2">
      <c r="N8809" s="131"/>
    </row>
    <row r="8810" spans="14:14" x14ac:dyDescent="0.2">
      <c r="N8810" s="131"/>
    </row>
    <row r="8811" spans="14:14" x14ac:dyDescent="0.2">
      <c r="N8811" s="131"/>
    </row>
    <row r="8812" spans="14:14" x14ac:dyDescent="0.2">
      <c r="N8812" s="131"/>
    </row>
    <row r="8813" spans="14:14" x14ac:dyDescent="0.2">
      <c r="N8813" s="131"/>
    </row>
    <row r="8814" spans="14:14" x14ac:dyDescent="0.2">
      <c r="N8814" s="131"/>
    </row>
    <row r="8815" spans="14:14" x14ac:dyDescent="0.2">
      <c r="N8815" s="131"/>
    </row>
    <row r="8816" spans="14:14" x14ac:dyDescent="0.2">
      <c r="N8816" s="131"/>
    </row>
    <row r="8817" spans="14:14" x14ac:dyDescent="0.2">
      <c r="N8817" s="131"/>
    </row>
    <row r="8818" spans="14:14" x14ac:dyDescent="0.2">
      <c r="N8818" s="131"/>
    </row>
    <row r="8819" spans="14:14" x14ac:dyDescent="0.2">
      <c r="N8819" s="131"/>
    </row>
    <row r="8820" spans="14:14" x14ac:dyDescent="0.2">
      <c r="N8820" s="131"/>
    </row>
    <row r="8821" spans="14:14" x14ac:dyDescent="0.2">
      <c r="N8821" s="131"/>
    </row>
    <row r="8822" spans="14:14" x14ac:dyDescent="0.2">
      <c r="N8822" s="131"/>
    </row>
    <row r="8823" spans="14:14" x14ac:dyDescent="0.2">
      <c r="N8823" s="131"/>
    </row>
    <row r="8824" spans="14:14" x14ac:dyDescent="0.2">
      <c r="N8824" s="131"/>
    </row>
    <row r="8825" spans="14:14" x14ac:dyDescent="0.2">
      <c r="N8825" s="131"/>
    </row>
    <row r="8826" spans="14:14" x14ac:dyDescent="0.2">
      <c r="N8826" s="131"/>
    </row>
    <row r="8827" spans="14:14" x14ac:dyDescent="0.2">
      <c r="N8827" s="131"/>
    </row>
    <row r="8828" spans="14:14" x14ac:dyDescent="0.2">
      <c r="N8828" s="131"/>
    </row>
    <row r="8829" spans="14:14" x14ac:dyDescent="0.2">
      <c r="N8829" s="131"/>
    </row>
    <row r="8830" spans="14:14" x14ac:dyDescent="0.2">
      <c r="N8830" s="131"/>
    </row>
    <row r="8831" spans="14:14" x14ac:dyDescent="0.2">
      <c r="N8831" s="131"/>
    </row>
    <row r="8832" spans="14:14" x14ac:dyDescent="0.2">
      <c r="N8832" s="131"/>
    </row>
    <row r="8833" spans="14:14" x14ac:dyDescent="0.2">
      <c r="N8833" s="131"/>
    </row>
    <row r="8834" spans="14:14" x14ac:dyDescent="0.2">
      <c r="N8834" s="131"/>
    </row>
    <row r="8835" spans="14:14" x14ac:dyDescent="0.2">
      <c r="N8835" s="131"/>
    </row>
    <row r="8836" spans="14:14" x14ac:dyDescent="0.2">
      <c r="N8836" s="131"/>
    </row>
    <row r="8837" spans="14:14" x14ac:dyDescent="0.2">
      <c r="N8837" s="131"/>
    </row>
    <row r="8838" spans="14:14" x14ac:dyDescent="0.2">
      <c r="N8838" s="131"/>
    </row>
    <row r="8839" spans="14:14" x14ac:dyDescent="0.2">
      <c r="N8839" s="131"/>
    </row>
    <row r="8840" spans="14:14" x14ac:dyDescent="0.2">
      <c r="N8840" s="131"/>
    </row>
    <row r="8841" spans="14:14" x14ac:dyDescent="0.2">
      <c r="N8841" s="131"/>
    </row>
    <row r="8842" spans="14:14" x14ac:dyDescent="0.2">
      <c r="N8842" s="131"/>
    </row>
    <row r="8843" spans="14:14" x14ac:dyDescent="0.2">
      <c r="N8843" s="131"/>
    </row>
    <row r="8844" spans="14:14" x14ac:dyDescent="0.2">
      <c r="N8844" s="131"/>
    </row>
    <row r="8845" spans="14:14" x14ac:dyDescent="0.2">
      <c r="N8845" s="131"/>
    </row>
    <row r="8846" spans="14:14" x14ac:dyDescent="0.2">
      <c r="N8846" s="131"/>
    </row>
    <row r="8847" spans="14:14" x14ac:dyDescent="0.2">
      <c r="N8847" s="131"/>
    </row>
    <row r="8848" spans="14:14" x14ac:dyDescent="0.2">
      <c r="N8848" s="131"/>
    </row>
    <row r="8849" spans="14:14" x14ac:dyDescent="0.2">
      <c r="N8849" s="131"/>
    </row>
    <row r="8850" spans="14:14" x14ac:dyDescent="0.2">
      <c r="N8850" s="131"/>
    </row>
    <row r="8851" spans="14:14" x14ac:dyDescent="0.2">
      <c r="N8851" s="131"/>
    </row>
    <row r="8852" spans="14:14" x14ac:dyDescent="0.2">
      <c r="N8852" s="131"/>
    </row>
    <row r="8853" spans="14:14" x14ac:dyDescent="0.2">
      <c r="N8853" s="131"/>
    </row>
    <row r="8854" spans="14:14" x14ac:dyDescent="0.2">
      <c r="N8854" s="131"/>
    </row>
    <row r="8855" spans="14:14" x14ac:dyDescent="0.2">
      <c r="N8855" s="131"/>
    </row>
    <row r="8856" spans="14:14" x14ac:dyDescent="0.2">
      <c r="N8856" s="131"/>
    </row>
    <row r="8857" spans="14:14" x14ac:dyDescent="0.2">
      <c r="N8857" s="131"/>
    </row>
    <row r="8858" spans="14:14" x14ac:dyDescent="0.2">
      <c r="N8858" s="131"/>
    </row>
    <row r="8859" spans="14:14" x14ac:dyDescent="0.2">
      <c r="N8859" s="131"/>
    </row>
    <row r="8860" spans="14:14" x14ac:dyDescent="0.2">
      <c r="N8860" s="131"/>
    </row>
    <row r="8861" spans="14:14" x14ac:dyDescent="0.2">
      <c r="N8861" s="131"/>
    </row>
    <row r="8862" spans="14:14" x14ac:dyDescent="0.2">
      <c r="N8862" s="131"/>
    </row>
    <row r="8863" spans="14:14" x14ac:dyDescent="0.2">
      <c r="N8863" s="131"/>
    </row>
    <row r="8864" spans="14:14" x14ac:dyDescent="0.2">
      <c r="N8864" s="131"/>
    </row>
    <row r="8865" spans="14:14" x14ac:dyDescent="0.2">
      <c r="N8865" s="131"/>
    </row>
    <row r="8866" spans="14:14" x14ac:dyDescent="0.2">
      <c r="N8866" s="131"/>
    </row>
    <row r="8867" spans="14:14" x14ac:dyDescent="0.2">
      <c r="N8867" s="131"/>
    </row>
    <row r="8868" spans="14:14" x14ac:dyDescent="0.2">
      <c r="N8868" s="131"/>
    </row>
    <row r="8869" spans="14:14" x14ac:dyDescent="0.2">
      <c r="N8869" s="131"/>
    </row>
    <row r="8870" spans="14:14" x14ac:dyDescent="0.2">
      <c r="N8870" s="131"/>
    </row>
    <row r="8871" spans="14:14" x14ac:dyDescent="0.2">
      <c r="N8871" s="131"/>
    </row>
    <row r="8872" spans="14:14" x14ac:dyDescent="0.2">
      <c r="N8872" s="131"/>
    </row>
    <row r="8873" spans="14:14" x14ac:dyDescent="0.2">
      <c r="N8873" s="131"/>
    </row>
    <row r="8874" spans="14:14" x14ac:dyDescent="0.2">
      <c r="N8874" s="131"/>
    </row>
    <row r="8875" spans="14:14" x14ac:dyDescent="0.2">
      <c r="N8875" s="131"/>
    </row>
    <row r="8876" spans="14:14" x14ac:dyDescent="0.2">
      <c r="N8876" s="131"/>
    </row>
    <row r="8877" spans="14:14" x14ac:dyDescent="0.2">
      <c r="N8877" s="131"/>
    </row>
    <row r="8878" spans="14:14" x14ac:dyDescent="0.2">
      <c r="N8878" s="131"/>
    </row>
    <row r="8879" spans="14:14" x14ac:dyDescent="0.2">
      <c r="N8879" s="131"/>
    </row>
    <row r="8880" spans="14:14" x14ac:dyDescent="0.2">
      <c r="N8880" s="131"/>
    </row>
    <row r="8881" spans="14:14" x14ac:dyDescent="0.2">
      <c r="N8881" s="131"/>
    </row>
    <row r="8882" spans="14:14" x14ac:dyDescent="0.2">
      <c r="N8882" s="131"/>
    </row>
    <row r="8883" spans="14:14" x14ac:dyDescent="0.2">
      <c r="N8883" s="131"/>
    </row>
    <row r="8884" spans="14:14" x14ac:dyDescent="0.2">
      <c r="N8884" s="131"/>
    </row>
    <row r="8885" spans="14:14" x14ac:dyDescent="0.2">
      <c r="N8885" s="131"/>
    </row>
    <row r="8886" spans="14:14" x14ac:dyDescent="0.2">
      <c r="N8886" s="131"/>
    </row>
    <row r="8887" spans="14:14" x14ac:dyDescent="0.2">
      <c r="N8887" s="131"/>
    </row>
    <row r="8888" spans="14:14" x14ac:dyDescent="0.2">
      <c r="N8888" s="131"/>
    </row>
    <row r="8889" spans="14:14" x14ac:dyDescent="0.2">
      <c r="N8889" s="131"/>
    </row>
    <row r="8890" spans="14:14" x14ac:dyDescent="0.2">
      <c r="N8890" s="131"/>
    </row>
    <row r="8891" spans="14:14" x14ac:dyDescent="0.2">
      <c r="N8891" s="131"/>
    </row>
    <row r="8892" spans="14:14" x14ac:dyDescent="0.2">
      <c r="N8892" s="131"/>
    </row>
    <row r="8893" spans="14:14" x14ac:dyDescent="0.2">
      <c r="N8893" s="131"/>
    </row>
    <row r="8894" spans="14:14" x14ac:dyDescent="0.2">
      <c r="N8894" s="131"/>
    </row>
    <row r="8895" spans="14:14" x14ac:dyDescent="0.2">
      <c r="N8895" s="131"/>
    </row>
    <row r="8896" spans="14:14" x14ac:dyDescent="0.2">
      <c r="N8896" s="131"/>
    </row>
    <row r="8897" spans="14:14" x14ac:dyDescent="0.2">
      <c r="N8897" s="131"/>
    </row>
    <row r="8898" spans="14:14" x14ac:dyDescent="0.2">
      <c r="N8898" s="131"/>
    </row>
    <row r="8899" spans="14:14" x14ac:dyDescent="0.2">
      <c r="N8899" s="131"/>
    </row>
    <row r="8900" spans="14:14" x14ac:dyDescent="0.2">
      <c r="N8900" s="131"/>
    </row>
    <row r="8901" spans="14:14" x14ac:dyDescent="0.2">
      <c r="N8901" s="131"/>
    </row>
    <row r="8902" spans="14:14" x14ac:dyDescent="0.2">
      <c r="N8902" s="131"/>
    </row>
    <row r="8903" spans="14:14" x14ac:dyDescent="0.2">
      <c r="N8903" s="131"/>
    </row>
    <row r="8904" spans="14:14" x14ac:dyDescent="0.2">
      <c r="N8904" s="131"/>
    </row>
    <row r="8905" spans="14:14" x14ac:dyDescent="0.2">
      <c r="N8905" s="131"/>
    </row>
    <row r="8906" spans="14:14" x14ac:dyDescent="0.2">
      <c r="N8906" s="131"/>
    </row>
    <row r="8907" spans="14:14" x14ac:dyDescent="0.2">
      <c r="N8907" s="131"/>
    </row>
    <row r="8908" spans="14:14" x14ac:dyDescent="0.2">
      <c r="N8908" s="131"/>
    </row>
    <row r="8909" spans="14:14" x14ac:dyDescent="0.2">
      <c r="N8909" s="131"/>
    </row>
    <row r="8910" spans="14:14" x14ac:dyDescent="0.2">
      <c r="N8910" s="131"/>
    </row>
    <row r="8911" spans="14:14" x14ac:dyDescent="0.2">
      <c r="N8911" s="131"/>
    </row>
    <row r="8912" spans="14:14" x14ac:dyDescent="0.2">
      <c r="N8912" s="131"/>
    </row>
    <row r="8913" spans="14:14" x14ac:dyDescent="0.2">
      <c r="N8913" s="131"/>
    </row>
    <row r="8914" spans="14:14" x14ac:dyDescent="0.2">
      <c r="N8914" s="131"/>
    </row>
    <row r="8915" spans="14:14" x14ac:dyDescent="0.2">
      <c r="N8915" s="131"/>
    </row>
    <row r="8916" spans="14:14" x14ac:dyDescent="0.2">
      <c r="N8916" s="131"/>
    </row>
    <row r="8917" spans="14:14" x14ac:dyDescent="0.2">
      <c r="N8917" s="131"/>
    </row>
    <row r="8918" spans="14:14" x14ac:dyDescent="0.2">
      <c r="N8918" s="131"/>
    </row>
    <row r="8919" spans="14:14" x14ac:dyDescent="0.2">
      <c r="N8919" s="131"/>
    </row>
    <row r="8920" spans="14:14" x14ac:dyDescent="0.2">
      <c r="N8920" s="131"/>
    </row>
    <row r="8921" spans="14:14" x14ac:dyDescent="0.2">
      <c r="N8921" s="131"/>
    </row>
    <row r="8922" spans="14:14" x14ac:dyDescent="0.2">
      <c r="N8922" s="131"/>
    </row>
    <row r="8923" spans="14:14" x14ac:dyDescent="0.2">
      <c r="N8923" s="131"/>
    </row>
    <row r="8924" spans="14:14" x14ac:dyDescent="0.2">
      <c r="N8924" s="131"/>
    </row>
    <row r="8925" spans="14:14" x14ac:dyDescent="0.2">
      <c r="N8925" s="131"/>
    </row>
    <row r="8926" spans="14:14" x14ac:dyDescent="0.2">
      <c r="N8926" s="131"/>
    </row>
    <row r="8927" spans="14:14" x14ac:dyDescent="0.2">
      <c r="N8927" s="131"/>
    </row>
    <row r="8928" spans="14:14" x14ac:dyDescent="0.2">
      <c r="N8928" s="131"/>
    </row>
    <row r="8929" spans="14:14" x14ac:dyDescent="0.2">
      <c r="N8929" s="131"/>
    </row>
    <row r="8930" spans="14:14" x14ac:dyDescent="0.2">
      <c r="N8930" s="131"/>
    </row>
    <row r="8931" spans="14:14" x14ac:dyDescent="0.2">
      <c r="N8931" s="131"/>
    </row>
    <row r="8932" spans="14:14" x14ac:dyDescent="0.2">
      <c r="N8932" s="131"/>
    </row>
    <row r="8933" spans="14:14" x14ac:dyDescent="0.2">
      <c r="N8933" s="131"/>
    </row>
    <row r="8934" spans="14:14" x14ac:dyDescent="0.2">
      <c r="N8934" s="131"/>
    </row>
    <row r="8935" spans="14:14" x14ac:dyDescent="0.2">
      <c r="N8935" s="131"/>
    </row>
    <row r="8936" spans="14:14" x14ac:dyDescent="0.2">
      <c r="N8936" s="131"/>
    </row>
    <row r="8937" spans="14:14" x14ac:dyDescent="0.2">
      <c r="N8937" s="131"/>
    </row>
    <row r="8938" spans="14:14" x14ac:dyDescent="0.2">
      <c r="N8938" s="131"/>
    </row>
    <row r="8939" spans="14:14" x14ac:dyDescent="0.2">
      <c r="N8939" s="131"/>
    </row>
    <row r="8940" spans="14:14" x14ac:dyDescent="0.2">
      <c r="N8940" s="131"/>
    </row>
    <row r="8941" spans="14:14" x14ac:dyDescent="0.2">
      <c r="N8941" s="131"/>
    </row>
    <row r="8942" spans="14:14" x14ac:dyDescent="0.2">
      <c r="N8942" s="131"/>
    </row>
    <row r="8943" spans="14:14" x14ac:dyDescent="0.2">
      <c r="N8943" s="131"/>
    </row>
    <row r="8944" spans="14:14" x14ac:dyDescent="0.2">
      <c r="N8944" s="131"/>
    </row>
    <row r="8945" spans="14:14" x14ac:dyDescent="0.2">
      <c r="N8945" s="131"/>
    </row>
    <row r="8946" spans="14:14" x14ac:dyDescent="0.2">
      <c r="N8946" s="131"/>
    </row>
    <row r="8947" spans="14:14" x14ac:dyDescent="0.2">
      <c r="N8947" s="131"/>
    </row>
    <row r="8948" spans="14:14" x14ac:dyDescent="0.2">
      <c r="N8948" s="131"/>
    </row>
    <row r="8949" spans="14:14" x14ac:dyDescent="0.2">
      <c r="N8949" s="131"/>
    </row>
    <row r="8950" spans="14:14" x14ac:dyDescent="0.2">
      <c r="N8950" s="131"/>
    </row>
    <row r="8951" spans="14:14" x14ac:dyDescent="0.2">
      <c r="N8951" s="131"/>
    </row>
    <row r="8952" spans="14:14" x14ac:dyDescent="0.2">
      <c r="N8952" s="131"/>
    </row>
    <row r="8953" spans="14:14" x14ac:dyDescent="0.2">
      <c r="N8953" s="131"/>
    </row>
    <row r="8954" spans="14:14" x14ac:dyDescent="0.2">
      <c r="N8954" s="131"/>
    </row>
    <row r="8955" spans="14:14" x14ac:dyDescent="0.2">
      <c r="N8955" s="131"/>
    </row>
    <row r="8956" spans="14:14" x14ac:dyDescent="0.2">
      <c r="N8956" s="131"/>
    </row>
    <row r="8957" spans="14:14" x14ac:dyDescent="0.2">
      <c r="N8957" s="131"/>
    </row>
    <row r="8958" spans="14:14" x14ac:dyDescent="0.2">
      <c r="N8958" s="131"/>
    </row>
    <row r="8959" spans="14:14" x14ac:dyDescent="0.2">
      <c r="N8959" s="131"/>
    </row>
    <row r="8960" spans="14:14" x14ac:dyDescent="0.2">
      <c r="N8960" s="131"/>
    </row>
    <row r="8961" spans="14:14" x14ac:dyDescent="0.2">
      <c r="N8961" s="131"/>
    </row>
    <row r="8962" spans="14:14" x14ac:dyDescent="0.2">
      <c r="N8962" s="131"/>
    </row>
    <row r="8963" spans="14:14" x14ac:dyDescent="0.2">
      <c r="N8963" s="131"/>
    </row>
    <row r="8964" spans="14:14" x14ac:dyDescent="0.2">
      <c r="N8964" s="131"/>
    </row>
    <row r="8965" spans="14:14" x14ac:dyDescent="0.2">
      <c r="N8965" s="131"/>
    </row>
    <row r="8966" spans="14:14" x14ac:dyDescent="0.2">
      <c r="N8966" s="131"/>
    </row>
    <row r="8967" spans="14:14" x14ac:dyDescent="0.2">
      <c r="N8967" s="131"/>
    </row>
    <row r="8968" spans="14:14" x14ac:dyDescent="0.2">
      <c r="N8968" s="131"/>
    </row>
    <row r="8969" spans="14:14" x14ac:dyDescent="0.2">
      <c r="N8969" s="131"/>
    </row>
    <row r="8970" spans="14:14" x14ac:dyDescent="0.2">
      <c r="N8970" s="131"/>
    </row>
    <row r="8971" spans="14:14" x14ac:dyDescent="0.2">
      <c r="N8971" s="131"/>
    </row>
    <row r="8972" spans="14:14" x14ac:dyDescent="0.2">
      <c r="N8972" s="131"/>
    </row>
    <row r="8973" spans="14:14" x14ac:dyDescent="0.2">
      <c r="N8973" s="131"/>
    </row>
    <row r="8974" spans="14:14" x14ac:dyDescent="0.2">
      <c r="N8974" s="131"/>
    </row>
    <row r="8975" spans="14:14" x14ac:dyDescent="0.2">
      <c r="N8975" s="131"/>
    </row>
    <row r="8976" spans="14:14" x14ac:dyDescent="0.2">
      <c r="N8976" s="131"/>
    </row>
    <row r="8977" spans="14:14" x14ac:dyDescent="0.2">
      <c r="N8977" s="131"/>
    </row>
    <row r="8978" spans="14:14" x14ac:dyDescent="0.2">
      <c r="N8978" s="131"/>
    </row>
    <row r="8979" spans="14:14" x14ac:dyDescent="0.2">
      <c r="N8979" s="131"/>
    </row>
    <row r="8980" spans="14:14" x14ac:dyDescent="0.2">
      <c r="N8980" s="131"/>
    </row>
    <row r="8981" spans="14:14" x14ac:dyDescent="0.2">
      <c r="N8981" s="131"/>
    </row>
    <row r="8982" spans="14:14" x14ac:dyDescent="0.2">
      <c r="N8982" s="131"/>
    </row>
    <row r="8983" spans="14:14" x14ac:dyDescent="0.2">
      <c r="N8983" s="131"/>
    </row>
    <row r="8984" spans="14:14" x14ac:dyDescent="0.2">
      <c r="N8984" s="131"/>
    </row>
    <row r="8985" spans="14:14" x14ac:dyDescent="0.2">
      <c r="N8985" s="131"/>
    </row>
    <row r="8986" spans="14:14" x14ac:dyDescent="0.2">
      <c r="N8986" s="131"/>
    </row>
    <row r="8987" spans="14:14" x14ac:dyDescent="0.2">
      <c r="N8987" s="131"/>
    </row>
    <row r="8988" spans="14:14" x14ac:dyDescent="0.2">
      <c r="N8988" s="131"/>
    </row>
    <row r="8989" spans="14:14" x14ac:dyDescent="0.2">
      <c r="N8989" s="131"/>
    </row>
    <row r="8990" spans="14:14" x14ac:dyDescent="0.2">
      <c r="N8990" s="131"/>
    </row>
    <row r="8991" spans="14:14" x14ac:dyDescent="0.2">
      <c r="N8991" s="131"/>
    </row>
    <row r="8992" spans="14:14" x14ac:dyDescent="0.2">
      <c r="N8992" s="131"/>
    </row>
    <row r="8993" spans="14:14" x14ac:dyDescent="0.2">
      <c r="N8993" s="131"/>
    </row>
    <row r="8994" spans="14:14" x14ac:dyDescent="0.2">
      <c r="N8994" s="131"/>
    </row>
    <row r="8995" spans="14:14" x14ac:dyDescent="0.2">
      <c r="N8995" s="131"/>
    </row>
    <row r="8996" spans="14:14" x14ac:dyDescent="0.2">
      <c r="N8996" s="131"/>
    </row>
    <row r="8997" spans="14:14" x14ac:dyDescent="0.2">
      <c r="N8997" s="131"/>
    </row>
    <row r="8998" spans="14:14" x14ac:dyDescent="0.2">
      <c r="N8998" s="131"/>
    </row>
    <row r="8999" spans="14:14" x14ac:dyDescent="0.2">
      <c r="N8999" s="131"/>
    </row>
    <row r="9000" spans="14:14" x14ac:dyDescent="0.2">
      <c r="N9000" s="131"/>
    </row>
    <row r="9001" spans="14:14" x14ac:dyDescent="0.2">
      <c r="N9001" s="131"/>
    </row>
    <row r="9002" spans="14:14" x14ac:dyDescent="0.2">
      <c r="N9002" s="131"/>
    </row>
    <row r="9003" spans="14:14" x14ac:dyDescent="0.2">
      <c r="N9003" s="131"/>
    </row>
    <row r="9004" spans="14:14" x14ac:dyDescent="0.2">
      <c r="N9004" s="131"/>
    </row>
    <row r="9005" spans="14:14" x14ac:dyDescent="0.2">
      <c r="N9005" s="131"/>
    </row>
    <row r="9006" spans="14:14" x14ac:dyDescent="0.2">
      <c r="N9006" s="131"/>
    </row>
    <row r="9007" spans="14:14" x14ac:dyDescent="0.2">
      <c r="N9007" s="131"/>
    </row>
    <row r="9008" spans="14:14" x14ac:dyDescent="0.2">
      <c r="N9008" s="131"/>
    </row>
    <row r="9009" spans="14:14" x14ac:dyDescent="0.2">
      <c r="N9009" s="131"/>
    </row>
    <row r="9010" spans="14:14" x14ac:dyDescent="0.2">
      <c r="N9010" s="131"/>
    </row>
    <row r="9011" spans="14:14" x14ac:dyDescent="0.2">
      <c r="N9011" s="131"/>
    </row>
    <row r="9012" spans="14:14" x14ac:dyDescent="0.2">
      <c r="N9012" s="131"/>
    </row>
    <row r="9013" spans="14:14" x14ac:dyDescent="0.2">
      <c r="N9013" s="131"/>
    </row>
    <row r="9014" spans="14:14" x14ac:dyDescent="0.2">
      <c r="N9014" s="131"/>
    </row>
    <row r="9015" spans="14:14" x14ac:dyDescent="0.2">
      <c r="N9015" s="131"/>
    </row>
    <row r="9016" spans="14:14" x14ac:dyDescent="0.2">
      <c r="N9016" s="131"/>
    </row>
    <row r="9017" spans="14:14" x14ac:dyDescent="0.2">
      <c r="N9017" s="131"/>
    </row>
    <row r="9018" spans="14:14" x14ac:dyDescent="0.2">
      <c r="N9018" s="131"/>
    </row>
    <row r="9019" spans="14:14" x14ac:dyDescent="0.2">
      <c r="N9019" s="131"/>
    </row>
    <row r="9020" spans="14:14" x14ac:dyDescent="0.2">
      <c r="N9020" s="131"/>
    </row>
    <row r="9021" spans="14:14" x14ac:dyDescent="0.2">
      <c r="N9021" s="131"/>
    </row>
    <row r="9022" spans="14:14" x14ac:dyDescent="0.2">
      <c r="N9022" s="131"/>
    </row>
    <row r="9023" spans="14:14" x14ac:dyDescent="0.2">
      <c r="N9023" s="131"/>
    </row>
    <row r="9024" spans="14:14" x14ac:dyDescent="0.2">
      <c r="N9024" s="131"/>
    </row>
    <row r="9025" spans="14:14" x14ac:dyDescent="0.2">
      <c r="N9025" s="131"/>
    </row>
    <row r="9026" spans="14:14" x14ac:dyDescent="0.2">
      <c r="N9026" s="131"/>
    </row>
    <row r="9027" spans="14:14" x14ac:dyDescent="0.2">
      <c r="N9027" s="131"/>
    </row>
    <row r="9028" spans="14:14" x14ac:dyDescent="0.2">
      <c r="N9028" s="131"/>
    </row>
    <row r="9029" spans="14:14" x14ac:dyDescent="0.2">
      <c r="N9029" s="131"/>
    </row>
    <row r="9030" spans="14:14" x14ac:dyDescent="0.2">
      <c r="N9030" s="131"/>
    </row>
    <row r="9031" spans="14:14" x14ac:dyDescent="0.2">
      <c r="N9031" s="131"/>
    </row>
    <row r="9032" spans="14:14" x14ac:dyDescent="0.2">
      <c r="N9032" s="131"/>
    </row>
    <row r="9033" spans="14:14" x14ac:dyDescent="0.2">
      <c r="N9033" s="131"/>
    </row>
    <row r="9034" spans="14:14" x14ac:dyDescent="0.2">
      <c r="N9034" s="131"/>
    </row>
    <row r="9035" spans="14:14" x14ac:dyDescent="0.2">
      <c r="N9035" s="131"/>
    </row>
    <row r="9036" spans="14:14" x14ac:dyDescent="0.2">
      <c r="N9036" s="131"/>
    </row>
    <row r="9037" spans="14:14" x14ac:dyDescent="0.2">
      <c r="N9037" s="131"/>
    </row>
    <row r="9038" spans="14:14" x14ac:dyDescent="0.2">
      <c r="N9038" s="131"/>
    </row>
    <row r="9039" spans="14:14" x14ac:dyDescent="0.2">
      <c r="N9039" s="131"/>
    </row>
    <row r="9040" spans="14:14" x14ac:dyDescent="0.2">
      <c r="N9040" s="131"/>
    </row>
    <row r="9041" spans="14:14" x14ac:dyDescent="0.2">
      <c r="N9041" s="131"/>
    </row>
    <row r="9042" spans="14:14" x14ac:dyDescent="0.2">
      <c r="N9042" s="131"/>
    </row>
    <row r="9043" spans="14:14" x14ac:dyDescent="0.2">
      <c r="N9043" s="131"/>
    </row>
    <row r="9044" spans="14:14" x14ac:dyDescent="0.2">
      <c r="N9044" s="131"/>
    </row>
    <row r="9045" spans="14:14" x14ac:dyDescent="0.2">
      <c r="N9045" s="131"/>
    </row>
    <row r="9046" spans="14:14" x14ac:dyDescent="0.2">
      <c r="N9046" s="131"/>
    </row>
    <row r="9047" spans="14:14" x14ac:dyDescent="0.2">
      <c r="N9047" s="131"/>
    </row>
    <row r="9048" spans="14:14" x14ac:dyDescent="0.2">
      <c r="N9048" s="131"/>
    </row>
    <row r="9049" spans="14:14" x14ac:dyDescent="0.2">
      <c r="N9049" s="131"/>
    </row>
    <row r="9050" spans="14:14" x14ac:dyDescent="0.2">
      <c r="N9050" s="131"/>
    </row>
    <row r="9051" spans="14:14" x14ac:dyDescent="0.2">
      <c r="N9051" s="131"/>
    </row>
    <row r="9052" spans="14:14" x14ac:dyDescent="0.2">
      <c r="N9052" s="131"/>
    </row>
    <row r="9053" spans="14:14" x14ac:dyDescent="0.2">
      <c r="N9053" s="131"/>
    </row>
    <row r="9054" spans="14:14" x14ac:dyDescent="0.2">
      <c r="N9054" s="131"/>
    </row>
    <row r="9055" spans="14:14" x14ac:dyDescent="0.2">
      <c r="N9055" s="131"/>
    </row>
    <row r="9056" spans="14:14" x14ac:dyDescent="0.2">
      <c r="N9056" s="131"/>
    </row>
    <row r="9057" spans="14:14" x14ac:dyDescent="0.2">
      <c r="N9057" s="131"/>
    </row>
    <row r="9058" spans="14:14" x14ac:dyDescent="0.2">
      <c r="N9058" s="131"/>
    </row>
    <row r="9059" spans="14:14" x14ac:dyDescent="0.2">
      <c r="N9059" s="131"/>
    </row>
    <row r="9060" spans="14:14" x14ac:dyDescent="0.2">
      <c r="N9060" s="131"/>
    </row>
    <row r="9061" spans="14:14" x14ac:dyDescent="0.2">
      <c r="N9061" s="131"/>
    </row>
    <row r="9062" spans="14:14" x14ac:dyDescent="0.2">
      <c r="N9062" s="131"/>
    </row>
    <row r="9063" spans="14:14" x14ac:dyDescent="0.2">
      <c r="N9063" s="131"/>
    </row>
    <row r="9064" spans="14:14" x14ac:dyDescent="0.2">
      <c r="N9064" s="131"/>
    </row>
    <row r="9065" spans="14:14" x14ac:dyDescent="0.2">
      <c r="N9065" s="131"/>
    </row>
    <row r="9066" spans="14:14" x14ac:dyDescent="0.2">
      <c r="N9066" s="131"/>
    </row>
    <row r="9067" spans="14:14" x14ac:dyDescent="0.2">
      <c r="N9067" s="131"/>
    </row>
    <row r="9068" spans="14:14" x14ac:dyDescent="0.2">
      <c r="N9068" s="131"/>
    </row>
    <row r="9069" spans="14:14" x14ac:dyDescent="0.2">
      <c r="N9069" s="131"/>
    </row>
    <row r="9070" spans="14:14" x14ac:dyDescent="0.2">
      <c r="N9070" s="131"/>
    </row>
    <row r="9071" spans="14:14" x14ac:dyDescent="0.2">
      <c r="N9071" s="131"/>
    </row>
    <row r="9072" spans="14:14" x14ac:dyDescent="0.2">
      <c r="N9072" s="131"/>
    </row>
    <row r="9073" spans="14:14" x14ac:dyDescent="0.2">
      <c r="N9073" s="131"/>
    </row>
    <row r="9074" spans="14:14" x14ac:dyDescent="0.2">
      <c r="N9074" s="131"/>
    </row>
    <row r="9075" spans="14:14" x14ac:dyDescent="0.2">
      <c r="N9075" s="131"/>
    </row>
    <row r="9076" spans="14:14" x14ac:dyDescent="0.2">
      <c r="N9076" s="131"/>
    </row>
    <row r="9077" spans="14:14" x14ac:dyDescent="0.2">
      <c r="N9077" s="131"/>
    </row>
    <row r="9078" spans="14:14" x14ac:dyDescent="0.2">
      <c r="N9078" s="131"/>
    </row>
    <row r="9079" spans="14:14" x14ac:dyDescent="0.2">
      <c r="N9079" s="131"/>
    </row>
    <row r="9080" spans="14:14" x14ac:dyDescent="0.2">
      <c r="N9080" s="131"/>
    </row>
    <row r="9081" spans="14:14" x14ac:dyDescent="0.2">
      <c r="N9081" s="131"/>
    </row>
    <row r="9082" spans="14:14" x14ac:dyDescent="0.2">
      <c r="N9082" s="131"/>
    </row>
    <row r="9083" spans="14:14" x14ac:dyDescent="0.2">
      <c r="N9083" s="131"/>
    </row>
    <row r="9084" spans="14:14" x14ac:dyDescent="0.2">
      <c r="N9084" s="131"/>
    </row>
    <row r="9085" spans="14:14" x14ac:dyDescent="0.2">
      <c r="N9085" s="131"/>
    </row>
    <row r="9086" spans="14:14" x14ac:dyDescent="0.2">
      <c r="N9086" s="131"/>
    </row>
    <row r="9087" spans="14:14" x14ac:dyDescent="0.2">
      <c r="N9087" s="131"/>
    </row>
    <row r="9088" spans="14:14" x14ac:dyDescent="0.2">
      <c r="N9088" s="131"/>
    </row>
    <row r="9089" spans="14:14" x14ac:dyDescent="0.2">
      <c r="N9089" s="131"/>
    </row>
    <row r="9090" spans="14:14" x14ac:dyDescent="0.2">
      <c r="N9090" s="131"/>
    </row>
    <row r="9091" spans="14:14" x14ac:dyDescent="0.2">
      <c r="N9091" s="131"/>
    </row>
    <row r="9092" spans="14:14" x14ac:dyDescent="0.2">
      <c r="N9092" s="131"/>
    </row>
    <row r="9093" spans="14:14" x14ac:dyDescent="0.2">
      <c r="N9093" s="131"/>
    </row>
    <row r="9094" spans="14:14" x14ac:dyDescent="0.2">
      <c r="N9094" s="131"/>
    </row>
    <row r="9095" spans="14:14" x14ac:dyDescent="0.2">
      <c r="N9095" s="131"/>
    </row>
    <row r="9096" spans="14:14" x14ac:dyDescent="0.2">
      <c r="N9096" s="131"/>
    </row>
    <row r="9097" spans="14:14" x14ac:dyDescent="0.2">
      <c r="N9097" s="131"/>
    </row>
    <row r="9098" spans="14:14" x14ac:dyDescent="0.2">
      <c r="N9098" s="131"/>
    </row>
    <row r="9099" spans="14:14" x14ac:dyDescent="0.2">
      <c r="N9099" s="131"/>
    </row>
    <row r="9100" spans="14:14" x14ac:dyDescent="0.2">
      <c r="N9100" s="131"/>
    </row>
    <row r="9101" spans="14:14" x14ac:dyDescent="0.2">
      <c r="N9101" s="131"/>
    </row>
    <row r="9102" spans="14:14" x14ac:dyDescent="0.2">
      <c r="N9102" s="131"/>
    </row>
    <row r="9103" spans="14:14" x14ac:dyDescent="0.2">
      <c r="N9103" s="131"/>
    </row>
    <row r="9104" spans="14:14" x14ac:dyDescent="0.2">
      <c r="N9104" s="131"/>
    </row>
    <row r="9105" spans="14:14" x14ac:dyDescent="0.2">
      <c r="N9105" s="131"/>
    </row>
    <row r="9106" spans="14:14" x14ac:dyDescent="0.2">
      <c r="N9106" s="131"/>
    </row>
    <row r="9107" spans="14:14" x14ac:dyDescent="0.2">
      <c r="N9107" s="131"/>
    </row>
    <row r="9108" spans="14:14" x14ac:dyDescent="0.2">
      <c r="N9108" s="131"/>
    </row>
    <row r="9109" spans="14:14" x14ac:dyDescent="0.2">
      <c r="N9109" s="131"/>
    </row>
    <row r="9110" spans="14:14" x14ac:dyDescent="0.2">
      <c r="N9110" s="131"/>
    </row>
    <row r="9111" spans="14:14" x14ac:dyDescent="0.2">
      <c r="N9111" s="131"/>
    </row>
    <row r="9112" spans="14:14" x14ac:dyDescent="0.2">
      <c r="N9112" s="131"/>
    </row>
    <row r="9113" spans="14:14" x14ac:dyDescent="0.2">
      <c r="N9113" s="131"/>
    </row>
    <row r="9114" spans="14:14" x14ac:dyDescent="0.2">
      <c r="N9114" s="131"/>
    </row>
    <row r="9115" spans="14:14" x14ac:dyDescent="0.2">
      <c r="N9115" s="131"/>
    </row>
    <row r="9116" spans="14:14" x14ac:dyDescent="0.2">
      <c r="N9116" s="131"/>
    </row>
    <row r="9117" spans="14:14" x14ac:dyDescent="0.2">
      <c r="N9117" s="131"/>
    </row>
    <row r="9118" spans="14:14" x14ac:dyDescent="0.2">
      <c r="N9118" s="131"/>
    </row>
    <row r="9119" spans="14:14" x14ac:dyDescent="0.2">
      <c r="N9119" s="131"/>
    </row>
    <row r="9120" spans="14:14" x14ac:dyDescent="0.2">
      <c r="N9120" s="131"/>
    </row>
    <row r="9121" spans="14:14" x14ac:dyDescent="0.2">
      <c r="N9121" s="131"/>
    </row>
    <row r="9122" spans="14:14" x14ac:dyDescent="0.2">
      <c r="N9122" s="131"/>
    </row>
    <row r="9123" spans="14:14" x14ac:dyDescent="0.2">
      <c r="N9123" s="131"/>
    </row>
    <row r="9124" spans="14:14" x14ac:dyDescent="0.2">
      <c r="N9124" s="131"/>
    </row>
    <row r="9125" spans="14:14" x14ac:dyDescent="0.2">
      <c r="N9125" s="131"/>
    </row>
    <row r="9126" spans="14:14" x14ac:dyDescent="0.2">
      <c r="N9126" s="131"/>
    </row>
    <row r="9127" spans="14:14" x14ac:dyDescent="0.2">
      <c r="N9127" s="131"/>
    </row>
    <row r="9128" spans="14:14" x14ac:dyDescent="0.2">
      <c r="N9128" s="131"/>
    </row>
    <row r="9129" spans="14:14" x14ac:dyDescent="0.2">
      <c r="N9129" s="131"/>
    </row>
    <row r="9130" spans="14:14" x14ac:dyDescent="0.2">
      <c r="N9130" s="131"/>
    </row>
    <row r="9131" spans="14:14" x14ac:dyDescent="0.2">
      <c r="N9131" s="131"/>
    </row>
    <row r="9132" spans="14:14" x14ac:dyDescent="0.2">
      <c r="N9132" s="131"/>
    </row>
    <row r="9133" spans="14:14" x14ac:dyDescent="0.2">
      <c r="N9133" s="131"/>
    </row>
    <row r="9134" spans="14:14" x14ac:dyDescent="0.2">
      <c r="N9134" s="131"/>
    </row>
    <row r="9135" spans="14:14" x14ac:dyDescent="0.2">
      <c r="N9135" s="131"/>
    </row>
    <row r="9136" spans="14:14" x14ac:dyDescent="0.2">
      <c r="N9136" s="131"/>
    </row>
    <row r="9137" spans="14:14" x14ac:dyDescent="0.2">
      <c r="N9137" s="131"/>
    </row>
    <row r="9138" spans="14:14" x14ac:dyDescent="0.2">
      <c r="N9138" s="131"/>
    </row>
    <row r="9139" spans="14:14" x14ac:dyDescent="0.2">
      <c r="N9139" s="131"/>
    </row>
    <row r="9140" spans="14:14" x14ac:dyDescent="0.2">
      <c r="N9140" s="131"/>
    </row>
    <row r="9141" spans="14:14" x14ac:dyDescent="0.2">
      <c r="N9141" s="131"/>
    </row>
    <row r="9142" spans="14:14" x14ac:dyDescent="0.2">
      <c r="N9142" s="131"/>
    </row>
    <row r="9143" spans="14:14" x14ac:dyDescent="0.2">
      <c r="N9143" s="131"/>
    </row>
    <row r="9144" spans="14:14" x14ac:dyDescent="0.2">
      <c r="N9144" s="131"/>
    </row>
    <row r="9145" spans="14:14" x14ac:dyDescent="0.2">
      <c r="N9145" s="131"/>
    </row>
    <row r="9146" spans="14:14" x14ac:dyDescent="0.2">
      <c r="N9146" s="131"/>
    </row>
    <row r="9147" spans="14:14" x14ac:dyDescent="0.2">
      <c r="N9147" s="131"/>
    </row>
    <row r="9148" spans="14:14" x14ac:dyDescent="0.2">
      <c r="N9148" s="131"/>
    </row>
    <row r="9149" spans="14:14" x14ac:dyDescent="0.2">
      <c r="N9149" s="131"/>
    </row>
    <row r="9150" spans="14:14" x14ac:dyDescent="0.2">
      <c r="N9150" s="131"/>
    </row>
    <row r="9151" spans="14:14" x14ac:dyDescent="0.2">
      <c r="N9151" s="131"/>
    </row>
    <row r="9152" spans="14:14" x14ac:dyDescent="0.2">
      <c r="N9152" s="131"/>
    </row>
    <row r="9153" spans="14:14" x14ac:dyDescent="0.2">
      <c r="N9153" s="131"/>
    </row>
    <row r="9154" spans="14:14" x14ac:dyDescent="0.2">
      <c r="N9154" s="131"/>
    </row>
    <row r="9155" spans="14:14" x14ac:dyDescent="0.2">
      <c r="N9155" s="131"/>
    </row>
    <row r="9156" spans="14:14" x14ac:dyDescent="0.2">
      <c r="N9156" s="131"/>
    </row>
    <row r="9157" spans="14:14" x14ac:dyDescent="0.2">
      <c r="N9157" s="131"/>
    </row>
    <row r="9158" spans="14:14" x14ac:dyDescent="0.2">
      <c r="N9158" s="131"/>
    </row>
    <row r="9159" spans="14:14" x14ac:dyDescent="0.2">
      <c r="N9159" s="131"/>
    </row>
    <row r="9160" spans="14:14" x14ac:dyDescent="0.2">
      <c r="N9160" s="131"/>
    </row>
    <row r="9161" spans="14:14" x14ac:dyDescent="0.2">
      <c r="N9161" s="131"/>
    </row>
    <row r="9162" spans="14:14" x14ac:dyDescent="0.2">
      <c r="N9162" s="131"/>
    </row>
    <row r="9163" spans="14:14" x14ac:dyDescent="0.2">
      <c r="N9163" s="131"/>
    </row>
    <row r="9164" spans="14:14" x14ac:dyDescent="0.2">
      <c r="N9164" s="131"/>
    </row>
    <row r="9165" spans="14:14" x14ac:dyDescent="0.2">
      <c r="N9165" s="131"/>
    </row>
    <row r="9166" spans="14:14" x14ac:dyDescent="0.2">
      <c r="N9166" s="131"/>
    </row>
    <row r="9167" spans="14:14" x14ac:dyDescent="0.2">
      <c r="N9167" s="131"/>
    </row>
    <row r="9168" spans="14:14" x14ac:dyDescent="0.2">
      <c r="N9168" s="131"/>
    </row>
    <row r="9169" spans="14:14" x14ac:dyDescent="0.2">
      <c r="N9169" s="131"/>
    </row>
    <row r="9170" spans="14:14" x14ac:dyDescent="0.2">
      <c r="N9170" s="131"/>
    </row>
    <row r="9171" spans="14:14" x14ac:dyDescent="0.2">
      <c r="N9171" s="131"/>
    </row>
    <row r="9172" spans="14:14" x14ac:dyDescent="0.2">
      <c r="N9172" s="131"/>
    </row>
    <row r="9173" spans="14:14" x14ac:dyDescent="0.2">
      <c r="N9173" s="131"/>
    </row>
    <row r="9174" spans="14:14" x14ac:dyDescent="0.2">
      <c r="N9174" s="131"/>
    </row>
    <row r="9175" spans="14:14" x14ac:dyDescent="0.2">
      <c r="N9175" s="131"/>
    </row>
    <row r="9176" spans="14:14" x14ac:dyDescent="0.2">
      <c r="N9176" s="131"/>
    </row>
    <row r="9177" spans="14:14" x14ac:dyDescent="0.2">
      <c r="N9177" s="131"/>
    </row>
    <row r="9178" spans="14:14" x14ac:dyDescent="0.2">
      <c r="N9178" s="131"/>
    </row>
    <row r="9179" spans="14:14" x14ac:dyDescent="0.2">
      <c r="N9179" s="131"/>
    </row>
    <row r="9180" spans="14:14" x14ac:dyDescent="0.2">
      <c r="N9180" s="131"/>
    </row>
    <row r="9181" spans="14:14" x14ac:dyDescent="0.2">
      <c r="N9181" s="131"/>
    </row>
    <row r="9182" spans="14:14" x14ac:dyDescent="0.2">
      <c r="N9182" s="131"/>
    </row>
    <row r="9183" spans="14:14" x14ac:dyDescent="0.2">
      <c r="N9183" s="131"/>
    </row>
    <row r="9184" spans="14:14" x14ac:dyDescent="0.2">
      <c r="N9184" s="131"/>
    </row>
    <row r="9185" spans="14:14" x14ac:dyDescent="0.2">
      <c r="N9185" s="131"/>
    </row>
    <row r="9186" spans="14:14" x14ac:dyDescent="0.2">
      <c r="N9186" s="131"/>
    </row>
    <row r="9187" spans="14:14" x14ac:dyDescent="0.2">
      <c r="N9187" s="131"/>
    </row>
    <row r="9188" spans="14:14" x14ac:dyDescent="0.2">
      <c r="N9188" s="131"/>
    </row>
    <row r="9189" spans="14:14" x14ac:dyDescent="0.2">
      <c r="N9189" s="131"/>
    </row>
    <row r="9190" spans="14:14" x14ac:dyDescent="0.2">
      <c r="N9190" s="131"/>
    </row>
    <row r="9191" spans="14:14" x14ac:dyDescent="0.2">
      <c r="N9191" s="131"/>
    </row>
    <row r="9192" spans="14:14" x14ac:dyDescent="0.2">
      <c r="N9192" s="131"/>
    </row>
    <row r="9193" spans="14:14" x14ac:dyDescent="0.2">
      <c r="N9193" s="131"/>
    </row>
    <row r="9194" spans="14:14" x14ac:dyDescent="0.2">
      <c r="N9194" s="131"/>
    </row>
    <row r="9195" spans="14:14" x14ac:dyDescent="0.2">
      <c r="N9195" s="131"/>
    </row>
    <row r="9196" spans="14:14" x14ac:dyDescent="0.2">
      <c r="N9196" s="131"/>
    </row>
    <row r="9197" spans="14:14" x14ac:dyDescent="0.2">
      <c r="N9197" s="131"/>
    </row>
    <row r="9198" spans="14:14" x14ac:dyDescent="0.2">
      <c r="N9198" s="131"/>
    </row>
    <row r="9199" spans="14:14" x14ac:dyDescent="0.2">
      <c r="N9199" s="131"/>
    </row>
    <row r="9200" spans="14:14" x14ac:dyDescent="0.2">
      <c r="N9200" s="131"/>
    </row>
    <row r="9201" spans="14:14" x14ac:dyDescent="0.2">
      <c r="N9201" s="131"/>
    </row>
    <row r="9202" spans="14:14" x14ac:dyDescent="0.2">
      <c r="N9202" s="131"/>
    </row>
    <row r="9203" spans="14:14" x14ac:dyDescent="0.2">
      <c r="N9203" s="131"/>
    </row>
    <row r="9204" spans="14:14" x14ac:dyDescent="0.2">
      <c r="N9204" s="131"/>
    </row>
    <row r="9205" spans="14:14" x14ac:dyDescent="0.2">
      <c r="N9205" s="131"/>
    </row>
    <row r="9206" spans="14:14" x14ac:dyDescent="0.2">
      <c r="N9206" s="131"/>
    </row>
    <row r="9207" spans="14:14" x14ac:dyDescent="0.2">
      <c r="N9207" s="131"/>
    </row>
    <row r="9208" spans="14:14" x14ac:dyDescent="0.2">
      <c r="N9208" s="131"/>
    </row>
    <row r="9209" spans="14:14" x14ac:dyDescent="0.2">
      <c r="N9209" s="131"/>
    </row>
    <row r="9210" spans="14:14" x14ac:dyDescent="0.2">
      <c r="N9210" s="131"/>
    </row>
    <row r="9211" spans="14:14" x14ac:dyDescent="0.2">
      <c r="N9211" s="131"/>
    </row>
    <row r="9212" spans="14:14" x14ac:dyDescent="0.2">
      <c r="N9212" s="131"/>
    </row>
    <row r="9213" spans="14:14" x14ac:dyDescent="0.2">
      <c r="N9213" s="131"/>
    </row>
    <row r="9214" spans="14:14" x14ac:dyDescent="0.2">
      <c r="N9214" s="131"/>
    </row>
    <row r="9215" spans="14:14" x14ac:dyDescent="0.2">
      <c r="N9215" s="131"/>
    </row>
    <row r="9216" spans="14:14" x14ac:dyDescent="0.2">
      <c r="N9216" s="131"/>
    </row>
    <row r="9217" spans="14:14" x14ac:dyDescent="0.2">
      <c r="N9217" s="131"/>
    </row>
    <row r="9218" spans="14:14" x14ac:dyDescent="0.2">
      <c r="N9218" s="131"/>
    </row>
    <row r="9219" spans="14:14" x14ac:dyDescent="0.2">
      <c r="N9219" s="131"/>
    </row>
    <row r="9220" spans="14:14" x14ac:dyDescent="0.2">
      <c r="N9220" s="131"/>
    </row>
    <row r="9221" spans="14:14" x14ac:dyDescent="0.2">
      <c r="N9221" s="131"/>
    </row>
    <row r="9222" spans="14:14" x14ac:dyDescent="0.2">
      <c r="N9222" s="131"/>
    </row>
    <row r="9223" spans="14:14" x14ac:dyDescent="0.2">
      <c r="N9223" s="131"/>
    </row>
    <row r="9224" spans="14:14" x14ac:dyDescent="0.2">
      <c r="N9224" s="131"/>
    </row>
    <row r="9225" spans="14:14" x14ac:dyDescent="0.2">
      <c r="N9225" s="131"/>
    </row>
    <row r="9226" spans="14:14" x14ac:dyDescent="0.2">
      <c r="N9226" s="131"/>
    </row>
    <row r="9227" spans="14:14" x14ac:dyDescent="0.2">
      <c r="N9227" s="131"/>
    </row>
    <row r="9228" spans="14:14" x14ac:dyDescent="0.2">
      <c r="N9228" s="131"/>
    </row>
    <row r="9229" spans="14:14" x14ac:dyDescent="0.2">
      <c r="N9229" s="131"/>
    </row>
    <row r="9230" spans="14:14" x14ac:dyDescent="0.2">
      <c r="N9230" s="131"/>
    </row>
    <row r="9231" spans="14:14" x14ac:dyDescent="0.2">
      <c r="N9231" s="131"/>
    </row>
    <row r="9232" spans="14:14" x14ac:dyDescent="0.2">
      <c r="N9232" s="131"/>
    </row>
    <row r="9233" spans="14:14" x14ac:dyDescent="0.2">
      <c r="N9233" s="131"/>
    </row>
    <row r="9234" spans="14:14" x14ac:dyDescent="0.2">
      <c r="N9234" s="131"/>
    </row>
    <row r="9235" spans="14:14" x14ac:dyDescent="0.2">
      <c r="N9235" s="131"/>
    </row>
    <row r="9236" spans="14:14" x14ac:dyDescent="0.2">
      <c r="N9236" s="131"/>
    </row>
    <row r="9237" spans="14:14" x14ac:dyDescent="0.2">
      <c r="N9237" s="131"/>
    </row>
    <row r="9238" spans="14:14" x14ac:dyDescent="0.2">
      <c r="N9238" s="131"/>
    </row>
    <row r="9239" spans="14:14" x14ac:dyDescent="0.2">
      <c r="N9239" s="131"/>
    </row>
    <row r="9240" spans="14:14" x14ac:dyDescent="0.2">
      <c r="N9240" s="131"/>
    </row>
    <row r="9241" spans="14:14" x14ac:dyDescent="0.2">
      <c r="N9241" s="131"/>
    </row>
    <row r="9242" spans="14:14" x14ac:dyDescent="0.2">
      <c r="N9242" s="131"/>
    </row>
    <row r="9243" spans="14:14" x14ac:dyDescent="0.2">
      <c r="N9243" s="131"/>
    </row>
    <row r="9244" spans="14:14" x14ac:dyDescent="0.2">
      <c r="N9244" s="131"/>
    </row>
    <row r="9245" spans="14:14" x14ac:dyDescent="0.2">
      <c r="N9245" s="131"/>
    </row>
    <row r="9246" spans="14:14" x14ac:dyDescent="0.2">
      <c r="N9246" s="131"/>
    </row>
    <row r="9247" spans="14:14" x14ac:dyDescent="0.2">
      <c r="N9247" s="131"/>
    </row>
    <row r="9248" spans="14:14" x14ac:dyDescent="0.2">
      <c r="N9248" s="131"/>
    </row>
    <row r="9249" spans="14:14" x14ac:dyDescent="0.2">
      <c r="N9249" s="131"/>
    </row>
    <row r="9250" spans="14:14" x14ac:dyDescent="0.2">
      <c r="N9250" s="131"/>
    </row>
    <row r="9251" spans="14:14" x14ac:dyDescent="0.2">
      <c r="N9251" s="131"/>
    </row>
    <row r="9252" spans="14:14" x14ac:dyDescent="0.2">
      <c r="N9252" s="131"/>
    </row>
    <row r="9253" spans="14:14" x14ac:dyDescent="0.2">
      <c r="N9253" s="131"/>
    </row>
    <row r="9254" spans="14:14" x14ac:dyDescent="0.2">
      <c r="N9254" s="131"/>
    </row>
    <row r="9255" spans="14:14" x14ac:dyDescent="0.2">
      <c r="N9255" s="131"/>
    </row>
    <row r="9256" spans="14:14" x14ac:dyDescent="0.2">
      <c r="N9256" s="131"/>
    </row>
    <row r="9257" spans="14:14" x14ac:dyDescent="0.2">
      <c r="N9257" s="131"/>
    </row>
    <row r="9258" spans="14:14" x14ac:dyDescent="0.2">
      <c r="N9258" s="131"/>
    </row>
    <row r="9259" spans="14:14" x14ac:dyDescent="0.2">
      <c r="N9259" s="131"/>
    </row>
    <row r="9260" spans="14:14" x14ac:dyDescent="0.2">
      <c r="N9260" s="131"/>
    </row>
    <row r="9261" spans="14:14" x14ac:dyDescent="0.2">
      <c r="N9261" s="131"/>
    </row>
    <row r="9262" spans="14:14" x14ac:dyDescent="0.2">
      <c r="N9262" s="131"/>
    </row>
    <row r="9263" spans="14:14" x14ac:dyDescent="0.2">
      <c r="N9263" s="131"/>
    </row>
    <row r="9264" spans="14:14" x14ac:dyDescent="0.2">
      <c r="N9264" s="131"/>
    </row>
    <row r="9265" spans="14:14" x14ac:dyDescent="0.2">
      <c r="N9265" s="131"/>
    </row>
    <row r="9266" spans="14:14" x14ac:dyDescent="0.2">
      <c r="N9266" s="131"/>
    </row>
    <row r="9267" spans="14:14" x14ac:dyDescent="0.2">
      <c r="N9267" s="131"/>
    </row>
    <row r="9268" spans="14:14" x14ac:dyDescent="0.2">
      <c r="N9268" s="131"/>
    </row>
    <row r="9269" spans="14:14" x14ac:dyDescent="0.2">
      <c r="N9269" s="131"/>
    </row>
    <row r="9270" spans="14:14" x14ac:dyDescent="0.2">
      <c r="N9270" s="131"/>
    </row>
    <row r="9271" spans="14:14" x14ac:dyDescent="0.2">
      <c r="N9271" s="131"/>
    </row>
    <row r="9272" spans="14:14" x14ac:dyDescent="0.2">
      <c r="N9272" s="131"/>
    </row>
    <row r="9273" spans="14:14" x14ac:dyDescent="0.2">
      <c r="N9273" s="131"/>
    </row>
    <row r="9274" spans="14:14" x14ac:dyDescent="0.2">
      <c r="N9274" s="131"/>
    </row>
    <row r="9275" spans="14:14" x14ac:dyDescent="0.2">
      <c r="N9275" s="131"/>
    </row>
    <row r="9276" spans="14:14" x14ac:dyDescent="0.2">
      <c r="N9276" s="131"/>
    </row>
    <row r="9277" spans="14:14" x14ac:dyDescent="0.2">
      <c r="N9277" s="131"/>
    </row>
    <row r="9278" spans="14:14" x14ac:dyDescent="0.2">
      <c r="N9278" s="131"/>
    </row>
    <row r="9279" spans="14:14" x14ac:dyDescent="0.2">
      <c r="N9279" s="131"/>
    </row>
    <row r="9280" spans="14:14" x14ac:dyDescent="0.2">
      <c r="N9280" s="131"/>
    </row>
    <row r="9281" spans="14:14" x14ac:dyDescent="0.2">
      <c r="N9281" s="131"/>
    </row>
    <row r="9282" spans="14:14" x14ac:dyDescent="0.2">
      <c r="N9282" s="131"/>
    </row>
    <row r="9283" spans="14:14" x14ac:dyDescent="0.2">
      <c r="N9283" s="131"/>
    </row>
    <row r="9284" spans="14:14" x14ac:dyDescent="0.2">
      <c r="N9284" s="131"/>
    </row>
    <row r="9285" spans="14:14" x14ac:dyDescent="0.2">
      <c r="N9285" s="131"/>
    </row>
    <row r="9286" spans="14:14" x14ac:dyDescent="0.2">
      <c r="N9286" s="131"/>
    </row>
    <row r="9287" spans="14:14" x14ac:dyDescent="0.2">
      <c r="N9287" s="131"/>
    </row>
    <row r="9288" spans="14:14" x14ac:dyDescent="0.2">
      <c r="N9288" s="131"/>
    </row>
    <row r="9289" spans="14:14" x14ac:dyDescent="0.2">
      <c r="N9289" s="131"/>
    </row>
    <row r="9290" spans="14:14" x14ac:dyDescent="0.2">
      <c r="N9290" s="131"/>
    </row>
    <row r="9291" spans="14:14" x14ac:dyDescent="0.2">
      <c r="N9291" s="131"/>
    </row>
    <row r="9292" spans="14:14" x14ac:dyDescent="0.2">
      <c r="N9292" s="131"/>
    </row>
    <row r="9293" spans="14:14" x14ac:dyDescent="0.2">
      <c r="N9293" s="131"/>
    </row>
    <row r="9294" spans="14:14" x14ac:dyDescent="0.2">
      <c r="N9294" s="131"/>
    </row>
    <row r="9295" spans="14:14" x14ac:dyDescent="0.2">
      <c r="N9295" s="131"/>
    </row>
    <row r="9296" spans="14:14" x14ac:dyDescent="0.2">
      <c r="N9296" s="131"/>
    </row>
    <row r="9297" spans="14:14" x14ac:dyDescent="0.2">
      <c r="N9297" s="131"/>
    </row>
    <row r="9298" spans="14:14" x14ac:dyDescent="0.2">
      <c r="N9298" s="131"/>
    </row>
    <row r="9299" spans="14:14" x14ac:dyDescent="0.2">
      <c r="N9299" s="131"/>
    </row>
    <row r="9300" spans="14:14" x14ac:dyDescent="0.2">
      <c r="N9300" s="131"/>
    </row>
    <row r="9301" spans="14:14" x14ac:dyDescent="0.2">
      <c r="N9301" s="131"/>
    </row>
    <row r="9302" spans="14:14" x14ac:dyDescent="0.2">
      <c r="N9302" s="131"/>
    </row>
    <row r="9303" spans="14:14" x14ac:dyDescent="0.2">
      <c r="N9303" s="131"/>
    </row>
    <row r="9304" spans="14:14" x14ac:dyDescent="0.2">
      <c r="N9304" s="131"/>
    </row>
    <row r="9305" spans="14:14" x14ac:dyDescent="0.2">
      <c r="N9305" s="131"/>
    </row>
    <row r="9306" spans="14:14" x14ac:dyDescent="0.2">
      <c r="N9306" s="131"/>
    </row>
    <row r="9307" spans="14:14" x14ac:dyDescent="0.2">
      <c r="N9307" s="131"/>
    </row>
    <row r="9308" spans="14:14" x14ac:dyDescent="0.2">
      <c r="N9308" s="131"/>
    </row>
    <row r="9309" spans="14:14" x14ac:dyDescent="0.2">
      <c r="N9309" s="131"/>
    </row>
    <row r="9310" spans="14:14" x14ac:dyDescent="0.2">
      <c r="N9310" s="131"/>
    </row>
    <row r="9311" spans="14:14" x14ac:dyDescent="0.2">
      <c r="N9311" s="131"/>
    </row>
    <row r="9312" spans="14:14" x14ac:dyDescent="0.2">
      <c r="N9312" s="131"/>
    </row>
    <row r="9313" spans="14:14" x14ac:dyDescent="0.2">
      <c r="N9313" s="131"/>
    </row>
    <row r="9314" spans="14:14" x14ac:dyDescent="0.2">
      <c r="N9314" s="131"/>
    </row>
    <row r="9315" spans="14:14" x14ac:dyDescent="0.2">
      <c r="N9315" s="131"/>
    </row>
    <row r="9316" spans="14:14" x14ac:dyDescent="0.2">
      <c r="N9316" s="131"/>
    </row>
    <row r="9317" spans="14:14" x14ac:dyDescent="0.2">
      <c r="N9317" s="131"/>
    </row>
    <row r="9318" spans="14:14" x14ac:dyDescent="0.2">
      <c r="N9318" s="131"/>
    </row>
    <row r="9319" spans="14:14" x14ac:dyDescent="0.2">
      <c r="N9319" s="131"/>
    </row>
    <row r="9320" spans="14:14" x14ac:dyDescent="0.2">
      <c r="N9320" s="131"/>
    </row>
    <row r="9321" spans="14:14" x14ac:dyDescent="0.2">
      <c r="N9321" s="131"/>
    </row>
    <row r="9322" spans="14:14" x14ac:dyDescent="0.2">
      <c r="N9322" s="131"/>
    </row>
    <row r="9323" spans="14:14" x14ac:dyDescent="0.2">
      <c r="N9323" s="131"/>
    </row>
    <row r="9324" spans="14:14" x14ac:dyDescent="0.2">
      <c r="N9324" s="131"/>
    </row>
    <row r="9325" spans="14:14" x14ac:dyDescent="0.2">
      <c r="N9325" s="131"/>
    </row>
    <row r="9326" spans="14:14" x14ac:dyDescent="0.2">
      <c r="N9326" s="131"/>
    </row>
    <row r="9327" spans="14:14" x14ac:dyDescent="0.2">
      <c r="N9327" s="131"/>
    </row>
    <row r="9328" spans="14:14" x14ac:dyDescent="0.2">
      <c r="N9328" s="131"/>
    </row>
    <row r="9329" spans="14:14" x14ac:dyDescent="0.2">
      <c r="N9329" s="131"/>
    </row>
    <row r="9330" spans="14:14" x14ac:dyDescent="0.2">
      <c r="N9330" s="131"/>
    </row>
    <row r="9331" spans="14:14" x14ac:dyDescent="0.2">
      <c r="N9331" s="131"/>
    </row>
    <row r="9332" spans="14:14" x14ac:dyDescent="0.2">
      <c r="N9332" s="131"/>
    </row>
    <row r="9333" spans="14:14" x14ac:dyDescent="0.2">
      <c r="N9333" s="131"/>
    </row>
    <row r="9334" spans="14:14" x14ac:dyDescent="0.2">
      <c r="N9334" s="131"/>
    </row>
    <row r="9335" spans="14:14" x14ac:dyDescent="0.2">
      <c r="N9335" s="131"/>
    </row>
    <row r="9336" spans="14:14" x14ac:dyDescent="0.2">
      <c r="N9336" s="131"/>
    </row>
    <row r="9337" spans="14:14" x14ac:dyDescent="0.2">
      <c r="N9337" s="131"/>
    </row>
    <row r="9338" spans="14:14" x14ac:dyDescent="0.2">
      <c r="N9338" s="131"/>
    </row>
    <row r="9339" spans="14:14" x14ac:dyDescent="0.2">
      <c r="N9339" s="131"/>
    </row>
    <row r="9340" spans="14:14" x14ac:dyDescent="0.2">
      <c r="N9340" s="131"/>
    </row>
    <row r="9341" spans="14:14" x14ac:dyDescent="0.2">
      <c r="N9341" s="131"/>
    </row>
    <row r="9342" spans="14:14" x14ac:dyDescent="0.2">
      <c r="N9342" s="131"/>
    </row>
    <row r="9343" spans="14:14" x14ac:dyDescent="0.2">
      <c r="N9343" s="131"/>
    </row>
    <row r="9344" spans="14:14" x14ac:dyDescent="0.2">
      <c r="N9344" s="131"/>
    </row>
    <row r="9345" spans="14:14" x14ac:dyDescent="0.2">
      <c r="N9345" s="131"/>
    </row>
    <row r="9346" spans="14:14" x14ac:dyDescent="0.2">
      <c r="N9346" s="131"/>
    </row>
    <row r="9347" spans="14:14" x14ac:dyDescent="0.2">
      <c r="N9347" s="131"/>
    </row>
    <row r="9348" spans="14:14" x14ac:dyDescent="0.2">
      <c r="N9348" s="131"/>
    </row>
    <row r="9349" spans="14:14" x14ac:dyDescent="0.2">
      <c r="N9349" s="131"/>
    </row>
    <row r="9350" spans="14:14" x14ac:dyDescent="0.2">
      <c r="N9350" s="131"/>
    </row>
    <row r="9351" spans="14:14" x14ac:dyDescent="0.2">
      <c r="N9351" s="131"/>
    </row>
    <row r="9352" spans="14:14" x14ac:dyDescent="0.2">
      <c r="N9352" s="131"/>
    </row>
    <row r="9353" spans="14:14" x14ac:dyDescent="0.2">
      <c r="N9353" s="131"/>
    </row>
    <row r="9354" spans="14:14" x14ac:dyDescent="0.2">
      <c r="N9354" s="131"/>
    </row>
    <row r="9355" spans="14:14" x14ac:dyDescent="0.2">
      <c r="N9355" s="131"/>
    </row>
    <row r="9356" spans="14:14" x14ac:dyDescent="0.2">
      <c r="N9356" s="131"/>
    </row>
    <row r="9357" spans="14:14" x14ac:dyDescent="0.2">
      <c r="N9357" s="131"/>
    </row>
    <row r="9358" spans="14:14" x14ac:dyDescent="0.2">
      <c r="N9358" s="131"/>
    </row>
    <row r="9359" spans="14:14" x14ac:dyDescent="0.2">
      <c r="N9359" s="131"/>
    </row>
    <row r="9360" spans="14:14" x14ac:dyDescent="0.2">
      <c r="N9360" s="131"/>
    </row>
    <row r="9361" spans="14:14" x14ac:dyDescent="0.2">
      <c r="N9361" s="131"/>
    </row>
    <row r="9362" spans="14:14" x14ac:dyDescent="0.2">
      <c r="N9362" s="131"/>
    </row>
    <row r="9363" spans="14:14" x14ac:dyDescent="0.2">
      <c r="N9363" s="131"/>
    </row>
    <row r="9364" spans="14:14" x14ac:dyDescent="0.2">
      <c r="N9364" s="131"/>
    </row>
    <row r="9365" spans="14:14" x14ac:dyDescent="0.2">
      <c r="N9365" s="131"/>
    </row>
    <row r="9366" spans="14:14" x14ac:dyDescent="0.2">
      <c r="N9366" s="131"/>
    </row>
    <row r="9367" spans="14:14" x14ac:dyDescent="0.2">
      <c r="N9367" s="131"/>
    </row>
    <row r="9368" spans="14:14" x14ac:dyDescent="0.2">
      <c r="N9368" s="131"/>
    </row>
    <row r="9369" spans="14:14" x14ac:dyDescent="0.2">
      <c r="N9369" s="131"/>
    </row>
    <row r="9370" spans="14:14" x14ac:dyDescent="0.2">
      <c r="N9370" s="131"/>
    </row>
    <row r="9371" spans="14:14" x14ac:dyDescent="0.2">
      <c r="N9371" s="131"/>
    </row>
    <row r="9372" spans="14:14" x14ac:dyDescent="0.2">
      <c r="N9372" s="131"/>
    </row>
    <row r="9373" spans="14:14" x14ac:dyDescent="0.2">
      <c r="N9373" s="131"/>
    </row>
    <row r="9374" spans="14:14" x14ac:dyDescent="0.2">
      <c r="N9374" s="131"/>
    </row>
    <row r="9375" spans="14:14" x14ac:dyDescent="0.2">
      <c r="N9375" s="131"/>
    </row>
    <row r="9376" spans="14:14" x14ac:dyDescent="0.2">
      <c r="N9376" s="131"/>
    </row>
    <row r="9377" spans="14:14" x14ac:dyDescent="0.2">
      <c r="N9377" s="131"/>
    </row>
    <row r="9378" spans="14:14" x14ac:dyDescent="0.2">
      <c r="N9378" s="131"/>
    </row>
    <row r="9379" spans="14:14" x14ac:dyDescent="0.2">
      <c r="N9379" s="131"/>
    </row>
    <row r="9380" spans="14:14" x14ac:dyDescent="0.2">
      <c r="N9380" s="131"/>
    </row>
    <row r="9381" spans="14:14" x14ac:dyDescent="0.2">
      <c r="N9381" s="131"/>
    </row>
    <row r="9382" spans="14:14" x14ac:dyDescent="0.2">
      <c r="N9382" s="131"/>
    </row>
    <row r="9383" spans="14:14" x14ac:dyDescent="0.2">
      <c r="N9383" s="131"/>
    </row>
    <row r="9384" spans="14:14" x14ac:dyDescent="0.2">
      <c r="N9384" s="131"/>
    </row>
    <row r="9385" spans="14:14" x14ac:dyDescent="0.2">
      <c r="N9385" s="131"/>
    </row>
    <row r="9386" spans="14:14" x14ac:dyDescent="0.2">
      <c r="N9386" s="131"/>
    </row>
    <row r="9387" spans="14:14" x14ac:dyDescent="0.2">
      <c r="N9387" s="131"/>
    </row>
    <row r="9388" spans="14:14" x14ac:dyDescent="0.2">
      <c r="N9388" s="131"/>
    </row>
    <row r="9389" spans="14:14" x14ac:dyDescent="0.2">
      <c r="N9389" s="131"/>
    </row>
    <row r="9390" spans="14:14" x14ac:dyDescent="0.2">
      <c r="N9390" s="131"/>
    </row>
    <row r="9391" spans="14:14" x14ac:dyDescent="0.2">
      <c r="N9391" s="131"/>
    </row>
    <row r="9392" spans="14:14" x14ac:dyDescent="0.2">
      <c r="N9392" s="131"/>
    </row>
    <row r="9393" spans="14:14" x14ac:dyDescent="0.2">
      <c r="N9393" s="131"/>
    </row>
    <row r="9394" spans="14:14" x14ac:dyDescent="0.2">
      <c r="N9394" s="131"/>
    </row>
    <row r="9395" spans="14:14" x14ac:dyDescent="0.2">
      <c r="N9395" s="131"/>
    </row>
    <row r="9396" spans="14:14" x14ac:dyDescent="0.2">
      <c r="N9396" s="131"/>
    </row>
    <row r="9397" spans="14:14" x14ac:dyDescent="0.2">
      <c r="N9397" s="131"/>
    </row>
    <row r="9398" spans="14:14" x14ac:dyDescent="0.2">
      <c r="N9398" s="131"/>
    </row>
    <row r="9399" spans="14:14" x14ac:dyDescent="0.2">
      <c r="N9399" s="131"/>
    </row>
    <row r="9400" spans="14:14" x14ac:dyDescent="0.2">
      <c r="N9400" s="131"/>
    </row>
    <row r="9401" spans="14:14" x14ac:dyDescent="0.2">
      <c r="N9401" s="131"/>
    </row>
    <row r="9402" spans="14:14" x14ac:dyDescent="0.2">
      <c r="N9402" s="131"/>
    </row>
    <row r="9403" spans="14:14" x14ac:dyDescent="0.2">
      <c r="N9403" s="131"/>
    </row>
    <row r="9404" spans="14:14" x14ac:dyDescent="0.2">
      <c r="N9404" s="131"/>
    </row>
    <row r="9405" spans="14:14" x14ac:dyDescent="0.2">
      <c r="N9405" s="131"/>
    </row>
    <row r="9406" spans="14:14" x14ac:dyDescent="0.2">
      <c r="N9406" s="131"/>
    </row>
    <row r="9407" spans="14:14" x14ac:dyDescent="0.2">
      <c r="N9407" s="131"/>
    </row>
    <row r="9408" spans="14:14" x14ac:dyDescent="0.2">
      <c r="N9408" s="131"/>
    </row>
    <row r="9409" spans="14:14" x14ac:dyDescent="0.2">
      <c r="N9409" s="131"/>
    </row>
    <row r="9410" spans="14:14" x14ac:dyDescent="0.2">
      <c r="N9410" s="131"/>
    </row>
    <row r="9411" spans="14:14" x14ac:dyDescent="0.2">
      <c r="N9411" s="131"/>
    </row>
    <row r="9412" spans="14:14" x14ac:dyDescent="0.2">
      <c r="N9412" s="131"/>
    </row>
    <row r="9413" spans="14:14" x14ac:dyDescent="0.2">
      <c r="N9413" s="131"/>
    </row>
    <row r="9414" spans="14:14" x14ac:dyDescent="0.2">
      <c r="N9414" s="131"/>
    </row>
    <row r="9415" spans="14:14" x14ac:dyDescent="0.2">
      <c r="N9415" s="131"/>
    </row>
    <row r="9416" spans="14:14" x14ac:dyDescent="0.2">
      <c r="N9416" s="131"/>
    </row>
    <row r="9417" spans="14:14" x14ac:dyDescent="0.2">
      <c r="N9417" s="131"/>
    </row>
    <row r="9418" spans="14:14" x14ac:dyDescent="0.2">
      <c r="N9418" s="131"/>
    </row>
    <row r="9419" spans="14:14" x14ac:dyDescent="0.2">
      <c r="N9419" s="131"/>
    </row>
    <row r="9420" spans="14:14" x14ac:dyDescent="0.2">
      <c r="N9420" s="131"/>
    </row>
    <row r="9421" spans="14:14" x14ac:dyDescent="0.2">
      <c r="N9421" s="131"/>
    </row>
    <row r="9422" spans="14:14" x14ac:dyDescent="0.2">
      <c r="N9422" s="131"/>
    </row>
    <row r="9423" spans="14:14" x14ac:dyDescent="0.2">
      <c r="N9423" s="131"/>
    </row>
    <row r="9424" spans="14:14" x14ac:dyDescent="0.2">
      <c r="N9424" s="131"/>
    </row>
    <row r="9425" spans="14:14" x14ac:dyDescent="0.2">
      <c r="N9425" s="131"/>
    </row>
    <row r="9426" spans="14:14" x14ac:dyDescent="0.2">
      <c r="N9426" s="131"/>
    </row>
    <row r="9427" spans="14:14" x14ac:dyDescent="0.2">
      <c r="N9427" s="131"/>
    </row>
    <row r="9428" spans="14:14" x14ac:dyDescent="0.2">
      <c r="N9428" s="131"/>
    </row>
    <row r="9429" spans="14:14" x14ac:dyDescent="0.2">
      <c r="N9429" s="131"/>
    </row>
    <row r="9430" spans="14:14" x14ac:dyDescent="0.2">
      <c r="N9430" s="131"/>
    </row>
    <row r="9431" spans="14:14" x14ac:dyDescent="0.2">
      <c r="N9431" s="131"/>
    </row>
    <row r="9432" spans="14:14" x14ac:dyDescent="0.2">
      <c r="N9432" s="131"/>
    </row>
    <row r="9433" spans="14:14" x14ac:dyDescent="0.2">
      <c r="N9433" s="131"/>
    </row>
    <row r="9434" spans="14:14" x14ac:dyDescent="0.2">
      <c r="N9434" s="131"/>
    </row>
    <row r="9435" spans="14:14" x14ac:dyDescent="0.2">
      <c r="N9435" s="131"/>
    </row>
    <row r="9436" spans="14:14" x14ac:dyDescent="0.2">
      <c r="N9436" s="131"/>
    </row>
    <row r="9437" spans="14:14" x14ac:dyDescent="0.2">
      <c r="N9437" s="131"/>
    </row>
    <row r="9438" spans="14:14" x14ac:dyDescent="0.2">
      <c r="N9438" s="131"/>
    </row>
    <row r="9439" spans="14:14" x14ac:dyDescent="0.2">
      <c r="N9439" s="131"/>
    </row>
    <row r="9440" spans="14:14" x14ac:dyDescent="0.2">
      <c r="N9440" s="131"/>
    </row>
    <row r="9441" spans="14:14" x14ac:dyDescent="0.2">
      <c r="N9441" s="131"/>
    </row>
    <row r="9442" spans="14:14" x14ac:dyDescent="0.2">
      <c r="N9442" s="131"/>
    </row>
    <row r="9443" spans="14:14" x14ac:dyDescent="0.2">
      <c r="N9443" s="131"/>
    </row>
    <row r="9444" spans="14:14" x14ac:dyDescent="0.2">
      <c r="N9444" s="131"/>
    </row>
    <row r="9445" spans="14:14" x14ac:dyDescent="0.2">
      <c r="N9445" s="131"/>
    </row>
    <row r="9446" spans="14:14" x14ac:dyDescent="0.2">
      <c r="N9446" s="131"/>
    </row>
    <row r="9447" spans="14:14" x14ac:dyDescent="0.2">
      <c r="N9447" s="131"/>
    </row>
    <row r="9448" spans="14:14" x14ac:dyDescent="0.2">
      <c r="N9448" s="131"/>
    </row>
    <row r="9449" spans="14:14" x14ac:dyDescent="0.2">
      <c r="N9449" s="131"/>
    </row>
    <row r="9450" spans="14:14" x14ac:dyDescent="0.2">
      <c r="N9450" s="131"/>
    </row>
    <row r="9451" spans="14:14" x14ac:dyDescent="0.2">
      <c r="N9451" s="131"/>
    </row>
    <row r="9452" spans="14:14" x14ac:dyDescent="0.2">
      <c r="N9452" s="131"/>
    </row>
    <row r="9453" spans="14:14" x14ac:dyDescent="0.2">
      <c r="N9453" s="131"/>
    </row>
    <row r="9454" spans="14:14" x14ac:dyDescent="0.2">
      <c r="N9454" s="131"/>
    </row>
    <row r="9455" spans="14:14" x14ac:dyDescent="0.2">
      <c r="N9455" s="131"/>
    </row>
    <row r="9456" spans="14:14" x14ac:dyDescent="0.2">
      <c r="N9456" s="131"/>
    </row>
    <row r="9457" spans="14:14" x14ac:dyDescent="0.2">
      <c r="N9457" s="131"/>
    </row>
    <row r="9458" spans="14:14" x14ac:dyDescent="0.2">
      <c r="N9458" s="131"/>
    </row>
    <row r="9459" spans="14:14" x14ac:dyDescent="0.2">
      <c r="N9459" s="131"/>
    </row>
    <row r="9460" spans="14:14" x14ac:dyDescent="0.2">
      <c r="N9460" s="131"/>
    </row>
    <row r="9461" spans="14:14" x14ac:dyDescent="0.2">
      <c r="N9461" s="131"/>
    </row>
    <row r="9462" spans="14:14" x14ac:dyDescent="0.2">
      <c r="N9462" s="131"/>
    </row>
    <row r="9463" spans="14:14" x14ac:dyDescent="0.2">
      <c r="N9463" s="131"/>
    </row>
    <row r="9464" spans="14:14" x14ac:dyDescent="0.2">
      <c r="N9464" s="131"/>
    </row>
    <row r="9465" spans="14:14" x14ac:dyDescent="0.2">
      <c r="N9465" s="131"/>
    </row>
    <row r="9466" spans="14:14" x14ac:dyDescent="0.2">
      <c r="N9466" s="131"/>
    </row>
    <row r="9467" spans="14:14" x14ac:dyDescent="0.2">
      <c r="N9467" s="131"/>
    </row>
    <row r="9468" spans="14:14" x14ac:dyDescent="0.2">
      <c r="N9468" s="131"/>
    </row>
    <row r="9469" spans="14:14" x14ac:dyDescent="0.2">
      <c r="N9469" s="131"/>
    </row>
    <row r="9470" spans="14:14" x14ac:dyDescent="0.2">
      <c r="N9470" s="131"/>
    </row>
    <row r="9471" spans="14:14" x14ac:dyDescent="0.2">
      <c r="N9471" s="131"/>
    </row>
    <row r="9472" spans="14:14" x14ac:dyDescent="0.2">
      <c r="N9472" s="131"/>
    </row>
    <row r="9473" spans="14:14" x14ac:dyDescent="0.2">
      <c r="N9473" s="131"/>
    </row>
    <row r="9474" spans="14:14" x14ac:dyDescent="0.2">
      <c r="N9474" s="131"/>
    </row>
    <row r="9475" spans="14:14" x14ac:dyDescent="0.2">
      <c r="N9475" s="131"/>
    </row>
    <row r="9476" spans="14:14" x14ac:dyDescent="0.2">
      <c r="N9476" s="131"/>
    </row>
    <row r="9477" spans="14:14" x14ac:dyDescent="0.2">
      <c r="N9477" s="131"/>
    </row>
    <row r="9478" spans="14:14" x14ac:dyDescent="0.2">
      <c r="N9478" s="131"/>
    </row>
    <row r="9479" spans="14:14" x14ac:dyDescent="0.2">
      <c r="N9479" s="131"/>
    </row>
    <row r="9480" spans="14:14" x14ac:dyDescent="0.2">
      <c r="N9480" s="131"/>
    </row>
    <row r="9481" spans="14:14" x14ac:dyDescent="0.2">
      <c r="N9481" s="131"/>
    </row>
    <row r="9482" spans="14:14" x14ac:dyDescent="0.2">
      <c r="N9482" s="131"/>
    </row>
    <row r="9483" spans="14:14" x14ac:dyDescent="0.2">
      <c r="N9483" s="131"/>
    </row>
    <row r="9484" spans="14:14" x14ac:dyDescent="0.2">
      <c r="N9484" s="131"/>
    </row>
    <row r="9485" spans="14:14" x14ac:dyDescent="0.2">
      <c r="N9485" s="131"/>
    </row>
    <row r="9486" spans="14:14" x14ac:dyDescent="0.2">
      <c r="N9486" s="131"/>
    </row>
    <row r="9487" spans="14:14" x14ac:dyDescent="0.2">
      <c r="N9487" s="131"/>
    </row>
    <row r="9488" spans="14:14" x14ac:dyDescent="0.2">
      <c r="N9488" s="131"/>
    </row>
    <row r="9489" spans="14:14" x14ac:dyDescent="0.2">
      <c r="N9489" s="131"/>
    </row>
    <row r="9490" spans="14:14" x14ac:dyDescent="0.2">
      <c r="N9490" s="131"/>
    </row>
    <row r="9491" spans="14:14" x14ac:dyDescent="0.2">
      <c r="N9491" s="131"/>
    </row>
    <row r="9492" spans="14:14" x14ac:dyDescent="0.2">
      <c r="N9492" s="131"/>
    </row>
    <row r="9493" spans="14:14" x14ac:dyDescent="0.2">
      <c r="N9493" s="131"/>
    </row>
    <row r="9494" spans="14:14" x14ac:dyDescent="0.2">
      <c r="N9494" s="131"/>
    </row>
    <row r="9495" spans="14:14" x14ac:dyDescent="0.2">
      <c r="N9495" s="131"/>
    </row>
    <row r="9496" spans="14:14" x14ac:dyDescent="0.2">
      <c r="N9496" s="131"/>
    </row>
    <row r="9497" spans="14:14" x14ac:dyDescent="0.2">
      <c r="N9497" s="131"/>
    </row>
    <row r="9498" spans="14:14" x14ac:dyDescent="0.2">
      <c r="N9498" s="131"/>
    </row>
    <row r="9499" spans="14:14" x14ac:dyDescent="0.2">
      <c r="N9499" s="131"/>
    </row>
    <row r="9500" spans="14:14" x14ac:dyDescent="0.2">
      <c r="N9500" s="131"/>
    </row>
    <row r="9501" spans="14:14" x14ac:dyDescent="0.2">
      <c r="N9501" s="131"/>
    </row>
    <row r="9502" spans="14:14" x14ac:dyDescent="0.2">
      <c r="N9502" s="131"/>
    </row>
    <row r="9503" spans="14:14" x14ac:dyDescent="0.2">
      <c r="N9503" s="131"/>
    </row>
    <row r="9504" spans="14:14" x14ac:dyDescent="0.2">
      <c r="N9504" s="131"/>
    </row>
    <row r="9505" spans="14:14" x14ac:dyDescent="0.2">
      <c r="N9505" s="131"/>
    </row>
    <row r="9506" spans="14:14" x14ac:dyDescent="0.2">
      <c r="N9506" s="131"/>
    </row>
    <row r="9507" spans="14:14" x14ac:dyDescent="0.2">
      <c r="N9507" s="131"/>
    </row>
    <row r="9508" spans="14:14" x14ac:dyDescent="0.2">
      <c r="N9508" s="131"/>
    </row>
    <row r="9509" spans="14:14" x14ac:dyDescent="0.2">
      <c r="N9509" s="131"/>
    </row>
    <row r="9510" spans="14:14" x14ac:dyDescent="0.2">
      <c r="N9510" s="131"/>
    </row>
    <row r="9511" spans="14:14" x14ac:dyDescent="0.2">
      <c r="N9511" s="131"/>
    </row>
    <row r="9512" spans="14:14" x14ac:dyDescent="0.2">
      <c r="N9512" s="131"/>
    </row>
    <row r="9513" spans="14:14" x14ac:dyDescent="0.2">
      <c r="N9513" s="131"/>
    </row>
    <row r="9514" spans="14:14" x14ac:dyDescent="0.2">
      <c r="N9514" s="131"/>
    </row>
    <row r="9515" spans="14:14" x14ac:dyDescent="0.2">
      <c r="N9515" s="131"/>
    </row>
    <row r="9516" spans="14:14" x14ac:dyDescent="0.2">
      <c r="N9516" s="131"/>
    </row>
    <row r="9517" spans="14:14" x14ac:dyDescent="0.2">
      <c r="N9517" s="131"/>
    </row>
    <row r="9518" spans="14:14" x14ac:dyDescent="0.2">
      <c r="N9518" s="131"/>
    </row>
    <row r="9519" spans="14:14" x14ac:dyDescent="0.2">
      <c r="N9519" s="131"/>
    </row>
    <row r="9520" spans="14:14" x14ac:dyDescent="0.2">
      <c r="N9520" s="131"/>
    </row>
    <row r="9521" spans="14:14" x14ac:dyDescent="0.2">
      <c r="N9521" s="131"/>
    </row>
    <row r="9522" spans="14:14" x14ac:dyDescent="0.2">
      <c r="N9522" s="131"/>
    </row>
    <row r="9523" spans="14:14" x14ac:dyDescent="0.2">
      <c r="N9523" s="131"/>
    </row>
    <row r="9524" spans="14:14" x14ac:dyDescent="0.2">
      <c r="N9524" s="131"/>
    </row>
    <row r="9525" spans="14:14" x14ac:dyDescent="0.2">
      <c r="N9525" s="131"/>
    </row>
    <row r="9526" spans="14:14" x14ac:dyDescent="0.2">
      <c r="N9526" s="131"/>
    </row>
    <row r="9527" spans="14:14" x14ac:dyDescent="0.2">
      <c r="N9527" s="131"/>
    </row>
    <row r="9528" spans="14:14" x14ac:dyDescent="0.2">
      <c r="N9528" s="131"/>
    </row>
    <row r="9529" spans="14:14" x14ac:dyDescent="0.2">
      <c r="N9529" s="131"/>
    </row>
    <row r="9530" spans="14:14" x14ac:dyDescent="0.2">
      <c r="N9530" s="131"/>
    </row>
    <row r="9531" spans="14:14" x14ac:dyDescent="0.2">
      <c r="N9531" s="131"/>
    </row>
    <row r="9532" spans="14:14" x14ac:dyDescent="0.2">
      <c r="N9532" s="131"/>
    </row>
    <row r="9533" spans="14:14" x14ac:dyDescent="0.2">
      <c r="N9533" s="131"/>
    </row>
    <row r="9534" spans="14:14" x14ac:dyDescent="0.2">
      <c r="N9534" s="131"/>
    </row>
    <row r="9535" spans="14:14" x14ac:dyDescent="0.2">
      <c r="N9535" s="131"/>
    </row>
    <row r="9536" spans="14:14" x14ac:dyDescent="0.2">
      <c r="N9536" s="131"/>
    </row>
    <row r="9537" spans="14:14" x14ac:dyDescent="0.2">
      <c r="N9537" s="131"/>
    </row>
    <row r="9538" spans="14:14" x14ac:dyDescent="0.2">
      <c r="N9538" s="131"/>
    </row>
    <row r="9539" spans="14:14" x14ac:dyDescent="0.2">
      <c r="N9539" s="131"/>
    </row>
    <row r="9540" spans="14:14" x14ac:dyDescent="0.2">
      <c r="N9540" s="131"/>
    </row>
    <row r="9541" spans="14:14" x14ac:dyDescent="0.2">
      <c r="N9541" s="131"/>
    </row>
    <row r="9542" spans="14:14" x14ac:dyDescent="0.2">
      <c r="N9542" s="131"/>
    </row>
    <row r="9543" spans="14:14" x14ac:dyDescent="0.2">
      <c r="N9543" s="131"/>
    </row>
    <row r="9544" spans="14:14" x14ac:dyDescent="0.2">
      <c r="N9544" s="131"/>
    </row>
    <row r="9545" spans="14:14" x14ac:dyDescent="0.2">
      <c r="N9545" s="131"/>
    </row>
    <row r="9546" spans="14:14" x14ac:dyDescent="0.2">
      <c r="N9546" s="131"/>
    </row>
    <row r="9547" spans="14:14" x14ac:dyDescent="0.2">
      <c r="N9547" s="131"/>
    </row>
    <row r="9548" spans="14:14" x14ac:dyDescent="0.2">
      <c r="N9548" s="131"/>
    </row>
    <row r="9549" spans="14:14" x14ac:dyDescent="0.2">
      <c r="N9549" s="131"/>
    </row>
    <row r="9550" spans="14:14" x14ac:dyDescent="0.2">
      <c r="N9550" s="131"/>
    </row>
    <row r="9551" spans="14:14" x14ac:dyDescent="0.2">
      <c r="N9551" s="131"/>
    </row>
    <row r="9552" spans="14:14" x14ac:dyDescent="0.2">
      <c r="N9552" s="131"/>
    </row>
    <row r="9553" spans="14:14" x14ac:dyDescent="0.2">
      <c r="N9553" s="131"/>
    </row>
    <row r="9554" spans="14:14" x14ac:dyDescent="0.2">
      <c r="N9554" s="131"/>
    </row>
    <row r="9555" spans="14:14" x14ac:dyDescent="0.2">
      <c r="N9555" s="131"/>
    </row>
    <row r="9556" spans="14:14" x14ac:dyDescent="0.2">
      <c r="N9556" s="131"/>
    </row>
    <row r="9557" spans="14:14" x14ac:dyDescent="0.2">
      <c r="N9557" s="131"/>
    </row>
    <row r="9558" spans="14:14" x14ac:dyDescent="0.2">
      <c r="N9558" s="131"/>
    </row>
    <row r="9559" spans="14:14" x14ac:dyDescent="0.2">
      <c r="N9559" s="131"/>
    </row>
    <row r="9560" spans="14:14" x14ac:dyDescent="0.2">
      <c r="N9560" s="131"/>
    </row>
    <row r="9561" spans="14:14" x14ac:dyDescent="0.2">
      <c r="N9561" s="131"/>
    </row>
    <row r="9562" spans="14:14" x14ac:dyDescent="0.2">
      <c r="N9562" s="131"/>
    </row>
    <row r="9563" spans="14:14" x14ac:dyDescent="0.2">
      <c r="N9563" s="131"/>
    </row>
    <row r="9564" spans="14:14" x14ac:dyDescent="0.2">
      <c r="N9564" s="131"/>
    </row>
    <row r="9565" spans="14:14" x14ac:dyDescent="0.2">
      <c r="N9565" s="131"/>
    </row>
    <row r="9566" spans="14:14" x14ac:dyDescent="0.2">
      <c r="N9566" s="131"/>
    </row>
    <row r="9567" spans="14:14" x14ac:dyDescent="0.2">
      <c r="N9567" s="131"/>
    </row>
    <row r="9568" spans="14:14" x14ac:dyDescent="0.2">
      <c r="N9568" s="131"/>
    </row>
    <row r="9569" spans="14:14" x14ac:dyDescent="0.2">
      <c r="N9569" s="131"/>
    </row>
    <row r="9570" spans="14:14" x14ac:dyDescent="0.2">
      <c r="N9570" s="131"/>
    </row>
    <row r="9571" spans="14:14" x14ac:dyDescent="0.2">
      <c r="N9571" s="131"/>
    </row>
    <row r="9572" spans="14:14" x14ac:dyDescent="0.2">
      <c r="N9572" s="131"/>
    </row>
    <row r="9573" spans="14:14" x14ac:dyDescent="0.2">
      <c r="N9573" s="131"/>
    </row>
    <row r="9574" spans="14:14" x14ac:dyDescent="0.2">
      <c r="N9574" s="131"/>
    </row>
    <row r="9575" spans="14:14" x14ac:dyDescent="0.2">
      <c r="N9575" s="131"/>
    </row>
    <row r="9576" spans="14:14" x14ac:dyDescent="0.2">
      <c r="N9576" s="131"/>
    </row>
    <row r="9577" spans="14:14" x14ac:dyDescent="0.2">
      <c r="N9577" s="131"/>
    </row>
    <row r="9578" spans="14:14" x14ac:dyDescent="0.2">
      <c r="N9578" s="131"/>
    </row>
    <row r="9579" spans="14:14" x14ac:dyDescent="0.2">
      <c r="N9579" s="131"/>
    </row>
    <row r="9580" spans="14:14" x14ac:dyDescent="0.2">
      <c r="N9580" s="131"/>
    </row>
    <row r="9581" spans="14:14" x14ac:dyDescent="0.2">
      <c r="N9581" s="131"/>
    </row>
    <row r="9582" spans="14:14" x14ac:dyDescent="0.2">
      <c r="N9582" s="131"/>
    </row>
    <row r="9583" spans="14:14" x14ac:dyDescent="0.2">
      <c r="N9583" s="131"/>
    </row>
    <row r="9584" spans="14:14" x14ac:dyDescent="0.2">
      <c r="N9584" s="131"/>
    </row>
    <row r="9585" spans="14:14" x14ac:dyDescent="0.2">
      <c r="N9585" s="131"/>
    </row>
    <row r="9586" spans="14:14" x14ac:dyDescent="0.2">
      <c r="N9586" s="131"/>
    </row>
    <row r="9587" spans="14:14" x14ac:dyDescent="0.2">
      <c r="N9587" s="131"/>
    </row>
    <row r="9588" spans="14:14" x14ac:dyDescent="0.2">
      <c r="N9588" s="131"/>
    </row>
    <row r="9589" spans="14:14" x14ac:dyDescent="0.2">
      <c r="N9589" s="131"/>
    </row>
    <row r="9590" spans="14:14" x14ac:dyDescent="0.2">
      <c r="N9590" s="131"/>
    </row>
    <row r="9591" spans="14:14" x14ac:dyDescent="0.2">
      <c r="N9591" s="131"/>
    </row>
    <row r="9592" spans="14:14" x14ac:dyDescent="0.2">
      <c r="N9592" s="131"/>
    </row>
    <row r="9593" spans="14:14" x14ac:dyDescent="0.2">
      <c r="N9593" s="131"/>
    </row>
    <row r="9594" spans="14:14" x14ac:dyDescent="0.2">
      <c r="N9594" s="131"/>
    </row>
    <row r="9595" spans="14:14" x14ac:dyDescent="0.2">
      <c r="N9595" s="131"/>
    </row>
    <row r="9596" spans="14:14" x14ac:dyDescent="0.2">
      <c r="N9596" s="131"/>
    </row>
    <row r="9597" spans="14:14" x14ac:dyDescent="0.2">
      <c r="N9597" s="131"/>
    </row>
    <row r="9598" spans="14:14" x14ac:dyDescent="0.2">
      <c r="N9598" s="131"/>
    </row>
    <row r="9599" spans="14:14" x14ac:dyDescent="0.2">
      <c r="N9599" s="131"/>
    </row>
    <row r="9600" spans="14:14" x14ac:dyDescent="0.2">
      <c r="N9600" s="131"/>
    </row>
    <row r="9601" spans="14:14" x14ac:dyDescent="0.2">
      <c r="N9601" s="131"/>
    </row>
    <row r="9602" spans="14:14" x14ac:dyDescent="0.2">
      <c r="N9602" s="131"/>
    </row>
    <row r="9603" spans="14:14" x14ac:dyDescent="0.2">
      <c r="N9603" s="131"/>
    </row>
    <row r="9604" spans="14:14" x14ac:dyDescent="0.2">
      <c r="N9604" s="131"/>
    </row>
    <row r="9605" spans="14:14" x14ac:dyDescent="0.2">
      <c r="N9605" s="131"/>
    </row>
    <row r="9606" spans="14:14" x14ac:dyDescent="0.2">
      <c r="N9606" s="131"/>
    </row>
    <row r="9607" spans="14:14" x14ac:dyDescent="0.2">
      <c r="N9607" s="131"/>
    </row>
    <row r="9608" spans="14:14" x14ac:dyDescent="0.2">
      <c r="N9608" s="131"/>
    </row>
    <row r="9609" spans="14:14" x14ac:dyDescent="0.2">
      <c r="N9609" s="131"/>
    </row>
    <row r="9610" spans="14:14" x14ac:dyDescent="0.2">
      <c r="N9610" s="131"/>
    </row>
    <row r="9611" spans="14:14" x14ac:dyDescent="0.2">
      <c r="N9611" s="131"/>
    </row>
    <row r="9612" spans="14:14" x14ac:dyDescent="0.2">
      <c r="N9612" s="131"/>
    </row>
    <row r="9613" spans="14:14" x14ac:dyDescent="0.2">
      <c r="N9613" s="131"/>
    </row>
    <row r="9614" spans="14:14" x14ac:dyDescent="0.2">
      <c r="N9614" s="131"/>
    </row>
    <row r="9615" spans="14:14" x14ac:dyDescent="0.2">
      <c r="N9615" s="131"/>
    </row>
    <row r="9616" spans="14:14" x14ac:dyDescent="0.2">
      <c r="N9616" s="131"/>
    </row>
    <row r="9617" spans="14:14" x14ac:dyDescent="0.2">
      <c r="N9617" s="131"/>
    </row>
    <row r="9618" spans="14:14" x14ac:dyDescent="0.2">
      <c r="N9618" s="131"/>
    </row>
    <row r="9619" spans="14:14" x14ac:dyDescent="0.2">
      <c r="N9619" s="131"/>
    </row>
    <row r="9620" spans="14:14" x14ac:dyDescent="0.2">
      <c r="N9620" s="131"/>
    </row>
    <row r="9621" spans="14:14" x14ac:dyDescent="0.2">
      <c r="N9621" s="131"/>
    </row>
    <row r="9622" spans="14:14" x14ac:dyDescent="0.2">
      <c r="N9622" s="131"/>
    </row>
    <row r="9623" spans="14:14" x14ac:dyDescent="0.2">
      <c r="N9623" s="131"/>
    </row>
    <row r="9624" spans="14:14" x14ac:dyDescent="0.2">
      <c r="N9624" s="131"/>
    </row>
    <row r="9625" spans="14:14" x14ac:dyDescent="0.2">
      <c r="N9625" s="131"/>
    </row>
    <row r="9626" spans="14:14" x14ac:dyDescent="0.2">
      <c r="N9626" s="131"/>
    </row>
    <row r="9627" spans="14:14" x14ac:dyDescent="0.2">
      <c r="N9627" s="131"/>
    </row>
    <row r="9628" spans="14:14" x14ac:dyDescent="0.2">
      <c r="N9628" s="131"/>
    </row>
    <row r="9629" spans="14:14" x14ac:dyDescent="0.2">
      <c r="N9629" s="131"/>
    </row>
    <row r="9630" spans="14:14" x14ac:dyDescent="0.2">
      <c r="N9630" s="131"/>
    </row>
    <row r="9631" spans="14:14" x14ac:dyDescent="0.2">
      <c r="N9631" s="131"/>
    </row>
    <row r="9632" spans="14:14" x14ac:dyDescent="0.2">
      <c r="N9632" s="131"/>
    </row>
    <row r="9633" spans="14:14" x14ac:dyDescent="0.2">
      <c r="N9633" s="131"/>
    </row>
    <row r="9634" spans="14:14" x14ac:dyDescent="0.2">
      <c r="N9634" s="131"/>
    </row>
    <row r="9635" spans="14:14" x14ac:dyDescent="0.2">
      <c r="N9635" s="131"/>
    </row>
    <row r="9636" spans="14:14" x14ac:dyDescent="0.2">
      <c r="N9636" s="131"/>
    </row>
    <row r="9637" spans="14:14" x14ac:dyDescent="0.2">
      <c r="N9637" s="131"/>
    </row>
    <row r="9638" spans="14:14" x14ac:dyDescent="0.2">
      <c r="N9638" s="131"/>
    </row>
    <row r="9639" spans="14:14" x14ac:dyDescent="0.2">
      <c r="N9639" s="131"/>
    </row>
    <row r="9640" spans="14:14" x14ac:dyDescent="0.2">
      <c r="N9640" s="131"/>
    </row>
    <row r="9641" spans="14:14" x14ac:dyDescent="0.2">
      <c r="N9641" s="131"/>
    </row>
    <row r="9642" spans="14:14" x14ac:dyDescent="0.2">
      <c r="N9642" s="131"/>
    </row>
    <row r="9643" spans="14:14" x14ac:dyDescent="0.2">
      <c r="N9643" s="131"/>
    </row>
    <row r="9644" spans="14:14" x14ac:dyDescent="0.2">
      <c r="N9644" s="131"/>
    </row>
    <row r="9645" spans="14:14" x14ac:dyDescent="0.2">
      <c r="N9645" s="131"/>
    </row>
    <row r="9646" spans="14:14" x14ac:dyDescent="0.2">
      <c r="N9646" s="131"/>
    </row>
    <row r="9647" spans="14:14" x14ac:dyDescent="0.2">
      <c r="N9647" s="131"/>
    </row>
    <row r="9648" spans="14:14" x14ac:dyDescent="0.2">
      <c r="N9648" s="131"/>
    </row>
    <row r="9649" spans="14:14" x14ac:dyDescent="0.2">
      <c r="N9649" s="131"/>
    </row>
    <row r="9650" spans="14:14" x14ac:dyDescent="0.2">
      <c r="N9650" s="131"/>
    </row>
    <row r="9651" spans="14:14" x14ac:dyDescent="0.2">
      <c r="N9651" s="131"/>
    </row>
    <row r="9652" spans="14:14" x14ac:dyDescent="0.2">
      <c r="N9652" s="131"/>
    </row>
    <row r="9653" spans="14:14" x14ac:dyDescent="0.2">
      <c r="N9653" s="131"/>
    </row>
    <row r="9654" spans="14:14" x14ac:dyDescent="0.2">
      <c r="N9654" s="131"/>
    </row>
    <row r="9655" spans="14:14" x14ac:dyDescent="0.2">
      <c r="N9655" s="131"/>
    </row>
    <row r="9656" spans="14:14" x14ac:dyDescent="0.2">
      <c r="N9656" s="131"/>
    </row>
    <row r="9657" spans="14:14" x14ac:dyDescent="0.2">
      <c r="N9657" s="131"/>
    </row>
    <row r="9658" spans="14:14" x14ac:dyDescent="0.2">
      <c r="N9658" s="131"/>
    </row>
    <row r="9659" spans="14:14" x14ac:dyDescent="0.2">
      <c r="N9659" s="131"/>
    </row>
    <row r="9660" spans="14:14" x14ac:dyDescent="0.2">
      <c r="N9660" s="131"/>
    </row>
    <row r="9661" spans="14:14" x14ac:dyDescent="0.2">
      <c r="N9661" s="131"/>
    </row>
    <row r="9662" spans="14:14" x14ac:dyDescent="0.2">
      <c r="N9662" s="131"/>
    </row>
    <row r="9663" spans="14:14" x14ac:dyDescent="0.2">
      <c r="N9663" s="131"/>
    </row>
    <row r="9664" spans="14:14" x14ac:dyDescent="0.2">
      <c r="N9664" s="131"/>
    </row>
    <row r="9665" spans="14:14" x14ac:dyDescent="0.2">
      <c r="N9665" s="131"/>
    </row>
    <row r="9666" spans="14:14" x14ac:dyDescent="0.2">
      <c r="N9666" s="131"/>
    </row>
    <row r="9667" spans="14:14" x14ac:dyDescent="0.2">
      <c r="N9667" s="131"/>
    </row>
    <row r="9668" spans="14:14" x14ac:dyDescent="0.2">
      <c r="N9668" s="131"/>
    </row>
    <row r="9669" spans="14:14" x14ac:dyDescent="0.2">
      <c r="N9669" s="131"/>
    </row>
    <row r="9670" spans="14:14" x14ac:dyDescent="0.2">
      <c r="N9670" s="131"/>
    </row>
    <row r="9671" spans="14:14" x14ac:dyDescent="0.2">
      <c r="N9671" s="131"/>
    </row>
    <row r="9672" spans="14:14" x14ac:dyDescent="0.2">
      <c r="N9672" s="131"/>
    </row>
    <row r="9673" spans="14:14" x14ac:dyDescent="0.2">
      <c r="N9673" s="131"/>
    </row>
    <row r="9674" spans="14:14" x14ac:dyDescent="0.2">
      <c r="N9674" s="131"/>
    </row>
    <row r="9675" spans="14:14" x14ac:dyDescent="0.2">
      <c r="N9675" s="131"/>
    </row>
    <row r="9676" spans="14:14" x14ac:dyDescent="0.2">
      <c r="N9676" s="131"/>
    </row>
    <row r="9677" spans="14:14" x14ac:dyDescent="0.2">
      <c r="N9677" s="131"/>
    </row>
    <row r="9678" spans="14:14" x14ac:dyDescent="0.2">
      <c r="N9678" s="131"/>
    </row>
    <row r="9679" spans="14:14" x14ac:dyDescent="0.2">
      <c r="N9679" s="131"/>
    </row>
    <row r="9680" spans="14:14" x14ac:dyDescent="0.2">
      <c r="N9680" s="131"/>
    </row>
    <row r="9681" spans="14:14" x14ac:dyDescent="0.2">
      <c r="N9681" s="131"/>
    </row>
    <row r="9682" spans="14:14" x14ac:dyDescent="0.2">
      <c r="N9682" s="131"/>
    </row>
    <row r="9683" spans="14:14" x14ac:dyDescent="0.2">
      <c r="N9683" s="131"/>
    </row>
    <row r="9684" spans="14:14" x14ac:dyDescent="0.2">
      <c r="N9684" s="131"/>
    </row>
    <row r="9685" spans="14:14" x14ac:dyDescent="0.2">
      <c r="N9685" s="131"/>
    </row>
    <row r="9686" spans="14:14" x14ac:dyDescent="0.2">
      <c r="N9686" s="131"/>
    </row>
    <row r="9687" spans="14:14" x14ac:dyDescent="0.2">
      <c r="N9687" s="131"/>
    </row>
    <row r="9688" spans="14:14" x14ac:dyDescent="0.2">
      <c r="N9688" s="131"/>
    </row>
    <row r="9689" spans="14:14" x14ac:dyDescent="0.2">
      <c r="N9689" s="131"/>
    </row>
    <row r="9690" spans="14:14" x14ac:dyDescent="0.2">
      <c r="N9690" s="131"/>
    </row>
    <row r="9691" spans="14:14" x14ac:dyDescent="0.2">
      <c r="N9691" s="131"/>
    </row>
    <row r="9692" spans="14:14" x14ac:dyDescent="0.2">
      <c r="N9692" s="131"/>
    </row>
    <row r="9693" spans="14:14" x14ac:dyDescent="0.2">
      <c r="N9693" s="131"/>
    </row>
    <row r="9694" spans="14:14" x14ac:dyDescent="0.2">
      <c r="N9694" s="131"/>
    </row>
    <row r="9695" spans="14:14" x14ac:dyDescent="0.2">
      <c r="N9695" s="131"/>
    </row>
    <row r="9696" spans="14:14" x14ac:dyDescent="0.2">
      <c r="N9696" s="131"/>
    </row>
    <row r="9697" spans="14:14" x14ac:dyDescent="0.2">
      <c r="N9697" s="131"/>
    </row>
    <row r="9698" spans="14:14" x14ac:dyDescent="0.2">
      <c r="N9698" s="131"/>
    </row>
    <row r="9699" spans="14:14" x14ac:dyDescent="0.2">
      <c r="N9699" s="131"/>
    </row>
    <row r="9700" spans="14:14" x14ac:dyDescent="0.2">
      <c r="N9700" s="131"/>
    </row>
    <row r="9701" spans="14:14" x14ac:dyDescent="0.2">
      <c r="N9701" s="131"/>
    </row>
    <row r="9702" spans="14:14" x14ac:dyDescent="0.2">
      <c r="N9702" s="131"/>
    </row>
    <row r="9703" spans="14:14" x14ac:dyDescent="0.2">
      <c r="N9703" s="131"/>
    </row>
    <row r="9704" spans="14:14" x14ac:dyDescent="0.2">
      <c r="N9704" s="131"/>
    </row>
    <row r="9705" spans="14:14" x14ac:dyDescent="0.2">
      <c r="N9705" s="131"/>
    </row>
    <row r="9706" spans="14:14" x14ac:dyDescent="0.2">
      <c r="N9706" s="131"/>
    </row>
    <row r="9707" spans="14:14" x14ac:dyDescent="0.2">
      <c r="N9707" s="131"/>
    </row>
    <row r="9708" spans="14:14" x14ac:dyDescent="0.2">
      <c r="N9708" s="131"/>
    </row>
    <row r="9709" spans="14:14" x14ac:dyDescent="0.2">
      <c r="N9709" s="131"/>
    </row>
    <row r="9710" spans="14:14" x14ac:dyDescent="0.2">
      <c r="N9710" s="131"/>
    </row>
    <row r="9711" spans="14:14" x14ac:dyDescent="0.2">
      <c r="N9711" s="131"/>
    </row>
    <row r="9712" spans="14:14" x14ac:dyDescent="0.2">
      <c r="N9712" s="131"/>
    </row>
    <row r="9713" spans="14:14" x14ac:dyDescent="0.2">
      <c r="N9713" s="131"/>
    </row>
    <row r="9714" spans="14:14" x14ac:dyDescent="0.2">
      <c r="N9714" s="131"/>
    </row>
    <row r="9715" spans="14:14" x14ac:dyDescent="0.2">
      <c r="N9715" s="131"/>
    </row>
    <row r="9716" spans="14:14" x14ac:dyDescent="0.2">
      <c r="N9716" s="131"/>
    </row>
    <row r="9717" spans="14:14" x14ac:dyDescent="0.2">
      <c r="N9717" s="131"/>
    </row>
    <row r="9718" spans="14:14" x14ac:dyDescent="0.2">
      <c r="N9718" s="131"/>
    </row>
    <row r="9719" spans="14:14" x14ac:dyDescent="0.2">
      <c r="N9719" s="131"/>
    </row>
    <row r="9720" spans="14:14" x14ac:dyDescent="0.2">
      <c r="N9720" s="131"/>
    </row>
    <row r="9721" spans="14:14" x14ac:dyDescent="0.2">
      <c r="N9721" s="131"/>
    </row>
    <row r="9722" spans="14:14" x14ac:dyDescent="0.2">
      <c r="N9722" s="131"/>
    </row>
    <row r="9723" spans="14:14" x14ac:dyDescent="0.2">
      <c r="N9723" s="131"/>
    </row>
    <row r="9724" spans="14:14" x14ac:dyDescent="0.2">
      <c r="N9724" s="131"/>
    </row>
    <row r="9725" spans="14:14" x14ac:dyDescent="0.2">
      <c r="N9725" s="131"/>
    </row>
    <row r="9726" spans="14:14" x14ac:dyDescent="0.2">
      <c r="N9726" s="131"/>
    </row>
    <row r="9727" spans="14:14" x14ac:dyDescent="0.2">
      <c r="N9727" s="131"/>
    </row>
    <row r="9728" spans="14:14" x14ac:dyDescent="0.2">
      <c r="N9728" s="131"/>
    </row>
    <row r="9729" spans="14:14" x14ac:dyDescent="0.2">
      <c r="N9729" s="131"/>
    </row>
    <row r="9730" spans="14:14" x14ac:dyDescent="0.2">
      <c r="N9730" s="131"/>
    </row>
    <row r="9731" spans="14:14" x14ac:dyDescent="0.2">
      <c r="N9731" s="131"/>
    </row>
    <row r="9732" spans="14:14" x14ac:dyDescent="0.2">
      <c r="N9732" s="131"/>
    </row>
    <row r="9733" spans="14:14" x14ac:dyDescent="0.2">
      <c r="N9733" s="131"/>
    </row>
    <row r="9734" spans="14:14" x14ac:dyDescent="0.2">
      <c r="N9734" s="131"/>
    </row>
    <row r="9735" spans="14:14" x14ac:dyDescent="0.2">
      <c r="N9735" s="131"/>
    </row>
    <row r="9736" spans="14:14" x14ac:dyDescent="0.2">
      <c r="N9736" s="131"/>
    </row>
    <row r="9737" spans="14:14" x14ac:dyDescent="0.2">
      <c r="N9737" s="131"/>
    </row>
    <row r="9738" spans="14:14" x14ac:dyDescent="0.2">
      <c r="N9738" s="131"/>
    </row>
    <row r="9739" spans="14:14" x14ac:dyDescent="0.2">
      <c r="N9739" s="131"/>
    </row>
    <row r="9740" spans="14:14" x14ac:dyDescent="0.2">
      <c r="N9740" s="131"/>
    </row>
    <row r="9741" spans="14:14" x14ac:dyDescent="0.2">
      <c r="N9741" s="131"/>
    </row>
    <row r="9742" spans="14:14" x14ac:dyDescent="0.2">
      <c r="N9742" s="131"/>
    </row>
    <row r="9743" spans="14:14" x14ac:dyDescent="0.2">
      <c r="N9743" s="131"/>
    </row>
    <row r="9744" spans="14:14" x14ac:dyDescent="0.2">
      <c r="N9744" s="131"/>
    </row>
    <row r="9745" spans="14:14" x14ac:dyDescent="0.2">
      <c r="N9745" s="131"/>
    </row>
    <row r="9746" spans="14:14" x14ac:dyDescent="0.2">
      <c r="N9746" s="131"/>
    </row>
    <row r="9747" spans="14:14" x14ac:dyDescent="0.2">
      <c r="N9747" s="131"/>
    </row>
    <row r="9748" spans="14:14" x14ac:dyDescent="0.2">
      <c r="N9748" s="131"/>
    </row>
    <row r="9749" spans="14:14" x14ac:dyDescent="0.2">
      <c r="N9749" s="131"/>
    </row>
    <row r="9750" spans="14:14" x14ac:dyDescent="0.2">
      <c r="N9750" s="131"/>
    </row>
    <row r="9751" spans="14:14" x14ac:dyDescent="0.2">
      <c r="N9751" s="131"/>
    </row>
    <row r="9752" spans="14:14" x14ac:dyDescent="0.2">
      <c r="N9752" s="131"/>
    </row>
    <row r="9753" spans="14:14" x14ac:dyDescent="0.2">
      <c r="N9753" s="131"/>
    </row>
    <row r="9754" spans="14:14" x14ac:dyDescent="0.2">
      <c r="N9754" s="131"/>
    </row>
    <row r="9755" spans="14:14" x14ac:dyDescent="0.2">
      <c r="N9755" s="131"/>
    </row>
    <row r="9756" spans="14:14" x14ac:dyDescent="0.2">
      <c r="N9756" s="131"/>
    </row>
    <row r="9757" spans="14:14" x14ac:dyDescent="0.2">
      <c r="N9757" s="131"/>
    </row>
    <row r="9758" spans="14:14" x14ac:dyDescent="0.2">
      <c r="N9758" s="131"/>
    </row>
    <row r="9759" spans="14:14" x14ac:dyDescent="0.2">
      <c r="N9759" s="131"/>
    </row>
    <row r="9760" spans="14:14" x14ac:dyDescent="0.2">
      <c r="N9760" s="131"/>
    </row>
    <row r="9761" spans="14:14" x14ac:dyDescent="0.2">
      <c r="N9761" s="131"/>
    </row>
    <row r="9762" spans="14:14" x14ac:dyDescent="0.2">
      <c r="N9762" s="131"/>
    </row>
    <row r="9763" spans="14:14" x14ac:dyDescent="0.2">
      <c r="N9763" s="131"/>
    </row>
    <row r="9764" spans="14:14" x14ac:dyDescent="0.2">
      <c r="N9764" s="131"/>
    </row>
    <row r="9765" spans="14:14" x14ac:dyDescent="0.2">
      <c r="N9765" s="131"/>
    </row>
    <row r="9766" spans="14:14" x14ac:dyDescent="0.2">
      <c r="N9766" s="131"/>
    </row>
    <row r="9767" spans="14:14" x14ac:dyDescent="0.2">
      <c r="N9767" s="131"/>
    </row>
    <row r="9768" spans="14:14" x14ac:dyDescent="0.2">
      <c r="N9768" s="131"/>
    </row>
    <row r="9769" spans="14:14" x14ac:dyDescent="0.2">
      <c r="N9769" s="131"/>
    </row>
    <row r="9770" spans="14:14" x14ac:dyDescent="0.2">
      <c r="N9770" s="131"/>
    </row>
    <row r="9771" spans="14:14" x14ac:dyDescent="0.2">
      <c r="N9771" s="131"/>
    </row>
    <row r="9772" spans="14:14" x14ac:dyDescent="0.2">
      <c r="N9772" s="131"/>
    </row>
    <row r="9773" spans="14:14" x14ac:dyDescent="0.2">
      <c r="N9773" s="131"/>
    </row>
    <row r="9774" spans="14:14" x14ac:dyDescent="0.2">
      <c r="N9774" s="131"/>
    </row>
    <row r="9775" spans="14:14" x14ac:dyDescent="0.2">
      <c r="N9775" s="131"/>
    </row>
    <row r="9776" spans="14:14" x14ac:dyDescent="0.2">
      <c r="N9776" s="131"/>
    </row>
    <row r="9777" spans="14:14" x14ac:dyDescent="0.2">
      <c r="N9777" s="131"/>
    </row>
    <row r="9778" spans="14:14" x14ac:dyDescent="0.2">
      <c r="N9778" s="131"/>
    </row>
    <row r="9779" spans="14:14" x14ac:dyDescent="0.2">
      <c r="N9779" s="131"/>
    </row>
    <row r="9780" spans="14:14" x14ac:dyDescent="0.2">
      <c r="N9780" s="131"/>
    </row>
    <row r="9781" spans="14:14" x14ac:dyDescent="0.2">
      <c r="N9781" s="131"/>
    </row>
    <row r="9782" spans="14:14" x14ac:dyDescent="0.2">
      <c r="N9782" s="131"/>
    </row>
    <row r="9783" spans="14:14" x14ac:dyDescent="0.2">
      <c r="N9783" s="131"/>
    </row>
    <row r="9784" spans="14:14" x14ac:dyDescent="0.2">
      <c r="N9784" s="131"/>
    </row>
    <row r="9785" spans="14:14" x14ac:dyDescent="0.2">
      <c r="N9785" s="131"/>
    </row>
    <row r="9786" spans="14:14" x14ac:dyDescent="0.2">
      <c r="N9786" s="131"/>
    </row>
    <row r="9787" spans="14:14" x14ac:dyDescent="0.2">
      <c r="N9787" s="131"/>
    </row>
    <row r="9788" spans="14:14" x14ac:dyDescent="0.2">
      <c r="N9788" s="131"/>
    </row>
    <row r="9789" spans="14:14" x14ac:dyDescent="0.2">
      <c r="N9789" s="131"/>
    </row>
    <row r="9790" spans="14:14" x14ac:dyDescent="0.2">
      <c r="N9790" s="131"/>
    </row>
    <row r="9791" spans="14:14" x14ac:dyDescent="0.2">
      <c r="N9791" s="131"/>
    </row>
    <row r="9792" spans="14:14" x14ac:dyDescent="0.2">
      <c r="N9792" s="131"/>
    </row>
    <row r="9793" spans="14:14" x14ac:dyDescent="0.2">
      <c r="N9793" s="131"/>
    </row>
    <row r="9794" spans="14:14" x14ac:dyDescent="0.2">
      <c r="N9794" s="131"/>
    </row>
    <row r="9795" spans="14:14" x14ac:dyDescent="0.2">
      <c r="N9795" s="131"/>
    </row>
    <row r="9796" spans="14:14" x14ac:dyDescent="0.2">
      <c r="N9796" s="131"/>
    </row>
    <row r="9797" spans="14:14" x14ac:dyDescent="0.2">
      <c r="N9797" s="131"/>
    </row>
    <row r="9798" spans="14:14" x14ac:dyDescent="0.2">
      <c r="N9798" s="131"/>
    </row>
    <row r="9799" spans="14:14" x14ac:dyDescent="0.2">
      <c r="N9799" s="131"/>
    </row>
    <row r="9800" spans="14:14" x14ac:dyDescent="0.2">
      <c r="N9800" s="131"/>
    </row>
    <row r="9801" spans="14:14" x14ac:dyDescent="0.2">
      <c r="N9801" s="131"/>
    </row>
    <row r="9802" spans="14:14" x14ac:dyDescent="0.2">
      <c r="N9802" s="131"/>
    </row>
    <row r="9803" spans="14:14" x14ac:dyDescent="0.2">
      <c r="N9803" s="131"/>
    </row>
    <row r="9804" spans="14:14" x14ac:dyDescent="0.2">
      <c r="N9804" s="131"/>
    </row>
    <row r="9805" spans="14:14" x14ac:dyDescent="0.2">
      <c r="N9805" s="131"/>
    </row>
    <row r="9806" spans="14:14" x14ac:dyDescent="0.2">
      <c r="N9806" s="131"/>
    </row>
    <row r="9807" spans="14:14" x14ac:dyDescent="0.2">
      <c r="N9807" s="131"/>
    </row>
    <row r="9808" spans="14:14" x14ac:dyDescent="0.2">
      <c r="N9808" s="131"/>
    </row>
    <row r="9809" spans="14:14" x14ac:dyDescent="0.2">
      <c r="N9809" s="131"/>
    </row>
    <row r="9810" spans="14:14" x14ac:dyDescent="0.2">
      <c r="N9810" s="131"/>
    </row>
    <row r="9811" spans="14:14" x14ac:dyDescent="0.2">
      <c r="N9811" s="131"/>
    </row>
    <row r="9812" spans="14:14" x14ac:dyDescent="0.2">
      <c r="N9812" s="131"/>
    </row>
    <row r="9813" spans="14:14" x14ac:dyDescent="0.2">
      <c r="N9813" s="131"/>
    </row>
    <row r="9814" spans="14:14" x14ac:dyDescent="0.2">
      <c r="N9814" s="131"/>
    </row>
    <row r="9815" spans="14:14" x14ac:dyDescent="0.2">
      <c r="N9815" s="131"/>
    </row>
    <row r="9816" spans="14:14" x14ac:dyDescent="0.2">
      <c r="N9816" s="131"/>
    </row>
    <row r="9817" spans="14:14" x14ac:dyDescent="0.2">
      <c r="N9817" s="131"/>
    </row>
    <row r="9818" spans="14:14" x14ac:dyDescent="0.2">
      <c r="N9818" s="131"/>
    </row>
    <row r="9819" spans="14:14" x14ac:dyDescent="0.2">
      <c r="N9819" s="131"/>
    </row>
    <row r="9820" spans="14:14" x14ac:dyDescent="0.2">
      <c r="N9820" s="131"/>
    </row>
    <row r="9821" spans="14:14" x14ac:dyDescent="0.2">
      <c r="N9821" s="131"/>
    </row>
    <row r="9822" spans="14:14" x14ac:dyDescent="0.2">
      <c r="N9822" s="131"/>
    </row>
    <row r="9823" spans="14:14" x14ac:dyDescent="0.2">
      <c r="N9823" s="131"/>
    </row>
    <row r="9824" spans="14:14" x14ac:dyDescent="0.2">
      <c r="N9824" s="131"/>
    </row>
    <row r="9825" spans="14:14" x14ac:dyDescent="0.2">
      <c r="N9825" s="131"/>
    </row>
    <row r="9826" spans="14:14" x14ac:dyDescent="0.2">
      <c r="N9826" s="131"/>
    </row>
    <row r="9827" spans="14:14" x14ac:dyDescent="0.2">
      <c r="N9827" s="131"/>
    </row>
    <row r="9828" spans="14:14" x14ac:dyDescent="0.2">
      <c r="N9828" s="131"/>
    </row>
    <row r="9829" spans="14:14" x14ac:dyDescent="0.2">
      <c r="N9829" s="131"/>
    </row>
    <row r="9830" spans="14:14" x14ac:dyDescent="0.2">
      <c r="N9830" s="131"/>
    </row>
    <row r="9831" spans="14:14" x14ac:dyDescent="0.2">
      <c r="N9831" s="131"/>
    </row>
    <row r="9832" spans="14:14" x14ac:dyDescent="0.2">
      <c r="N9832" s="131"/>
    </row>
    <row r="9833" spans="14:14" x14ac:dyDescent="0.2">
      <c r="N9833" s="131"/>
    </row>
    <row r="9834" spans="14:14" x14ac:dyDescent="0.2">
      <c r="N9834" s="131"/>
    </row>
    <row r="9835" spans="14:14" x14ac:dyDescent="0.2">
      <c r="N9835" s="131"/>
    </row>
    <row r="9836" spans="14:14" x14ac:dyDescent="0.2">
      <c r="N9836" s="131"/>
    </row>
    <row r="9837" spans="14:14" x14ac:dyDescent="0.2">
      <c r="N9837" s="131"/>
    </row>
    <row r="9838" spans="14:14" x14ac:dyDescent="0.2">
      <c r="N9838" s="131"/>
    </row>
    <row r="9839" spans="14:14" x14ac:dyDescent="0.2">
      <c r="N9839" s="131"/>
    </row>
    <row r="9840" spans="14:14" x14ac:dyDescent="0.2">
      <c r="N9840" s="131"/>
    </row>
    <row r="9841" spans="14:14" x14ac:dyDescent="0.2">
      <c r="N9841" s="131"/>
    </row>
    <row r="9842" spans="14:14" x14ac:dyDescent="0.2">
      <c r="N9842" s="131"/>
    </row>
    <row r="9843" spans="14:14" x14ac:dyDescent="0.2">
      <c r="N9843" s="131"/>
    </row>
    <row r="9844" spans="14:14" x14ac:dyDescent="0.2">
      <c r="N9844" s="131"/>
    </row>
    <row r="9845" spans="14:14" x14ac:dyDescent="0.2">
      <c r="N9845" s="131"/>
    </row>
    <row r="9846" spans="14:14" x14ac:dyDescent="0.2">
      <c r="N9846" s="131"/>
    </row>
    <row r="9847" spans="14:14" x14ac:dyDescent="0.2">
      <c r="N9847" s="131"/>
    </row>
    <row r="9848" spans="14:14" x14ac:dyDescent="0.2">
      <c r="N9848" s="131"/>
    </row>
    <row r="9849" spans="14:14" x14ac:dyDescent="0.2">
      <c r="N9849" s="131"/>
    </row>
    <row r="9850" spans="14:14" x14ac:dyDescent="0.2">
      <c r="N9850" s="131"/>
    </row>
    <row r="9851" spans="14:14" x14ac:dyDescent="0.2">
      <c r="N9851" s="131"/>
    </row>
    <row r="9852" spans="14:14" x14ac:dyDescent="0.2">
      <c r="N9852" s="131"/>
    </row>
    <row r="9853" spans="14:14" x14ac:dyDescent="0.2">
      <c r="N9853" s="131"/>
    </row>
    <row r="9854" spans="14:14" x14ac:dyDescent="0.2">
      <c r="N9854" s="131"/>
    </row>
    <row r="9855" spans="14:14" x14ac:dyDescent="0.2">
      <c r="N9855" s="131"/>
    </row>
    <row r="9856" spans="14:14" x14ac:dyDescent="0.2">
      <c r="N9856" s="131"/>
    </row>
    <row r="9857" spans="14:14" x14ac:dyDescent="0.2">
      <c r="N9857" s="131"/>
    </row>
    <row r="9858" spans="14:14" x14ac:dyDescent="0.2">
      <c r="N9858" s="131"/>
    </row>
    <row r="9859" spans="14:14" x14ac:dyDescent="0.2">
      <c r="N9859" s="131"/>
    </row>
    <row r="9860" spans="14:14" x14ac:dyDescent="0.2">
      <c r="N9860" s="131"/>
    </row>
    <row r="9861" spans="14:14" x14ac:dyDescent="0.2">
      <c r="N9861" s="131"/>
    </row>
    <row r="9862" spans="14:14" x14ac:dyDescent="0.2">
      <c r="N9862" s="131"/>
    </row>
    <row r="9863" spans="14:14" x14ac:dyDescent="0.2">
      <c r="N9863" s="131"/>
    </row>
    <row r="9864" spans="14:14" x14ac:dyDescent="0.2">
      <c r="N9864" s="131"/>
    </row>
    <row r="9865" spans="14:14" x14ac:dyDescent="0.2">
      <c r="N9865" s="131"/>
    </row>
    <row r="9866" spans="14:14" x14ac:dyDescent="0.2">
      <c r="N9866" s="131"/>
    </row>
    <row r="9867" spans="14:14" x14ac:dyDescent="0.2">
      <c r="N9867" s="131"/>
    </row>
    <row r="9868" spans="14:14" x14ac:dyDescent="0.2">
      <c r="N9868" s="131"/>
    </row>
    <row r="9869" spans="14:14" x14ac:dyDescent="0.2">
      <c r="N9869" s="131"/>
    </row>
    <row r="9870" spans="14:14" x14ac:dyDescent="0.2">
      <c r="N9870" s="131"/>
    </row>
    <row r="9871" spans="14:14" x14ac:dyDescent="0.2">
      <c r="N9871" s="131"/>
    </row>
    <row r="9872" spans="14:14" x14ac:dyDescent="0.2">
      <c r="N9872" s="131"/>
    </row>
    <row r="9873" spans="14:14" x14ac:dyDescent="0.2">
      <c r="N9873" s="131"/>
    </row>
    <row r="9874" spans="14:14" x14ac:dyDescent="0.2">
      <c r="N9874" s="131"/>
    </row>
    <row r="9875" spans="14:14" x14ac:dyDescent="0.2">
      <c r="N9875" s="131"/>
    </row>
    <row r="9876" spans="14:14" x14ac:dyDescent="0.2">
      <c r="N9876" s="131"/>
    </row>
    <row r="9877" spans="14:14" x14ac:dyDescent="0.2">
      <c r="N9877" s="131"/>
    </row>
    <row r="9878" spans="14:14" x14ac:dyDescent="0.2">
      <c r="N9878" s="131"/>
    </row>
    <row r="9879" spans="14:14" x14ac:dyDescent="0.2">
      <c r="N9879" s="131"/>
    </row>
    <row r="9880" spans="14:14" x14ac:dyDescent="0.2">
      <c r="N9880" s="131"/>
    </row>
    <row r="9881" spans="14:14" x14ac:dyDescent="0.2">
      <c r="N9881" s="131"/>
    </row>
    <row r="9882" spans="14:14" x14ac:dyDescent="0.2">
      <c r="N9882" s="131"/>
    </row>
    <row r="9883" spans="14:14" x14ac:dyDescent="0.2">
      <c r="N9883" s="131"/>
    </row>
    <row r="9884" spans="14:14" x14ac:dyDescent="0.2">
      <c r="N9884" s="131"/>
    </row>
    <row r="9885" spans="14:14" x14ac:dyDescent="0.2">
      <c r="N9885" s="131"/>
    </row>
    <row r="9886" spans="14:14" x14ac:dyDescent="0.2">
      <c r="N9886" s="131"/>
    </row>
    <row r="9887" spans="14:14" x14ac:dyDescent="0.2">
      <c r="N9887" s="131"/>
    </row>
    <row r="9888" spans="14:14" x14ac:dyDescent="0.2">
      <c r="N9888" s="131"/>
    </row>
    <row r="9889" spans="14:14" x14ac:dyDescent="0.2">
      <c r="N9889" s="131"/>
    </row>
    <row r="9890" spans="14:14" x14ac:dyDescent="0.2">
      <c r="N9890" s="131"/>
    </row>
    <row r="9891" spans="14:14" x14ac:dyDescent="0.2">
      <c r="N9891" s="131"/>
    </row>
    <row r="9892" spans="14:14" x14ac:dyDescent="0.2">
      <c r="N9892" s="131"/>
    </row>
    <row r="9893" spans="14:14" x14ac:dyDescent="0.2">
      <c r="N9893" s="131"/>
    </row>
    <row r="9894" spans="14:14" x14ac:dyDescent="0.2">
      <c r="N9894" s="131"/>
    </row>
    <row r="9895" spans="14:14" x14ac:dyDescent="0.2">
      <c r="N9895" s="131"/>
    </row>
    <row r="9896" spans="14:14" x14ac:dyDescent="0.2">
      <c r="N9896" s="131"/>
    </row>
    <row r="9897" spans="14:14" x14ac:dyDescent="0.2">
      <c r="N9897" s="131"/>
    </row>
    <row r="9898" spans="14:14" x14ac:dyDescent="0.2">
      <c r="N9898" s="131"/>
    </row>
    <row r="9899" spans="14:14" x14ac:dyDescent="0.2">
      <c r="N9899" s="131"/>
    </row>
    <row r="9900" spans="14:14" x14ac:dyDescent="0.2">
      <c r="N9900" s="131"/>
    </row>
    <row r="9901" spans="14:14" x14ac:dyDescent="0.2">
      <c r="N9901" s="131"/>
    </row>
    <row r="9902" spans="14:14" x14ac:dyDescent="0.2">
      <c r="N9902" s="131"/>
    </row>
    <row r="9903" spans="14:14" x14ac:dyDescent="0.2">
      <c r="N9903" s="131"/>
    </row>
    <row r="9904" spans="14:14" x14ac:dyDescent="0.2">
      <c r="N9904" s="131"/>
    </row>
    <row r="9905" spans="14:14" x14ac:dyDescent="0.2">
      <c r="N9905" s="131"/>
    </row>
    <row r="9906" spans="14:14" x14ac:dyDescent="0.2">
      <c r="N9906" s="131"/>
    </row>
    <row r="9907" spans="14:14" x14ac:dyDescent="0.2">
      <c r="N9907" s="131"/>
    </row>
    <row r="9908" spans="14:14" x14ac:dyDescent="0.2">
      <c r="N9908" s="131"/>
    </row>
    <row r="9909" spans="14:14" x14ac:dyDescent="0.2">
      <c r="N9909" s="131"/>
    </row>
    <row r="9910" spans="14:14" x14ac:dyDescent="0.2">
      <c r="N9910" s="131"/>
    </row>
    <row r="9911" spans="14:14" x14ac:dyDescent="0.2">
      <c r="N9911" s="131"/>
    </row>
    <row r="9912" spans="14:14" x14ac:dyDescent="0.2">
      <c r="N9912" s="131"/>
    </row>
    <row r="9913" spans="14:14" x14ac:dyDescent="0.2">
      <c r="N9913" s="131"/>
    </row>
    <row r="9914" spans="14:14" x14ac:dyDescent="0.2">
      <c r="N9914" s="131"/>
    </row>
    <row r="9915" spans="14:14" x14ac:dyDescent="0.2">
      <c r="N9915" s="131"/>
    </row>
    <row r="9916" spans="14:14" x14ac:dyDescent="0.2">
      <c r="N9916" s="131"/>
    </row>
    <row r="9917" spans="14:14" x14ac:dyDescent="0.2">
      <c r="N9917" s="131"/>
    </row>
    <row r="9918" spans="14:14" x14ac:dyDescent="0.2">
      <c r="N9918" s="131"/>
    </row>
    <row r="9919" spans="14:14" x14ac:dyDescent="0.2">
      <c r="N9919" s="131"/>
    </row>
    <row r="9920" spans="14:14" x14ac:dyDescent="0.2">
      <c r="N9920" s="131"/>
    </row>
    <row r="9921" spans="14:14" x14ac:dyDescent="0.2">
      <c r="N9921" s="131"/>
    </row>
    <row r="9922" spans="14:14" x14ac:dyDescent="0.2">
      <c r="N9922" s="131"/>
    </row>
    <row r="9923" spans="14:14" x14ac:dyDescent="0.2">
      <c r="N9923" s="131"/>
    </row>
    <row r="9924" spans="14:14" x14ac:dyDescent="0.2">
      <c r="N9924" s="131"/>
    </row>
    <row r="9925" spans="14:14" x14ac:dyDescent="0.2">
      <c r="N9925" s="131"/>
    </row>
    <row r="9926" spans="14:14" x14ac:dyDescent="0.2">
      <c r="N9926" s="131"/>
    </row>
    <row r="9927" spans="14:14" x14ac:dyDescent="0.2">
      <c r="N9927" s="131"/>
    </row>
    <row r="9928" spans="14:14" x14ac:dyDescent="0.2">
      <c r="N9928" s="131"/>
    </row>
    <row r="9929" spans="14:14" x14ac:dyDescent="0.2">
      <c r="N9929" s="131"/>
    </row>
    <row r="9930" spans="14:14" x14ac:dyDescent="0.2">
      <c r="N9930" s="131"/>
    </row>
    <row r="9931" spans="14:14" x14ac:dyDescent="0.2">
      <c r="N9931" s="131"/>
    </row>
    <row r="9932" spans="14:14" x14ac:dyDescent="0.2">
      <c r="N9932" s="131"/>
    </row>
    <row r="9933" spans="14:14" x14ac:dyDescent="0.2">
      <c r="N9933" s="131"/>
    </row>
    <row r="9934" spans="14:14" x14ac:dyDescent="0.2">
      <c r="N9934" s="131"/>
    </row>
    <row r="9935" spans="14:14" x14ac:dyDescent="0.2">
      <c r="N9935" s="131"/>
    </row>
    <row r="9936" spans="14:14" x14ac:dyDescent="0.2">
      <c r="N9936" s="131"/>
    </row>
    <row r="9937" spans="14:14" x14ac:dyDescent="0.2">
      <c r="N9937" s="131"/>
    </row>
    <row r="9938" spans="14:14" x14ac:dyDescent="0.2">
      <c r="N9938" s="131"/>
    </row>
    <row r="9939" spans="14:14" x14ac:dyDescent="0.2">
      <c r="N9939" s="131"/>
    </row>
    <row r="9940" spans="14:14" x14ac:dyDescent="0.2">
      <c r="N9940" s="131"/>
    </row>
    <row r="9941" spans="14:14" x14ac:dyDescent="0.2">
      <c r="N9941" s="131"/>
    </row>
    <row r="9942" spans="14:14" x14ac:dyDescent="0.2">
      <c r="N9942" s="131"/>
    </row>
    <row r="9943" spans="14:14" x14ac:dyDescent="0.2">
      <c r="N9943" s="131"/>
    </row>
    <row r="9944" spans="14:14" x14ac:dyDescent="0.2">
      <c r="N9944" s="131"/>
    </row>
    <row r="9945" spans="14:14" x14ac:dyDescent="0.2">
      <c r="N9945" s="131"/>
    </row>
    <row r="9946" spans="14:14" x14ac:dyDescent="0.2">
      <c r="N9946" s="131"/>
    </row>
    <row r="9947" spans="14:14" x14ac:dyDescent="0.2">
      <c r="N9947" s="131"/>
    </row>
    <row r="9948" spans="14:14" x14ac:dyDescent="0.2">
      <c r="N9948" s="131"/>
    </row>
    <row r="9949" spans="14:14" x14ac:dyDescent="0.2">
      <c r="N9949" s="131"/>
    </row>
    <row r="9950" spans="14:14" x14ac:dyDescent="0.2">
      <c r="N9950" s="131"/>
    </row>
    <row r="9951" spans="14:14" x14ac:dyDescent="0.2">
      <c r="N9951" s="131"/>
    </row>
    <row r="9952" spans="14:14" x14ac:dyDescent="0.2">
      <c r="N9952" s="131"/>
    </row>
    <row r="9953" spans="14:14" x14ac:dyDescent="0.2">
      <c r="N9953" s="131"/>
    </row>
    <row r="9954" spans="14:14" x14ac:dyDescent="0.2">
      <c r="N9954" s="131"/>
    </row>
    <row r="9955" spans="14:14" x14ac:dyDescent="0.2">
      <c r="N9955" s="131"/>
    </row>
    <row r="9956" spans="14:14" x14ac:dyDescent="0.2">
      <c r="N9956" s="131"/>
    </row>
    <row r="9957" spans="14:14" x14ac:dyDescent="0.2">
      <c r="N9957" s="131"/>
    </row>
    <row r="9958" spans="14:14" x14ac:dyDescent="0.2">
      <c r="N9958" s="131"/>
    </row>
    <row r="9959" spans="14:14" x14ac:dyDescent="0.2">
      <c r="N9959" s="131"/>
    </row>
    <row r="9960" spans="14:14" x14ac:dyDescent="0.2">
      <c r="N9960" s="131"/>
    </row>
    <row r="9961" spans="14:14" x14ac:dyDescent="0.2">
      <c r="N9961" s="131"/>
    </row>
    <row r="9962" spans="14:14" x14ac:dyDescent="0.2">
      <c r="N9962" s="131"/>
    </row>
    <row r="9963" spans="14:14" x14ac:dyDescent="0.2">
      <c r="N9963" s="131"/>
    </row>
    <row r="9964" spans="14:14" x14ac:dyDescent="0.2">
      <c r="N9964" s="131"/>
    </row>
    <row r="9965" spans="14:14" x14ac:dyDescent="0.2">
      <c r="N9965" s="131"/>
    </row>
    <row r="9966" spans="14:14" x14ac:dyDescent="0.2">
      <c r="N9966" s="131"/>
    </row>
    <row r="9967" spans="14:14" x14ac:dyDescent="0.2">
      <c r="N9967" s="131"/>
    </row>
    <row r="9968" spans="14:14" x14ac:dyDescent="0.2">
      <c r="N9968" s="131"/>
    </row>
    <row r="9969" spans="14:14" x14ac:dyDescent="0.2">
      <c r="N9969" s="131"/>
    </row>
    <row r="9970" spans="14:14" x14ac:dyDescent="0.2">
      <c r="N9970" s="131"/>
    </row>
    <row r="9971" spans="14:14" x14ac:dyDescent="0.2">
      <c r="N9971" s="131"/>
    </row>
    <row r="9972" spans="14:14" x14ac:dyDescent="0.2">
      <c r="N9972" s="131"/>
    </row>
    <row r="9973" spans="14:14" x14ac:dyDescent="0.2">
      <c r="N9973" s="131"/>
    </row>
    <row r="9974" spans="14:14" x14ac:dyDescent="0.2">
      <c r="N9974" s="131"/>
    </row>
    <row r="9975" spans="14:14" x14ac:dyDescent="0.2">
      <c r="N9975" s="131"/>
    </row>
    <row r="9976" spans="14:14" x14ac:dyDescent="0.2">
      <c r="N9976" s="131"/>
    </row>
    <row r="9977" spans="14:14" x14ac:dyDescent="0.2">
      <c r="N9977" s="131"/>
    </row>
    <row r="9978" spans="14:14" x14ac:dyDescent="0.2">
      <c r="N9978" s="131"/>
    </row>
    <row r="9979" spans="14:14" x14ac:dyDescent="0.2">
      <c r="N9979" s="131"/>
    </row>
    <row r="9980" spans="14:14" x14ac:dyDescent="0.2">
      <c r="N9980" s="131"/>
    </row>
    <row r="9981" spans="14:14" x14ac:dyDescent="0.2">
      <c r="N9981" s="131"/>
    </row>
    <row r="9982" spans="14:14" x14ac:dyDescent="0.2">
      <c r="N9982" s="131"/>
    </row>
    <row r="9983" spans="14:14" x14ac:dyDescent="0.2">
      <c r="N9983" s="131"/>
    </row>
    <row r="9984" spans="14:14" x14ac:dyDescent="0.2">
      <c r="N9984" s="131"/>
    </row>
    <row r="9985" spans="14:14" x14ac:dyDescent="0.2">
      <c r="N9985" s="131"/>
    </row>
    <row r="9986" spans="14:14" x14ac:dyDescent="0.2">
      <c r="N9986" s="131"/>
    </row>
    <row r="9987" spans="14:14" x14ac:dyDescent="0.2">
      <c r="N9987" s="131"/>
    </row>
    <row r="9988" spans="14:14" x14ac:dyDescent="0.2">
      <c r="N9988" s="131"/>
    </row>
    <row r="9989" spans="14:14" x14ac:dyDescent="0.2">
      <c r="N9989" s="131"/>
    </row>
    <row r="9990" spans="14:14" x14ac:dyDescent="0.2">
      <c r="N9990" s="131"/>
    </row>
    <row r="9991" spans="14:14" x14ac:dyDescent="0.2">
      <c r="N9991" s="131"/>
    </row>
    <row r="9992" spans="14:14" x14ac:dyDescent="0.2">
      <c r="N9992" s="131"/>
    </row>
    <row r="9993" spans="14:14" x14ac:dyDescent="0.2">
      <c r="N9993" s="131"/>
    </row>
    <row r="9994" spans="14:14" x14ac:dyDescent="0.2">
      <c r="N9994" s="131"/>
    </row>
    <row r="9995" spans="14:14" x14ac:dyDescent="0.2">
      <c r="N9995" s="131"/>
    </row>
    <row r="9996" spans="14:14" x14ac:dyDescent="0.2">
      <c r="N9996" s="131"/>
    </row>
    <row r="9997" spans="14:14" x14ac:dyDescent="0.2">
      <c r="N9997" s="131"/>
    </row>
    <row r="9998" spans="14:14" x14ac:dyDescent="0.2">
      <c r="N9998" s="131"/>
    </row>
    <row r="9999" spans="14:14" x14ac:dyDescent="0.2">
      <c r="N9999" s="131"/>
    </row>
    <row r="10000" spans="14:14" x14ac:dyDescent="0.2">
      <c r="N10000" s="131"/>
    </row>
    <row r="10001" spans="14:14" x14ac:dyDescent="0.2">
      <c r="N10001" s="131"/>
    </row>
    <row r="10002" spans="14:14" x14ac:dyDescent="0.2">
      <c r="N10002" s="131"/>
    </row>
    <row r="10003" spans="14:14" x14ac:dyDescent="0.2">
      <c r="N10003" s="131"/>
    </row>
    <row r="10004" spans="14:14" x14ac:dyDescent="0.2">
      <c r="N10004" s="131"/>
    </row>
    <row r="10005" spans="14:14" x14ac:dyDescent="0.2">
      <c r="N10005" s="131"/>
    </row>
    <row r="10006" spans="14:14" x14ac:dyDescent="0.2">
      <c r="N10006" s="131"/>
    </row>
    <row r="10007" spans="14:14" x14ac:dyDescent="0.2">
      <c r="N10007" s="131"/>
    </row>
    <row r="10008" spans="14:14" x14ac:dyDescent="0.2">
      <c r="N10008" s="131"/>
    </row>
    <row r="10009" spans="14:14" x14ac:dyDescent="0.2">
      <c r="N10009" s="131"/>
    </row>
    <row r="10010" spans="14:14" x14ac:dyDescent="0.2">
      <c r="N10010" s="131"/>
    </row>
    <row r="10011" spans="14:14" x14ac:dyDescent="0.2">
      <c r="N10011" s="131"/>
    </row>
    <row r="10012" spans="14:14" x14ac:dyDescent="0.2">
      <c r="N10012" s="131"/>
    </row>
    <row r="10013" spans="14:14" x14ac:dyDescent="0.2">
      <c r="N10013" s="131"/>
    </row>
    <row r="10014" spans="14:14" x14ac:dyDescent="0.2">
      <c r="N10014" s="131"/>
    </row>
    <row r="10015" spans="14:14" x14ac:dyDescent="0.2">
      <c r="N10015" s="131"/>
    </row>
    <row r="10016" spans="14:14" x14ac:dyDescent="0.2">
      <c r="N10016" s="131"/>
    </row>
    <row r="10017" spans="14:14" x14ac:dyDescent="0.2">
      <c r="N10017" s="131"/>
    </row>
    <row r="10018" spans="14:14" x14ac:dyDescent="0.2">
      <c r="N10018" s="131"/>
    </row>
    <row r="10019" spans="14:14" x14ac:dyDescent="0.2">
      <c r="N10019" s="131"/>
    </row>
    <row r="10020" spans="14:14" x14ac:dyDescent="0.2">
      <c r="N10020" s="131"/>
    </row>
    <row r="10021" spans="14:14" x14ac:dyDescent="0.2">
      <c r="N10021" s="131"/>
    </row>
    <row r="10022" spans="14:14" x14ac:dyDescent="0.2">
      <c r="N10022" s="131"/>
    </row>
    <row r="10023" spans="14:14" x14ac:dyDescent="0.2">
      <c r="N10023" s="131"/>
    </row>
    <row r="10024" spans="14:14" x14ac:dyDescent="0.2">
      <c r="N10024" s="131"/>
    </row>
    <row r="10025" spans="14:14" x14ac:dyDescent="0.2">
      <c r="N10025" s="131"/>
    </row>
    <row r="10026" spans="14:14" x14ac:dyDescent="0.2">
      <c r="N10026" s="131"/>
    </row>
    <row r="10027" spans="14:14" x14ac:dyDescent="0.2">
      <c r="N10027" s="131"/>
    </row>
    <row r="10028" spans="14:14" x14ac:dyDescent="0.2">
      <c r="N10028" s="131"/>
    </row>
    <row r="10029" spans="14:14" x14ac:dyDescent="0.2">
      <c r="N10029" s="131"/>
    </row>
    <row r="10030" spans="14:14" x14ac:dyDescent="0.2">
      <c r="N10030" s="131"/>
    </row>
    <row r="10031" spans="14:14" x14ac:dyDescent="0.2">
      <c r="N10031" s="131"/>
    </row>
    <row r="10032" spans="14:14" x14ac:dyDescent="0.2">
      <c r="N10032" s="131"/>
    </row>
    <row r="10033" spans="14:14" x14ac:dyDescent="0.2">
      <c r="N10033" s="131"/>
    </row>
    <row r="10034" spans="14:14" x14ac:dyDescent="0.2">
      <c r="N10034" s="131"/>
    </row>
    <row r="10035" spans="14:14" x14ac:dyDescent="0.2">
      <c r="N10035" s="131"/>
    </row>
    <row r="10036" spans="14:14" x14ac:dyDescent="0.2">
      <c r="N10036" s="131"/>
    </row>
    <row r="10037" spans="14:14" x14ac:dyDescent="0.2">
      <c r="N10037" s="131"/>
    </row>
    <row r="10038" spans="14:14" x14ac:dyDescent="0.2">
      <c r="N10038" s="131"/>
    </row>
    <row r="10039" spans="14:14" x14ac:dyDescent="0.2">
      <c r="N10039" s="131"/>
    </row>
    <row r="10040" spans="14:14" x14ac:dyDescent="0.2">
      <c r="N10040" s="131"/>
    </row>
    <row r="10041" spans="14:14" x14ac:dyDescent="0.2">
      <c r="N10041" s="131"/>
    </row>
    <row r="10042" spans="14:14" x14ac:dyDescent="0.2">
      <c r="N10042" s="131"/>
    </row>
    <row r="10043" spans="14:14" x14ac:dyDescent="0.2">
      <c r="N10043" s="131"/>
    </row>
    <row r="10044" spans="14:14" x14ac:dyDescent="0.2">
      <c r="N10044" s="131"/>
    </row>
    <row r="10045" spans="14:14" x14ac:dyDescent="0.2">
      <c r="N10045" s="131"/>
    </row>
    <row r="10046" spans="14:14" x14ac:dyDescent="0.2">
      <c r="N10046" s="131"/>
    </row>
    <row r="10047" spans="14:14" x14ac:dyDescent="0.2">
      <c r="N10047" s="131"/>
    </row>
    <row r="10048" spans="14:14" x14ac:dyDescent="0.2">
      <c r="N10048" s="131"/>
    </row>
    <row r="10049" spans="14:14" x14ac:dyDescent="0.2">
      <c r="N10049" s="131"/>
    </row>
    <row r="10050" spans="14:14" x14ac:dyDescent="0.2">
      <c r="N10050" s="131"/>
    </row>
    <row r="10051" spans="14:14" x14ac:dyDescent="0.2">
      <c r="N10051" s="131"/>
    </row>
    <row r="10052" spans="14:14" x14ac:dyDescent="0.2">
      <c r="N10052" s="131"/>
    </row>
    <row r="10053" spans="14:14" x14ac:dyDescent="0.2">
      <c r="N10053" s="131"/>
    </row>
    <row r="10054" spans="14:14" x14ac:dyDescent="0.2">
      <c r="N10054" s="131"/>
    </row>
    <row r="10055" spans="14:14" x14ac:dyDescent="0.2">
      <c r="N10055" s="131"/>
    </row>
    <row r="10056" spans="14:14" x14ac:dyDescent="0.2">
      <c r="N10056" s="131"/>
    </row>
    <row r="10057" spans="14:14" x14ac:dyDescent="0.2">
      <c r="N10057" s="131"/>
    </row>
    <row r="10058" spans="14:14" x14ac:dyDescent="0.2">
      <c r="N10058" s="131"/>
    </row>
    <row r="10059" spans="14:14" x14ac:dyDescent="0.2">
      <c r="N10059" s="131"/>
    </row>
    <row r="10060" spans="14:14" x14ac:dyDescent="0.2">
      <c r="N10060" s="131"/>
    </row>
    <row r="10061" spans="14:14" x14ac:dyDescent="0.2">
      <c r="N10061" s="131"/>
    </row>
    <row r="10062" spans="14:14" x14ac:dyDescent="0.2">
      <c r="N10062" s="131"/>
    </row>
    <row r="10063" spans="14:14" x14ac:dyDescent="0.2">
      <c r="N10063" s="131"/>
    </row>
    <row r="10064" spans="14:14" x14ac:dyDescent="0.2">
      <c r="N10064" s="131"/>
    </row>
    <row r="10065" spans="14:14" x14ac:dyDescent="0.2">
      <c r="N10065" s="131"/>
    </row>
    <row r="10066" spans="14:14" x14ac:dyDescent="0.2">
      <c r="N10066" s="131"/>
    </row>
    <row r="10067" spans="14:14" x14ac:dyDescent="0.2">
      <c r="N10067" s="131"/>
    </row>
    <row r="10068" spans="14:14" x14ac:dyDescent="0.2">
      <c r="N10068" s="131"/>
    </row>
    <row r="10069" spans="14:14" x14ac:dyDescent="0.2">
      <c r="N10069" s="131"/>
    </row>
    <row r="10070" spans="14:14" x14ac:dyDescent="0.2">
      <c r="N10070" s="131"/>
    </row>
    <row r="10071" spans="14:14" x14ac:dyDescent="0.2">
      <c r="N10071" s="131"/>
    </row>
    <row r="10072" spans="14:14" x14ac:dyDescent="0.2">
      <c r="N10072" s="131"/>
    </row>
    <row r="10073" spans="14:14" x14ac:dyDescent="0.2">
      <c r="N10073" s="131"/>
    </row>
    <row r="10074" spans="14:14" x14ac:dyDescent="0.2">
      <c r="N10074" s="131"/>
    </row>
    <row r="10075" spans="14:14" x14ac:dyDescent="0.2">
      <c r="N10075" s="131"/>
    </row>
    <row r="10076" spans="14:14" x14ac:dyDescent="0.2">
      <c r="N10076" s="131"/>
    </row>
    <row r="10077" spans="14:14" x14ac:dyDescent="0.2">
      <c r="N10077" s="131"/>
    </row>
    <row r="10078" spans="14:14" x14ac:dyDescent="0.2">
      <c r="N10078" s="131"/>
    </row>
    <row r="10079" spans="14:14" x14ac:dyDescent="0.2">
      <c r="N10079" s="131"/>
    </row>
    <row r="10080" spans="14:14" x14ac:dyDescent="0.2">
      <c r="N10080" s="131"/>
    </row>
    <row r="10081" spans="14:14" x14ac:dyDescent="0.2">
      <c r="N10081" s="131"/>
    </row>
    <row r="10082" spans="14:14" x14ac:dyDescent="0.2">
      <c r="N10082" s="131"/>
    </row>
    <row r="10083" spans="14:14" x14ac:dyDescent="0.2">
      <c r="N10083" s="131"/>
    </row>
    <row r="10084" spans="14:14" x14ac:dyDescent="0.2">
      <c r="N10084" s="131"/>
    </row>
    <row r="10085" spans="14:14" x14ac:dyDescent="0.2">
      <c r="N10085" s="131"/>
    </row>
    <row r="10086" spans="14:14" x14ac:dyDescent="0.2">
      <c r="N10086" s="131"/>
    </row>
    <row r="10087" spans="14:14" x14ac:dyDescent="0.2">
      <c r="N10087" s="131"/>
    </row>
    <row r="10088" spans="14:14" x14ac:dyDescent="0.2">
      <c r="N10088" s="131"/>
    </row>
    <row r="10089" spans="14:14" x14ac:dyDescent="0.2">
      <c r="N10089" s="131"/>
    </row>
    <row r="10090" spans="14:14" x14ac:dyDescent="0.2">
      <c r="N10090" s="131"/>
    </row>
    <row r="10091" spans="14:14" x14ac:dyDescent="0.2">
      <c r="N10091" s="131"/>
    </row>
    <row r="10092" spans="14:14" x14ac:dyDescent="0.2">
      <c r="N10092" s="131"/>
    </row>
    <row r="10093" spans="14:14" x14ac:dyDescent="0.2">
      <c r="N10093" s="131"/>
    </row>
    <row r="10094" spans="14:14" x14ac:dyDescent="0.2">
      <c r="N10094" s="131"/>
    </row>
    <row r="10095" spans="14:14" x14ac:dyDescent="0.2">
      <c r="N10095" s="131"/>
    </row>
    <row r="10096" spans="14:14" x14ac:dyDescent="0.2">
      <c r="N10096" s="131"/>
    </row>
    <row r="10097" spans="14:14" x14ac:dyDescent="0.2">
      <c r="N10097" s="131"/>
    </row>
    <row r="10098" spans="14:14" x14ac:dyDescent="0.2">
      <c r="N10098" s="131"/>
    </row>
    <row r="10099" spans="14:14" x14ac:dyDescent="0.2">
      <c r="N10099" s="131"/>
    </row>
    <row r="10100" spans="14:14" x14ac:dyDescent="0.2">
      <c r="N10100" s="131"/>
    </row>
    <row r="10101" spans="14:14" x14ac:dyDescent="0.2">
      <c r="N10101" s="131"/>
    </row>
    <row r="10102" spans="14:14" x14ac:dyDescent="0.2">
      <c r="N10102" s="131"/>
    </row>
    <row r="10103" spans="14:14" x14ac:dyDescent="0.2">
      <c r="N10103" s="131"/>
    </row>
    <row r="10104" spans="14:14" x14ac:dyDescent="0.2">
      <c r="N10104" s="131"/>
    </row>
    <row r="10105" spans="14:14" x14ac:dyDescent="0.2">
      <c r="N10105" s="131"/>
    </row>
    <row r="10106" spans="14:14" x14ac:dyDescent="0.2">
      <c r="N10106" s="131"/>
    </row>
    <row r="10107" spans="14:14" x14ac:dyDescent="0.2">
      <c r="N10107" s="131"/>
    </row>
    <row r="10108" spans="14:14" x14ac:dyDescent="0.2">
      <c r="N10108" s="131"/>
    </row>
    <row r="10109" spans="14:14" x14ac:dyDescent="0.2">
      <c r="N10109" s="131"/>
    </row>
    <row r="10110" spans="14:14" x14ac:dyDescent="0.2">
      <c r="N10110" s="131"/>
    </row>
    <row r="10111" spans="14:14" x14ac:dyDescent="0.2">
      <c r="N10111" s="131"/>
    </row>
    <row r="10112" spans="14:14" x14ac:dyDescent="0.2">
      <c r="N10112" s="131"/>
    </row>
    <row r="10113" spans="14:14" x14ac:dyDescent="0.2">
      <c r="N10113" s="131"/>
    </row>
    <row r="10114" spans="14:14" x14ac:dyDescent="0.2">
      <c r="N10114" s="131"/>
    </row>
    <row r="10115" spans="14:14" x14ac:dyDescent="0.2">
      <c r="N10115" s="131"/>
    </row>
    <row r="10116" spans="14:14" x14ac:dyDescent="0.2">
      <c r="N10116" s="131"/>
    </row>
    <row r="10117" spans="14:14" x14ac:dyDescent="0.2">
      <c r="N10117" s="131"/>
    </row>
    <row r="10118" spans="14:14" x14ac:dyDescent="0.2">
      <c r="N10118" s="131"/>
    </row>
    <row r="10119" spans="14:14" x14ac:dyDescent="0.2">
      <c r="N10119" s="131"/>
    </row>
    <row r="10120" spans="14:14" x14ac:dyDescent="0.2">
      <c r="N10120" s="131"/>
    </row>
    <row r="10121" spans="14:14" x14ac:dyDescent="0.2">
      <c r="N10121" s="131"/>
    </row>
    <row r="10122" spans="14:14" x14ac:dyDescent="0.2">
      <c r="N10122" s="131"/>
    </row>
    <row r="10123" spans="14:14" x14ac:dyDescent="0.2">
      <c r="N10123" s="131"/>
    </row>
    <row r="10124" spans="14:14" x14ac:dyDescent="0.2">
      <c r="N10124" s="131"/>
    </row>
    <row r="10125" spans="14:14" x14ac:dyDescent="0.2">
      <c r="N10125" s="131"/>
    </row>
    <row r="10126" spans="14:14" x14ac:dyDescent="0.2">
      <c r="N10126" s="131"/>
    </row>
    <row r="10127" spans="14:14" x14ac:dyDescent="0.2">
      <c r="N10127" s="131"/>
    </row>
    <row r="10128" spans="14:14" x14ac:dyDescent="0.2">
      <c r="N10128" s="131"/>
    </row>
    <row r="10129" spans="14:14" x14ac:dyDescent="0.2">
      <c r="N10129" s="131"/>
    </row>
    <row r="10130" spans="14:14" x14ac:dyDescent="0.2">
      <c r="N10130" s="131"/>
    </row>
    <row r="10131" spans="14:14" x14ac:dyDescent="0.2">
      <c r="N10131" s="131"/>
    </row>
    <row r="10132" spans="14:14" x14ac:dyDescent="0.2">
      <c r="N10132" s="131"/>
    </row>
    <row r="10133" spans="14:14" x14ac:dyDescent="0.2">
      <c r="N10133" s="131"/>
    </row>
    <row r="10134" spans="14:14" x14ac:dyDescent="0.2">
      <c r="N10134" s="131"/>
    </row>
    <row r="10135" spans="14:14" x14ac:dyDescent="0.2">
      <c r="N10135" s="131"/>
    </row>
    <row r="10136" spans="14:14" x14ac:dyDescent="0.2">
      <c r="N10136" s="131"/>
    </row>
    <row r="10137" spans="14:14" x14ac:dyDescent="0.2">
      <c r="N10137" s="131"/>
    </row>
    <row r="10138" spans="14:14" x14ac:dyDescent="0.2">
      <c r="N10138" s="131"/>
    </row>
    <row r="10139" spans="14:14" x14ac:dyDescent="0.2">
      <c r="N10139" s="131"/>
    </row>
    <row r="10140" spans="14:14" x14ac:dyDescent="0.2">
      <c r="N10140" s="131"/>
    </row>
    <row r="10141" spans="14:14" x14ac:dyDescent="0.2">
      <c r="N10141" s="131"/>
    </row>
    <row r="10142" spans="14:14" x14ac:dyDescent="0.2">
      <c r="N10142" s="131"/>
    </row>
    <row r="10143" spans="14:14" x14ac:dyDescent="0.2">
      <c r="N10143" s="131"/>
    </row>
    <row r="10144" spans="14:14" x14ac:dyDescent="0.2">
      <c r="N10144" s="131"/>
    </row>
    <row r="10145" spans="14:14" x14ac:dyDescent="0.2">
      <c r="N10145" s="131"/>
    </row>
    <row r="10146" spans="14:14" x14ac:dyDescent="0.2">
      <c r="N10146" s="131"/>
    </row>
    <row r="10147" spans="14:14" x14ac:dyDescent="0.2">
      <c r="N10147" s="131"/>
    </row>
    <row r="10148" spans="14:14" x14ac:dyDescent="0.2">
      <c r="N10148" s="131"/>
    </row>
    <row r="10149" spans="14:14" x14ac:dyDescent="0.2">
      <c r="N10149" s="131"/>
    </row>
    <row r="10150" spans="14:14" x14ac:dyDescent="0.2">
      <c r="N10150" s="131"/>
    </row>
    <row r="10151" spans="14:14" x14ac:dyDescent="0.2">
      <c r="N10151" s="131"/>
    </row>
    <row r="10152" spans="14:14" x14ac:dyDescent="0.2">
      <c r="N10152" s="131"/>
    </row>
    <row r="10153" spans="14:14" x14ac:dyDescent="0.2">
      <c r="N10153" s="131"/>
    </row>
    <row r="10154" spans="14:14" x14ac:dyDescent="0.2">
      <c r="N10154" s="131"/>
    </row>
    <row r="10155" spans="14:14" x14ac:dyDescent="0.2">
      <c r="N10155" s="131"/>
    </row>
    <row r="10156" spans="14:14" x14ac:dyDescent="0.2">
      <c r="N10156" s="131"/>
    </row>
    <row r="10157" spans="14:14" x14ac:dyDescent="0.2">
      <c r="N10157" s="131"/>
    </row>
    <row r="10158" spans="14:14" x14ac:dyDescent="0.2">
      <c r="N10158" s="131"/>
    </row>
    <row r="10159" spans="14:14" x14ac:dyDescent="0.2">
      <c r="N10159" s="131"/>
    </row>
    <row r="10160" spans="14:14" x14ac:dyDescent="0.2">
      <c r="N10160" s="131"/>
    </row>
    <row r="10161" spans="14:14" x14ac:dyDescent="0.2">
      <c r="N10161" s="131"/>
    </row>
    <row r="10162" spans="14:14" x14ac:dyDescent="0.2">
      <c r="N10162" s="131"/>
    </row>
    <row r="10163" spans="14:14" x14ac:dyDescent="0.2">
      <c r="N10163" s="131"/>
    </row>
    <row r="10164" spans="14:14" x14ac:dyDescent="0.2">
      <c r="N10164" s="131"/>
    </row>
    <row r="10165" spans="14:14" x14ac:dyDescent="0.2">
      <c r="N10165" s="131"/>
    </row>
    <row r="10166" spans="14:14" x14ac:dyDescent="0.2">
      <c r="N10166" s="131"/>
    </row>
    <row r="10167" spans="14:14" x14ac:dyDescent="0.2">
      <c r="N10167" s="131"/>
    </row>
    <row r="10168" spans="14:14" x14ac:dyDescent="0.2">
      <c r="N10168" s="131"/>
    </row>
    <row r="10169" spans="14:14" x14ac:dyDescent="0.2">
      <c r="N10169" s="131"/>
    </row>
    <row r="10170" spans="14:14" x14ac:dyDescent="0.2">
      <c r="N10170" s="131"/>
    </row>
    <row r="10171" spans="14:14" x14ac:dyDescent="0.2">
      <c r="N10171" s="131"/>
    </row>
    <row r="10172" spans="14:14" x14ac:dyDescent="0.2">
      <c r="N10172" s="131"/>
    </row>
    <row r="10173" spans="14:14" x14ac:dyDescent="0.2">
      <c r="N10173" s="131"/>
    </row>
    <row r="10174" spans="14:14" x14ac:dyDescent="0.2">
      <c r="N10174" s="131"/>
    </row>
    <row r="10175" spans="14:14" x14ac:dyDescent="0.2">
      <c r="N10175" s="131"/>
    </row>
    <row r="10176" spans="14:14" x14ac:dyDescent="0.2">
      <c r="N10176" s="131"/>
    </row>
    <row r="10177" spans="14:14" x14ac:dyDescent="0.2">
      <c r="N10177" s="131"/>
    </row>
    <row r="10178" spans="14:14" x14ac:dyDescent="0.2">
      <c r="N10178" s="131"/>
    </row>
    <row r="10179" spans="14:14" x14ac:dyDescent="0.2">
      <c r="N10179" s="131"/>
    </row>
    <row r="10180" spans="14:14" x14ac:dyDescent="0.2">
      <c r="N10180" s="131"/>
    </row>
    <row r="10181" spans="14:14" x14ac:dyDescent="0.2">
      <c r="N10181" s="131"/>
    </row>
    <row r="10182" spans="14:14" x14ac:dyDescent="0.2">
      <c r="N10182" s="131"/>
    </row>
    <row r="10183" spans="14:14" x14ac:dyDescent="0.2">
      <c r="N10183" s="131"/>
    </row>
    <row r="10184" spans="14:14" x14ac:dyDescent="0.2">
      <c r="N10184" s="131"/>
    </row>
    <row r="10185" spans="14:14" x14ac:dyDescent="0.2">
      <c r="N10185" s="131"/>
    </row>
    <row r="10186" spans="14:14" x14ac:dyDescent="0.2">
      <c r="N10186" s="131"/>
    </row>
    <row r="10187" spans="14:14" x14ac:dyDescent="0.2">
      <c r="N10187" s="131"/>
    </row>
    <row r="10188" spans="14:14" x14ac:dyDescent="0.2">
      <c r="N10188" s="131"/>
    </row>
    <row r="10189" spans="14:14" x14ac:dyDescent="0.2">
      <c r="N10189" s="131"/>
    </row>
    <row r="10190" spans="14:14" x14ac:dyDescent="0.2">
      <c r="N10190" s="131"/>
    </row>
    <row r="10191" spans="14:14" x14ac:dyDescent="0.2">
      <c r="N10191" s="131"/>
    </row>
    <row r="10192" spans="14:14" x14ac:dyDescent="0.2">
      <c r="N10192" s="131"/>
    </row>
    <row r="10193" spans="14:14" x14ac:dyDescent="0.2">
      <c r="N10193" s="131"/>
    </row>
    <row r="10194" spans="14:14" x14ac:dyDescent="0.2">
      <c r="N10194" s="131"/>
    </row>
    <row r="10195" spans="14:14" x14ac:dyDescent="0.2">
      <c r="N10195" s="131"/>
    </row>
    <row r="10196" spans="14:14" x14ac:dyDescent="0.2">
      <c r="N10196" s="131"/>
    </row>
    <row r="10197" spans="14:14" x14ac:dyDescent="0.2">
      <c r="N10197" s="131"/>
    </row>
    <row r="10198" spans="14:14" x14ac:dyDescent="0.2">
      <c r="N10198" s="131"/>
    </row>
    <row r="10199" spans="14:14" x14ac:dyDescent="0.2">
      <c r="N10199" s="131"/>
    </row>
    <row r="10200" spans="14:14" x14ac:dyDescent="0.2">
      <c r="N10200" s="131"/>
    </row>
    <row r="10201" spans="14:14" x14ac:dyDescent="0.2">
      <c r="N10201" s="131"/>
    </row>
    <row r="10202" spans="14:14" x14ac:dyDescent="0.2">
      <c r="N10202" s="131"/>
    </row>
    <row r="10203" spans="14:14" x14ac:dyDescent="0.2">
      <c r="N10203" s="131"/>
    </row>
    <row r="10204" spans="14:14" x14ac:dyDescent="0.2">
      <c r="N10204" s="131"/>
    </row>
    <row r="10205" spans="14:14" x14ac:dyDescent="0.2">
      <c r="N10205" s="131"/>
    </row>
    <row r="10206" spans="14:14" x14ac:dyDescent="0.2">
      <c r="N10206" s="131"/>
    </row>
    <row r="10207" spans="14:14" x14ac:dyDescent="0.2">
      <c r="N10207" s="131"/>
    </row>
    <row r="10208" spans="14:14" x14ac:dyDescent="0.2">
      <c r="N10208" s="131"/>
    </row>
    <row r="10209" spans="14:14" x14ac:dyDescent="0.2">
      <c r="N10209" s="131"/>
    </row>
    <row r="10210" spans="14:14" x14ac:dyDescent="0.2">
      <c r="N10210" s="131"/>
    </row>
    <row r="10211" spans="14:14" x14ac:dyDescent="0.2">
      <c r="N10211" s="131"/>
    </row>
    <row r="10212" spans="14:14" x14ac:dyDescent="0.2">
      <c r="N10212" s="131"/>
    </row>
    <row r="10213" spans="14:14" x14ac:dyDescent="0.2">
      <c r="N10213" s="131"/>
    </row>
    <row r="10214" spans="14:14" x14ac:dyDescent="0.2">
      <c r="N10214" s="131"/>
    </row>
    <row r="10215" spans="14:14" x14ac:dyDescent="0.2">
      <c r="N10215" s="131"/>
    </row>
    <row r="10216" spans="14:14" x14ac:dyDescent="0.2">
      <c r="N10216" s="131"/>
    </row>
    <row r="10217" spans="14:14" x14ac:dyDescent="0.2">
      <c r="N10217" s="131"/>
    </row>
    <row r="10218" spans="14:14" x14ac:dyDescent="0.2">
      <c r="N10218" s="131"/>
    </row>
    <row r="10219" spans="14:14" x14ac:dyDescent="0.2">
      <c r="N10219" s="131"/>
    </row>
    <row r="10220" spans="14:14" x14ac:dyDescent="0.2">
      <c r="N10220" s="131"/>
    </row>
    <row r="10221" spans="14:14" x14ac:dyDescent="0.2">
      <c r="N10221" s="131"/>
    </row>
    <row r="10222" spans="14:14" x14ac:dyDescent="0.2">
      <c r="N10222" s="131"/>
    </row>
    <row r="10223" spans="14:14" x14ac:dyDescent="0.2">
      <c r="N10223" s="131"/>
    </row>
    <row r="10224" spans="14:14" x14ac:dyDescent="0.2">
      <c r="N10224" s="131"/>
    </row>
    <row r="10225" spans="14:14" x14ac:dyDescent="0.2">
      <c r="N10225" s="131"/>
    </row>
    <row r="10226" spans="14:14" x14ac:dyDescent="0.2">
      <c r="N10226" s="131"/>
    </row>
    <row r="10227" spans="14:14" x14ac:dyDescent="0.2">
      <c r="N10227" s="131"/>
    </row>
    <row r="10228" spans="14:14" x14ac:dyDescent="0.2">
      <c r="N10228" s="131"/>
    </row>
    <row r="10229" spans="14:14" x14ac:dyDescent="0.2">
      <c r="N10229" s="131"/>
    </row>
    <row r="10230" spans="14:14" x14ac:dyDescent="0.2">
      <c r="N10230" s="131"/>
    </row>
    <row r="10231" spans="14:14" x14ac:dyDescent="0.2">
      <c r="N10231" s="131"/>
    </row>
    <row r="10232" spans="14:14" x14ac:dyDescent="0.2">
      <c r="N10232" s="131"/>
    </row>
    <row r="10233" spans="14:14" x14ac:dyDescent="0.2">
      <c r="N10233" s="131"/>
    </row>
    <row r="10234" spans="14:14" x14ac:dyDescent="0.2">
      <c r="N10234" s="131"/>
    </row>
    <row r="10235" spans="14:14" x14ac:dyDescent="0.2">
      <c r="N10235" s="131"/>
    </row>
    <row r="10236" spans="14:14" x14ac:dyDescent="0.2">
      <c r="N10236" s="131"/>
    </row>
    <row r="10237" spans="14:14" x14ac:dyDescent="0.2">
      <c r="N10237" s="131"/>
    </row>
    <row r="10238" spans="14:14" x14ac:dyDescent="0.2">
      <c r="N10238" s="131"/>
    </row>
    <row r="10239" spans="14:14" x14ac:dyDescent="0.2">
      <c r="N10239" s="131"/>
    </row>
    <row r="10240" spans="14:14" x14ac:dyDescent="0.2">
      <c r="N10240" s="131"/>
    </row>
    <row r="10241" spans="14:14" x14ac:dyDescent="0.2">
      <c r="N10241" s="131"/>
    </row>
    <row r="10242" spans="14:14" x14ac:dyDescent="0.2">
      <c r="N10242" s="131"/>
    </row>
    <row r="10243" spans="14:14" x14ac:dyDescent="0.2">
      <c r="N10243" s="131"/>
    </row>
    <row r="10244" spans="14:14" x14ac:dyDescent="0.2">
      <c r="N10244" s="131"/>
    </row>
    <row r="10245" spans="14:14" x14ac:dyDescent="0.2">
      <c r="N10245" s="131"/>
    </row>
    <row r="10246" spans="14:14" x14ac:dyDescent="0.2">
      <c r="N10246" s="131"/>
    </row>
    <row r="10247" spans="14:14" x14ac:dyDescent="0.2">
      <c r="N10247" s="131"/>
    </row>
    <row r="10248" spans="14:14" x14ac:dyDescent="0.2">
      <c r="N10248" s="131"/>
    </row>
    <row r="10249" spans="14:14" x14ac:dyDescent="0.2">
      <c r="N10249" s="131"/>
    </row>
    <row r="10250" spans="14:14" x14ac:dyDescent="0.2">
      <c r="N10250" s="131"/>
    </row>
    <row r="10251" spans="14:14" x14ac:dyDescent="0.2">
      <c r="N10251" s="131"/>
    </row>
    <row r="10252" spans="14:14" x14ac:dyDescent="0.2">
      <c r="N10252" s="131"/>
    </row>
    <row r="10253" spans="14:14" x14ac:dyDescent="0.2">
      <c r="N10253" s="131"/>
    </row>
    <row r="10254" spans="14:14" x14ac:dyDescent="0.2">
      <c r="N10254" s="131"/>
    </row>
    <row r="10255" spans="14:14" x14ac:dyDescent="0.2">
      <c r="N10255" s="131"/>
    </row>
    <row r="10256" spans="14:14" x14ac:dyDescent="0.2">
      <c r="N10256" s="131"/>
    </row>
    <row r="10257" spans="14:14" x14ac:dyDescent="0.2">
      <c r="N10257" s="131"/>
    </row>
    <row r="10258" spans="14:14" x14ac:dyDescent="0.2">
      <c r="N10258" s="131"/>
    </row>
    <row r="10259" spans="14:14" x14ac:dyDescent="0.2">
      <c r="N10259" s="131"/>
    </row>
    <row r="10260" spans="14:14" x14ac:dyDescent="0.2">
      <c r="N10260" s="131"/>
    </row>
    <row r="10261" spans="14:14" x14ac:dyDescent="0.2">
      <c r="N10261" s="131"/>
    </row>
    <row r="10262" spans="14:14" x14ac:dyDescent="0.2">
      <c r="N10262" s="131"/>
    </row>
    <row r="10263" spans="14:14" x14ac:dyDescent="0.2">
      <c r="N10263" s="131"/>
    </row>
    <row r="10264" spans="14:14" x14ac:dyDescent="0.2">
      <c r="N10264" s="131"/>
    </row>
    <row r="10265" spans="14:14" x14ac:dyDescent="0.2">
      <c r="N10265" s="131"/>
    </row>
    <row r="10266" spans="14:14" x14ac:dyDescent="0.2">
      <c r="N10266" s="131"/>
    </row>
    <row r="10267" spans="14:14" x14ac:dyDescent="0.2">
      <c r="N10267" s="131"/>
    </row>
    <row r="10268" spans="14:14" x14ac:dyDescent="0.2">
      <c r="N10268" s="131"/>
    </row>
    <row r="10269" spans="14:14" x14ac:dyDescent="0.2">
      <c r="N10269" s="131"/>
    </row>
    <row r="10270" spans="14:14" x14ac:dyDescent="0.2">
      <c r="N10270" s="131"/>
    </row>
    <row r="10271" spans="14:14" x14ac:dyDescent="0.2">
      <c r="N10271" s="131"/>
    </row>
    <row r="10272" spans="14:14" x14ac:dyDescent="0.2">
      <c r="N10272" s="131"/>
    </row>
    <row r="10273" spans="14:14" x14ac:dyDescent="0.2">
      <c r="N10273" s="131"/>
    </row>
    <row r="10274" spans="14:14" x14ac:dyDescent="0.2">
      <c r="N10274" s="131"/>
    </row>
    <row r="10275" spans="14:14" x14ac:dyDescent="0.2">
      <c r="N10275" s="131"/>
    </row>
    <row r="10276" spans="14:14" x14ac:dyDescent="0.2">
      <c r="N10276" s="131"/>
    </row>
    <row r="10277" spans="14:14" x14ac:dyDescent="0.2">
      <c r="N10277" s="131"/>
    </row>
    <row r="10278" spans="14:14" x14ac:dyDescent="0.2">
      <c r="N10278" s="131"/>
    </row>
    <row r="10279" spans="14:14" x14ac:dyDescent="0.2">
      <c r="N10279" s="131"/>
    </row>
    <row r="10280" spans="14:14" x14ac:dyDescent="0.2">
      <c r="N10280" s="131"/>
    </row>
    <row r="10281" spans="14:14" x14ac:dyDescent="0.2">
      <c r="N10281" s="131"/>
    </row>
    <row r="10282" spans="14:14" x14ac:dyDescent="0.2">
      <c r="N10282" s="131"/>
    </row>
    <row r="10283" spans="14:14" x14ac:dyDescent="0.2">
      <c r="N10283" s="131"/>
    </row>
    <row r="10284" spans="14:14" x14ac:dyDescent="0.2">
      <c r="N10284" s="131"/>
    </row>
    <row r="10285" spans="14:14" x14ac:dyDescent="0.2">
      <c r="N10285" s="131"/>
    </row>
    <row r="10286" spans="14:14" x14ac:dyDescent="0.2">
      <c r="N10286" s="131"/>
    </row>
    <row r="10287" spans="14:14" x14ac:dyDescent="0.2">
      <c r="N10287" s="131"/>
    </row>
    <row r="10288" spans="14:14" x14ac:dyDescent="0.2">
      <c r="N10288" s="131"/>
    </row>
    <row r="10289" spans="14:14" x14ac:dyDescent="0.2">
      <c r="N10289" s="131"/>
    </row>
    <row r="10290" spans="14:14" x14ac:dyDescent="0.2">
      <c r="N10290" s="131"/>
    </row>
    <row r="10291" spans="14:14" x14ac:dyDescent="0.2">
      <c r="N10291" s="131"/>
    </row>
    <row r="10292" spans="14:14" x14ac:dyDescent="0.2">
      <c r="N10292" s="131"/>
    </row>
    <row r="10293" spans="14:14" x14ac:dyDescent="0.2">
      <c r="N10293" s="131"/>
    </row>
    <row r="10294" spans="14:14" x14ac:dyDescent="0.2">
      <c r="N10294" s="131"/>
    </row>
    <row r="10295" spans="14:14" x14ac:dyDescent="0.2">
      <c r="N10295" s="131"/>
    </row>
    <row r="10296" spans="14:14" x14ac:dyDescent="0.2">
      <c r="N10296" s="131"/>
    </row>
    <row r="10297" spans="14:14" x14ac:dyDescent="0.2">
      <c r="N10297" s="131"/>
    </row>
    <row r="10298" spans="14:14" x14ac:dyDescent="0.2">
      <c r="N10298" s="131"/>
    </row>
    <row r="10299" spans="14:14" x14ac:dyDescent="0.2">
      <c r="N10299" s="131"/>
    </row>
    <row r="10300" spans="14:14" x14ac:dyDescent="0.2">
      <c r="N10300" s="131"/>
    </row>
    <row r="10301" spans="14:14" x14ac:dyDescent="0.2">
      <c r="N10301" s="131"/>
    </row>
    <row r="10302" spans="14:14" x14ac:dyDescent="0.2">
      <c r="N10302" s="131"/>
    </row>
    <row r="10303" spans="14:14" x14ac:dyDescent="0.2">
      <c r="N10303" s="131"/>
    </row>
    <row r="10304" spans="14:14" x14ac:dyDescent="0.2">
      <c r="N10304" s="131"/>
    </row>
    <row r="10305" spans="14:14" x14ac:dyDescent="0.2">
      <c r="N10305" s="131"/>
    </row>
    <row r="10306" spans="14:14" x14ac:dyDescent="0.2">
      <c r="N10306" s="131"/>
    </row>
    <row r="10307" spans="14:14" x14ac:dyDescent="0.2">
      <c r="N10307" s="131"/>
    </row>
    <row r="10308" spans="14:14" x14ac:dyDescent="0.2">
      <c r="N10308" s="131"/>
    </row>
    <row r="10309" spans="14:14" x14ac:dyDescent="0.2">
      <c r="N10309" s="131"/>
    </row>
    <row r="10310" spans="14:14" x14ac:dyDescent="0.2">
      <c r="N10310" s="131"/>
    </row>
    <row r="10311" spans="14:14" x14ac:dyDescent="0.2">
      <c r="N10311" s="131"/>
    </row>
    <row r="10312" spans="14:14" x14ac:dyDescent="0.2">
      <c r="N10312" s="131"/>
    </row>
    <row r="10313" spans="14:14" x14ac:dyDescent="0.2">
      <c r="N10313" s="131"/>
    </row>
    <row r="10314" spans="14:14" x14ac:dyDescent="0.2">
      <c r="N10314" s="131"/>
    </row>
    <row r="10315" spans="14:14" x14ac:dyDescent="0.2">
      <c r="N10315" s="131"/>
    </row>
    <row r="10316" spans="14:14" x14ac:dyDescent="0.2">
      <c r="N10316" s="131"/>
    </row>
    <row r="10317" spans="14:14" x14ac:dyDescent="0.2">
      <c r="N10317" s="131"/>
    </row>
    <row r="10318" spans="14:14" x14ac:dyDescent="0.2">
      <c r="N10318" s="131"/>
    </row>
    <row r="10319" spans="14:14" x14ac:dyDescent="0.2">
      <c r="N10319" s="131"/>
    </row>
    <row r="10320" spans="14:14" x14ac:dyDescent="0.2">
      <c r="N10320" s="131"/>
    </row>
    <row r="10321" spans="14:14" x14ac:dyDescent="0.2">
      <c r="N10321" s="131"/>
    </row>
    <row r="10322" spans="14:14" x14ac:dyDescent="0.2">
      <c r="N10322" s="131"/>
    </row>
    <row r="10323" spans="14:14" x14ac:dyDescent="0.2">
      <c r="N10323" s="131"/>
    </row>
    <row r="10324" spans="14:14" x14ac:dyDescent="0.2">
      <c r="N10324" s="131"/>
    </row>
    <row r="10325" spans="14:14" x14ac:dyDescent="0.2">
      <c r="N10325" s="131"/>
    </row>
    <row r="10326" spans="14:14" x14ac:dyDescent="0.2">
      <c r="N10326" s="131"/>
    </row>
    <row r="10327" spans="14:14" x14ac:dyDescent="0.2">
      <c r="N10327" s="131"/>
    </row>
    <row r="10328" spans="14:14" x14ac:dyDescent="0.2">
      <c r="N10328" s="131"/>
    </row>
    <row r="10329" spans="14:14" x14ac:dyDescent="0.2">
      <c r="N10329" s="131"/>
    </row>
    <row r="10330" spans="14:14" x14ac:dyDescent="0.2">
      <c r="N10330" s="131"/>
    </row>
    <row r="10331" spans="14:14" x14ac:dyDescent="0.2">
      <c r="N10331" s="131"/>
    </row>
    <row r="10332" spans="14:14" x14ac:dyDescent="0.2">
      <c r="N10332" s="131"/>
    </row>
    <row r="10333" spans="14:14" x14ac:dyDescent="0.2">
      <c r="N10333" s="131"/>
    </row>
    <row r="10334" spans="14:14" x14ac:dyDescent="0.2">
      <c r="N10334" s="131"/>
    </row>
    <row r="10335" spans="14:14" x14ac:dyDescent="0.2">
      <c r="N10335" s="131"/>
    </row>
    <row r="10336" spans="14:14" x14ac:dyDescent="0.2">
      <c r="N10336" s="131"/>
    </row>
    <row r="10337" spans="14:14" x14ac:dyDescent="0.2">
      <c r="N10337" s="131"/>
    </row>
    <row r="10338" spans="14:14" x14ac:dyDescent="0.2">
      <c r="N10338" s="131"/>
    </row>
    <row r="10339" spans="14:14" x14ac:dyDescent="0.2">
      <c r="N10339" s="131"/>
    </row>
    <row r="10340" spans="14:14" x14ac:dyDescent="0.2">
      <c r="N10340" s="131"/>
    </row>
    <row r="10341" spans="14:14" x14ac:dyDescent="0.2">
      <c r="N10341" s="131"/>
    </row>
    <row r="10342" spans="14:14" x14ac:dyDescent="0.2">
      <c r="N10342" s="131"/>
    </row>
    <row r="10343" spans="14:14" x14ac:dyDescent="0.2">
      <c r="N10343" s="131"/>
    </row>
    <row r="10344" spans="14:14" x14ac:dyDescent="0.2">
      <c r="N10344" s="131"/>
    </row>
    <row r="10345" spans="14:14" x14ac:dyDescent="0.2">
      <c r="N10345" s="131"/>
    </row>
    <row r="10346" spans="14:14" x14ac:dyDescent="0.2">
      <c r="N10346" s="131"/>
    </row>
    <row r="10347" spans="14:14" x14ac:dyDescent="0.2">
      <c r="N10347" s="131"/>
    </row>
    <row r="10348" spans="14:14" x14ac:dyDescent="0.2">
      <c r="N10348" s="131"/>
    </row>
    <row r="10349" spans="14:14" x14ac:dyDescent="0.2">
      <c r="N10349" s="131"/>
    </row>
    <row r="10350" spans="14:14" x14ac:dyDescent="0.2">
      <c r="N10350" s="131"/>
    </row>
    <row r="10351" spans="14:14" x14ac:dyDescent="0.2">
      <c r="N10351" s="131"/>
    </row>
    <row r="10352" spans="14:14" x14ac:dyDescent="0.2">
      <c r="N10352" s="131"/>
    </row>
    <row r="10353" spans="14:14" x14ac:dyDescent="0.2">
      <c r="N10353" s="131"/>
    </row>
    <row r="10354" spans="14:14" x14ac:dyDescent="0.2">
      <c r="N10354" s="131"/>
    </row>
    <row r="10355" spans="14:14" x14ac:dyDescent="0.2">
      <c r="N10355" s="131"/>
    </row>
    <row r="10356" spans="14:14" x14ac:dyDescent="0.2">
      <c r="N10356" s="131"/>
    </row>
    <row r="10357" spans="14:14" x14ac:dyDescent="0.2">
      <c r="N10357" s="131"/>
    </row>
    <row r="10358" spans="14:14" x14ac:dyDescent="0.2">
      <c r="N10358" s="131"/>
    </row>
    <row r="10359" spans="14:14" x14ac:dyDescent="0.2">
      <c r="N10359" s="131"/>
    </row>
    <row r="10360" spans="14:14" x14ac:dyDescent="0.2">
      <c r="N10360" s="131"/>
    </row>
    <row r="10361" spans="14:14" x14ac:dyDescent="0.2">
      <c r="N10361" s="131"/>
    </row>
    <row r="10362" spans="14:14" x14ac:dyDescent="0.2">
      <c r="N10362" s="131"/>
    </row>
    <row r="10363" spans="14:14" x14ac:dyDescent="0.2">
      <c r="N10363" s="131"/>
    </row>
    <row r="10364" spans="14:14" x14ac:dyDescent="0.2">
      <c r="N10364" s="131"/>
    </row>
    <row r="10365" spans="14:14" x14ac:dyDescent="0.2">
      <c r="N10365" s="131"/>
    </row>
    <row r="10366" spans="14:14" x14ac:dyDescent="0.2">
      <c r="N10366" s="131"/>
    </row>
    <row r="10367" spans="14:14" x14ac:dyDescent="0.2">
      <c r="N10367" s="131"/>
    </row>
    <row r="10368" spans="14:14" x14ac:dyDescent="0.2">
      <c r="N10368" s="131"/>
    </row>
    <row r="10369" spans="14:14" x14ac:dyDescent="0.2">
      <c r="N10369" s="131"/>
    </row>
    <row r="10370" spans="14:14" x14ac:dyDescent="0.2">
      <c r="N10370" s="131"/>
    </row>
    <row r="10371" spans="14:14" x14ac:dyDescent="0.2">
      <c r="N10371" s="131"/>
    </row>
    <row r="10372" spans="14:14" x14ac:dyDescent="0.2">
      <c r="N10372" s="131"/>
    </row>
    <row r="10373" spans="14:14" x14ac:dyDescent="0.2">
      <c r="N10373" s="131"/>
    </row>
    <row r="10374" spans="14:14" x14ac:dyDescent="0.2">
      <c r="N10374" s="131"/>
    </row>
    <row r="10375" spans="14:14" x14ac:dyDescent="0.2">
      <c r="N10375" s="131"/>
    </row>
    <row r="10376" spans="14:14" x14ac:dyDescent="0.2">
      <c r="N10376" s="131"/>
    </row>
    <row r="10377" spans="14:14" x14ac:dyDescent="0.2">
      <c r="N10377" s="131"/>
    </row>
    <row r="10378" spans="14:14" x14ac:dyDescent="0.2">
      <c r="N10378" s="131"/>
    </row>
    <row r="10379" spans="14:14" x14ac:dyDescent="0.2">
      <c r="N10379" s="131"/>
    </row>
    <row r="10380" spans="14:14" x14ac:dyDescent="0.2">
      <c r="N10380" s="131"/>
    </row>
    <row r="10381" spans="14:14" x14ac:dyDescent="0.2">
      <c r="N10381" s="131"/>
    </row>
    <row r="10382" spans="14:14" x14ac:dyDescent="0.2">
      <c r="N10382" s="131"/>
    </row>
    <row r="10383" spans="14:14" x14ac:dyDescent="0.2">
      <c r="N10383" s="131"/>
    </row>
    <row r="10384" spans="14:14" x14ac:dyDescent="0.2">
      <c r="N10384" s="131"/>
    </row>
    <row r="10385" spans="14:14" x14ac:dyDescent="0.2">
      <c r="N10385" s="131"/>
    </row>
    <row r="10386" spans="14:14" x14ac:dyDescent="0.2">
      <c r="N10386" s="131"/>
    </row>
    <row r="10387" spans="14:14" x14ac:dyDescent="0.2">
      <c r="N10387" s="131"/>
    </row>
    <row r="10388" spans="14:14" x14ac:dyDescent="0.2">
      <c r="N10388" s="131"/>
    </row>
    <row r="10389" spans="14:14" x14ac:dyDescent="0.2">
      <c r="N10389" s="131"/>
    </row>
    <row r="10390" spans="14:14" x14ac:dyDescent="0.2">
      <c r="N10390" s="131"/>
    </row>
    <row r="10391" spans="14:14" x14ac:dyDescent="0.2">
      <c r="N10391" s="131"/>
    </row>
    <row r="10392" spans="14:14" x14ac:dyDescent="0.2">
      <c r="N10392" s="131"/>
    </row>
    <row r="10393" spans="14:14" x14ac:dyDescent="0.2">
      <c r="N10393" s="131"/>
    </row>
    <row r="10394" spans="14:14" x14ac:dyDescent="0.2">
      <c r="N10394" s="131"/>
    </row>
    <row r="10395" spans="14:14" x14ac:dyDescent="0.2">
      <c r="N10395" s="131"/>
    </row>
    <row r="10396" spans="14:14" x14ac:dyDescent="0.2">
      <c r="N10396" s="131"/>
    </row>
    <row r="10397" spans="14:14" x14ac:dyDescent="0.2">
      <c r="N10397" s="131"/>
    </row>
    <row r="10398" spans="14:14" x14ac:dyDescent="0.2">
      <c r="N10398" s="131"/>
    </row>
    <row r="10399" spans="14:14" x14ac:dyDescent="0.2">
      <c r="N10399" s="131"/>
    </row>
    <row r="10400" spans="14:14" x14ac:dyDescent="0.2">
      <c r="N10400" s="131"/>
    </row>
    <row r="10401" spans="14:14" x14ac:dyDescent="0.2">
      <c r="N10401" s="131"/>
    </row>
    <row r="10402" spans="14:14" x14ac:dyDescent="0.2">
      <c r="N10402" s="131"/>
    </row>
    <row r="10403" spans="14:14" x14ac:dyDescent="0.2">
      <c r="N10403" s="131"/>
    </row>
    <row r="10404" spans="14:14" x14ac:dyDescent="0.2">
      <c r="N10404" s="131"/>
    </row>
    <row r="10405" spans="14:14" x14ac:dyDescent="0.2">
      <c r="N10405" s="131"/>
    </row>
    <row r="10406" spans="14:14" x14ac:dyDescent="0.2">
      <c r="N10406" s="131"/>
    </row>
    <row r="10407" spans="14:14" x14ac:dyDescent="0.2">
      <c r="N10407" s="131"/>
    </row>
    <row r="10408" spans="14:14" x14ac:dyDescent="0.2">
      <c r="N10408" s="131"/>
    </row>
    <row r="10409" spans="14:14" x14ac:dyDescent="0.2">
      <c r="N10409" s="131"/>
    </row>
    <row r="10410" spans="14:14" x14ac:dyDescent="0.2">
      <c r="N10410" s="131"/>
    </row>
    <row r="10411" spans="14:14" x14ac:dyDescent="0.2">
      <c r="N10411" s="131"/>
    </row>
    <row r="10412" spans="14:14" x14ac:dyDescent="0.2">
      <c r="N10412" s="131"/>
    </row>
    <row r="10413" spans="14:14" x14ac:dyDescent="0.2">
      <c r="N10413" s="131"/>
    </row>
    <row r="10414" spans="14:14" x14ac:dyDescent="0.2">
      <c r="N10414" s="131"/>
    </row>
    <row r="10415" spans="14:14" x14ac:dyDescent="0.2">
      <c r="N10415" s="131"/>
    </row>
    <row r="10416" spans="14:14" x14ac:dyDescent="0.2">
      <c r="N10416" s="131"/>
    </row>
    <row r="10417" spans="14:14" x14ac:dyDescent="0.2">
      <c r="N10417" s="131"/>
    </row>
    <row r="10418" spans="14:14" x14ac:dyDescent="0.2">
      <c r="N10418" s="131"/>
    </row>
    <row r="10419" spans="14:14" x14ac:dyDescent="0.2">
      <c r="N10419" s="131"/>
    </row>
    <row r="10420" spans="14:14" x14ac:dyDescent="0.2">
      <c r="N10420" s="131"/>
    </row>
    <row r="10421" spans="14:14" x14ac:dyDescent="0.2">
      <c r="N10421" s="131"/>
    </row>
    <row r="10422" spans="14:14" x14ac:dyDescent="0.2">
      <c r="N10422" s="131"/>
    </row>
    <row r="10423" spans="14:14" x14ac:dyDescent="0.2">
      <c r="N10423" s="131"/>
    </row>
    <row r="10424" spans="14:14" x14ac:dyDescent="0.2">
      <c r="N10424" s="131"/>
    </row>
    <row r="10425" spans="14:14" x14ac:dyDescent="0.2">
      <c r="N10425" s="131"/>
    </row>
    <row r="10426" spans="14:14" x14ac:dyDescent="0.2">
      <c r="N10426" s="131"/>
    </row>
    <row r="10427" spans="14:14" x14ac:dyDescent="0.2">
      <c r="N10427" s="131"/>
    </row>
    <row r="10428" spans="14:14" x14ac:dyDescent="0.2">
      <c r="N10428" s="131"/>
    </row>
    <row r="10429" spans="14:14" x14ac:dyDescent="0.2">
      <c r="N10429" s="131"/>
    </row>
    <row r="10430" spans="14:14" x14ac:dyDescent="0.2">
      <c r="N10430" s="131"/>
    </row>
    <row r="10431" spans="14:14" x14ac:dyDescent="0.2">
      <c r="N10431" s="131"/>
    </row>
    <row r="10432" spans="14:14" x14ac:dyDescent="0.2">
      <c r="N10432" s="131"/>
    </row>
    <row r="10433" spans="14:14" x14ac:dyDescent="0.2">
      <c r="N10433" s="131"/>
    </row>
    <row r="10434" spans="14:14" x14ac:dyDescent="0.2">
      <c r="N10434" s="131"/>
    </row>
    <row r="10435" spans="14:14" x14ac:dyDescent="0.2">
      <c r="N10435" s="131"/>
    </row>
    <row r="10436" spans="14:14" x14ac:dyDescent="0.2">
      <c r="N10436" s="131"/>
    </row>
    <row r="10437" spans="14:14" x14ac:dyDescent="0.2">
      <c r="N10437" s="131"/>
    </row>
    <row r="10438" spans="14:14" x14ac:dyDescent="0.2">
      <c r="N10438" s="131"/>
    </row>
    <row r="10439" spans="14:14" x14ac:dyDescent="0.2">
      <c r="N10439" s="131"/>
    </row>
    <row r="10440" spans="14:14" x14ac:dyDescent="0.2">
      <c r="N10440" s="131"/>
    </row>
    <row r="10441" spans="14:14" x14ac:dyDescent="0.2">
      <c r="N10441" s="131"/>
    </row>
    <row r="10442" spans="14:14" x14ac:dyDescent="0.2">
      <c r="N10442" s="131"/>
    </row>
    <row r="10443" spans="14:14" x14ac:dyDescent="0.2">
      <c r="N10443" s="131"/>
    </row>
    <row r="10444" spans="14:14" x14ac:dyDescent="0.2">
      <c r="N10444" s="131"/>
    </row>
    <row r="10445" spans="14:14" x14ac:dyDescent="0.2">
      <c r="N10445" s="131"/>
    </row>
    <row r="10446" spans="14:14" x14ac:dyDescent="0.2">
      <c r="N10446" s="131"/>
    </row>
    <row r="10447" spans="14:14" x14ac:dyDescent="0.2">
      <c r="N10447" s="131"/>
    </row>
    <row r="10448" spans="14:14" x14ac:dyDescent="0.2">
      <c r="N10448" s="131"/>
    </row>
    <row r="10449" spans="14:14" x14ac:dyDescent="0.2">
      <c r="N10449" s="131"/>
    </row>
    <row r="10450" spans="14:14" x14ac:dyDescent="0.2">
      <c r="N10450" s="131"/>
    </row>
    <row r="10451" spans="14:14" x14ac:dyDescent="0.2">
      <c r="N10451" s="131"/>
    </row>
    <row r="10452" spans="14:14" x14ac:dyDescent="0.2">
      <c r="N10452" s="131"/>
    </row>
    <row r="10453" spans="14:14" x14ac:dyDescent="0.2">
      <c r="N10453" s="131"/>
    </row>
    <row r="10454" spans="14:14" x14ac:dyDescent="0.2">
      <c r="N10454" s="131"/>
    </row>
    <row r="10455" spans="14:14" x14ac:dyDescent="0.2">
      <c r="N10455" s="131"/>
    </row>
    <row r="10456" spans="14:14" x14ac:dyDescent="0.2">
      <c r="N10456" s="131"/>
    </row>
    <row r="10457" spans="14:14" x14ac:dyDescent="0.2">
      <c r="N10457" s="131"/>
    </row>
    <row r="10458" spans="14:14" x14ac:dyDescent="0.2">
      <c r="N10458" s="131"/>
    </row>
    <row r="10459" spans="14:14" x14ac:dyDescent="0.2">
      <c r="N10459" s="131"/>
    </row>
    <row r="10460" spans="14:14" x14ac:dyDescent="0.2">
      <c r="N10460" s="131"/>
    </row>
    <row r="10461" spans="14:14" x14ac:dyDescent="0.2">
      <c r="N10461" s="131"/>
    </row>
    <row r="10462" spans="14:14" x14ac:dyDescent="0.2">
      <c r="N10462" s="131"/>
    </row>
    <row r="10463" spans="14:14" x14ac:dyDescent="0.2">
      <c r="N10463" s="131"/>
    </row>
    <row r="10464" spans="14:14" x14ac:dyDescent="0.2">
      <c r="N10464" s="131"/>
    </row>
    <row r="10465" spans="14:14" x14ac:dyDescent="0.2">
      <c r="N10465" s="131"/>
    </row>
    <row r="10466" spans="14:14" x14ac:dyDescent="0.2">
      <c r="N10466" s="131"/>
    </row>
    <row r="10467" spans="14:14" x14ac:dyDescent="0.2">
      <c r="N10467" s="131"/>
    </row>
    <row r="10468" spans="14:14" x14ac:dyDescent="0.2">
      <c r="N10468" s="131"/>
    </row>
    <row r="10469" spans="14:14" x14ac:dyDescent="0.2">
      <c r="N10469" s="131"/>
    </row>
    <row r="10470" spans="14:14" x14ac:dyDescent="0.2">
      <c r="N10470" s="131"/>
    </row>
    <row r="10471" spans="14:14" x14ac:dyDescent="0.2">
      <c r="N10471" s="131"/>
    </row>
    <row r="10472" spans="14:14" x14ac:dyDescent="0.2">
      <c r="N10472" s="131"/>
    </row>
    <row r="10473" spans="14:14" x14ac:dyDescent="0.2">
      <c r="N10473" s="131"/>
    </row>
    <row r="10474" spans="14:14" x14ac:dyDescent="0.2">
      <c r="N10474" s="131"/>
    </row>
    <row r="10475" spans="14:14" x14ac:dyDescent="0.2">
      <c r="N10475" s="131"/>
    </row>
    <row r="10476" spans="14:14" x14ac:dyDescent="0.2">
      <c r="N10476" s="131"/>
    </row>
    <row r="10477" spans="14:14" x14ac:dyDescent="0.2">
      <c r="N10477" s="131"/>
    </row>
    <row r="10478" spans="14:14" x14ac:dyDescent="0.2">
      <c r="N10478" s="131"/>
    </row>
    <row r="10479" spans="14:14" x14ac:dyDescent="0.2">
      <c r="N10479" s="131"/>
    </row>
    <row r="10480" spans="14:14" x14ac:dyDescent="0.2">
      <c r="N10480" s="131"/>
    </row>
    <row r="10481" spans="14:14" x14ac:dyDescent="0.2">
      <c r="N10481" s="131"/>
    </row>
    <row r="10482" spans="14:14" x14ac:dyDescent="0.2">
      <c r="N10482" s="131"/>
    </row>
    <row r="10483" spans="14:14" x14ac:dyDescent="0.2">
      <c r="N10483" s="131"/>
    </row>
    <row r="10484" spans="14:14" x14ac:dyDescent="0.2">
      <c r="N10484" s="131"/>
    </row>
    <row r="10485" spans="14:14" x14ac:dyDescent="0.2">
      <c r="N10485" s="131"/>
    </row>
    <row r="10486" spans="14:14" x14ac:dyDescent="0.2">
      <c r="N10486" s="131"/>
    </row>
    <row r="10487" spans="14:14" x14ac:dyDescent="0.2">
      <c r="N10487" s="131"/>
    </row>
    <row r="10488" spans="14:14" x14ac:dyDescent="0.2">
      <c r="N10488" s="131"/>
    </row>
    <row r="10489" spans="14:14" x14ac:dyDescent="0.2">
      <c r="N10489" s="131"/>
    </row>
    <row r="10490" spans="14:14" x14ac:dyDescent="0.2">
      <c r="N10490" s="131"/>
    </row>
    <row r="10491" spans="14:14" x14ac:dyDescent="0.2">
      <c r="N10491" s="131"/>
    </row>
    <row r="10492" spans="14:14" x14ac:dyDescent="0.2">
      <c r="N10492" s="131"/>
    </row>
    <row r="10493" spans="14:14" x14ac:dyDescent="0.2">
      <c r="N10493" s="131"/>
    </row>
    <row r="10494" spans="14:14" x14ac:dyDescent="0.2">
      <c r="N10494" s="131"/>
    </row>
    <row r="10495" spans="14:14" x14ac:dyDescent="0.2">
      <c r="N10495" s="131"/>
    </row>
    <row r="10496" spans="14:14" x14ac:dyDescent="0.2">
      <c r="N10496" s="131"/>
    </row>
    <row r="10497" spans="14:14" x14ac:dyDescent="0.2">
      <c r="N10497" s="131"/>
    </row>
    <row r="10498" spans="14:14" x14ac:dyDescent="0.2">
      <c r="N10498" s="131"/>
    </row>
    <row r="10499" spans="14:14" x14ac:dyDescent="0.2">
      <c r="N10499" s="131"/>
    </row>
    <row r="10500" spans="14:14" x14ac:dyDescent="0.2">
      <c r="N10500" s="131"/>
    </row>
    <row r="10501" spans="14:14" x14ac:dyDescent="0.2">
      <c r="N10501" s="131"/>
    </row>
    <row r="10502" spans="14:14" x14ac:dyDescent="0.2">
      <c r="N10502" s="131"/>
    </row>
    <row r="10503" spans="14:14" x14ac:dyDescent="0.2">
      <c r="N10503" s="131"/>
    </row>
    <row r="10504" spans="14:14" x14ac:dyDescent="0.2">
      <c r="N10504" s="131"/>
    </row>
    <row r="10505" spans="14:14" x14ac:dyDescent="0.2">
      <c r="N10505" s="131"/>
    </row>
    <row r="10506" spans="14:14" x14ac:dyDescent="0.2">
      <c r="N10506" s="131"/>
    </row>
    <row r="10507" spans="14:14" x14ac:dyDescent="0.2">
      <c r="N10507" s="131"/>
    </row>
    <row r="10508" spans="14:14" x14ac:dyDescent="0.2">
      <c r="N10508" s="131"/>
    </row>
    <row r="10509" spans="14:14" x14ac:dyDescent="0.2">
      <c r="N10509" s="131"/>
    </row>
    <row r="10510" spans="14:14" x14ac:dyDescent="0.2">
      <c r="N10510" s="131"/>
    </row>
    <row r="10511" spans="14:14" x14ac:dyDescent="0.2">
      <c r="N10511" s="131"/>
    </row>
    <row r="10512" spans="14:14" x14ac:dyDescent="0.2">
      <c r="N10512" s="131"/>
    </row>
    <row r="10513" spans="14:14" x14ac:dyDescent="0.2">
      <c r="N10513" s="131"/>
    </row>
    <row r="10514" spans="14:14" x14ac:dyDescent="0.2">
      <c r="N10514" s="131"/>
    </row>
    <row r="10515" spans="14:14" x14ac:dyDescent="0.2">
      <c r="N10515" s="131"/>
    </row>
    <row r="10516" spans="14:14" x14ac:dyDescent="0.2">
      <c r="N10516" s="131"/>
    </row>
    <row r="10517" spans="14:14" x14ac:dyDescent="0.2">
      <c r="N10517" s="131"/>
    </row>
    <row r="10518" spans="14:14" x14ac:dyDescent="0.2">
      <c r="N10518" s="131"/>
    </row>
    <row r="10519" spans="14:14" x14ac:dyDescent="0.2">
      <c r="N10519" s="131"/>
    </row>
    <row r="10520" spans="14:14" x14ac:dyDescent="0.2">
      <c r="N10520" s="131"/>
    </row>
    <row r="10521" spans="14:14" x14ac:dyDescent="0.2">
      <c r="N10521" s="131"/>
    </row>
    <row r="10522" spans="14:14" x14ac:dyDescent="0.2">
      <c r="N10522" s="131"/>
    </row>
    <row r="10523" spans="14:14" x14ac:dyDescent="0.2">
      <c r="N10523" s="131"/>
    </row>
    <row r="10524" spans="14:14" x14ac:dyDescent="0.2">
      <c r="N10524" s="131"/>
    </row>
    <row r="10525" spans="14:14" x14ac:dyDescent="0.2">
      <c r="N10525" s="131"/>
    </row>
    <row r="10526" spans="14:14" x14ac:dyDescent="0.2">
      <c r="N10526" s="131"/>
    </row>
    <row r="10527" spans="14:14" x14ac:dyDescent="0.2">
      <c r="N10527" s="131"/>
    </row>
    <row r="10528" spans="14:14" x14ac:dyDescent="0.2">
      <c r="N10528" s="131"/>
    </row>
    <row r="10529" spans="14:14" x14ac:dyDescent="0.2">
      <c r="N10529" s="131"/>
    </row>
    <row r="10530" spans="14:14" x14ac:dyDescent="0.2">
      <c r="N10530" s="131"/>
    </row>
    <row r="10531" spans="14:14" x14ac:dyDescent="0.2">
      <c r="N10531" s="131"/>
    </row>
    <row r="10532" spans="14:14" x14ac:dyDescent="0.2">
      <c r="N10532" s="131"/>
    </row>
    <row r="10533" spans="14:14" x14ac:dyDescent="0.2">
      <c r="N10533" s="131"/>
    </row>
    <row r="10534" spans="14:14" x14ac:dyDescent="0.2">
      <c r="N10534" s="131"/>
    </row>
    <row r="10535" spans="14:14" x14ac:dyDescent="0.2">
      <c r="N10535" s="131"/>
    </row>
    <row r="10536" spans="14:14" x14ac:dyDescent="0.2">
      <c r="N10536" s="131"/>
    </row>
    <row r="10537" spans="14:14" x14ac:dyDescent="0.2">
      <c r="N10537" s="131"/>
    </row>
    <row r="10538" spans="14:14" x14ac:dyDescent="0.2">
      <c r="N10538" s="131"/>
    </row>
    <row r="10539" spans="14:14" x14ac:dyDescent="0.2">
      <c r="N10539" s="131"/>
    </row>
    <row r="10540" spans="14:14" x14ac:dyDescent="0.2">
      <c r="N10540" s="131"/>
    </row>
    <row r="10541" spans="14:14" x14ac:dyDescent="0.2">
      <c r="N10541" s="131"/>
    </row>
    <row r="10542" spans="14:14" x14ac:dyDescent="0.2">
      <c r="N10542" s="131"/>
    </row>
    <row r="10543" spans="14:14" x14ac:dyDescent="0.2">
      <c r="N10543" s="131"/>
    </row>
    <row r="10544" spans="14:14" x14ac:dyDescent="0.2">
      <c r="N10544" s="131"/>
    </row>
    <row r="10545" spans="14:14" x14ac:dyDescent="0.2">
      <c r="N10545" s="131"/>
    </row>
    <row r="10546" spans="14:14" x14ac:dyDescent="0.2">
      <c r="N10546" s="131"/>
    </row>
    <row r="10547" spans="14:14" x14ac:dyDescent="0.2">
      <c r="N10547" s="131"/>
    </row>
    <row r="10548" spans="14:14" x14ac:dyDescent="0.2">
      <c r="N10548" s="131"/>
    </row>
    <row r="10549" spans="14:14" x14ac:dyDescent="0.2">
      <c r="N10549" s="131"/>
    </row>
    <row r="10550" spans="14:14" x14ac:dyDescent="0.2">
      <c r="N10550" s="131"/>
    </row>
    <row r="10551" spans="14:14" x14ac:dyDescent="0.2">
      <c r="N10551" s="131"/>
    </row>
    <row r="10552" spans="14:14" x14ac:dyDescent="0.2">
      <c r="N10552" s="131"/>
    </row>
    <row r="10553" spans="14:14" x14ac:dyDescent="0.2">
      <c r="N10553" s="131"/>
    </row>
    <row r="10554" spans="14:14" x14ac:dyDescent="0.2">
      <c r="N10554" s="131"/>
    </row>
    <row r="10555" spans="14:14" x14ac:dyDescent="0.2">
      <c r="N10555" s="131"/>
    </row>
    <row r="10556" spans="14:14" x14ac:dyDescent="0.2">
      <c r="N10556" s="131"/>
    </row>
    <row r="10557" spans="14:14" x14ac:dyDescent="0.2">
      <c r="N10557" s="131"/>
    </row>
    <row r="10558" spans="14:14" x14ac:dyDescent="0.2">
      <c r="N10558" s="131"/>
    </row>
    <row r="10559" spans="14:14" x14ac:dyDescent="0.2">
      <c r="N10559" s="131"/>
    </row>
    <row r="10560" spans="14:14" x14ac:dyDescent="0.2">
      <c r="N10560" s="131"/>
    </row>
    <row r="10561" spans="14:14" x14ac:dyDescent="0.2">
      <c r="N10561" s="131"/>
    </row>
    <row r="10562" spans="14:14" x14ac:dyDescent="0.2">
      <c r="N10562" s="131"/>
    </row>
    <row r="10563" spans="14:14" x14ac:dyDescent="0.2">
      <c r="N10563" s="131"/>
    </row>
    <row r="10564" spans="14:14" x14ac:dyDescent="0.2">
      <c r="N10564" s="131"/>
    </row>
    <row r="10565" spans="14:14" x14ac:dyDescent="0.2">
      <c r="N10565" s="131"/>
    </row>
    <row r="10566" spans="14:14" x14ac:dyDescent="0.2">
      <c r="N10566" s="131"/>
    </row>
    <row r="10567" spans="14:14" x14ac:dyDescent="0.2">
      <c r="N10567" s="131"/>
    </row>
    <row r="10568" spans="14:14" x14ac:dyDescent="0.2">
      <c r="N10568" s="131"/>
    </row>
    <row r="10569" spans="14:14" x14ac:dyDescent="0.2">
      <c r="N10569" s="131"/>
    </row>
    <row r="10570" spans="14:14" x14ac:dyDescent="0.2">
      <c r="N10570" s="131"/>
    </row>
    <row r="10571" spans="14:14" x14ac:dyDescent="0.2">
      <c r="N10571" s="131"/>
    </row>
    <row r="10572" spans="14:14" x14ac:dyDescent="0.2">
      <c r="N10572" s="131"/>
    </row>
    <row r="10573" spans="14:14" x14ac:dyDescent="0.2">
      <c r="N10573" s="131"/>
    </row>
    <row r="10574" spans="14:14" x14ac:dyDescent="0.2">
      <c r="N10574" s="131"/>
    </row>
    <row r="10575" spans="14:14" x14ac:dyDescent="0.2">
      <c r="N10575" s="131"/>
    </row>
    <row r="10576" spans="14:14" x14ac:dyDescent="0.2">
      <c r="N10576" s="131"/>
    </row>
    <row r="10577" spans="14:14" x14ac:dyDescent="0.2">
      <c r="N10577" s="131"/>
    </row>
    <row r="10578" spans="14:14" x14ac:dyDescent="0.2">
      <c r="N10578" s="131"/>
    </row>
    <row r="10579" spans="14:14" x14ac:dyDescent="0.2">
      <c r="N10579" s="131"/>
    </row>
    <row r="10580" spans="14:14" x14ac:dyDescent="0.2">
      <c r="N10580" s="131"/>
    </row>
    <row r="10581" spans="14:14" x14ac:dyDescent="0.2">
      <c r="N10581" s="131"/>
    </row>
    <row r="10582" spans="14:14" x14ac:dyDescent="0.2">
      <c r="N10582" s="131"/>
    </row>
    <row r="10583" spans="14:14" x14ac:dyDescent="0.2">
      <c r="N10583" s="131"/>
    </row>
    <row r="10584" spans="14:14" x14ac:dyDescent="0.2">
      <c r="N10584" s="131"/>
    </row>
    <row r="10585" spans="14:14" x14ac:dyDescent="0.2">
      <c r="N10585" s="131"/>
    </row>
    <row r="10586" spans="14:14" x14ac:dyDescent="0.2">
      <c r="N10586" s="131"/>
    </row>
    <row r="10587" spans="14:14" x14ac:dyDescent="0.2">
      <c r="N10587" s="131"/>
    </row>
    <row r="10588" spans="14:14" x14ac:dyDescent="0.2">
      <c r="N10588" s="131"/>
    </row>
    <row r="10589" spans="14:14" x14ac:dyDescent="0.2">
      <c r="N10589" s="131"/>
    </row>
    <row r="10590" spans="14:14" x14ac:dyDescent="0.2">
      <c r="N10590" s="131"/>
    </row>
    <row r="10591" spans="14:14" x14ac:dyDescent="0.2">
      <c r="N10591" s="131"/>
    </row>
    <row r="10592" spans="14:14" x14ac:dyDescent="0.2">
      <c r="N10592" s="131"/>
    </row>
    <row r="10593" spans="14:14" x14ac:dyDescent="0.2">
      <c r="N10593" s="131"/>
    </row>
    <row r="10594" spans="14:14" x14ac:dyDescent="0.2">
      <c r="N10594" s="131"/>
    </row>
    <row r="10595" spans="14:14" x14ac:dyDescent="0.2">
      <c r="N10595" s="131"/>
    </row>
    <row r="10596" spans="14:14" x14ac:dyDescent="0.2">
      <c r="N10596" s="131"/>
    </row>
    <row r="10597" spans="14:14" x14ac:dyDescent="0.2">
      <c r="N10597" s="131"/>
    </row>
    <row r="10598" spans="14:14" x14ac:dyDescent="0.2">
      <c r="N10598" s="131"/>
    </row>
    <row r="10599" spans="14:14" x14ac:dyDescent="0.2">
      <c r="N10599" s="131"/>
    </row>
    <row r="10600" spans="14:14" x14ac:dyDescent="0.2">
      <c r="N10600" s="131"/>
    </row>
    <row r="10601" spans="14:14" x14ac:dyDescent="0.2">
      <c r="N10601" s="131"/>
    </row>
    <row r="10602" spans="14:14" x14ac:dyDescent="0.2">
      <c r="N10602" s="131"/>
    </row>
    <row r="10603" spans="14:14" x14ac:dyDescent="0.2">
      <c r="N10603" s="131"/>
    </row>
    <row r="10604" spans="14:14" x14ac:dyDescent="0.2">
      <c r="N10604" s="131"/>
    </row>
    <row r="10605" spans="14:14" x14ac:dyDescent="0.2">
      <c r="N10605" s="131"/>
    </row>
    <row r="10606" spans="14:14" x14ac:dyDescent="0.2">
      <c r="N10606" s="131"/>
    </row>
    <row r="10607" spans="14:14" x14ac:dyDescent="0.2">
      <c r="N10607" s="131"/>
    </row>
    <row r="10608" spans="14:14" x14ac:dyDescent="0.2">
      <c r="N10608" s="131"/>
    </row>
    <row r="10609" spans="14:14" x14ac:dyDescent="0.2">
      <c r="N10609" s="131"/>
    </row>
    <row r="10610" spans="14:14" x14ac:dyDescent="0.2">
      <c r="N10610" s="131"/>
    </row>
    <row r="10611" spans="14:14" x14ac:dyDescent="0.2">
      <c r="N10611" s="131"/>
    </row>
    <row r="10612" spans="14:14" x14ac:dyDescent="0.2">
      <c r="N10612" s="131"/>
    </row>
    <row r="10613" spans="14:14" x14ac:dyDescent="0.2">
      <c r="N10613" s="131"/>
    </row>
    <row r="10614" spans="14:14" x14ac:dyDescent="0.2">
      <c r="N10614" s="131"/>
    </row>
    <row r="10615" spans="14:14" x14ac:dyDescent="0.2">
      <c r="N10615" s="131"/>
    </row>
    <row r="10616" spans="14:14" x14ac:dyDescent="0.2">
      <c r="N10616" s="131"/>
    </row>
    <row r="10617" spans="14:14" x14ac:dyDescent="0.2">
      <c r="N10617" s="131"/>
    </row>
    <row r="10618" spans="14:14" x14ac:dyDescent="0.2">
      <c r="N10618" s="131"/>
    </row>
    <row r="10619" spans="14:14" x14ac:dyDescent="0.2">
      <c r="N10619" s="131"/>
    </row>
    <row r="10620" spans="14:14" x14ac:dyDescent="0.2">
      <c r="N10620" s="131"/>
    </row>
    <row r="10621" spans="14:14" x14ac:dyDescent="0.2">
      <c r="N10621" s="131"/>
    </row>
    <row r="10622" spans="14:14" x14ac:dyDescent="0.2">
      <c r="N10622" s="131"/>
    </row>
    <row r="10623" spans="14:14" x14ac:dyDescent="0.2">
      <c r="N10623" s="131"/>
    </row>
    <row r="10624" spans="14:14" x14ac:dyDescent="0.2">
      <c r="N10624" s="131"/>
    </row>
    <row r="10625" spans="14:14" x14ac:dyDescent="0.2">
      <c r="N10625" s="131"/>
    </row>
    <row r="10626" spans="14:14" x14ac:dyDescent="0.2">
      <c r="N10626" s="131"/>
    </row>
    <row r="10627" spans="14:14" x14ac:dyDescent="0.2">
      <c r="N10627" s="131"/>
    </row>
    <row r="10628" spans="14:14" x14ac:dyDescent="0.2">
      <c r="N10628" s="131"/>
    </row>
    <row r="10629" spans="14:14" x14ac:dyDescent="0.2">
      <c r="N10629" s="131"/>
    </row>
    <row r="10630" spans="14:14" x14ac:dyDescent="0.2">
      <c r="N10630" s="131"/>
    </row>
    <row r="10631" spans="14:14" x14ac:dyDescent="0.2">
      <c r="N10631" s="131"/>
    </row>
    <row r="10632" spans="14:14" x14ac:dyDescent="0.2">
      <c r="N10632" s="131"/>
    </row>
    <row r="10633" spans="14:14" x14ac:dyDescent="0.2">
      <c r="N10633" s="131"/>
    </row>
    <row r="10634" spans="14:14" x14ac:dyDescent="0.2">
      <c r="N10634" s="131"/>
    </row>
    <row r="10635" spans="14:14" x14ac:dyDescent="0.2">
      <c r="N10635" s="131"/>
    </row>
    <row r="10636" spans="14:14" x14ac:dyDescent="0.2">
      <c r="N10636" s="131"/>
    </row>
    <row r="10637" spans="14:14" x14ac:dyDescent="0.2">
      <c r="N10637" s="131"/>
    </row>
    <row r="10638" spans="14:14" x14ac:dyDescent="0.2">
      <c r="N10638" s="131"/>
    </row>
    <row r="10639" spans="14:14" x14ac:dyDescent="0.2">
      <c r="N10639" s="131"/>
    </row>
    <row r="10640" spans="14:14" x14ac:dyDescent="0.2">
      <c r="N10640" s="131"/>
    </row>
    <row r="10641" spans="14:14" x14ac:dyDescent="0.2">
      <c r="N10641" s="131"/>
    </row>
    <row r="10642" spans="14:14" x14ac:dyDescent="0.2">
      <c r="N10642" s="131"/>
    </row>
    <row r="10643" spans="14:14" x14ac:dyDescent="0.2">
      <c r="N10643" s="131"/>
    </row>
    <row r="10644" spans="14:14" x14ac:dyDescent="0.2">
      <c r="N10644" s="131"/>
    </row>
    <row r="10645" spans="14:14" x14ac:dyDescent="0.2">
      <c r="N10645" s="131"/>
    </row>
    <row r="10646" spans="14:14" x14ac:dyDescent="0.2">
      <c r="N10646" s="131"/>
    </row>
    <row r="10647" spans="14:14" x14ac:dyDescent="0.2">
      <c r="N10647" s="131"/>
    </row>
    <row r="10648" spans="14:14" x14ac:dyDescent="0.2">
      <c r="N10648" s="131"/>
    </row>
    <row r="10649" spans="14:14" x14ac:dyDescent="0.2">
      <c r="N10649" s="131"/>
    </row>
    <row r="10650" spans="14:14" x14ac:dyDescent="0.2">
      <c r="N10650" s="131"/>
    </row>
    <row r="10651" spans="14:14" x14ac:dyDescent="0.2">
      <c r="N10651" s="131"/>
    </row>
    <row r="10652" spans="14:14" x14ac:dyDescent="0.2">
      <c r="N10652" s="131"/>
    </row>
    <row r="10653" spans="14:14" x14ac:dyDescent="0.2">
      <c r="N10653" s="131"/>
    </row>
    <row r="10654" spans="14:14" x14ac:dyDescent="0.2">
      <c r="N10654" s="131"/>
    </row>
    <row r="10655" spans="14:14" x14ac:dyDescent="0.2">
      <c r="N10655" s="131"/>
    </row>
    <row r="10656" spans="14:14" x14ac:dyDescent="0.2">
      <c r="N10656" s="131"/>
    </row>
    <row r="10657" spans="14:14" x14ac:dyDescent="0.2">
      <c r="N10657" s="131"/>
    </row>
    <row r="10658" spans="14:14" x14ac:dyDescent="0.2">
      <c r="N10658" s="131"/>
    </row>
    <row r="10659" spans="14:14" x14ac:dyDescent="0.2">
      <c r="N10659" s="131"/>
    </row>
    <row r="10660" spans="14:14" x14ac:dyDescent="0.2">
      <c r="N10660" s="131"/>
    </row>
    <row r="10661" spans="14:14" x14ac:dyDescent="0.2">
      <c r="N10661" s="131"/>
    </row>
    <row r="10662" spans="14:14" x14ac:dyDescent="0.2">
      <c r="N10662" s="131"/>
    </row>
    <row r="10663" spans="14:14" x14ac:dyDescent="0.2">
      <c r="N10663" s="131"/>
    </row>
    <row r="10664" spans="14:14" x14ac:dyDescent="0.2">
      <c r="N10664" s="131"/>
    </row>
    <row r="10665" spans="14:14" x14ac:dyDescent="0.2">
      <c r="N10665" s="131"/>
    </row>
    <row r="10666" spans="14:14" x14ac:dyDescent="0.2">
      <c r="N10666" s="131"/>
    </row>
    <row r="10667" spans="14:14" x14ac:dyDescent="0.2">
      <c r="N10667" s="131"/>
    </row>
    <row r="10668" spans="14:14" x14ac:dyDescent="0.2">
      <c r="N10668" s="131"/>
    </row>
    <row r="10669" spans="14:14" x14ac:dyDescent="0.2">
      <c r="N10669" s="131"/>
    </row>
    <row r="10670" spans="14:14" x14ac:dyDescent="0.2">
      <c r="N10670" s="131"/>
    </row>
    <row r="10671" spans="14:14" x14ac:dyDescent="0.2">
      <c r="N10671" s="131"/>
    </row>
    <row r="10672" spans="14:14" x14ac:dyDescent="0.2">
      <c r="N10672" s="131"/>
    </row>
    <row r="10673" spans="14:14" x14ac:dyDescent="0.2">
      <c r="N10673" s="131"/>
    </row>
    <row r="10674" spans="14:14" x14ac:dyDescent="0.2">
      <c r="N10674" s="131"/>
    </row>
    <row r="10675" spans="14:14" x14ac:dyDescent="0.2">
      <c r="N10675" s="131"/>
    </row>
    <row r="10676" spans="14:14" x14ac:dyDescent="0.2">
      <c r="N10676" s="131"/>
    </row>
    <row r="10677" spans="14:14" x14ac:dyDescent="0.2">
      <c r="N10677" s="131"/>
    </row>
    <row r="10678" spans="14:14" x14ac:dyDescent="0.2">
      <c r="N10678" s="131"/>
    </row>
    <row r="10679" spans="14:14" x14ac:dyDescent="0.2">
      <c r="N10679" s="131"/>
    </row>
    <row r="10680" spans="14:14" x14ac:dyDescent="0.2">
      <c r="N10680" s="131"/>
    </row>
    <row r="10681" spans="14:14" x14ac:dyDescent="0.2">
      <c r="N10681" s="131"/>
    </row>
    <row r="10682" spans="14:14" x14ac:dyDescent="0.2">
      <c r="N10682" s="131"/>
    </row>
    <row r="10683" spans="14:14" x14ac:dyDescent="0.2">
      <c r="N10683" s="131"/>
    </row>
    <row r="10684" spans="14:14" x14ac:dyDescent="0.2">
      <c r="N10684" s="131"/>
    </row>
    <row r="10685" spans="14:14" x14ac:dyDescent="0.2">
      <c r="N10685" s="131"/>
    </row>
    <row r="10686" spans="14:14" x14ac:dyDescent="0.2">
      <c r="N10686" s="131"/>
    </row>
    <row r="10687" spans="14:14" x14ac:dyDescent="0.2">
      <c r="N10687" s="131"/>
    </row>
    <row r="10688" spans="14:14" x14ac:dyDescent="0.2">
      <c r="N10688" s="131"/>
    </row>
    <row r="10689" spans="14:14" x14ac:dyDescent="0.2">
      <c r="N10689" s="131"/>
    </row>
    <row r="10690" spans="14:14" x14ac:dyDescent="0.2">
      <c r="N10690" s="131"/>
    </row>
    <row r="10691" spans="14:14" x14ac:dyDescent="0.2">
      <c r="N10691" s="131"/>
    </row>
    <row r="10692" spans="14:14" x14ac:dyDescent="0.2">
      <c r="N10692" s="131"/>
    </row>
    <row r="10693" spans="14:14" x14ac:dyDescent="0.2">
      <c r="N10693" s="131"/>
    </row>
    <row r="10694" spans="14:14" x14ac:dyDescent="0.2">
      <c r="N10694" s="131"/>
    </row>
    <row r="10695" spans="14:14" x14ac:dyDescent="0.2">
      <c r="N10695" s="131"/>
    </row>
    <row r="10696" spans="14:14" x14ac:dyDescent="0.2">
      <c r="N10696" s="131"/>
    </row>
    <row r="10697" spans="14:14" x14ac:dyDescent="0.2">
      <c r="N10697" s="131"/>
    </row>
    <row r="10698" spans="14:14" x14ac:dyDescent="0.2">
      <c r="N10698" s="131"/>
    </row>
    <row r="10699" spans="14:14" x14ac:dyDescent="0.2">
      <c r="N10699" s="131"/>
    </row>
    <row r="10700" spans="14:14" x14ac:dyDescent="0.2">
      <c r="N10700" s="131"/>
    </row>
    <row r="10701" spans="14:14" x14ac:dyDescent="0.2">
      <c r="N10701" s="131"/>
    </row>
    <row r="10702" spans="14:14" x14ac:dyDescent="0.2">
      <c r="N10702" s="131"/>
    </row>
    <row r="10703" spans="14:14" x14ac:dyDescent="0.2">
      <c r="N10703" s="131"/>
    </row>
    <row r="10704" spans="14:14" x14ac:dyDescent="0.2">
      <c r="N10704" s="131"/>
    </row>
    <row r="10705" spans="14:14" x14ac:dyDescent="0.2">
      <c r="N10705" s="131"/>
    </row>
    <row r="10706" spans="14:14" x14ac:dyDescent="0.2">
      <c r="N10706" s="131"/>
    </row>
    <row r="10707" spans="14:14" x14ac:dyDescent="0.2">
      <c r="N10707" s="131"/>
    </row>
    <row r="10708" spans="14:14" x14ac:dyDescent="0.2">
      <c r="N10708" s="131"/>
    </row>
    <row r="10709" spans="14:14" x14ac:dyDescent="0.2">
      <c r="N10709" s="131"/>
    </row>
    <row r="10710" spans="14:14" x14ac:dyDescent="0.2">
      <c r="N10710" s="131"/>
    </row>
    <row r="10711" spans="14:14" x14ac:dyDescent="0.2">
      <c r="N10711" s="131"/>
    </row>
    <row r="10712" spans="14:14" x14ac:dyDescent="0.2">
      <c r="N10712" s="131"/>
    </row>
    <row r="10713" spans="14:14" x14ac:dyDescent="0.2">
      <c r="N10713" s="131"/>
    </row>
    <row r="10714" spans="14:14" x14ac:dyDescent="0.2">
      <c r="N10714" s="131"/>
    </row>
    <row r="10715" spans="14:14" x14ac:dyDescent="0.2">
      <c r="N10715" s="131"/>
    </row>
    <row r="10716" spans="14:14" x14ac:dyDescent="0.2">
      <c r="N10716" s="131"/>
    </row>
    <row r="10717" spans="14:14" x14ac:dyDescent="0.2">
      <c r="N10717" s="131"/>
    </row>
    <row r="10718" spans="14:14" x14ac:dyDescent="0.2">
      <c r="N10718" s="131"/>
    </row>
    <row r="10719" spans="14:14" x14ac:dyDescent="0.2">
      <c r="N10719" s="131"/>
    </row>
    <row r="10720" spans="14:14" x14ac:dyDescent="0.2">
      <c r="N10720" s="131"/>
    </row>
    <row r="10721" spans="14:14" x14ac:dyDescent="0.2">
      <c r="N10721" s="131"/>
    </row>
    <row r="10722" spans="14:14" x14ac:dyDescent="0.2">
      <c r="N10722" s="131"/>
    </row>
    <row r="10723" spans="14:14" x14ac:dyDescent="0.2">
      <c r="N10723" s="131"/>
    </row>
    <row r="10724" spans="14:14" x14ac:dyDescent="0.2">
      <c r="N10724" s="131"/>
    </row>
    <row r="10725" spans="14:14" x14ac:dyDescent="0.2">
      <c r="N10725" s="131"/>
    </row>
    <row r="10726" spans="14:14" x14ac:dyDescent="0.2">
      <c r="N10726" s="131"/>
    </row>
    <row r="10727" spans="14:14" x14ac:dyDescent="0.2">
      <c r="N10727" s="131"/>
    </row>
    <row r="10728" spans="14:14" x14ac:dyDescent="0.2">
      <c r="N10728" s="131"/>
    </row>
    <row r="10729" spans="14:14" x14ac:dyDescent="0.2">
      <c r="N10729" s="131"/>
    </row>
    <row r="10730" spans="14:14" x14ac:dyDescent="0.2">
      <c r="N10730" s="131"/>
    </row>
    <row r="10731" spans="14:14" x14ac:dyDescent="0.2">
      <c r="N10731" s="131"/>
    </row>
    <row r="10732" spans="14:14" x14ac:dyDescent="0.2">
      <c r="N10732" s="131"/>
    </row>
    <row r="10733" spans="14:14" x14ac:dyDescent="0.2">
      <c r="N10733" s="131"/>
    </row>
    <row r="10734" spans="14:14" x14ac:dyDescent="0.2">
      <c r="N10734" s="131"/>
    </row>
    <row r="10735" spans="14:14" x14ac:dyDescent="0.2">
      <c r="N10735" s="131"/>
    </row>
    <row r="10736" spans="14:14" x14ac:dyDescent="0.2">
      <c r="N10736" s="131"/>
    </row>
    <row r="10737" spans="14:14" x14ac:dyDescent="0.2">
      <c r="N10737" s="131"/>
    </row>
    <row r="10738" spans="14:14" x14ac:dyDescent="0.2">
      <c r="N10738" s="131"/>
    </row>
    <row r="10739" spans="14:14" x14ac:dyDescent="0.2">
      <c r="N10739" s="131"/>
    </row>
    <row r="10740" spans="14:14" x14ac:dyDescent="0.2">
      <c r="N10740" s="131"/>
    </row>
    <row r="10741" spans="14:14" x14ac:dyDescent="0.2">
      <c r="N10741" s="131"/>
    </row>
    <row r="10742" spans="14:14" x14ac:dyDescent="0.2">
      <c r="N10742" s="131"/>
    </row>
    <row r="10743" spans="14:14" x14ac:dyDescent="0.2">
      <c r="N10743" s="131"/>
    </row>
    <row r="10744" spans="14:14" x14ac:dyDescent="0.2">
      <c r="N10744" s="131"/>
    </row>
    <row r="10745" spans="14:14" x14ac:dyDescent="0.2">
      <c r="N10745" s="131"/>
    </row>
    <row r="10746" spans="14:14" x14ac:dyDescent="0.2">
      <c r="N10746" s="131"/>
    </row>
    <row r="10747" spans="14:14" x14ac:dyDescent="0.2">
      <c r="N10747" s="131"/>
    </row>
    <row r="10748" spans="14:14" x14ac:dyDescent="0.2">
      <c r="N10748" s="131"/>
    </row>
    <row r="10749" spans="14:14" x14ac:dyDescent="0.2">
      <c r="N10749" s="131"/>
    </row>
    <row r="10750" spans="14:14" x14ac:dyDescent="0.2">
      <c r="N10750" s="131"/>
    </row>
    <row r="10751" spans="14:14" x14ac:dyDescent="0.2">
      <c r="N10751" s="131"/>
    </row>
    <row r="10752" spans="14:14" x14ac:dyDescent="0.2">
      <c r="N10752" s="131"/>
    </row>
    <row r="10753" spans="14:14" x14ac:dyDescent="0.2">
      <c r="N10753" s="131"/>
    </row>
    <row r="10754" spans="14:14" x14ac:dyDescent="0.2">
      <c r="N10754" s="131"/>
    </row>
    <row r="10755" spans="14:14" x14ac:dyDescent="0.2">
      <c r="N10755" s="131"/>
    </row>
    <row r="10756" spans="14:14" x14ac:dyDescent="0.2">
      <c r="N10756" s="131"/>
    </row>
    <row r="10757" spans="14:14" x14ac:dyDescent="0.2">
      <c r="N10757" s="131"/>
    </row>
    <row r="10758" spans="14:14" x14ac:dyDescent="0.2">
      <c r="N10758" s="131"/>
    </row>
    <row r="10759" spans="14:14" x14ac:dyDescent="0.2">
      <c r="N10759" s="131"/>
    </row>
    <row r="10760" spans="14:14" x14ac:dyDescent="0.2">
      <c r="N10760" s="131"/>
    </row>
    <row r="10761" spans="14:14" x14ac:dyDescent="0.2">
      <c r="N10761" s="131"/>
    </row>
    <row r="10762" spans="14:14" x14ac:dyDescent="0.2">
      <c r="N10762" s="131"/>
    </row>
    <row r="10763" spans="14:14" x14ac:dyDescent="0.2">
      <c r="N10763" s="131"/>
    </row>
    <row r="10764" spans="14:14" x14ac:dyDescent="0.2">
      <c r="N10764" s="131"/>
    </row>
    <row r="10765" spans="14:14" x14ac:dyDescent="0.2">
      <c r="N10765" s="131"/>
    </row>
    <row r="10766" spans="14:14" x14ac:dyDescent="0.2">
      <c r="N10766" s="131"/>
    </row>
    <row r="10767" spans="14:14" x14ac:dyDescent="0.2">
      <c r="N10767" s="131"/>
    </row>
    <row r="10768" spans="14:14" x14ac:dyDescent="0.2">
      <c r="N10768" s="131"/>
    </row>
    <row r="10769" spans="14:14" x14ac:dyDescent="0.2">
      <c r="N10769" s="131"/>
    </row>
    <row r="10770" spans="14:14" x14ac:dyDescent="0.2">
      <c r="N10770" s="131"/>
    </row>
    <row r="10771" spans="14:14" x14ac:dyDescent="0.2">
      <c r="N10771" s="131"/>
    </row>
    <row r="10772" spans="14:14" x14ac:dyDescent="0.2">
      <c r="N10772" s="131"/>
    </row>
    <row r="10773" spans="14:14" x14ac:dyDescent="0.2">
      <c r="N10773" s="131"/>
    </row>
    <row r="10774" spans="14:14" x14ac:dyDescent="0.2">
      <c r="N10774" s="131"/>
    </row>
    <row r="10775" spans="14:14" x14ac:dyDescent="0.2">
      <c r="N10775" s="131"/>
    </row>
    <row r="10776" spans="14:14" x14ac:dyDescent="0.2">
      <c r="N10776" s="131"/>
    </row>
    <row r="10777" spans="14:14" x14ac:dyDescent="0.2">
      <c r="N10777" s="131"/>
    </row>
    <row r="10778" spans="14:14" x14ac:dyDescent="0.2">
      <c r="N10778" s="131"/>
    </row>
    <row r="10779" spans="14:14" x14ac:dyDescent="0.2">
      <c r="N10779" s="131"/>
    </row>
    <row r="10780" spans="14:14" x14ac:dyDescent="0.2">
      <c r="N10780" s="131"/>
    </row>
    <row r="10781" spans="14:14" x14ac:dyDescent="0.2">
      <c r="N10781" s="131"/>
    </row>
    <row r="10782" spans="14:14" x14ac:dyDescent="0.2">
      <c r="N10782" s="131"/>
    </row>
    <row r="10783" spans="14:14" x14ac:dyDescent="0.2">
      <c r="N10783" s="131"/>
    </row>
    <row r="10784" spans="14:14" x14ac:dyDescent="0.2">
      <c r="N10784" s="131"/>
    </row>
    <row r="10785" spans="14:14" x14ac:dyDescent="0.2">
      <c r="N10785" s="131"/>
    </row>
    <row r="10786" spans="14:14" x14ac:dyDescent="0.2">
      <c r="N10786" s="131"/>
    </row>
    <row r="10787" spans="14:14" x14ac:dyDescent="0.2">
      <c r="N10787" s="131"/>
    </row>
    <row r="10788" spans="14:14" x14ac:dyDescent="0.2">
      <c r="N10788" s="131"/>
    </row>
    <row r="10789" spans="14:14" x14ac:dyDescent="0.2">
      <c r="N10789" s="131"/>
    </row>
    <row r="10790" spans="14:14" x14ac:dyDescent="0.2">
      <c r="N10790" s="131"/>
    </row>
    <row r="10791" spans="14:14" x14ac:dyDescent="0.2">
      <c r="N10791" s="131"/>
    </row>
    <row r="10792" spans="14:14" x14ac:dyDescent="0.2">
      <c r="N10792" s="131"/>
    </row>
    <row r="10793" spans="14:14" x14ac:dyDescent="0.2">
      <c r="N10793" s="131"/>
    </row>
    <row r="10794" spans="14:14" x14ac:dyDescent="0.2">
      <c r="N10794" s="131"/>
    </row>
    <row r="10795" spans="14:14" x14ac:dyDescent="0.2">
      <c r="N10795" s="131"/>
    </row>
    <row r="10796" spans="14:14" x14ac:dyDescent="0.2">
      <c r="N10796" s="131"/>
    </row>
    <row r="10797" spans="14:14" x14ac:dyDescent="0.2">
      <c r="N10797" s="131"/>
    </row>
    <row r="10798" spans="14:14" x14ac:dyDescent="0.2">
      <c r="N10798" s="131"/>
    </row>
    <row r="10799" spans="14:14" x14ac:dyDescent="0.2">
      <c r="N10799" s="131"/>
    </row>
    <row r="10800" spans="14:14" x14ac:dyDescent="0.2">
      <c r="N10800" s="131"/>
    </row>
    <row r="10801" spans="14:14" x14ac:dyDescent="0.2">
      <c r="N10801" s="131"/>
    </row>
    <row r="10802" spans="14:14" x14ac:dyDescent="0.2">
      <c r="N10802" s="131"/>
    </row>
    <row r="10803" spans="14:14" x14ac:dyDescent="0.2">
      <c r="N10803" s="131"/>
    </row>
    <row r="10804" spans="14:14" x14ac:dyDescent="0.2">
      <c r="N10804" s="131"/>
    </row>
    <row r="10805" spans="14:14" x14ac:dyDescent="0.2">
      <c r="N10805" s="131"/>
    </row>
    <row r="10806" spans="14:14" x14ac:dyDescent="0.2">
      <c r="N10806" s="131"/>
    </row>
    <row r="10807" spans="14:14" x14ac:dyDescent="0.2">
      <c r="N10807" s="131"/>
    </row>
    <row r="10808" spans="14:14" x14ac:dyDescent="0.2">
      <c r="N10808" s="131"/>
    </row>
    <row r="10809" spans="14:14" x14ac:dyDescent="0.2">
      <c r="N10809" s="131"/>
    </row>
    <row r="10810" spans="14:14" x14ac:dyDescent="0.2">
      <c r="N10810" s="131"/>
    </row>
    <row r="10811" spans="14:14" x14ac:dyDescent="0.2">
      <c r="N10811" s="131"/>
    </row>
    <row r="10812" spans="14:14" x14ac:dyDescent="0.2">
      <c r="N10812" s="131"/>
    </row>
    <row r="10813" spans="14:14" x14ac:dyDescent="0.2">
      <c r="N10813" s="131"/>
    </row>
    <row r="10814" spans="14:14" x14ac:dyDescent="0.2">
      <c r="N10814" s="131"/>
    </row>
    <row r="10815" spans="14:14" x14ac:dyDescent="0.2">
      <c r="N10815" s="131"/>
    </row>
    <row r="10816" spans="14:14" x14ac:dyDescent="0.2">
      <c r="N10816" s="131"/>
    </row>
    <row r="10817" spans="14:14" x14ac:dyDescent="0.2">
      <c r="N10817" s="131"/>
    </row>
    <row r="10818" spans="14:14" x14ac:dyDescent="0.2">
      <c r="N10818" s="131"/>
    </row>
    <row r="10819" spans="14:14" x14ac:dyDescent="0.2">
      <c r="N10819" s="131"/>
    </row>
    <row r="10820" spans="14:14" x14ac:dyDescent="0.2">
      <c r="N10820" s="131"/>
    </row>
    <row r="10821" spans="14:14" x14ac:dyDescent="0.2">
      <c r="N10821" s="131"/>
    </row>
    <row r="10822" spans="14:14" x14ac:dyDescent="0.2">
      <c r="N10822" s="131"/>
    </row>
    <row r="10823" spans="14:14" x14ac:dyDescent="0.2">
      <c r="N10823" s="131"/>
    </row>
    <row r="10824" spans="14:14" x14ac:dyDescent="0.2">
      <c r="N10824" s="131"/>
    </row>
    <row r="10825" spans="14:14" x14ac:dyDescent="0.2">
      <c r="N10825" s="131"/>
    </row>
    <row r="10826" spans="14:14" x14ac:dyDescent="0.2">
      <c r="N10826" s="131"/>
    </row>
    <row r="10827" spans="14:14" x14ac:dyDescent="0.2">
      <c r="N10827" s="131"/>
    </row>
    <row r="10828" spans="14:14" x14ac:dyDescent="0.2">
      <c r="N10828" s="131"/>
    </row>
    <row r="10829" spans="14:14" x14ac:dyDescent="0.2">
      <c r="N10829" s="131"/>
    </row>
    <row r="10830" spans="14:14" x14ac:dyDescent="0.2">
      <c r="N10830" s="131"/>
    </row>
    <row r="10831" spans="14:14" x14ac:dyDescent="0.2">
      <c r="N10831" s="131"/>
    </row>
    <row r="10832" spans="14:14" x14ac:dyDescent="0.2">
      <c r="N10832" s="131"/>
    </row>
    <row r="10833" spans="14:14" x14ac:dyDescent="0.2">
      <c r="N10833" s="131"/>
    </row>
    <row r="10834" spans="14:14" x14ac:dyDescent="0.2">
      <c r="N10834" s="131"/>
    </row>
    <row r="10835" spans="14:14" x14ac:dyDescent="0.2">
      <c r="N10835" s="131"/>
    </row>
    <row r="10836" spans="14:14" x14ac:dyDescent="0.2">
      <c r="N10836" s="131"/>
    </row>
    <row r="10837" spans="14:14" x14ac:dyDescent="0.2">
      <c r="N10837" s="131"/>
    </row>
    <row r="10838" spans="14:14" x14ac:dyDescent="0.2">
      <c r="N10838" s="131"/>
    </row>
    <row r="10839" spans="14:14" x14ac:dyDescent="0.2">
      <c r="N10839" s="131"/>
    </row>
    <row r="10840" spans="14:14" x14ac:dyDescent="0.2">
      <c r="N10840" s="131"/>
    </row>
    <row r="10841" spans="14:14" x14ac:dyDescent="0.2">
      <c r="N10841" s="131"/>
    </row>
    <row r="10842" spans="14:14" x14ac:dyDescent="0.2">
      <c r="N10842" s="131"/>
    </row>
    <row r="10843" spans="14:14" x14ac:dyDescent="0.2">
      <c r="N10843" s="131"/>
    </row>
    <row r="10844" spans="14:14" x14ac:dyDescent="0.2">
      <c r="N10844" s="131"/>
    </row>
    <row r="10845" spans="14:14" x14ac:dyDescent="0.2">
      <c r="N10845" s="131"/>
    </row>
    <row r="10846" spans="14:14" x14ac:dyDescent="0.2">
      <c r="N10846" s="131"/>
    </row>
    <row r="10847" spans="14:14" x14ac:dyDescent="0.2">
      <c r="N10847" s="131"/>
    </row>
    <row r="10848" spans="14:14" x14ac:dyDescent="0.2">
      <c r="N10848" s="131"/>
    </row>
    <row r="10849" spans="14:14" x14ac:dyDescent="0.2">
      <c r="N10849" s="131"/>
    </row>
    <row r="10850" spans="14:14" x14ac:dyDescent="0.2">
      <c r="N10850" s="131"/>
    </row>
    <row r="10851" spans="14:14" x14ac:dyDescent="0.2">
      <c r="N10851" s="131"/>
    </row>
    <row r="10852" spans="14:14" x14ac:dyDescent="0.2">
      <c r="N10852" s="131"/>
    </row>
    <row r="10853" spans="14:14" x14ac:dyDescent="0.2">
      <c r="N10853" s="131"/>
    </row>
    <row r="10854" spans="14:14" x14ac:dyDescent="0.2">
      <c r="N10854" s="131"/>
    </row>
    <row r="10855" spans="14:14" x14ac:dyDescent="0.2">
      <c r="N10855" s="131"/>
    </row>
    <row r="10856" spans="14:14" x14ac:dyDescent="0.2">
      <c r="N10856" s="131"/>
    </row>
    <row r="10857" spans="14:14" x14ac:dyDescent="0.2">
      <c r="N10857" s="131"/>
    </row>
    <row r="10858" spans="14:14" x14ac:dyDescent="0.2">
      <c r="N10858" s="131"/>
    </row>
    <row r="10859" spans="14:14" x14ac:dyDescent="0.2">
      <c r="N10859" s="131"/>
    </row>
    <row r="10860" spans="14:14" x14ac:dyDescent="0.2">
      <c r="N10860" s="131"/>
    </row>
    <row r="10861" spans="14:14" x14ac:dyDescent="0.2">
      <c r="N10861" s="131"/>
    </row>
    <row r="10862" spans="14:14" x14ac:dyDescent="0.2">
      <c r="N10862" s="131"/>
    </row>
    <row r="10863" spans="14:14" x14ac:dyDescent="0.2">
      <c r="N10863" s="131"/>
    </row>
    <row r="10864" spans="14:14" x14ac:dyDescent="0.2">
      <c r="N10864" s="131"/>
    </row>
    <row r="10865" spans="14:14" x14ac:dyDescent="0.2">
      <c r="N10865" s="131"/>
    </row>
    <row r="10866" spans="14:14" x14ac:dyDescent="0.2">
      <c r="N10866" s="131"/>
    </row>
    <row r="10867" spans="14:14" x14ac:dyDescent="0.2">
      <c r="N10867" s="131"/>
    </row>
    <row r="10868" spans="14:14" x14ac:dyDescent="0.2">
      <c r="N10868" s="131"/>
    </row>
    <row r="10869" spans="14:14" x14ac:dyDescent="0.2">
      <c r="N10869" s="131"/>
    </row>
    <row r="10870" spans="14:14" x14ac:dyDescent="0.2">
      <c r="N10870" s="131"/>
    </row>
    <row r="10871" spans="14:14" x14ac:dyDescent="0.2">
      <c r="N10871" s="131"/>
    </row>
    <row r="10872" spans="14:14" x14ac:dyDescent="0.2">
      <c r="N10872" s="131"/>
    </row>
    <row r="10873" spans="14:14" x14ac:dyDescent="0.2">
      <c r="N10873" s="131"/>
    </row>
    <row r="10874" spans="14:14" x14ac:dyDescent="0.2">
      <c r="N10874" s="131"/>
    </row>
    <row r="10875" spans="14:14" x14ac:dyDescent="0.2">
      <c r="N10875" s="131"/>
    </row>
    <row r="10876" spans="14:14" x14ac:dyDescent="0.2">
      <c r="N10876" s="131"/>
    </row>
    <row r="10877" spans="14:14" x14ac:dyDescent="0.2">
      <c r="N10877" s="131"/>
    </row>
    <row r="10878" spans="14:14" x14ac:dyDescent="0.2">
      <c r="N10878" s="131"/>
    </row>
    <row r="10879" spans="14:14" x14ac:dyDescent="0.2">
      <c r="N10879" s="131"/>
    </row>
    <row r="10880" spans="14:14" x14ac:dyDescent="0.2">
      <c r="N10880" s="131"/>
    </row>
    <row r="10881" spans="14:14" x14ac:dyDescent="0.2">
      <c r="N10881" s="131"/>
    </row>
    <row r="10882" spans="14:14" x14ac:dyDescent="0.2">
      <c r="N10882" s="131"/>
    </row>
    <row r="10883" spans="14:14" x14ac:dyDescent="0.2">
      <c r="N10883" s="131"/>
    </row>
    <row r="10884" spans="14:14" x14ac:dyDescent="0.2">
      <c r="N10884" s="131"/>
    </row>
    <row r="10885" spans="14:14" x14ac:dyDescent="0.2">
      <c r="N10885" s="131"/>
    </row>
    <row r="10886" spans="14:14" x14ac:dyDescent="0.2">
      <c r="N10886" s="131"/>
    </row>
    <row r="10887" spans="14:14" x14ac:dyDescent="0.2">
      <c r="N10887" s="131"/>
    </row>
    <row r="10888" spans="14:14" x14ac:dyDescent="0.2">
      <c r="N10888" s="131"/>
    </row>
    <row r="10889" spans="14:14" x14ac:dyDescent="0.2">
      <c r="N10889" s="131"/>
    </row>
    <row r="10890" spans="14:14" x14ac:dyDescent="0.2">
      <c r="N10890" s="131"/>
    </row>
    <row r="10891" spans="14:14" x14ac:dyDescent="0.2">
      <c r="N10891" s="131"/>
    </row>
    <row r="10892" spans="14:14" x14ac:dyDescent="0.2">
      <c r="N10892" s="131"/>
    </row>
    <row r="10893" spans="14:14" x14ac:dyDescent="0.2">
      <c r="N10893" s="131"/>
    </row>
    <row r="10894" spans="14:14" x14ac:dyDescent="0.2">
      <c r="N10894" s="131"/>
    </row>
    <row r="10895" spans="14:14" x14ac:dyDescent="0.2">
      <c r="N10895" s="131"/>
    </row>
    <row r="10896" spans="14:14" x14ac:dyDescent="0.2">
      <c r="N10896" s="131"/>
    </row>
    <row r="10897" spans="14:14" x14ac:dyDescent="0.2">
      <c r="N10897" s="131"/>
    </row>
    <row r="10898" spans="14:14" x14ac:dyDescent="0.2">
      <c r="N10898" s="131"/>
    </row>
    <row r="10899" spans="14:14" x14ac:dyDescent="0.2">
      <c r="N10899" s="131"/>
    </row>
    <row r="10900" spans="14:14" x14ac:dyDescent="0.2">
      <c r="N10900" s="131"/>
    </row>
    <row r="10901" spans="14:14" x14ac:dyDescent="0.2">
      <c r="N10901" s="131"/>
    </row>
    <row r="10902" spans="14:14" x14ac:dyDescent="0.2">
      <c r="N10902" s="131"/>
    </row>
    <row r="10903" spans="14:14" x14ac:dyDescent="0.2">
      <c r="N10903" s="131"/>
    </row>
    <row r="10904" spans="14:14" x14ac:dyDescent="0.2">
      <c r="N10904" s="131"/>
    </row>
    <row r="10905" spans="14:14" x14ac:dyDescent="0.2">
      <c r="N10905" s="131"/>
    </row>
    <row r="10906" spans="14:14" x14ac:dyDescent="0.2">
      <c r="N10906" s="131"/>
    </row>
    <row r="10907" spans="14:14" x14ac:dyDescent="0.2">
      <c r="N10907" s="131"/>
    </row>
    <row r="10908" spans="14:14" x14ac:dyDescent="0.2">
      <c r="N10908" s="131"/>
    </row>
    <row r="10909" spans="14:14" x14ac:dyDescent="0.2">
      <c r="N10909" s="131"/>
    </row>
    <row r="10910" spans="14:14" x14ac:dyDescent="0.2">
      <c r="N10910" s="131"/>
    </row>
    <row r="10911" spans="14:14" x14ac:dyDescent="0.2">
      <c r="N10911" s="131"/>
    </row>
    <row r="10912" spans="14:14" x14ac:dyDescent="0.2">
      <c r="N10912" s="131"/>
    </row>
    <row r="10913" spans="14:14" x14ac:dyDescent="0.2">
      <c r="N10913" s="131"/>
    </row>
    <row r="10914" spans="14:14" x14ac:dyDescent="0.2">
      <c r="N10914" s="131"/>
    </row>
    <row r="10915" spans="14:14" x14ac:dyDescent="0.2">
      <c r="N10915" s="131"/>
    </row>
    <row r="10916" spans="14:14" x14ac:dyDescent="0.2">
      <c r="N10916" s="131"/>
    </row>
    <row r="10917" spans="14:14" x14ac:dyDescent="0.2">
      <c r="N10917" s="131"/>
    </row>
    <row r="10918" spans="14:14" x14ac:dyDescent="0.2">
      <c r="N10918" s="131"/>
    </row>
    <row r="10919" spans="14:14" x14ac:dyDescent="0.2">
      <c r="N10919" s="131"/>
    </row>
    <row r="10920" spans="14:14" x14ac:dyDescent="0.2">
      <c r="N10920" s="131"/>
    </row>
    <row r="10921" spans="14:14" x14ac:dyDescent="0.2">
      <c r="N10921" s="131"/>
    </row>
    <row r="10922" spans="14:14" x14ac:dyDescent="0.2">
      <c r="N10922" s="131"/>
    </row>
    <row r="10923" spans="14:14" x14ac:dyDescent="0.2">
      <c r="N10923" s="131"/>
    </row>
    <row r="10924" spans="14:14" x14ac:dyDescent="0.2">
      <c r="N10924" s="131"/>
    </row>
    <row r="10925" spans="14:14" x14ac:dyDescent="0.2">
      <c r="N10925" s="131"/>
    </row>
    <row r="10926" spans="14:14" x14ac:dyDescent="0.2">
      <c r="N10926" s="131"/>
    </row>
    <row r="10927" spans="14:14" x14ac:dyDescent="0.2">
      <c r="N10927" s="131"/>
    </row>
    <row r="10928" spans="14:14" x14ac:dyDescent="0.2">
      <c r="N10928" s="131"/>
    </row>
    <row r="10929" spans="14:14" x14ac:dyDescent="0.2">
      <c r="N10929" s="131"/>
    </row>
    <row r="10930" spans="14:14" x14ac:dyDescent="0.2">
      <c r="N10930" s="131"/>
    </row>
    <row r="10931" spans="14:14" x14ac:dyDescent="0.2">
      <c r="N10931" s="131"/>
    </row>
    <row r="10932" spans="14:14" x14ac:dyDescent="0.2">
      <c r="N10932" s="131"/>
    </row>
    <row r="10933" spans="14:14" x14ac:dyDescent="0.2">
      <c r="N10933" s="131"/>
    </row>
    <row r="10934" spans="14:14" x14ac:dyDescent="0.2">
      <c r="N10934" s="131"/>
    </row>
    <row r="10935" spans="14:14" x14ac:dyDescent="0.2">
      <c r="N10935" s="131"/>
    </row>
    <row r="10936" spans="14:14" x14ac:dyDescent="0.2">
      <c r="N10936" s="131"/>
    </row>
    <row r="10937" spans="14:14" x14ac:dyDescent="0.2">
      <c r="N10937" s="131"/>
    </row>
    <row r="10938" spans="14:14" x14ac:dyDescent="0.2">
      <c r="N10938" s="131"/>
    </row>
    <row r="10939" spans="14:14" x14ac:dyDescent="0.2">
      <c r="N10939" s="131"/>
    </row>
    <row r="10940" spans="14:14" x14ac:dyDescent="0.2">
      <c r="N10940" s="131"/>
    </row>
    <row r="10941" spans="14:14" x14ac:dyDescent="0.2">
      <c r="N10941" s="131"/>
    </row>
    <row r="10942" spans="14:14" x14ac:dyDescent="0.2">
      <c r="N10942" s="131"/>
    </row>
    <row r="10943" spans="14:14" x14ac:dyDescent="0.2">
      <c r="N10943" s="131"/>
    </row>
    <row r="10944" spans="14:14" x14ac:dyDescent="0.2">
      <c r="N10944" s="131"/>
    </row>
    <row r="10945" spans="14:14" x14ac:dyDescent="0.2">
      <c r="N10945" s="131"/>
    </row>
    <row r="10946" spans="14:14" x14ac:dyDescent="0.2">
      <c r="N10946" s="131"/>
    </row>
    <row r="10947" spans="14:14" x14ac:dyDescent="0.2">
      <c r="N10947" s="131"/>
    </row>
    <row r="10948" spans="14:14" x14ac:dyDescent="0.2">
      <c r="N10948" s="131"/>
    </row>
    <row r="10949" spans="14:14" x14ac:dyDescent="0.2">
      <c r="N10949" s="131"/>
    </row>
    <row r="10950" spans="14:14" x14ac:dyDescent="0.2">
      <c r="N10950" s="131"/>
    </row>
    <row r="10951" spans="14:14" x14ac:dyDescent="0.2">
      <c r="N10951" s="131"/>
    </row>
    <row r="10952" spans="14:14" x14ac:dyDescent="0.2">
      <c r="N10952" s="131"/>
    </row>
    <row r="10953" spans="14:14" x14ac:dyDescent="0.2">
      <c r="N10953" s="131"/>
    </row>
    <row r="10954" spans="14:14" x14ac:dyDescent="0.2">
      <c r="N10954" s="131"/>
    </row>
    <row r="10955" spans="14:14" x14ac:dyDescent="0.2">
      <c r="N10955" s="131"/>
    </row>
    <row r="10956" spans="14:14" x14ac:dyDescent="0.2">
      <c r="N10956" s="131"/>
    </row>
    <row r="10957" spans="14:14" x14ac:dyDescent="0.2">
      <c r="N10957" s="131"/>
    </row>
    <row r="10958" spans="14:14" x14ac:dyDescent="0.2">
      <c r="N10958" s="131"/>
    </row>
    <row r="10959" spans="14:14" x14ac:dyDescent="0.2">
      <c r="N10959" s="131"/>
    </row>
    <row r="10960" spans="14:14" x14ac:dyDescent="0.2">
      <c r="N10960" s="131"/>
    </row>
    <row r="10961" spans="14:14" x14ac:dyDescent="0.2">
      <c r="N10961" s="131"/>
    </row>
    <row r="10962" spans="14:14" x14ac:dyDescent="0.2">
      <c r="N10962" s="131"/>
    </row>
    <row r="10963" spans="14:14" x14ac:dyDescent="0.2">
      <c r="N10963" s="131"/>
    </row>
    <row r="10964" spans="14:14" x14ac:dyDescent="0.2">
      <c r="N10964" s="131"/>
    </row>
    <row r="10965" spans="14:14" x14ac:dyDescent="0.2">
      <c r="N10965" s="131"/>
    </row>
    <row r="10966" spans="14:14" x14ac:dyDescent="0.2">
      <c r="N10966" s="131"/>
    </row>
    <row r="10967" spans="14:14" x14ac:dyDescent="0.2">
      <c r="N10967" s="131"/>
    </row>
    <row r="10968" spans="14:14" x14ac:dyDescent="0.2">
      <c r="N10968" s="131"/>
    </row>
    <row r="10969" spans="14:14" x14ac:dyDescent="0.2">
      <c r="N10969" s="131"/>
    </row>
    <row r="10970" spans="14:14" x14ac:dyDescent="0.2">
      <c r="N10970" s="131"/>
    </row>
    <row r="10971" spans="14:14" x14ac:dyDescent="0.2">
      <c r="N10971" s="131"/>
    </row>
    <row r="10972" spans="14:14" x14ac:dyDescent="0.2">
      <c r="N10972" s="131"/>
    </row>
    <row r="10973" spans="14:14" x14ac:dyDescent="0.2">
      <c r="N10973" s="131"/>
    </row>
    <row r="10974" spans="14:14" x14ac:dyDescent="0.2">
      <c r="N10974" s="131"/>
    </row>
    <row r="10975" spans="14:14" x14ac:dyDescent="0.2">
      <c r="N10975" s="131"/>
    </row>
    <row r="10976" spans="14:14" x14ac:dyDescent="0.2">
      <c r="N10976" s="131"/>
    </row>
    <row r="10977" spans="14:14" x14ac:dyDescent="0.2">
      <c r="N10977" s="131"/>
    </row>
    <row r="10978" spans="14:14" x14ac:dyDescent="0.2">
      <c r="N10978" s="131"/>
    </row>
    <row r="10979" spans="14:14" x14ac:dyDescent="0.2">
      <c r="N10979" s="131"/>
    </row>
    <row r="10980" spans="14:14" x14ac:dyDescent="0.2">
      <c r="N10980" s="131"/>
    </row>
    <row r="10981" spans="14:14" x14ac:dyDescent="0.2">
      <c r="N10981" s="131"/>
    </row>
    <row r="10982" spans="14:14" x14ac:dyDescent="0.2">
      <c r="N10982" s="131"/>
    </row>
    <row r="10983" spans="14:14" x14ac:dyDescent="0.2">
      <c r="N10983" s="131"/>
    </row>
    <row r="10984" spans="14:14" x14ac:dyDescent="0.2">
      <c r="N10984" s="131"/>
    </row>
    <row r="10985" spans="14:14" x14ac:dyDescent="0.2">
      <c r="N10985" s="131"/>
    </row>
    <row r="10986" spans="14:14" x14ac:dyDescent="0.2">
      <c r="N10986" s="131"/>
    </row>
    <row r="10987" spans="14:14" x14ac:dyDescent="0.2">
      <c r="N10987" s="131"/>
    </row>
    <row r="10988" spans="14:14" x14ac:dyDescent="0.2">
      <c r="N10988" s="131"/>
    </row>
    <row r="10989" spans="14:14" x14ac:dyDescent="0.2">
      <c r="N10989" s="131"/>
    </row>
    <row r="10990" spans="14:14" x14ac:dyDescent="0.2">
      <c r="N10990" s="131"/>
    </row>
    <row r="10991" spans="14:14" x14ac:dyDescent="0.2">
      <c r="N10991" s="131"/>
    </row>
    <row r="10992" spans="14:14" x14ac:dyDescent="0.2">
      <c r="N10992" s="131"/>
    </row>
    <row r="10993" spans="14:14" x14ac:dyDescent="0.2">
      <c r="N10993" s="131"/>
    </row>
    <row r="10994" spans="14:14" x14ac:dyDescent="0.2">
      <c r="N10994" s="131"/>
    </row>
    <row r="10995" spans="14:14" x14ac:dyDescent="0.2">
      <c r="N10995" s="131"/>
    </row>
    <row r="10996" spans="14:14" x14ac:dyDescent="0.2">
      <c r="N10996" s="131"/>
    </row>
    <row r="10997" spans="14:14" x14ac:dyDescent="0.2">
      <c r="N10997" s="131"/>
    </row>
    <row r="10998" spans="14:14" x14ac:dyDescent="0.2">
      <c r="N10998" s="131"/>
    </row>
    <row r="10999" spans="14:14" x14ac:dyDescent="0.2">
      <c r="N10999" s="131"/>
    </row>
    <row r="11000" spans="14:14" x14ac:dyDescent="0.2">
      <c r="N11000" s="131"/>
    </row>
    <row r="11001" spans="14:14" x14ac:dyDescent="0.2">
      <c r="N11001" s="131"/>
    </row>
    <row r="11002" spans="14:14" x14ac:dyDescent="0.2">
      <c r="N11002" s="131"/>
    </row>
    <row r="11003" spans="14:14" x14ac:dyDescent="0.2">
      <c r="N11003" s="131"/>
    </row>
    <row r="11004" spans="14:14" x14ac:dyDescent="0.2">
      <c r="N11004" s="131"/>
    </row>
    <row r="11005" spans="14:14" x14ac:dyDescent="0.2">
      <c r="N11005" s="131"/>
    </row>
    <row r="11006" spans="14:14" x14ac:dyDescent="0.2">
      <c r="N11006" s="131"/>
    </row>
    <row r="11007" spans="14:14" x14ac:dyDescent="0.2">
      <c r="N11007" s="131"/>
    </row>
    <row r="11008" spans="14:14" x14ac:dyDescent="0.2">
      <c r="N11008" s="131"/>
    </row>
    <row r="11009" spans="14:14" x14ac:dyDescent="0.2">
      <c r="N11009" s="131"/>
    </row>
    <row r="11010" spans="14:14" x14ac:dyDescent="0.2">
      <c r="N11010" s="131"/>
    </row>
    <row r="11011" spans="14:14" x14ac:dyDescent="0.2">
      <c r="N11011" s="131"/>
    </row>
    <row r="11012" spans="14:14" x14ac:dyDescent="0.2">
      <c r="N11012" s="131"/>
    </row>
    <row r="11013" spans="14:14" x14ac:dyDescent="0.2">
      <c r="N11013" s="131"/>
    </row>
    <row r="11014" spans="14:14" x14ac:dyDescent="0.2">
      <c r="N11014" s="131"/>
    </row>
    <row r="11015" spans="14:14" x14ac:dyDescent="0.2">
      <c r="N11015" s="131"/>
    </row>
    <row r="11016" spans="14:14" x14ac:dyDescent="0.2">
      <c r="N11016" s="131"/>
    </row>
    <row r="11017" spans="14:14" x14ac:dyDescent="0.2">
      <c r="N11017" s="131"/>
    </row>
    <row r="11018" spans="14:14" x14ac:dyDescent="0.2">
      <c r="N11018" s="131"/>
    </row>
    <row r="11019" spans="14:14" x14ac:dyDescent="0.2">
      <c r="N11019" s="131"/>
    </row>
    <row r="11020" spans="14:14" x14ac:dyDescent="0.2">
      <c r="N11020" s="131"/>
    </row>
    <row r="11021" spans="14:14" x14ac:dyDescent="0.2">
      <c r="N11021" s="131"/>
    </row>
    <row r="11022" spans="14:14" x14ac:dyDescent="0.2">
      <c r="N11022" s="131"/>
    </row>
    <row r="11023" spans="14:14" x14ac:dyDescent="0.2">
      <c r="N11023" s="131"/>
    </row>
    <row r="11024" spans="14:14" x14ac:dyDescent="0.2">
      <c r="N11024" s="131"/>
    </row>
    <row r="11025" spans="14:14" x14ac:dyDescent="0.2">
      <c r="N11025" s="131"/>
    </row>
    <row r="11026" spans="14:14" x14ac:dyDescent="0.2">
      <c r="N11026" s="131"/>
    </row>
    <row r="11027" spans="14:14" x14ac:dyDescent="0.2">
      <c r="N11027" s="131"/>
    </row>
    <row r="11028" spans="14:14" x14ac:dyDescent="0.2">
      <c r="N11028" s="131"/>
    </row>
    <row r="11029" spans="14:14" x14ac:dyDescent="0.2">
      <c r="N11029" s="131"/>
    </row>
    <row r="11030" spans="14:14" x14ac:dyDescent="0.2">
      <c r="N11030" s="131"/>
    </row>
    <row r="11031" spans="14:14" x14ac:dyDescent="0.2">
      <c r="N11031" s="131"/>
    </row>
    <row r="11032" spans="14:14" x14ac:dyDescent="0.2">
      <c r="N11032" s="131"/>
    </row>
    <row r="11033" spans="14:14" x14ac:dyDescent="0.2">
      <c r="N11033" s="131"/>
    </row>
    <row r="11034" spans="14:14" x14ac:dyDescent="0.2">
      <c r="N11034" s="131"/>
    </row>
    <row r="11035" spans="14:14" x14ac:dyDescent="0.2">
      <c r="N11035" s="131"/>
    </row>
    <row r="11036" spans="14:14" x14ac:dyDescent="0.2">
      <c r="N11036" s="131"/>
    </row>
    <row r="11037" spans="14:14" x14ac:dyDescent="0.2">
      <c r="N11037" s="131"/>
    </row>
    <row r="11038" spans="14:14" x14ac:dyDescent="0.2">
      <c r="N11038" s="131"/>
    </row>
    <row r="11039" spans="14:14" x14ac:dyDescent="0.2">
      <c r="N11039" s="131"/>
    </row>
    <row r="11040" spans="14:14" x14ac:dyDescent="0.2">
      <c r="N11040" s="131"/>
    </row>
    <row r="11041" spans="14:14" x14ac:dyDescent="0.2">
      <c r="N11041" s="131"/>
    </row>
    <row r="11042" spans="14:14" x14ac:dyDescent="0.2">
      <c r="N11042" s="131"/>
    </row>
    <row r="11043" spans="14:14" x14ac:dyDescent="0.2">
      <c r="N11043" s="131"/>
    </row>
    <row r="11044" spans="14:14" x14ac:dyDescent="0.2">
      <c r="N11044" s="131"/>
    </row>
    <row r="11045" spans="14:14" x14ac:dyDescent="0.2">
      <c r="N11045" s="131"/>
    </row>
    <row r="11046" spans="14:14" x14ac:dyDescent="0.2">
      <c r="N11046" s="131"/>
    </row>
    <row r="11047" spans="14:14" x14ac:dyDescent="0.2">
      <c r="N11047" s="131"/>
    </row>
    <row r="11048" spans="14:14" x14ac:dyDescent="0.2">
      <c r="N11048" s="131"/>
    </row>
    <row r="11049" spans="14:14" x14ac:dyDescent="0.2">
      <c r="N11049" s="131"/>
    </row>
    <row r="11050" spans="14:14" x14ac:dyDescent="0.2">
      <c r="N11050" s="131"/>
    </row>
    <row r="11051" spans="14:14" x14ac:dyDescent="0.2">
      <c r="N11051" s="131"/>
    </row>
    <row r="11052" spans="14:14" x14ac:dyDescent="0.2">
      <c r="N11052" s="131"/>
    </row>
    <row r="11053" spans="14:14" x14ac:dyDescent="0.2">
      <c r="N11053" s="131"/>
    </row>
    <row r="11054" spans="14:14" x14ac:dyDescent="0.2">
      <c r="N11054" s="131"/>
    </row>
    <row r="11055" spans="14:14" x14ac:dyDescent="0.2">
      <c r="N11055" s="131"/>
    </row>
    <row r="11056" spans="14:14" x14ac:dyDescent="0.2">
      <c r="N11056" s="131"/>
    </row>
    <row r="11057" spans="14:14" x14ac:dyDescent="0.2">
      <c r="N11057" s="131"/>
    </row>
    <row r="11058" spans="14:14" x14ac:dyDescent="0.2">
      <c r="N11058" s="131"/>
    </row>
    <row r="11059" spans="14:14" x14ac:dyDescent="0.2">
      <c r="N11059" s="131"/>
    </row>
    <row r="11060" spans="14:14" x14ac:dyDescent="0.2">
      <c r="N11060" s="131"/>
    </row>
    <row r="11061" spans="14:14" x14ac:dyDescent="0.2">
      <c r="N11061" s="131"/>
    </row>
    <row r="11062" spans="14:14" x14ac:dyDescent="0.2">
      <c r="N11062" s="131"/>
    </row>
    <row r="11063" spans="14:14" x14ac:dyDescent="0.2">
      <c r="N11063" s="131"/>
    </row>
    <row r="11064" spans="14:14" x14ac:dyDescent="0.2">
      <c r="N11064" s="131"/>
    </row>
    <row r="11065" spans="14:14" x14ac:dyDescent="0.2">
      <c r="N11065" s="131"/>
    </row>
    <row r="11066" spans="14:14" x14ac:dyDescent="0.2">
      <c r="N11066" s="131"/>
    </row>
    <row r="11067" spans="14:14" x14ac:dyDescent="0.2">
      <c r="N11067" s="131"/>
    </row>
    <row r="11068" spans="14:14" x14ac:dyDescent="0.2">
      <c r="N11068" s="131"/>
    </row>
    <row r="11069" spans="14:14" x14ac:dyDescent="0.2">
      <c r="N11069" s="131"/>
    </row>
    <row r="11070" spans="14:14" x14ac:dyDescent="0.2">
      <c r="N11070" s="131"/>
    </row>
    <row r="11071" spans="14:14" x14ac:dyDescent="0.2">
      <c r="N11071" s="131"/>
    </row>
    <row r="11072" spans="14:14" x14ac:dyDescent="0.2">
      <c r="N11072" s="131"/>
    </row>
    <row r="11073" spans="14:14" x14ac:dyDescent="0.2">
      <c r="N11073" s="131"/>
    </row>
    <row r="11074" spans="14:14" x14ac:dyDescent="0.2">
      <c r="N11074" s="131"/>
    </row>
    <row r="11075" spans="14:14" x14ac:dyDescent="0.2">
      <c r="N11075" s="131"/>
    </row>
    <row r="11076" spans="14:14" x14ac:dyDescent="0.2">
      <c r="N11076" s="131"/>
    </row>
    <row r="11077" spans="14:14" x14ac:dyDescent="0.2">
      <c r="N11077" s="131"/>
    </row>
    <row r="11078" spans="14:14" x14ac:dyDescent="0.2">
      <c r="N11078" s="131"/>
    </row>
    <row r="11079" spans="14:14" x14ac:dyDescent="0.2">
      <c r="N11079" s="131"/>
    </row>
    <row r="11080" spans="14:14" x14ac:dyDescent="0.2">
      <c r="N11080" s="131"/>
    </row>
    <row r="11081" spans="14:14" x14ac:dyDescent="0.2">
      <c r="N11081" s="131"/>
    </row>
    <row r="11082" spans="14:14" x14ac:dyDescent="0.2">
      <c r="N11082" s="131"/>
    </row>
    <row r="11083" spans="14:14" x14ac:dyDescent="0.2">
      <c r="N11083" s="131"/>
    </row>
    <row r="11084" spans="14:14" x14ac:dyDescent="0.2">
      <c r="N11084" s="131"/>
    </row>
    <row r="11085" spans="14:14" x14ac:dyDescent="0.2">
      <c r="N11085" s="131"/>
    </row>
    <row r="11086" spans="14:14" x14ac:dyDescent="0.2">
      <c r="N11086" s="131"/>
    </row>
    <row r="11087" spans="14:14" x14ac:dyDescent="0.2">
      <c r="N11087" s="131"/>
    </row>
    <row r="11088" spans="14:14" x14ac:dyDescent="0.2">
      <c r="N11088" s="131"/>
    </row>
    <row r="11089" spans="14:14" x14ac:dyDescent="0.2">
      <c r="N11089" s="131"/>
    </row>
    <row r="11090" spans="14:14" x14ac:dyDescent="0.2">
      <c r="N11090" s="131"/>
    </row>
    <row r="11091" spans="14:14" x14ac:dyDescent="0.2">
      <c r="N11091" s="131"/>
    </row>
    <row r="11092" spans="14:14" x14ac:dyDescent="0.2">
      <c r="N11092" s="131"/>
    </row>
    <row r="11093" spans="14:14" x14ac:dyDescent="0.2">
      <c r="N11093" s="131"/>
    </row>
    <row r="11094" spans="14:14" x14ac:dyDescent="0.2">
      <c r="N11094" s="131"/>
    </row>
    <row r="11095" spans="14:14" x14ac:dyDescent="0.2">
      <c r="N11095" s="131"/>
    </row>
    <row r="11096" spans="14:14" x14ac:dyDescent="0.2">
      <c r="N11096" s="131"/>
    </row>
    <row r="11097" spans="14:14" x14ac:dyDescent="0.2">
      <c r="N11097" s="131"/>
    </row>
    <row r="11098" spans="14:14" x14ac:dyDescent="0.2">
      <c r="N11098" s="131"/>
    </row>
    <row r="11099" spans="14:14" x14ac:dyDescent="0.2">
      <c r="N11099" s="131"/>
    </row>
    <row r="11100" spans="14:14" x14ac:dyDescent="0.2">
      <c r="N11100" s="131"/>
    </row>
    <row r="11101" spans="14:14" x14ac:dyDescent="0.2">
      <c r="N11101" s="131"/>
    </row>
    <row r="11102" spans="14:14" x14ac:dyDescent="0.2">
      <c r="N11102" s="131"/>
    </row>
    <row r="11103" spans="14:14" x14ac:dyDescent="0.2">
      <c r="N11103" s="131"/>
    </row>
    <row r="11104" spans="14:14" x14ac:dyDescent="0.2">
      <c r="N11104" s="131"/>
    </row>
    <row r="11105" spans="14:14" x14ac:dyDescent="0.2">
      <c r="N11105" s="131"/>
    </row>
    <row r="11106" spans="14:14" x14ac:dyDescent="0.2">
      <c r="N11106" s="131"/>
    </row>
    <row r="11107" spans="14:14" x14ac:dyDescent="0.2">
      <c r="N11107" s="131"/>
    </row>
    <row r="11108" spans="14:14" x14ac:dyDescent="0.2">
      <c r="N11108" s="131"/>
    </row>
    <row r="11109" spans="14:14" x14ac:dyDescent="0.2">
      <c r="N11109" s="131"/>
    </row>
    <row r="11110" spans="14:14" x14ac:dyDescent="0.2">
      <c r="N11110" s="131"/>
    </row>
    <row r="11111" spans="14:14" x14ac:dyDescent="0.2">
      <c r="N11111" s="131"/>
    </row>
    <row r="11112" spans="14:14" x14ac:dyDescent="0.2">
      <c r="N11112" s="131"/>
    </row>
    <row r="11113" spans="14:14" x14ac:dyDescent="0.2">
      <c r="N11113" s="131"/>
    </row>
    <row r="11114" spans="14:14" x14ac:dyDescent="0.2">
      <c r="N11114" s="131"/>
    </row>
    <row r="11115" spans="14:14" x14ac:dyDescent="0.2">
      <c r="N11115" s="131"/>
    </row>
    <row r="11116" spans="14:14" x14ac:dyDescent="0.2">
      <c r="N11116" s="131"/>
    </row>
    <row r="11117" spans="14:14" x14ac:dyDescent="0.2">
      <c r="N11117" s="131"/>
    </row>
    <row r="11118" spans="14:14" x14ac:dyDescent="0.2">
      <c r="N11118" s="131"/>
    </row>
    <row r="11119" spans="14:14" x14ac:dyDescent="0.2">
      <c r="N11119" s="131"/>
    </row>
    <row r="11120" spans="14:14" x14ac:dyDescent="0.2">
      <c r="N11120" s="131"/>
    </row>
    <row r="11121" spans="14:14" x14ac:dyDescent="0.2">
      <c r="N11121" s="131"/>
    </row>
    <row r="11122" spans="14:14" x14ac:dyDescent="0.2">
      <c r="N11122" s="131"/>
    </row>
    <row r="11123" spans="14:14" x14ac:dyDescent="0.2">
      <c r="N11123" s="131"/>
    </row>
    <row r="11124" spans="14:14" x14ac:dyDescent="0.2">
      <c r="N11124" s="131"/>
    </row>
    <row r="11125" spans="14:14" x14ac:dyDescent="0.2">
      <c r="N11125" s="131"/>
    </row>
    <row r="11126" spans="14:14" x14ac:dyDescent="0.2">
      <c r="N11126" s="131"/>
    </row>
    <row r="11127" spans="14:14" x14ac:dyDescent="0.2">
      <c r="N11127" s="131"/>
    </row>
    <row r="11128" spans="14:14" x14ac:dyDescent="0.2">
      <c r="N11128" s="131"/>
    </row>
    <row r="11129" spans="14:14" x14ac:dyDescent="0.2">
      <c r="N11129" s="131"/>
    </row>
    <row r="11130" spans="14:14" x14ac:dyDescent="0.2">
      <c r="N11130" s="131"/>
    </row>
    <row r="11131" spans="14:14" x14ac:dyDescent="0.2">
      <c r="N11131" s="131"/>
    </row>
    <row r="11132" spans="14:14" x14ac:dyDescent="0.2">
      <c r="N11132" s="131"/>
    </row>
    <row r="11133" spans="14:14" x14ac:dyDescent="0.2">
      <c r="N11133" s="131"/>
    </row>
    <row r="11134" spans="14:14" x14ac:dyDescent="0.2">
      <c r="N11134" s="131"/>
    </row>
    <row r="11135" spans="14:14" x14ac:dyDescent="0.2">
      <c r="N11135" s="131"/>
    </row>
    <row r="11136" spans="14:14" x14ac:dyDescent="0.2">
      <c r="N11136" s="131"/>
    </row>
    <row r="11137" spans="14:14" x14ac:dyDescent="0.2">
      <c r="N11137" s="131"/>
    </row>
    <row r="11138" spans="14:14" x14ac:dyDescent="0.2">
      <c r="N11138" s="131"/>
    </row>
    <row r="11139" spans="14:14" x14ac:dyDescent="0.2">
      <c r="N11139" s="131"/>
    </row>
    <row r="11140" spans="14:14" x14ac:dyDescent="0.2">
      <c r="N11140" s="131"/>
    </row>
    <row r="11141" spans="14:14" x14ac:dyDescent="0.2">
      <c r="N11141" s="131"/>
    </row>
    <row r="11142" spans="14:14" x14ac:dyDescent="0.2">
      <c r="N11142" s="131"/>
    </row>
    <row r="11143" spans="14:14" x14ac:dyDescent="0.2">
      <c r="N11143" s="131"/>
    </row>
    <row r="11144" spans="14:14" x14ac:dyDescent="0.2">
      <c r="N11144" s="131"/>
    </row>
    <row r="11145" spans="14:14" x14ac:dyDescent="0.2">
      <c r="N11145" s="131"/>
    </row>
    <row r="11146" spans="14:14" x14ac:dyDescent="0.2">
      <c r="N11146" s="131"/>
    </row>
    <row r="11147" spans="14:14" x14ac:dyDescent="0.2">
      <c r="N11147" s="131"/>
    </row>
    <row r="11148" spans="14:14" x14ac:dyDescent="0.2">
      <c r="N11148" s="131"/>
    </row>
    <row r="11149" spans="14:14" x14ac:dyDescent="0.2">
      <c r="N11149" s="131"/>
    </row>
    <row r="11150" spans="14:14" x14ac:dyDescent="0.2">
      <c r="N11150" s="131"/>
    </row>
    <row r="11151" spans="14:14" x14ac:dyDescent="0.2">
      <c r="N11151" s="131"/>
    </row>
    <row r="11152" spans="14:14" x14ac:dyDescent="0.2">
      <c r="N11152" s="131"/>
    </row>
    <row r="11153" spans="14:14" x14ac:dyDescent="0.2">
      <c r="N11153" s="131"/>
    </row>
    <row r="11154" spans="14:14" x14ac:dyDescent="0.2">
      <c r="N11154" s="131"/>
    </row>
    <row r="11155" spans="14:14" x14ac:dyDescent="0.2">
      <c r="N11155" s="131"/>
    </row>
    <row r="11156" spans="14:14" x14ac:dyDescent="0.2">
      <c r="N11156" s="131"/>
    </row>
    <row r="11157" spans="14:14" x14ac:dyDescent="0.2">
      <c r="N11157" s="131"/>
    </row>
    <row r="11158" spans="14:14" x14ac:dyDescent="0.2">
      <c r="N11158" s="131"/>
    </row>
    <row r="11159" spans="14:14" x14ac:dyDescent="0.2">
      <c r="N11159" s="131"/>
    </row>
    <row r="11160" spans="14:14" x14ac:dyDescent="0.2">
      <c r="N11160" s="131"/>
    </row>
    <row r="11161" spans="14:14" x14ac:dyDescent="0.2">
      <c r="N11161" s="131"/>
    </row>
    <row r="11162" spans="14:14" x14ac:dyDescent="0.2">
      <c r="N11162" s="131"/>
    </row>
    <row r="11163" spans="14:14" x14ac:dyDescent="0.2">
      <c r="N11163" s="131"/>
    </row>
    <row r="11164" spans="14:14" x14ac:dyDescent="0.2">
      <c r="N11164" s="131"/>
    </row>
    <row r="11165" spans="14:14" x14ac:dyDescent="0.2">
      <c r="N11165" s="131"/>
    </row>
    <row r="11166" spans="14:14" x14ac:dyDescent="0.2">
      <c r="N11166" s="131"/>
    </row>
    <row r="11167" spans="14:14" x14ac:dyDescent="0.2">
      <c r="N11167" s="131"/>
    </row>
    <row r="11168" spans="14:14" x14ac:dyDescent="0.2">
      <c r="N11168" s="131"/>
    </row>
    <row r="11169" spans="14:14" x14ac:dyDescent="0.2">
      <c r="N11169" s="131"/>
    </row>
    <row r="11170" spans="14:14" x14ac:dyDescent="0.2">
      <c r="N11170" s="131"/>
    </row>
    <row r="11171" spans="14:14" x14ac:dyDescent="0.2">
      <c r="N11171" s="131"/>
    </row>
    <row r="11172" spans="14:14" x14ac:dyDescent="0.2">
      <c r="N11172" s="131"/>
    </row>
    <row r="11173" spans="14:14" x14ac:dyDescent="0.2">
      <c r="N11173" s="131"/>
    </row>
    <row r="11174" spans="14:14" x14ac:dyDescent="0.2">
      <c r="N11174" s="131"/>
    </row>
    <row r="11175" spans="14:14" x14ac:dyDescent="0.2">
      <c r="N11175" s="131"/>
    </row>
    <row r="11176" spans="14:14" x14ac:dyDescent="0.2">
      <c r="N11176" s="131"/>
    </row>
    <row r="11177" spans="14:14" x14ac:dyDescent="0.2">
      <c r="N11177" s="131"/>
    </row>
    <row r="11178" spans="14:14" x14ac:dyDescent="0.2">
      <c r="N11178" s="131"/>
    </row>
    <row r="11179" spans="14:14" x14ac:dyDescent="0.2">
      <c r="N11179" s="131"/>
    </row>
    <row r="11180" spans="14:14" x14ac:dyDescent="0.2">
      <c r="N11180" s="131"/>
    </row>
    <row r="11181" spans="14:14" x14ac:dyDescent="0.2">
      <c r="N11181" s="131"/>
    </row>
    <row r="11182" spans="14:14" x14ac:dyDescent="0.2">
      <c r="N11182" s="131"/>
    </row>
    <row r="11183" spans="14:14" x14ac:dyDescent="0.2">
      <c r="N11183" s="131"/>
    </row>
    <row r="11184" spans="14:14" x14ac:dyDescent="0.2">
      <c r="N11184" s="131"/>
    </row>
    <row r="11185" spans="14:14" x14ac:dyDescent="0.2">
      <c r="N11185" s="131"/>
    </row>
    <row r="11186" spans="14:14" x14ac:dyDescent="0.2">
      <c r="N11186" s="131"/>
    </row>
    <row r="11187" spans="14:14" x14ac:dyDescent="0.2">
      <c r="N11187" s="131"/>
    </row>
    <row r="11188" spans="14:14" x14ac:dyDescent="0.2">
      <c r="N11188" s="131"/>
    </row>
    <row r="11189" spans="14:14" x14ac:dyDescent="0.2">
      <c r="N11189" s="131"/>
    </row>
    <row r="11190" spans="14:14" x14ac:dyDescent="0.2">
      <c r="N11190" s="131"/>
    </row>
    <row r="11191" spans="14:14" x14ac:dyDescent="0.2">
      <c r="N11191" s="131"/>
    </row>
    <row r="11192" spans="14:14" x14ac:dyDescent="0.2">
      <c r="N11192" s="131"/>
    </row>
    <row r="11193" spans="14:14" x14ac:dyDescent="0.2">
      <c r="N11193" s="131"/>
    </row>
    <row r="11194" spans="14:14" x14ac:dyDescent="0.2">
      <c r="N11194" s="131"/>
    </row>
    <row r="11195" spans="14:14" x14ac:dyDescent="0.2">
      <c r="N11195" s="131"/>
    </row>
    <row r="11196" spans="14:14" x14ac:dyDescent="0.2">
      <c r="N11196" s="131"/>
    </row>
    <row r="11197" spans="14:14" x14ac:dyDescent="0.2">
      <c r="N11197" s="131"/>
    </row>
    <row r="11198" spans="14:14" x14ac:dyDescent="0.2">
      <c r="N11198" s="131"/>
    </row>
    <row r="11199" spans="14:14" x14ac:dyDescent="0.2">
      <c r="N11199" s="131"/>
    </row>
    <row r="11200" spans="14:14" x14ac:dyDescent="0.2">
      <c r="N11200" s="131"/>
    </row>
    <row r="11201" spans="14:14" x14ac:dyDescent="0.2">
      <c r="N11201" s="131"/>
    </row>
    <row r="11202" spans="14:14" x14ac:dyDescent="0.2">
      <c r="N11202" s="131"/>
    </row>
    <row r="11203" spans="14:14" x14ac:dyDescent="0.2">
      <c r="N11203" s="131"/>
    </row>
    <row r="11204" spans="14:14" x14ac:dyDescent="0.2">
      <c r="N11204" s="131"/>
    </row>
    <row r="11205" spans="14:14" x14ac:dyDescent="0.2">
      <c r="N11205" s="131"/>
    </row>
    <row r="11206" spans="14:14" x14ac:dyDescent="0.2">
      <c r="N11206" s="131"/>
    </row>
    <row r="11207" spans="14:14" x14ac:dyDescent="0.2">
      <c r="N11207" s="131"/>
    </row>
    <row r="11208" spans="14:14" x14ac:dyDescent="0.2">
      <c r="N11208" s="131"/>
    </row>
    <row r="11209" spans="14:14" x14ac:dyDescent="0.2">
      <c r="N11209" s="131"/>
    </row>
    <row r="11210" spans="14:14" x14ac:dyDescent="0.2">
      <c r="N11210" s="131"/>
    </row>
    <row r="11211" spans="14:14" x14ac:dyDescent="0.2">
      <c r="N11211" s="131"/>
    </row>
    <row r="11212" spans="14:14" x14ac:dyDescent="0.2">
      <c r="N11212" s="131"/>
    </row>
    <row r="11213" spans="14:14" x14ac:dyDescent="0.2">
      <c r="N11213" s="131"/>
    </row>
    <row r="11214" spans="14:14" x14ac:dyDescent="0.2">
      <c r="N11214" s="131"/>
    </row>
    <row r="11215" spans="14:14" x14ac:dyDescent="0.2">
      <c r="N11215" s="131"/>
    </row>
    <row r="11216" spans="14:14" x14ac:dyDescent="0.2">
      <c r="N11216" s="131"/>
    </row>
    <row r="11217" spans="14:14" x14ac:dyDescent="0.2">
      <c r="N11217" s="131"/>
    </row>
    <row r="11218" spans="14:14" x14ac:dyDescent="0.2">
      <c r="N11218" s="131"/>
    </row>
    <row r="11219" spans="14:14" x14ac:dyDescent="0.2">
      <c r="N11219" s="131"/>
    </row>
    <row r="11220" spans="14:14" x14ac:dyDescent="0.2">
      <c r="N11220" s="131"/>
    </row>
    <row r="11221" spans="14:14" x14ac:dyDescent="0.2">
      <c r="N11221" s="131"/>
    </row>
    <row r="11222" spans="14:14" x14ac:dyDescent="0.2">
      <c r="N11222" s="131"/>
    </row>
    <row r="11223" spans="14:14" x14ac:dyDescent="0.2">
      <c r="N11223" s="131"/>
    </row>
    <row r="11224" spans="14:14" x14ac:dyDescent="0.2">
      <c r="N11224" s="131"/>
    </row>
    <row r="11225" spans="14:14" x14ac:dyDescent="0.2">
      <c r="N11225" s="131"/>
    </row>
    <row r="11226" spans="14:14" x14ac:dyDescent="0.2">
      <c r="N11226" s="131"/>
    </row>
    <row r="11227" spans="14:14" x14ac:dyDescent="0.2">
      <c r="N11227" s="131"/>
    </row>
    <row r="11228" spans="14:14" x14ac:dyDescent="0.2">
      <c r="N11228" s="131"/>
    </row>
    <row r="11229" spans="14:14" x14ac:dyDescent="0.2">
      <c r="N11229" s="131"/>
    </row>
    <row r="11230" spans="14:14" x14ac:dyDescent="0.2">
      <c r="N11230" s="131"/>
    </row>
    <row r="11231" spans="14:14" x14ac:dyDescent="0.2">
      <c r="N11231" s="131"/>
    </row>
    <row r="11232" spans="14:14" x14ac:dyDescent="0.2">
      <c r="N11232" s="131"/>
    </row>
    <row r="11233" spans="14:14" x14ac:dyDescent="0.2">
      <c r="N11233" s="131"/>
    </row>
    <row r="11234" spans="14:14" x14ac:dyDescent="0.2">
      <c r="N11234" s="131"/>
    </row>
    <row r="11235" spans="14:14" x14ac:dyDescent="0.2">
      <c r="N11235" s="131"/>
    </row>
    <row r="11236" spans="14:14" x14ac:dyDescent="0.2">
      <c r="N11236" s="131"/>
    </row>
    <row r="11237" spans="14:14" x14ac:dyDescent="0.2">
      <c r="N11237" s="131"/>
    </row>
    <row r="11238" spans="14:14" x14ac:dyDescent="0.2">
      <c r="N11238" s="131"/>
    </row>
    <row r="11239" spans="14:14" x14ac:dyDescent="0.2">
      <c r="N11239" s="131"/>
    </row>
    <row r="11240" spans="14:14" x14ac:dyDescent="0.2">
      <c r="N11240" s="131"/>
    </row>
    <row r="11241" spans="14:14" x14ac:dyDescent="0.2">
      <c r="N11241" s="131"/>
    </row>
    <row r="11242" spans="14:14" x14ac:dyDescent="0.2">
      <c r="N11242" s="131"/>
    </row>
    <row r="11243" spans="14:14" x14ac:dyDescent="0.2">
      <c r="N11243" s="131"/>
    </row>
    <row r="11244" spans="14:14" x14ac:dyDescent="0.2">
      <c r="N11244" s="131"/>
    </row>
    <row r="11245" spans="14:14" x14ac:dyDescent="0.2">
      <c r="N11245" s="131"/>
    </row>
    <row r="11246" spans="14:14" x14ac:dyDescent="0.2">
      <c r="N11246" s="131"/>
    </row>
    <row r="11247" spans="14:14" x14ac:dyDescent="0.2">
      <c r="N11247" s="131"/>
    </row>
    <row r="11248" spans="14:14" x14ac:dyDescent="0.2">
      <c r="N11248" s="131"/>
    </row>
    <row r="11249" spans="14:14" x14ac:dyDescent="0.2">
      <c r="N11249" s="131"/>
    </row>
    <row r="11250" spans="14:14" x14ac:dyDescent="0.2">
      <c r="N11250" s="131"/>
    </row>
    <row r="11251" spans="14:14" x14ac:dyDescent="0.2">
      <c r="N11251" s="131"/>
    </row>
    <row r="11252" spans="14:14" x14ac:dyDescent="0.2">
      <c r="N11252" s="131"/>
    </row>
    <row r="11253" spans="14:14" x14ac:dyDescent="0.2">
      <c r="N11253" s="131"/>
    </row>
    <row r="11254" spans="14:14" x14ac:dyDescent="0.2">
      <c r="N11254" s="131"/>
    </row>
    <row r="11255" spans="14:14" x14ac:dyDescent="0.2">
      <c r="N11255" s="131"/>
    </row>
    <row r="11256" spans="14:14" x14ac:dyDescent="0.2">
      <c r="N11256" s="131"/>
    </row>
    <row r="11257" spans="14:14" x14ac:dyDescent="0.2">
      <c r="N11257" s="131"/>
    </row>
    <row r="11258" spans="14:14" x14ac:dyDescent="0.2">
      <c r="N11258" s="131"/>
    </row>
    <row r="11259" spans="14:14" x14ac:dyDescent="0.2">
      <c r="N11259" s="131"/>
    </row>
    <row r="11260" spans="14:14" x14ac:dyDescent="0.2">
      <c r="N11260" s="131"/>
    </row>
    <row r="11261" spans="14:14" x14ac:dyDescent="0.2">
      <c r="N11261" s="131"/>
    </row>
    <row r="11262" spans="14:14" x14ac:dyDescent="0.2">
      <c r="N11262" s="131"/>
    </row>
    <row r="11263" spans="14:14" x14ac:dyDescent="0.2">
      <c r="N11263" s="131"/>
    </row>
    <row r="11264" spans="14:14" x14ac:dyDescent="0.2">
      <c r="N11264" s="131"/>
    </row>
    <row r="11265" spans="14:14" x14ac:dyDescent="0.2">
      <c r="N11265" s="131"/>
    </row>
    <row r="11266" spans="14:14" x14ac:dyDescent="0.2">
      <c r="N11266" s="131"/>
    </row>
    <row r="11267" spans="14:14" x14ac:dyDescent="0.2">
      <c r="N11267" s="131"/>
    </row>
    <row r="11268" spans="14:14" x14ac:dyDescent="0.2">
      <c r="N11268" s="131"/>
    </row>
    <row r="11269" spans="14:14" x14ac:dyDescent="0.2">
      <c r="N11269" s="131"/>
    </row>
    <row r="11270" spans="14:14" x14ac:dyDescent="0.2">
      <c r="N11270" s="131"/>
    </row>
    <row r="11271" spans="14:14" x14ac:dyDescent="0.2">
      <c r="N11271" s="131"/>
    </row>
    <row r="11272" spans="14:14" x14ac:dyDescent="0.2">
      <c r="N11272" s="131"/>
    </row>
    <row r="11273" spans="14:14" x14ac:dyDescent="0.2">
      <c r="N11273" s="131"/>
    </row>
    <row r="11274" spans="14:14" x14ac:dyDescent="0.2">
      <c r="N11274" s="131"/>
    </row>
    <row r="11275" spans="14:14" x14ac:dyDescent="0.2">
      <c r="N11275" s="131"/>
    </row>
    <row r="11276" spans="14:14" x14ac:dyDescent="0.2">
      <c r="N11276" s="131"/>
    </row>
    <row r="11277" spans="14:14" x14ac:dyDescent="0.2">
      <c r="N11277" s="131"/>
    </row>
    <row r="11278" spans="14:14" x14ac:dyDescent="0.2">
      <c r="N11278" s="131"/>
    </row>
    <row r="11279" spans="14:14" x14ac:dyDescent="0.2">
      <c r="N11279" s="131"/>
    </row>
    <row r="11280" spans="14:14" x14ac:dyDescent="0.2">
      <c r="N11280" s="131"/>
    </row>
    <row r="11281" spans="14:14" x14ac:dyDescent="0.2">
      <c r="N11281" s="131"/>
    </row>
    <row r="11282" spans="14:14" x14ac:dyDescent="0.2">
      <c r="N11282" s="131"/>
    </row>
    <row r="11283" spans="14:14" x14ac:dyDescent="0.2">
      <c r="N11283" s="131"/>
    </row>
    <row r="11284" spans="14:14" x14ac:dyDescent="0.2">
      <c r="N11284" s="131"/>
    </row>
    <row r="11285" spans="14:14" x14ac:dyDescent="0.2">
      <c r="N11285" s="131"/>
    </row>
    <row r="11286" spans="14:14" x14ac:dyDescent="0.2">
      <c r="N11286" s="131"/>
    </row>
    <row r="11287" spans="14:14" x14ac:dyDescent="0.2">
      <c r="N11287" s="131"/>
    </row>
    <row r="11288" spans="14:14" x14ac:dyDescent="0.2">
      <c r="N11288" s="131"/>
    </row>
    <row r="11289" spans="14:14" x14ac:dyDescent="0.2">
      <c r="N11289" s="131"/>
    </row>
    <row r="11290" spans="14:14" x14ac:dyDescent="0.2">
      <c r="N11290" s="131"/>
    </row>
    <row r="11291" spans="14:14" x14ac:dyDescent="0.2">
      <c r="N11291" s="131"/>
    </row>
    <row r="11292" spans="14:14" x14ac:dyDescent="0.2">
      <c r="N11292" s="131"/>
    </row>
    <row r="11293" spans="14:14" x14ac:dyDescent="0.2">
      <c r="N11293" s="131"/>
    </row>
    <row r="11294" spans="14:14" x14ac:dyDescent="0.2">
      <c r="N11294" s="131"/>
    </row>
    <row r="11295" spans="14:14" x14ac:dyDescent="0.2">
      <c r="N11295" s="131"/>
    </row>
    <row r="11296" spans="14:14" x14ac:dyDescent="0.2">
      <c r="N11296" s="131"/>
    </row>
    <row r="11297" spans="14:14" x14ac:dyDescent="0.2">
      <c r="N11297" s="131"/>
    </row>
    <row r="11298" spans="14:14" x14ac:dyDescent="0.2">
      <c r="N11298" s="131"/>
    </row>
    <row r="11299" spans="14:14" x14ac:dyDescent="0.2">
      <c r="N11299" s="131"/>
    </row>
    <row r="11300" spans="14:14" x14ac:dyDescent="0.2">
      <c r="N11300" s="131"/>
    </row>
    <row r="11301" spans="14:14" x14ac:dyDescent="0.2">
      <c r="N11301" s="131"/>
    </row>
    <row r="11302" spans="14:14" x14ac:dyDescent="0.2">
      <c r="N11302" s="131"/>
    </row>
    <row r="11303" spans="14:14" x14ac:dyDescent="0.2">
      <c r="N11303" s="131"/>
    </row>
    <row r="11304" spans="14:14" x14ac:dyDescent="0.2">
      <c r="N11304" s="131"/>
    </row>
    <row r="11305" spans="14:14" x14ac:dyDescent="0.2">
      <c r="N11305" s="131"/>
    </row>
    <row r="11306" spans="14:14" x14ac:dyDescent="0.2">
      <c r="N11306" s="131"/>
    </row>
    <row r="11307" spans="14:14" x14ac:dyDescent="0.2">
      <c r="N11307" s="131"/>
    </row>
    <row r="11308" spans="14:14" x14ac:dyDescent="0.2">
      <c r="N11308" s="131"/>
    </row>
    <row r="11309" spans="14:14" x14ac:dyDescent="0.2">
      <c r="N11309" s="131"/>
    </row>
    <row r="11310" spans="14:14" x14ac:dyDescent="0.2">
      <c r="N11310" s="131"/>
    </row>
    <row r="11311" spans="14:14" x14ac:dyDescent="0.2">
      <c r="N11311" s="131"/>
    </row>
    <row r="11312" spans="14:14" x14ac:dyDescent="0.2">
      <c r="N11312" s="131"/>
    </row>
    <row r="11313" spans="14:14" x14ac:dyDescent="0.2">
      <c r="N11313" s="131"/>
    </row>
    <row r="11314" spans="14:14" x14ac:dyDescent="0.2">
      <c r="N11314" s="131"/>
    </row>
    <row r="11315" spans="14:14" x14ac:dyDescent="0.2">
      <c r="N11315" s="131"/>
    </row>
    <row r="11316" spans="14:14" x14ac:dyDescent="0.2">
      <c r="N11316" s="131"/>
    </row>
    <row r="11317" spans="14:14" x14ac:dyDescent="0.2">
      <c r="N11317" s="131"/>
    </row>
    <row r="11318" spans="14:14" x14ac:dyDescent="0.2">
      <c r="N11318" s="131"/>
    </row>
    <row r="11319" spans="14:14" x14ac:dyDescent="0.2">
      <c r="N11319" s="131"/>
    </row>
    <row r="11320" spans="14:14" x14ac:dyDescent="0.2">
      <c r="N11320" s="131"/>
    </row>
    <row r="11321" spans="14:14" x14ac:dyDescent="0.2">
      <c r="N11321" s="131"/>
    </row>
    <row r="11322" spans="14:14" x14ac:dyDescent="0.2">
      <c r="N11322" s="131"/>
    </row>
    <row r="11323" spans="14:14" x14ac:dyDescent="0.2">
      <c r="N11323" s="131"/>
    </row>
    <row r="11324" spans="14:14" x14ac:dyDescent="0.2">
      <c r="N11324" s="131"/>
    </row>
    <row r="11325" spans="14:14" x14ac:dyDescent="0.2">
      <c r="N11325" s="131"/>
    </row>
    <row r="11326" spans="14:14" x14ac:dyDescent="0.2">
      <c r="N11326" s="131"/>
    </row>
    <row r="11327" spans="14:14" x14ac:dyDescent="0.2">
      <c r="N11327" s="131"/>
    </row>
    <row r="11328" spans="14:14" x14ac:dyDescent="0.2">
      <c r="N11328" s="131"/>
    </row>
    <row r="11329" spans="14:14" x14ac:dyDescent="0.2">
      <c r="N11329" s="131"/>
    </row>
    <row r="11330" spans="14:14" x14ac:dyDescent="0.2">
      <c r="N11330" s="131"/>
    </row>
    <row r="11331" spans="14:14" x14ac:dyDescent="0.2">
      <c r="N11331" s="131"/>
    </row>
    <row r="11332" spans="14:14" x14ac:dyDescent="0.2">
      <c r="N11332" s="131"/>
    </row>
    <row r="11333" spans="14:14" x14ac:dyDescent="0.2">
      <c r="N11333" s="131"/>
    </row>
    <row r="11334" spans="14:14" x14ac:dyDescent="0.2">
      <c r="N11334" s="131"/>
    </row>
    <row r="11335" spans="14:14" x14ac:dyDescent="0.2">
      <c r="N11335" s="131"/>
    </row>
    <row r="11336" spans="14:14" x14ac:dyDescent="0.2">
      <c r="N11336" s="131"/>
    </row>
    <row r="11337" spans="14:14" x14ac:dyDescent="0.2">
      <c r="N11337" s="131"/>
    </row>
    <row r="11338" spans="14:14" x14ac:dyDescent="0.2">
      <c r="N11338" s="131"/>
    </row>
    <row r="11339" spans="14:14" x14ac:dyDescent="0.2">
      <c r="N11339" s="131"/>
    </row>
    <row r="11340" spans="14:14" x14ac:dyDescent="0.2">
      <c r="N11340" s="131"/>
    </row>
    <row r="11341" spans="14:14" x14ac:dyDescent="0.2">
      <c r="N11341" s="131"/>
    </row>
    <row r="11342" spans="14:14" x14ac:dyDescent="0.2">
      <c r="N11342" s="131"/>
    </row>
    <row r="11343" spans="14:14" x14ac:dyDescent="0.2">
      <c r="N11343" s="131"/>
    </row>
    <row r="11344" spans="14:14" x14ac:dyDescent="0.2">
      <c r="N11344" s="131"/>
    </row>
    <row r="11345" spans="14:14" x14ac:dyDescent="0.2">
      <c r="N11345" s="131"/>
    </row>
    <row r="11346" spans="14:14" x14ac:dyDescent="0.2">
      <c r="N11346" s="131"/>
    </row>
    <row r="11347" spans="14:14" x14ac:dyDescent="0.2">
      <c r="N11347" s="131"/>
    </row>
    <row r="11348" spans="14:14" x14ac:dyDescent="0.2">
      <c r="N11348" s="131"/>
    </row>
    <row r="11349" spans="14:14" x14ac:dyDescent="0.2">
      <c r="N11349" s="131"/>
    </row>
    <row r="11350" spans="14:14" x14ac:dyDescent="0.2">
      <c r="N11350" s="131"/>
    </row>
    <row r="11351" spans="14:14" x14ac:dyDescent="0.2">
      <c r="N11351" s="131"/>
    </row>
    <row r="11352" spans="14:14" x14ac:dyDescent="0.2">
      <c r="N11352" s="131"/>
    </row>
    <row r="11353" spans="14:14" x14ac:dyDescent="0.2">
      <c r="N11353" s="131"/>
    </row>
    <row r="11354" spans="14:14" x14ac:dyDescent="0.2">
      <c r="N11354" s="131"/>
    </row>
    <row r="11355" spans="14:14" x14ac:dyDescent="0.2">
      <c r="N11355" s="131"/>
    </row>
    <row r="11356" spans="14:14" x14ac:dyDescent="0.2">
      <c r="N11356" s="131"/>
    </row>
    <row r="11357" spans="14:14" x14ac:dyDescent="0.2">
      <c r="N11357" s="131"/>
    </row>
    <row r="11358" spans="14:14" x14ac:dyDescent="0.2">
      <c r="N11358" s="131"/>
    </row>
    <row r="11359" spans="14:14" x14ac:dyDescent="0.2">
      <c r="N11359" s="131"/>
    </row>
    <row r="11360" spans="14:14" x14ac:dyDescent="0.2">
      <c r="N11360" s="131"/>
    </row>
    <row r="11361" spans="14:14" x14ac:dyDescent="0.2">
      <c r="N11361" s="131"/>
    </row>
    <row r="11362" spans="14:14" x14ac:dyDescent="0.2">
      <c r="N11362" s="131"/>
    </row>
    <row r="11363" spans="14:14" x14ac:dyDescent="0.2">
      <c r="N11363" s="131"/>
    </row>
    <row r="11364" spans="14:14" x14ac:dyDescent="0.2">
      <c r="N11364" s="131"/>
    </row>
    <row r="11365" spans="14:14" x14ac:dyDescent="0.2">
      <c r="N11365" s="131"/>
    </row>
    <row r="11366" spans="14:14" x14ac:dyDescent="0.2">
      <c r="N11366" s="131"/>
    </row>
    <row r="11367" spans="14:14" x14ac:dyDescent="0.2">
      <c r="N11367" s="131"/>
    </row>
    <row r="11368" spans="14:14" x14ac:dyDescent="0.2">
      <c r="N11368" s="131"/>
    </row>
    <row r="11369" spans="14:14" x14ac:dyDescent="0.2">
      <c r="N11369" s="131"/>
    </row>
    <row r="11370" spans="14:14" x14ac:dyDescent="0.2">
      <c r="N11370" s="131"/>
    </row>
    <row r="11371" spans="14:14" x14ac:dyDescent="0.2">
      <c r="N11371" s="131"/>
    </row>
    <row r="11372" spans="14:14" x14ac:dyDescent="0.2">
      <c r="N11372" s="131"/>
    </row>
    <row r="11373" spans="14:14" x14ac:dyDescent="0.2">
      <c r="N11373" s="131"/>
    </row>
    <row r="11374" spans="14:14" x14ac:dyDescent="0.2">
      <c r="N11374" s="131"/>
    </row>
    <row r="11375" spans="14:14" x14ac:dyDescent="0.2">
      <c r="N11375" s="131"/>
    </row>
    <row r="11376" spans="14:14" x14ac:dyDescent="0.2">
      <c r="N11376" s="131"/>
    </row>
    <row r="11377" spans="14:14" x14ac:dyDescent="0.2">
      <c r="N11377" s="131"/>
    </row>
    <row r="11378" spans="14:14" x14ac:dyDescent="0.2">
      <c r="N11378" s="131"/>
    </row>
    <row r="11379" spans="14:14" x14ac:dyDescent="0.2">
      <c r="N11379" s="131"/>
    </row>
    <row r="11380" spans="14:14" x14ac:dyDescent="0.2">
      <c r="N11380" s="131"/>
    </row>
    <row r="11381" spans="14:14" x14ac:dyDescent="0.2">
      <c r="N11381" s="131"/>
    </row>
    <row r="11382" spans="14:14" x14ac:dyDescent="0.2">
      <c r="N11382" s="131"/>
    </row>
    <row r="11383" spans="14:14" x14ac:dyDescent="0.2">
      <c r="N11383" s="131"/>
    </row>
    <row r="11384" spans="14:14" x14ac:dyDescent="0.2">
      <c r="N11384" s="131"/>
    </row>
    <row r="11385" spans="14:14" x14ac:dyDescent="0.2">
      <c r="N11385" s="131"/>
    </row>
    <row r="11386" spans="14:14" x14ac:dyDescent="0.2">
      <c r="N11386" s="131"/>
    </row>
    <row r="11387" spans="14:14" x14ac:dyDescent="0.2">
      <c r="N11387" s="131"/>
    </row>
    <row r="11388" spans="14:14" x14ac:dyDescent="0.2">
      <c r="N11388" s="131"/>
    </row>
    <row r="11389" spans="14:14" x14ac:dyDescent="0.2">
      <c r="N11389" s="131"/>
    </row>
    <row r="11390" spans="14:14" x14ac:dyDescent="0.2">
      <c r="N11390" s="131"/>
    </row>
    <row r="11391" spans="14:14" x14ac:dyDescent="0.2">
      <c r="N11391" s="131"/>
    </row>
    <row r="11392" spans="14:14" x14ac:dyDescent="0.2">
      <c r="N11392" s="131"/>
    </row>
    <row r="11393" spans="14:14" x14ac:dyDescent="0.2">
      <c r="N11393" s="131"/>
    </row>
    <row r="11394" spans="14:14" x14ac:dyDescent="0.2">
      <c r="N11394" s="131"/>
    </row>
    <row r="11395" spans="14:14" x14ac:dyDescent="0.2">
      <c r="N11395" s="131"/>
    </row>
    <row r="11396" spans="14:14" x14ac:dyDescent="0.2">
      <c r="N11396" s="131"/>
    </row>
    <row r="11397" spans="14:14" x14ac:dyDescent="0.2">
      <c r="N11397" s="131"/>
    </row>
    <row r="11398" spans="14:14" x14ac:dyDescent="0.2">
      <c r="N11398" s="131"/>
    </row>
    <row r="11399" spans="14:14" x14ac:dyDescent="0.2">
      <c r="N11399" s="131"/>
    </row>
    <row r="11400" spans="14:14" x14ac:dyDescent="0.2">
      <c r="N11400" s="131"/>
    </row>
    <row r="11401" spans="14:14" x14ac:dyDescent="0.2">
      <c r="N11401" s="131"/>
    </row>
    <row r="11402" spans="14:14" x14ac:dyDescent="0.2">
      <c r="N11402" s="131"/>
    </row>
    <row r="11403" spans="14:14" x14ac:dyDescent="0.2">
      <c r="N11403" s="131"/>
    </row>
    <row r="11404" spans="14:14" x14ac:dyDescent="0.2">
      <c r="N11404" s="131"/>
    </row>
    <row r="11405" spans="14:14" x14ac:dyDescent="0.2">
      <c r="N11405" s="131"/>
    </row>
    <row r="11406" spans="14:14" x14ac:dyDescent="0.2">
      <c r="N11406" s="131"/>
    </row>
    <row r="11407" spans="14:14" x14ac:dyDescent="0.2">
      <c r="N11407" s="131"/>
    </row>
    <row r="11408" spans="14:14" x14ac:dyDescent="0.2">
      <c r="N11408" s="131"/>
    </row>
    <row r="11409" spans="14:14" x14ac:dyDescent="0.2">
      <c r="N11409" s="131"/>
    </row>
    <row r="11410" spans="14:14" x14ac:dyDescent="0.2">
      <c r="N11410" s="131"/>
    </row>
    <row r="11411" spans="14:14" x14ac:dyDescent="0.2">
      <c r="N11411" s="131"/>
    </row>
    <row r="11412" spans="14:14" x14ac:dyDescent="0.2">
      <c r="N11412" s="131"/>
    </row>
    <row r="11413" spans="14:14" x14ac:dyDescent="0.2">
      <c r="N11413" s="131"/>
    </row>
    <row r="11414" spans="14:14" x14ac:dyDescent="0.2">
      <c r="N11414" s="131"/>
    </row>
    <row r="11415" spans="14:14" x14ac:dyDescent="0.2">
      <c r="N11415" s="131"/>
    </row>
    <row r="11416" spans="14:14" x14ac:dyDescent="0.2">
      <c r="N11416" s="131"/>
    </row>
    <row r="11417" spans="14:14" x14ac:dyDescent="0.2">
      <c r="N11417" s="131"/>
    </row>
    <row r="11418" spans="14:14" x14ac:dyDescent="0.2">
      <c r="N11418" s="131"/>
    </row>
    <row r="11419" spans="14:14" x14ac:dyDescent="0.2">
      <c r="N11419" s="131"/>
    </row>
    <row r="11420" spans="14:14" x14ac:dyDescent="0.2">
      <c r="N11420" s="131"/>
    </row>
    <row r="11421" spans="14:14" x14ac:dyDescent="0.2">
      <c r="N11421" s="131"/>
    </row>
    <row r="11422" spans="14:14" x14ac:dyDescent="0.2">
      <c r="N11422" s="131"/>
    </row>
    <row r="11423" spans="14:14" x14ac:dyDescent="0.2">
      <c r="N11423" s="131"/>
    </row>
    <row r="11424" spans="14:14" x14ac:dyDescent="0.2">
      <c r="N11424" s="131"/>
    </row>
    <row r="11425" spans="14:14" x14ac:dyDescent="0.2">
      <c r="N11425" s="131"/>
    </row>
    <row r="11426" spans="14:14" x14ac:dyDescent="0.2">
      <c r="N11426" s="131"/>
    </row>
    <row r="11427" spans="14:14" x14ac:dyDescent="0.2">
      <c r="N11427" s="131"/>
    </row>
    <row r="11428" spans="14:14" x14ac:dyDescent="0.2">
      <c r="N11428" s="131"/>
    </row>
    <row r="11429" spans="14:14" x14ac:dyDescent="0.2">
      <c r="N11429" s="131"/>
    </row>
    <row r="11430" spans="14:14" x14ac:dyDescent="0.2">
      <c r="N11430" s="131"/>
    </row>
    <row r="11431" spans="14:14" x14ac:dyDescent="0.2">
      <c r="N11431" s="131"/>
    </row>
    <row r="11432" spans="14:14" x14ac:dyDescent="0.2">
      <c r="N11432" s="131"/>
    </row>
    <row r="11433" spans="14:14" x14ac:dyDescent="0.2">
      <c r="N11433" s="131"/>
    </row>
    <row r="11434" spans="14:14" x14ac:dyDescent="0.2">
      <c r="N11434" s="131"/>
    </row>
    <row r="11435" spans="14:14" x14ac:dyDescent="0.2">
      <c r="N11435" s="131"/>
    </row>
    <row r="11436" spans="14:14" x14ac:dyDescent="0.2">
      <c r="N11436" s="131"/>
    </row>
    <row r="11437" spans="14:14" x14ac:dyDescent="0.2">
      <c r="N11437" s="131"/>
    </row>
    <row r="11438" spans="14:14" x14ac:dyDescent="0.2">
      <c r="N11438" s="131"/>
    </row>
    <row r="11439" spans="14:14" x14ac:dyDescent="0.2">
      <c r="N11439" s="131"/>
    </row>
    <row r="11440" spans="14:14" x14ac:dyDescent="0.2">
      <c r="N11440" s="131"/>
    </row>
    <row r="11441" spans="14:14" x14ac:dyDescent="0.2">
      <c r="N11441" s="131"/>
    </row>
    <row r="11442" spans="14:14" x14ac:dyDescent="0.2">
      <c r="N11442" s="131"/>
    </row>
    <row r="11443" spans="14:14" x14ac:dyDescent="0.2">
      <c r="N11443" s="131"/>
    </row>
    <row r="11444" spans="14:14" x14ac:dyDescent="0.2">
      <c r="N11444" s="131"/>
    </row>
    <row r="11445" spans="14:14" x14ac:dyDescent="0.2">
      <c r="N11445" s="131"/>
    </row>
    <row r="11446" spans="14:14" x14ac:dyDescent="0.2">
      <c r="N11446" s="131"/>
    </row>
    <row r="11447" spans="14:14" x14ac:dyDescent="0.2">
      <c r="N11447" s="131"/>
    </row>
    <row r="11448" spans="14:14" x14ac:dyDescent="0.2">
      <c r="N11448" s="131"/>
    </row>
    <row r="11449" spans="14:14" x14ac:dyDescent="0.2">
      <c r="N11449" s="131"/>
    </row>
    <row r="11450" spans="14:14" x14ac:dyDescent="0.2">
      <c r="N11450" s="131"/>
    </row>
    <row r="11451" spans="14:14" x14ac:dyDescent="0.2">
      <c r="N11451" s="131"/>
    </row>
    <row r="11452" spans="14:14" x14ac:dyDescent="0.2">
      <c r="N11452" s="131"/>
    </row>
    <row r="11453" spans="14:14" x14ac:dyDescent="0.2">
      <c r="N11453" s="131"/>
    </row>
    <row r="11454" spans="14:14" x14ac:dyDescent="0.2">
      <c r="N11454" s="131"/>
    </row>
    <row r="11455" spans="14:14" x14ac:dyDescent="0.2">
      <c r="N11455" s="131"/>
    </row>
    <row r="11456" spans="14:14" x14ac:dyDescent="0.2">
      <c r="N11456" s="131"/>
    </row>
    <row r="11457" spans="14:14" x14ac:dyDescent="0.2">
      <c r="N11457" s="131"/>
    </row>
    <row r="11458" spans="14:14" x14ac:dyDescent="0.2">
      <c r="N11458" s="131"/>
    </row>
    <row r="11459" spans="14:14" x14ac:dyDescent="0.2">
      <c r="N11459" s="131"/>
    </row>
    <row r="11460" spans="14:14" x14ac:dyDescent="0.2">
      <c r="N11460" s="131"/>
    </row>
    <row r="11461" spans="14:14" x14ac:dyDescent="0.2">
      <c r="N11461" s="131"/>
    </row>
    <row r="11462" spans="14:14" x14ac:dyDescent="0.2">
      <c r="N11462" s="131"/>
    </row>
    <row r="11463" spans="14:14" x14ac:dyDescent="0.2">
      <c r="N11463" s="131"/>
    </row>
    <row r="11464" spans="14:14" x14ac:dyDescent="0.2">
      <c r="N11464" s="131"/>
    </row>
    <row r="11465" spans="14:14" x14ac:dyDescent="0.2">
      <c r="N11465" s="131"/>
    </row>
    <row r="11466" spans="14:14" x14ac:dyDescent="0.2">
      <c r="N11466" s="131"/>
    </row>
    <row r="11467" spans="14:14" x14ac:dyDescent="0.2">
      <c r="N11467" s="131"/>
    </row>
    <row r="11468" spans="14:14" x14ac:dyDescent="0.2">
      <c r="N11468" s="131"/>
    </row>
    <row r="11469" spans="14:14" x14ac:dyDescent="0.2">
      <c r="N11469" s="131"/>
    </row>
    <row r="11470" spans="14:14" x14ac:dyDescent="0.2">
      <c r="N11470" s="131"/>
    </row>
    <row r="11471" spans="14:14" x14ac:dyDescent="0.2">
      <c r="N11471" s="131"/>
    </row>
    <row r="11472" spans="14:14" x14ac:dyDescent="0.2">
      <c r="N11472" s="131"/>
    </row>
    <row r="11473" spans="14:14" x14ac:dyDescent="0.2">
      <c r="N11473" s="131"/>
    </row>
    <row r="11474" spans="14:14" x14ac:dyDescent="0.2">
      <c r="N11474" s="131"/>
    </row>
    <row r="11475" spans="14:14" x14ac:dyDescent="0.2">
      <c r="N11475" s="131"/>
    </row>
    <row r="11476" spans="14:14" x14ac:dyDescent="0.2">
      <c r="N11476" s="131"/>
    </row>
    <row r="11477" spans="14:14" x14ac:dyDescent="0.2">
      <c r="N11477" s="131"/>
    </row>
    <row r="11478" spans="14:14" x14ac:dyDescent="0.2">
      <c r="N11478" s="131"/>
    </row>
    <row r="11479" spans="14:14" x14ac:dyDescent="0.2">
      <c r="N11479" s="131"/>
    </row>
    <row r="11480" spans="14:14" x14ac:dyDescent="0.2">
      <c r="N11480" s="131"/>
    </row>
    <row r="11481" spans="14:14" x14ac:dyDescent="0.2">
      <c r="N11481" s="131"/>
    </row>
    <row r="11482" spans="14:14" x14ac:dyDescent="0.2">
      <c r="N11482" s="131"/>
    </row>
    <row r="11483" spans="14:14" x14ac:dyDescent="0.2">
      <c r="N11483" s="131"/>
    </row>
    <row r="11484" spans="14:14" x14ac:dyDescent="0.2">
      <c r="N11484" s="131"/>
    </row>
    <row r="11485" spans="14:14" x14ac:dyDescent="0.2">
      <c r="N11485" s="131"/>
    </row>
    <row r="11486" spans="14:14" x14ac:dyDescent="0.2">
      <c r="N11486" s="131"/>
    </row>
    <row r="11487" spans="14:14" x14ac:dyDescent="0.2">
      <c r="N11487" s="131"/>
    </row>
    <row r="11488" spans="14:14" x14ac:dyDescent="0.2">
      <c r="N11488" s="131"/>
    </row>
    <row r="11489" spans="14:14" x14ac:dyDescent="0.2">
      <c r="N11489" s="131"/>
    </row>
    <row r="11490" spans="14:14" x14ac:dyDescent="0.2">
      <c r="N11490" s="131"/>
    </row>
    <row r="11491" spans="14:14" x14ac:dyDescent="0.2">
      <c r="N11491" s="131"/>
    </row>
    <row r="11492" spans="14:14" x14ac:dyDescent="0.2">
      <c r="N11492" s="131"/>
    </row>
    <row r="11493" spans="14:14" x14ac:dyDescent="0.2">
      <c r="N11493" s="131"/>
    </row>
    <row r="11494" spans="14:14" x14ac:dyDescent="0.2">
      <c r="N11494" s="131"/>
    </row>
    <row r="11495" spans="14:14" x14ac:dyDescent="0.2">
      <c r="N11495" s="131"/>
    </row>
    <row r="11496" spans="14:14" x14ac:dyDescent="0.2">
      <c r="N11496" s="131"/>
    </row>
    <row r="11497" spans="14:14" x14ac:dyDescent="0.2">
      <c r="N11497" s="131"/>
    </row>
    <row r="11498" spans="14:14" x14ac:dyDescent="0.2">
      <c r="N11498" s="131"/>
    </row>
    <row r="11499" spans="14:14" x14ac:dyDescent="0.2">
      <c r="N11499" s="131"/>
    </row>
    <row r="11500" spans="14:14" x14ac:dyDescent="0.2">
      <c r="N11500" s="131"/>
    </row>
    <row r="11501" spans="14:14" x14ac:dyDescent="0.2">
      <c r="N11501" s="131"/>
    </row>
    <row r="11502" spans="14:14" x14ac:dyDescent="0.2">
      <c r="N11502" s="131"/>
    </row>
    <row r="11503" spans="14:14" x14ac:dyDescent="0.2">
      <c r="N11503" s="131"/>
    </row>
    <row r="11504" spans="14:14" x14ac:dyDescent="0.2">
      <c r="N11504" s="131"/>
    </row>
    <row r="11505" spans="14:14" x14ac:dyDescent="0.2">
      <c r="N11505" s="131"/>
    </row>
    <row r="11506" spans="14:14" x14ac:dyDescent="0.2">
      <c r="N11506" s="131"/>
    </row>
    <row r="11507" spans="14:14" x14ac:dyDescent="0.2">
      <c r="N11507" s="131"/>
    </row>
    <row r="11508" spans="14:14" x14ac:dyDescent="0.2">
      <c r="N11508" s="131"/>
    </row>
    <row r="11509" spans="14:14" x14ac:dyDescent="0.2">
      <c r="N11509" s="131"/>
    </row>
    <row r="11510" spans="14:14" x14ac:dyDescent="0.2">
      <c r="N11510" s="131"/>
    </row>
    <row r="11511" spans="14:14" x14ac:dyDescent="0.2">
      <c r="N11511" s="131"/>
    </row>
    <row r="11512" spans="14:14" x14ac:dyDescent="0.2">
      <c r="N11512" s="131"/>
    </row>
    <row r="11513" spans="14:14" x14ac:dyDescent="0.2">
      <c r="N11513" s="131"/>
    </row>
    <row r="11514" spans="14:14" x14ac:dyDescent="0.2">
      <c r="N11514" s="131"/>
    </row>
    <row r="11515" spans="14:14" x14ac:dyDescent="0.2">
      <c r="N11515" s="131"/>
    </row>
    <row r="11516" spans="14:14" x14ac:dyDescent="0.2">
      <c r="N11516" s="131"/>
    </row>
    <row r="11517" spans="14:14" x14ac:dyDescent="0.2">
      <c r="N11517" s="131"/>
    </row>
    <row r="11518" spans="14:14" x14ac:dyDescent="0.2">
      <c r="N11518" s="131"/>
    </row>
    <row r="11519" spans="14:14" x14ac:dyDescent="0.2">
      <c r="N11519" s="131"/>
    </row>
    <row r="11520" spans="14:14" x14ac:dyDescent="0.2">
      <c r="N11520" s="131"/>
    </row>
    <row r="11521" spans="14:14" x14ac:dyDescent="0.2">
      <c r="N11521" s="131"/>
    </row>
    <row r="11522" spans="14:14" x14ac:dyDescent="0.2">
      <c r="N11522" s="131"/>
    </row>
    <row r="11523" spans="14:14" x14ac:dyDescent="0.2">
      <c r="N11523" s="131"/>
    </row>
    <row r="11524" spans="14:14" x14ac:dyDescent="0.2">
      <c r="N11524" s="131"/>
    </row>
    <row r="11525" spans="14:14" x14ac:dyDescent="0.2">
      <c r="N11525" s="131"/>
    </row>
    <row r="11526" spans="14:14" x14ac:dyDescent="0.2">
      <c r="N11526" s="131"/>
    </row>
    <row r="11527" spans="14:14" x14ac:dyDescent="0.2">
      <c r="N11527" s="131"/>
    </row>
    <row r="11528" spans="14:14" x14ac:dyDescent="0.2">
      <c r="N11528" s="131"/>
    </row>
    <row r="11529" spans="14:14" x14ac:dyDescent="0.2">
      <c r="N11529" s="131"/>
    </row>
    <row r="11530" spans="14:14" x14ac:dyDescent="0.2">
      <c r="N11530" s="131"/>
    </row>
    <row r="11531" spans="14:14" x14ac:dyDescent="0.2">
      <c r="N11531" s="131"/>
    </row>
    <row r="11532" spans="14:14" x14ac:dyDescent="0.2">
      <c r="N11532" s="131"/>
    </row>
    <row r="11533" spans="14:14" x14ac:dyDescent="0.2">
      <c r="N11533" s="131"/>
    </row>
    <row r="11534" spans="14:14" x14ac:dyDescent="0.2">
      <c r="N11534" s="131"/>
    </row>
    <row r="11535" spans="14:14" x14ac:dyDescent="0.2">
      <c r="N11535" s="131"/>
    </row>
    <row r="11536" spans="14:14" x14ac:dyDescent="0.2">
      <c r="N11536" s="131"/>
    </row>
    <row r="11537" spans="14:14" x14ac:dyDescent="0.2">
      <c r="N11537" s="131"/>
    </row>
    <row r="11538" spans="14:14" x14ac:dyDescent="0.2">
      <c r="N11538" s="131"/>
    </row>
    <row r="11539" spans="14:14" x14ac:dyDescent="0.2">
      <c r="N11539" s="131"/>
    </row>
    <row r="11540" spans="14:14" x14ac:dyDescent="0.2">
      <c r="N11540" s="131"/>
    </row>
    <row r="11541" spans="14:14" x14ac:dyDescent="0.2">
      <c r="N11541" s="131"/>
    </row>
    <row r="11542" spans="14:14" x14ac:dyDescent="0.2">
      <c r="N11542" s="131"/>
    </row>
    <row r="11543" spans="14:14" x14ac:dyDescent="0.2">
      <c r="N11543" s="131"/>
    </row>
    <row r="11544" spans="14:14" x14ac:dyDescent="0.2">
      <c r="N11544" s="131"/>
    </row>
    <row r="11545" spans="14:14" x14ac:dyDescent="0.2">
      <c r="N11545" s="131"/>
    </row>
    <row r="11546" spans="14:14" x14ac:dyDescent="0.2">
      <c r="N11546" s="131"/>
    </row>
    <row r="11547" spans="14:14" x14ac:dyDescent="0.2">
      <c r="N11547" s="131"/>
    </row>
    <row r="11548" spans="14:14" x14ac:dyDescent="0.2">
      <c r="N11548" s="131"/>
    </row>
    <row r="11549" spans="14:14" x14ac:dyDescent="0.2">
      <c r="N11549" s="131"/>
    </row>
    <row r="11550" spans="14:14" x14ac:dyDescent="0.2">
      <c r="N11550" s="131"/>
    </row>
    <row r="11551" spans="14:14" x14ac:dyDescent="0.2">
      <c r="N11551" s="131"/>
    </row>
    <row r="11552" spans="14:14" x14ac:dyDescent="0.2">
      <c r="N11552" s="131"/>
    </row>
    <row r="11553" spans="14:14" x14ac:dyDescent="0.2">
      <c r="N11553" s="131"/>
    </row>
    <row r="11554" spans="14:14" x14ac:dyDescent="0.2">
      <c r="N11554" s="131"/>
    </row>
    <row r="11555" spans="14:14" x14ac:dyDescent="0.2">
      <c r="N11555" s="131"/>
    </row>
    <row r="11556" spans="14:14" x14ac:dyDescent="0.2">
      <c r="N11556" s="131"/>
    </row>
    <row r="11557" spans="14:14" x14ac:dyDescent="0.2">
      <c r="N11557" s="131"/>
    </row>
    <row r="11558" spans="14:14" x14ac:dyDescent="0.2">
      <c r="N11558" s="131"/>
    </row>
    <row r="11559" spans="14:14" x14ac:dyDescent="0.2">
      <c r="N11559" s="131"/>
    </row>
    <row r="11560" spans="14:14" x14ac:dyDescent="0.2">
      <c r="N11560" s="131"/>
    </row>
    <row r="11561" spans="14:14" x14ac:dyDescent="0.2">
      <c r="N11561" s="131"/>
    </row>
    <row r="11562" spans="14:14" x14ac:dyDescent="0.2">
      <c r="N11562" s="131"/>
    </row>
    <row r="11563" spans="14:14" x14ac:dyDescent="0.2">
      <c r="N11563" s="131"/>
    </row>
    <row r="11564" spans="14:14" x14ac:dyDescent="0.2">
      <c r="N11564" s="131"/>
    </row>
    <row r="11565" spans="14:14" x14ac:dyDescent="0.2">
      <c r="N11565" s="131"/>
    </row>
    <row r="11566" spans="14:14" x14ac:dyDescent="0.2">
      <c r="N11566" s="131"/>
    </row>
    <row r="11567" spans="14:14" x14ac:dyDescent="0.2">
      <c r="N11567" s="131"/>
    </row>
    <row r="11568" spans="14:14" x14ac:dyDescent="0.2">
      <c r="N11568" s="131"/>
    </row>
    <row r="11569" spans="14:14" x14ac:dyDescent="0.2">
      <c r="N11569" s="131"/>
    </row>
    <row r="11570" spans="14:14" x14ac:dyDescent="0.2">
      <c r="N11570" s="131"/>
    </row>
    <row r="11571" spans="14:14" x14ac:dyDescent="0.2">
      <c r="N11571" s="131"/>
    </row>
    <row r="11572" spans="14:14" x14ac:dyDescent="0.2">
      <c r="N11572" s="131"/>
    </row>
    <row r="11573" spans="14:14" x14ac:dyDescent="0.2">
      <c r="N11573" s="131"/>
    </row>
    <row r="11574" spans="14:14" x14ac:dyDescent="0.2">
      <c r="N11574" s="131"/>
    </row>
    <row r="11575" spans="14:14" x14ac:dyDescent="0.2">
      <c r="N11575" s="131"/>
    </row>
    <row r="11576" spans="14:14" x14ac:dyDescent="0.2">
      <c r="N11576" s="131"/>
    </row>
    <row r="11577" spans="14:14" x14ac:dyDescent="0.2">
      <c r="N11577" s="131"/>
    </row>
    <row r="11578" spans="14:14" x14ac:dyDescent="0.2">
      <c r="N11578" s="131"/>
    </row>
    <row r="11579" spans="14:14" x14ac:dyDescent="0.2">
      <c r="N11579" s="131"/>
    </row>
    <row r="11580" spans="14:14" x14ac:dyDescent="0.2">
      <c r="N11580" s="131"/>
    </row>
    <row r="11581" spans="14:14" x14ac:dyDescent="0.2">
      <c r="N11581" s="131"/>
    </row>
    <row r="11582" spans="14:14" x14ac:dyDescent="0.2">
      <c r="N11582" s="131"/>
    </row>
    <row r="11583" spans="14:14" x14ac:dyDescent="0.2">
      <c r="N11583" s="131"/>
    </row>
    <row r="11584" spans="14:14" x14ac:dyDescent="0.2">
      <c r="N11584" s="131"/>
    </row>
    <row r="11585" spans="14:14" x14ac:dyDescent="0.2">
      <c r="N11585" s="131"/>
    </row>
    <row r="11586" spans="14:14" x14ac:dyDescent="0.2">
      <c r="N11586" s="131"/>
    </row>
    <row r="11587" spans="14:14" x14ac:dyDescent="0.2">
      <c r="N11587" s="131"/>
    </row>
    <row r="11588" spans="14:14" x14ac:dyDescent="0.2">
      <c r="N11588" s="131"/>
    </row>
    <row r="11589" spans="14:14" x14ac:dyDescent="0.2">
      <c r="N11589" s="131"/>
    </row>
    <row r="11590" spans="14:14" x14ac:dyDescent="0.2">
      <c r="N11590" s="131"/>
    </row>
    <row r="11591" spans="14:14" x14ac:dyDescent="0.2">
      <c r="N11591" s="131"/>
    </row>
    <row r="11592" spans="14:14" x14ac:dyDescent="0.2">
      <c r="N11592" s="131"/>
    </row>
    <row r="11593" spans="14:14" x14ac:dyDescent="0.2">
      <c r="N11593" s="131"/>
    </row>
    <row r="11594" spans="14:14" x14ac:dyDescent="0.2">
      <c r="N11594" s="131"/>
    </row>
    <row r="11595" spans="14:14" x14ac:dyDescent="0.2">
      <c r="N11595" s="131"/>
    </row>
    <row r="11596" spans="14:14" x14ac:dyDescent="0.2">
      <c r="N11596" s="131"/>
    </row>
    <row r="11597" spans="14:14" x14ac:dyDescent="0.2">
      <c r="N11597" s="131"/>
    </row>
    <row r="11598" spans="14:14" x14ac:dyDescent="0.2">
      <c r="N11598" s="131"/>
    </row>
    <row r="11599" spans="14:14" x14ac:dyDescent="0.2">
      <c r="N11599" s="131"/>
    </row>
    <row r="11600" spans="14:14" x14ac:dyDescent="0.2">
      <c r="N11600" s="131"/>
    </row>
    <row r="11601" spans="14:14" x14ac:dyDescent="0.2">
      <c r="N11601" s="131"/>
    </row>
    <row r="11602" spans="14:14" x14ac:dyDescent="0.2">
      <c r="N11602" s="131"/>
    </row>
    <row r="11603" spans="14:14" x14ac:dyDescent="0.2">
      <c r="N11603" s="131"/>
    </row>
    <row r="11604" spans="14:14" x14ac:dyDescent="0.2">
      <c r="N11604" s="131"/>
    </row>
    <row r="11605" spans="14:14" x14ac:dyDescent="0.2">
      <c r="N11605" s="131"/>
    </row>
    <row r="11606" spans="14:14" x14ac:dyDescent="0.2">
      <c r="N11606" s="131"/>
    </row>
    <row r="11607" spans="14:14" x14ac:dyDescent="0.2">
      <c r="N11607" s="131"/>
    </row>
    <row r="11608" spans="14:14" x14ac:dyDescent="0.2">
      <c r="N11608" s="131"/>
    </row>
    <row r="11609" spans="14:14" x14ac:dyDescent="0.2">
      <c r="N11609" s="131"/>
    </row>
    <row r="11610" spans="14:14" x14ac:dyDescent="0.2">
      <c r="N11610" s="131"/>
    </row>
    <row r="11611" spans="14:14" x14ac:dyDescent="0.2">
      <c r="N11611" s="131"/>
    </row>
    <row r="11612" spans="14:14" x14ac:dyDescent="0.2">
      <c r="N11612" s="131"/>
    </row>
    <row r="11613" spans="14:14" x14ac:dyDescent="0.2">
      <c r="N11613" s="131"/>
    </row>
    <row r="11614" spans="14:14" x14ac:dyDescent="0.2">
      <c r="N11614" s="131"/>
    </row>
    <row r="11615" spans="14:14" x14ac:dyDescent="0.2">
      <c r="N11615" s="131"/>
    </row>
    <row r="11616" spans="14:14" x14ac:dyDescent="0.2">
      <c r="N11616" s="131"/>
    </row>
    <row r="11617" spans="14:14" x14ac:dyDescent="0.2">
      <c r="N11617" s="131"/>
    </row>
    <row r="11618" spans="14:14" x14ac:dyDescent="0.2">
      <c r="N11618" s="131"/>
    </row>
    <row r="11619" spans="14:14" x14ac:dyDescent="0.2">
      <c r="N11619" s="131"/>
    </row>
    <row r="11620" spans="14:14" x14ac:dyDescent="0.2">
      <c r="N11620" s="131"/>
    </row>
    <row r="11621" spans="14:14" x14ac:dyDescent="0.2">
      <c r="N11621" s="131"/>
    </row>
    <row r="11622" spans="14:14" x14ac:dyDescent="0.2">
      <c r="N11622" s="131"/>
    </row>
    <row r="11623" spans="14:14" x14ac:dyDescent="0.2">
      <c r="N11623" s="131"/>
    </row>
    <row r="11624" spans="14:14" x14ac:dyDescent="0.2">
      <c r="N11624" s="131"/>
    </row>
    <row r="11625" spans="14:14" x14ac:dyDescent="0.2">
      <c r="N11625" s="131"/>
    </row>
    <row r="11626" spans="14:14" x14ac:dyDescent="0.2">
      <c r="N11626" s="131"/>
    </row>
    <row r="11627" spans="14:14" x14ac:dyDescent="0.2">
      <c r="N11627" s="131"/>
    </row>
    <row r="11628" spans="14:14" x14ac:dyDescent="0.2">
      <c r="N11628" s="131"/>
    </row>
    <row r="11629" spans="14:14" x14ac:dyDescent="0.2">
      <c r="N11629" s="131"/>
    </row>
    <row r="11630" spans="14:14" x14ac:dyDescent="0.2">
      <c r="N11630" s="131"/>
    </row>
    <row r="11631" spans="14:14" x14ac:dyDescent="0.2">
      <c r="N11631" s="131"/>
    </row>
    <row r="11632" spans="14:14" x14ac:dyDescent="0.2">
      <c r="N11632" s="131"/>
    </row>
    <row r="11633" spans="14:14" x14ac:dyDescent="0.2">
      <c r="N11633" s="131"/>
    </row>
    <row r="11634" spans="14:14" x14ac:dyDescent="0.2">
      <c r="N11634" s="131"/>
    </row>
    <row r="11635" spans="14:14" x14ac:dyDescent="0.2">
      <c r="N11635" s="131"/>
    </row>
    <row r="11636" spans="14:14" x14ac:dyDescent="0.2">
      <c r="N11636" s="131"/>
    </row>
    <row r="11637" spans="14:14" x14ac:dyDescent="0.2">
      <c r="N11637" s="131"/>
    </row>
    <row r="11638" spans="14:14" x14ac:dyDescent="0.2">
      <c r="N11638" s="131"/>
    </row>
    <row r="11639" spans="14:14" x14ac:dyDescent="0.2">
      <c r="N11639" s="131"/>
    </row>
    <row r="11640" spans="14:14" x14ac:dyDescent="0.2">
      <c r="N11640" s="131"/>
    </row>
    <row r="11641" spans="14:14" x14ac:dyDescent="0.2">
      <c r="N11641" s="131"/>
    </row>
    <row r="11642" spans="14:14" x14ac:dyDescent="0.2">
      <c r="N11642" s="131"/>
    </row>
    <row r="11643" spans="14:14" x14ac:dyDescent="0.2">
      <c r="N11643" s="131"/>
    </row>
    <row r="11644" spans="14:14" x14ac:dyDescent="0.2">
      <c r="N11644" s="131"/>
    </row>
    <row r="11645" spans="14:14" x14ac:dyDescent="0.2">
      <c r="N11645" s="131"/>
    </row>
    <row r="11646" spans="14:14" x14ac:dyDescent="0.2">
      <c r="N11646" s="131"/>
    </row>
    <row r="11647" spans="14:14" x14ac:dyDescent="0.2">
      <c r="N11647" s="131"/>
    </row>
    <row r="11648" spans="14:14" x14ac:dyDescent="0.2">
      <c r="N11648" s="131"/>
    </row>
    <row r="11649" spans="14:14" x14ac:dyDescent="0.2">
      <c r="N11649" s="131"/>
    </row>
    <row r="11650" spans="14:14" x14ac:dyDescent="0.2">
      <c r="N11650" s="131"/>
    </row>
    <row r="11651" spans="14:14" x14ac:dyDescent="0.2">
      <c r="N11651" s="131"/>
    </row>
    <row r="11652" spans="14:14" x14ac:dyDescent="0.2">
      <c r="N11652" s="131"/>
    </row>
    <row r="11653" spans="14:14" x14ac:dyDescent="0.2">
      <c r="N11653" s="131"/>
    </row>
    <row r="11654" spans="14:14" x14ac:dyDescent="0.2">
      <c r="N11654" s="131"/>
    </row>
    <row r="11655" spans="14:14" x14ac:dyDescent="0.2">
      <c r="N11655" s="131"/>
    </row>
    <row r="11656" spans="14:14" x14ac:dyDescent="0.2">
      <c r="N11656" s="131"/>
    </row>
    <row r="11657" spans="14:14" x14ac:dyDescent="0.2">
      <c r="N11657" s="131"/>
    </row>
    <row r="11658" spans="14:14" x14ac:dyDescent="0.2">
      <c r="N11658" s="131"/>
    </row>
    <row r="11659" spans="14:14" x14ac:dyDescent="0.2">
      <c r="N11659" s="131"/>
    </row>
    <row r="11660" spans="14:14" x14ac:dyDescent="0.2">
      <c r="N11660" s="131"/>
    </row>
    <row r="11661" spans="14:14" x14ac:dyDescent="0.2">
      <c r="N11661" s="131"/>
    </row>
    <row r="11662" spans="14:14" x14ac:dyDescent="0.2">
      <c r="N11662" s="131"/>
    </row>
    <row r="11663" spans="14:14" x14ac:dyDescent="0.2">
      <c r="N11663" s="131"/>
    </row>
    <row r="11664" spans="14:14" x14ac:dyDescent="0.2">
      <c r="N11664" s="131"/>
    </row>
    <row r="11665" spans="14:14" x14ac:dyDescent="0.2">
      <c r="N11665" s="131"/>
    </row>
    <row r="11666" spans="14:14" x14ac:dyDescent="0.2">
      <c r="N11666" s="131"/>
    </row>
    <row r="11667" spans="14:14" x14ac:dyDescent="0.2">
      <c r="N11667" s="131"/>
    </row>
    <row r="11668" spans="14:14" x14ac:dyDescent="0.2">
      <c r="N11668" s="131"/>
    </row>
    <row r="11669" spans="14:14" x14ac:dyDescent="0.2">
      <c r="N11669" s="131"/>
    </row>
    <row r="11670" spans="14:14" x14ac:dyDescent="0.2">
      <c r="N11670" s="131"/>
    </row>
    <row r="11671" spans="14:14" x14ac:dyDescent="0.2">
      <c r="N11671" s="131"/>
    </row>
    <row r="11672" spans="14:14" x14ac:dyDescent="0.2">
      <c r="N11672" s="131"/>
    </row>
    <row r="11673" spans="14:14" x14ac:dyDescent="0.2">
      <c r="N11673" s="131"/>
    </row>
    <row r="11674" spans="14:14" x14ac:dyDescent="0.2">
      <c r="N11674" s="131"/>
    </row>
    <row r="11675" spans="14:14" x14ac:dyDescent="0.2">
      <c r="N11675" s="131"/>
    </row>
    <row r="11676" spans="14:14" x14ac:dyDescent="0.2">
      <c r="N11676" s="131"/>
    </row>
    <row r="11677" spans="14:14" x14ac:dyDescent="0.2">
      <c r="N11677" s="131"/>
    </row>
    <row r="11678" spans="14:14" x14ac:dyDescent="0.2">
      <c r="N11678" s="131"/>
    </row>
    <row r="11679" spans="14:14" x14ac:dyDescent="0.2">
      <c r="N11679" s="131"/>
    </row>
    <row r="11680" spans="14:14" x14ac:dyDescent="0.2">
      <c r="N11680" s="131"/>
    </row>
    <row r="11681" spans="14:14" x14ac:dyDescent="0.2">
      <c r="N11681" s="131"/>
    </row>
    <row r="11682" spans="14:14" x14ac:dyDescent="0.2">
      <c r="N11682" s="131"/>
    </row>
    <row r="11683" spans="14:14" x14ac:dyDescent="0.2">
      <c r="N11683" s="131"/>
    </row>
    <row r="11684" spans="14:14" x14ac:dyDescent="0.2">
      <c r="N11684" s="131"/>
    </row>
    <row r="11685" spans="14:14" x14ac:dyDescent="0.2">
      <c r="N11685" s="131"/>
    </row>
    <row r="11686" spans="14:14" x14ac:dyDescent="0.2">
      <c r="N11686" s="131"/>
    </row>
    <row r="11687" spans="14:14" x14ac:dyDescent="0.2">
      <c r="N11687" s="131"/>
    </row>
    <row r="11688" spans="14:14" x14ac:dyDescent="0.2">
      <c r="N11688" s="131"/>
    </row>
    <row r="11689" spans="14:14" x14ac:dyDescent="0.2">
      <c r="N11689" s="131"/>
    </row>
    <row r="11690" spans="14:14" x14ac:dyDescent="0.2">
      <c r="N11690" s="131"/>
    </row>
    <row r="11691" spans="14:14" x14ac:dyDescent="0.2">
      <c r="N11691" s="131"/>
    </row>
    <row r="11692" spans="14:14" x14ac:dyDescent="0.2">
      <c r="N11692" s="131"/>
    </row>
    <row r="11693" spans="14:14" x14ac:dyDescent="0.2">
      <c r="N11693" s="131"/>
    </row>
    <row r="11694" spans="14:14" x14ac:dyDescent="0.2">
      <c r="N11694" s="131"/>
    </row>
    <row r="11695" spans="14:14" x14ac:dyDescent="0.2">
      <c r="N11695" s="131"/>
    </row>
    <row r="11696" spans="14:14" x14ac:dyDescent="0.2">
      <c r="N11696" s="131"/>
    </row>
    <row r="11697" spans="14:14" x14ac:dyDescent="0.2">
      <c r="N11697" s="131"/>
    </row>
    <row r="11698" spans="14:14" x14ac:dyDescent="0.2">
      <c r="N11698" s="131"/>
    </row>
    <row r="11699" spans="14:14" x14ac:dyDescent="0.2">
      <c r="N11699" s="131"/>
    </row>
    <row r="11700" spans="14:14" x14ac:dyDescent="0.2">
      <c r="N11700" s="131"/>
    </row>
    <row r="11701" spans="14:14" x14ac:dyDescent="0.2">
      <c r="N11701" s="131"/>
    </row>
    <row r="11702" spans="14:14" x14ac:dyDescent="0.2">
      <c r="N11702" s="131"/>
    </row>
    <row r="11703" spans="14:14" x14ac:dyDescent="0.2">
      <c r="N11703" s="131"/>
    </row>
    <row r="11704" spans="14:14" x14ac:dyDescent="0.2">
      <c r="N11704" s="131"/>
    </row>
    <row r="11705" spans="14:14" x14ac:dyDescent="0.2">
      <c r="N11705" s="131"/>
    </row>
    <row r="11706" spans="14:14" x14ac:dyDescent="0.2">
      <c r="N11706" s="131"/>
    </row>
    <row r="11707" spans="14:14" x14ac:dyDescent="0.2">
      <c r="N11707" s="131"/>
    </row>
    <row r="11708" spans="14:14" x14ac:dyDescent="0.2">
      <c r="N11708" s="131"/>
    </row>
    <row r="11709" spans="14:14" x14ac:dyDescent="0.2">
      <c r="N11709" s="131"/>
    </row>
    <row r="11710" spans="14:14" x14ac:dyDescent="0.2">
      <c r="N11710" s="131"/>
    </row>
    <row r="11711" spans="14:14" x14ac:dyDescent="0.2">
      <c r="N11711" s="131"/>
    </row>
    <row r="11712" spans="14:14" x14ac:dyDescent="0.2">
      <c r="N11712" s="131"/>
    </row>
    <row r="11713" spans="14:14" x14ac:dyDescent="0.2">
      <c r="N11713" s="131"/>
    </row>
    <row r="11714" spans="14:14" x14ac:dyDescent="0.2">
      <c r="N11714" s="131"/>
    </row>
    <row r="11715" spans="14:14" x14ac:dyDescent="0.2">
      <c r="N11715" s="131"/>
    </row>
    <row r="11716" spans="14:14" x14ac:dyDescent="0.2">
      <c r="N11716" s="131"/>
    </row>
    <row r="11717" spans="14:14" x14ac:dyDescent="0.2">
      <c r="N11717" s="131"/>
    </row>
    <row r="11718" spans="14:14" x14ac:dyDescent="0.2">
      <c r="N11718" s="131"/>
    </row>
    <row r="11719" spans="14:14" x14ac:dyDescent="0.2">
      <c r="N11719" s="131"/>
    </row>
    <row r="11720" spans="14:14" x14ac:dyDescent="0.2">
      <c r="N11720" s="131"/>
    </row>
    <row r="11721" spans="14:14" x14ac:dyDescent="0.2">
      <c r="N11721" s="131"/>
    </row>
    <row r="11722" spans="14:14" x14ac:dyDescent="0.2">
      <c r="N11722" s="131"/>
    </row>
    <row r="11723" spans="14:14" x14ac:dyDescent="0.2">
      <c r="N11723" s="131"/>
    </row>
    <row r="11724" spans="14:14" x14ac:dyDescent="0.2">
      <c r="N11724" s="131"/>
    </row>
    <row r="11725" spans="14:14" x14ac:dyDescent="0.2">
      <c r="N11725" s="131"/>
    </row>
    <row r="11726" spans="14:14" x14ac:dyDescent="0.2">
      <c r="N11726" s="131"/>
    </row>
    <row r="11727" spans="14:14" x14ac:dyDescent="0.2">
      <c r="N11727" s="131"/>
    </row>
    <row r="11728" spans="14:14" x14ac:dyDescent="0.2">
      <c r="N11728" s="131"/>
    </row>
    <row r="11729" spans="14:14" x14ac:dyDescent="0.2">
      <c r="N11729" s="131"/>
    </row>
    <row r="11730" spans="14:14" x14ac:dyDescent="0.2">
      <c r="N11730" s="131"/>
    </row>
    <row r="11731" spans="14:14" x14ac:dyDescent="0.2">
      <c r="N11731" s="131"/>
    </row>
    <row r="11732" spans="14:14" x14ac:dyDescent="0.2">
      <c r="N11732" s="131"/>
    </row>
    <row r="11733" spans="14:14" x14ac:dyDescent="0.2">
      <c r="N11733" s="131"/>
    </row>
    <row r="11734" spans="14:14" x14ac:dyDescent="0.2">
      <c r="N11734" s="131"/>
    </row>
    <row r="11735" spans="14:14" x14ac:dyDescent="0.2">
      <c r="N11735" s="131"/>
    </row>
    <row r="11736" spans="14:14" x14ac:dyDescent="0.2">
      <c r="N11736" s="131"/>
    </row>
    <row r="11737" spans="14:14" x14ac:dyDescent="0.2">
      <c r="N11737" s="131"/>
    </row>
    <row r="11738" spans="14:14" x14ac:dyDescent="0.2">
      <c r="N11738" s="131"/>
    </row>
    <row r="11739" spans="14:14" x14ac:dyDescent="0.2">
      <c r="N11739" s="131"/>
    </row>
    <row r="11740" spans="14:14" x14ac:dyDescent="0.2">
      <c r="N11740" s="131"/>
    </row>
    <row r="11741" spans="14:14" x14ac:dyDescent="0.2">
      <c r="N11741" s="131"/>
    </row>
    <row r="11742" spans="14:14" x14ac:dyDescent="0.2">
      <c r="N11742" s="131"/>
    </row>
    <row r="11743" spans="14:14" x14ac:dyDescent="0.2">
      <c r="N11743" s="131"/>
    </row>
    <row r="11744" spans="14:14" x14ac:dyDescent="0.2">
      <c r="N11744" s="131"/>
    </row>
    <row r="11745" spans="14:14" x14ac:dyDescent="0.2">
      <c r="N11745" s="131"/>
    </row>
    <row r="11746" spans="14:14" x14ac:dyDescent="0.2">
      <c r="N11746" s="131"/>
    </row>
    <row r="11747" spans="14:14" x14ac:dyDescent="0.2">
      <c r="N11747" s="131"/>
    </row>
    <row r="11748" spans="14:14" x14ac:dyDescent="0.2">
      <c r="N11748" s="131"/>
    </row>
    <row r="11749" spans="14:14" x14ac:dyDescent="0.2">
      <c r="N11749" s="131"/>
    </row>
    <row r="11750" spans="14:14" x14ac:dyDescent="0.2">
      <c r="N11750" s="131"/>
    </row>
    <row r="11751" spans="14:14" x14ac:dyDescent="0.2">
      <c r="N11751" s="131"/>
    </row>
    <row r="11752" spans="14:14" x14ac:dyDescent="0.2">
      <c r="N11752" s="131"/>
    </row>
    <row r="11753" spans="14:14" x14ac:dyDescent="0.2">
      <c r="N11753" s="131"/>
    </row>
    <row r="11754" spans="14:14" x14ac:dyDescent="0.2">
      <c r="N11754" s="131"/>
    </row>
    <row r="11755" spans="14:14" x14ac:dyDescent="0.2">
      <c r="N11755" s="131"/>
    </row>
    <row r="11756" spans="14:14" x14ac:dyDescent="0.2">
      <c r="N11756" s="131"/>
    </row>
    <row r="11757" spans="14:14" x14ac:dyDescent="0.2">
      <c r="N11757" s="131"/>
    </row>
    <row r="11758" spans="14:14" x14ac:dyDescent="0.2">
      <c r="N11758" s="131"/>
    </row>
    <row r="11759" spans="14:14" x14ac:dyDescent="0.2">
      <c r="N11759" s="131"/>
    </row>
    <row r="11760" spans="14:14" x14ac:dyDescent="0.2">
      <c r="N11760" s="131"/>
    </row>
    <row r="11761" spans="14:14" x14ac:dyDescent="0.2">
      <c r="N11761" s="131"/>
    </row>
    <row r="11762" spans="14:14" x14ac:dyDescent="0.2">
      <c r="N11762" s="131"/>
    </row>
    <row r="11763" spans="14:14" x14ac:dyDescent="0.2">
      <c r="N11763" s="131"/>
    </row>
    <row r="11764" spans="14:14" x14ac:dyDescent="0.2">
      <c r="N11764" s="131"/>
    </row>
    <row r="11765" spans="14:14" x14ac:dyDescent="0.2">
      <c r="N11765" s="131"/>
    </row>
    <row r="11766" spans="14:14" x14ac:dyDescent="0.2">
      <c r="N11766" s="131"/>
    </row>
    <row r="11767" spans="14:14" x14ac:dyDescent="0.2">
      <c r="N11767" s="131"/>
    </row>
    <row r="11768" spans="14:14" x14ac:dyDescent="0.2">
      <c r="N11768" s="131"/>
    </row>
    <row r="11769" spans="14:14" x14ac:dyDescent="0.2">
      <c r="N11769" s="131"/>
    </row>
    <row r="11770" spans="14:14" x14ac:dyDescent="0.2">
      <c r="N11770" s="131"/>
    </row>
    <row r="11771" spans="14:14" x14ac:dyDescent="0.2">
      <c r="N11771" s="131"/>
    </row>
    <row r="11772" spans="14:14" x14ac:dyDescent="0.2">
      <c r="N11772" s="131"/>
    </row>
    <row r="11773" spans="14:14" x14ac:dyDescent="0.2">
      <c r="N11773" s="131"/>
    </row>
    <row r="11774" spans="14:14" x14ac:dyDescent="0.2">
      <c r="N11774" s="131"/>
    </row>
    <row r="11775" spans="14:14" x14ac:dyDescent="0.2">
      <c r="N11775" s="131"/>
    </row>
    <row r="11776" spans="14:14" x14ac:dyDescent="0.2">
      <c r="N11776" s="131"/>
    </row>
    <row r="11777" spans="14:14" x14ac:dyDescent="0.2">
      <c r="N11777" s="131"/>
    </row>
    <row r="11778" spans="14:14" x14ac:dyDescent="0.2">
      <c r="N11778" s="131"/>
    </row>
    <row r="11779" spans="14:14" x14ac:dyDescent="0.2">
      <c r="N11779" s="131"/>
    </row>
    <row r="11780" spans="14:14" x14ac:dyDescent="0.2">
      <c r="N11780" s="131"/>
    </row>
    <row r="11781" spans="14:14" x14ac:dyDescent="0.2">
      <c r="N11781" s="131"/>
    </row>
    <row r="11782" spans="14:14" x14ac:dyDescent="0.2">
      <c r="N11782" s="131"/>
    </row>
    <row r="11783" spans="14:14" x14ac:dyDescent="0.2">
      <c r="N11783" s="131"/>
    </row>
    <row r="11784" spans="14:14" x14ac:dyDescent="0.2">
      <c r="N11784" s="131"/>
    </row>
    <row r="11785" spans="14:14" x14ac:dyDescent="0.2">
      <c r="N11785" s="131"/>
    </row>
    <row r="11786" spans="14:14" x14ac:dyDescent="0.2">
      <c r="N11786" s="131"/>
    </row>
    <row r="11787" spans="14:14" x14ac:dyDescent="0.2">
      <c r="N11787" s="131"/>
    </row>
    <row r="11788" spans="14:14" x14ac:dyDescent="0.2">
      <c r="N11788" s="131"/>
    </row>
    <row r="11789" spans="14:14" x14ac:dyDescent="0.2">
      <c r="N11789" s="131"/>
    </row>
    <row r="11790" spans="14:14" x14ac:dyDescent="0.2">
      <c r="N11790" s="131"/>
    </row>
    <row r="11791" spans="14:14" x14ac:dyDescent="0.2">
      <c r="N11791" s="131"/>
    </row>
    <row r="11792" spans="14:14" x14ac:dyDescent="0.2">
      <c r="N11792" s="131"/>
    </row>
    <row r="11793" spans="14:14" x14ac:dyDescent="0.2">
      <c r="N11793" s="131"/>
    </row>
    <row r="11794" spans="14:14" x14ac:dyDescent="0.2">
      <c r="N11794" s="131"/>
    </row>
    <row r="11795" spans="14:14" x14ac:dyDescent="0.2">
      <c r="N11795" s="131"/>
    </row>
    <row r="11796" spans="14:14" x14ac:dyDescent="0.2">
      <c r="N11796" s="131"/>
    </row>
    <row r="11797" spans="14:14" x14ac:dyDescent="0.2">
      <c r="N11797" s="131"/>
    </row>
    <row r="11798" spans="14:14" x14ac:dyDescent="0.2">
      <c r="N11798" s="131"/>
    </row>
    <row r="11799" spans="14:14" x14ac:dyDescent="0.2">
      <c r="N11799" s="131"/>
    </row>
    <row r="11800" spans="14:14" x14ac:dyDescent="0.2">
      <c r="N11800" s="131"/>
    </row>
    <row r="11801" spans="14:14" x14ac:dyDescent="0.2">
      <c r="N11801" s="131"/>
    </row>
    <row r="11802" spans="14:14" x14ac:dyDescent="0.2">
      <c r="N11802" s="131"/>
    </row>
    <row r="11803" spans="14:14" x14ac:dyDescent="0.2">
      <c r="N11803" s="131"/>
    </row>
    <row r="11804" spans="14:14" x14ac:dyDescent="0.2">
      <c r="N11804" s="131"/>
    </row>
    <row r="11805" spans="14:14" x14ac:dyDescent="0.2">
      <c r="N11805" s="131"/>
    </row>
    <row r="11806" spans="14:14" x14ac:dyDescent="0.2">
      <c r="N11806" s="131"/>
    </row>
    <row r="11807" spans="14:14" x14ac:dyDescent="0.2">
      <c r="N11807" s="131"/>
    </row>
    <row r="11808" spans="14:14" x14ac:dyDescent="0.2">
      <c r="N11808" s="131"/>
    </row>
    <row r="11809" spans="14:14" x14ac:dyDescent="0.2">
      <c r="N11809" s="131"/>
    </row>
    <row r="11810" spans="14:14" x14ac:dyDescent="0.2">
      <c r="N11810" s="131"/>
    </row>
    <row r="11811" spans="14:14" x14ac:dyDescent="0.2">
      <c r="N11811" s="131"/>
    </row>
    <row r="11812" spans="14:14" x14ac:dyDescent="0.2">
      <c r="N11812" s="131"/>
    </row>
    <row r="11813" spans="14:14" x14ac:dyDescent="0.2">
      <c r="N11813" s="131"/>
    </row>
    <row r="11814" spans="14:14" x14ac:dyDescent="0.2">
      <c r="N11814" s="131"/>
    </row>
    <row r="11815" spans="14:14" x14ac:dyDescent="0.2">
      <c r="N11815" s="131"/>
    </row>
    <row r="11816" spans="14:14" x14ac:dyDescent="0.2">
      <c r="N11816" s="131"/>
    </row>
    <row r="11817" spans="14:14" x14ac:dyDescent="0.2">
      <c r="N11817" s="131"/>
    </row>
    <row r="11818" spans="14:14" x14ac:dyDescent="0.2">
      <c r="N11818" s="131"/>
    </row>
    <row r="11819" spans="14:14" x14ac:dyDescent="0.2">
      <c r="N11819" s="131"/>
    </row>
    <row r="11820" spans="14:14" x14ac:dyDescent="0.2">
      <c r="N11820" s="131"/>
    </row>
    <row r="11821" spans="14:14" x14ac:dyDescent="0.2">
      <c r="N11821" s="131"/>
    </row>
    <row r="11822" spans="14:14" x14ac:dyDescent="0.2">
      <c r="N11822" s="131"/>
    </row>
    <row r="11823" spans="14:14" x14ac:dyDescent="0.2">
      <c r="N11823" s="131"/>
    </row>
    <row r="11824" spans="14:14" x14ac:dyDescent="0.2">
      <c r="N11824" s="131"/>
    </row>
    <row r="11825" spans="14:14" x14ac:dyDescent="0.2">
      <c r="N11825" s="131"/>
    </row>
    <row r="11826" spans="14:14" x14ac:dyDescent="0.2">
      <c r="N11826" s="131"/>
    </row>
    <row r="11827" spans="14:14" x14ac:dyDescent="0.2">
      <c r="N11827" s="131"/>
    </row>
    <row r="11828" spans="14:14" x14ac:dyDescent="0.2">
      <c r="N11828" s="131"/>
    </row>
    <row r="11829" spans="14:14" x14ac:dyDescent="0.2">
      <c r="N11829" s="131"/>
    </row>
    <row r="11830" spans="14:14" x14ac:dyDescent="0.2">
      <c r="N11830" s="131"/>
    </row>
    <row r="11831" spans="14:14" x14ac:dyDescent="0.2">
      <c r="N11831" s="131"/>
    </row>
    <row r="11832" spans="14:14" x14ac:dyDescent="0.2">
      <c r="N11832" s="131"/>
    </row>
    <row r="11833" spans="14:14" x14ac:dyDescent="0.2">
      <c r="N11833" s="131"/>
    </row>
    <row r="11834" spans="14:14" x14ac:dyDescent="0.2">
      <c r="N11834" s="131"/>
    </row>
    <row r="11835" spans="14:14" x14ac:dyDescent="0.2">
      <c r="N11835" s="131"/>
    </row>
    <row r="11836" spans="14:14" x14ac:dyDescent="0.2">
      <c r="N11836" s="131"/>
    </row>
    <row r="11837" spans="14:14" x14ac:dyDescent="0.2">
      <c r="N11837" s="131"/>
    </row>
    <row r="11838" spans="14:14" x14ac:dyDescent="0.2">
      <c r="N11838" s="131"/>
    </row>
    <row r="11839" spans="14:14" x14ac:dyDescent="0.2">
      <c r="N11839" s="131"/>
    </row>
    <row r="11840" spans="14:14" x14ac:dyDescent="0.2">
      <c r="N11840" s="131"/>
    </row>
    <row r="11841" spans="14:14" x14ac:dyDescent="0.2">
      <c r="N11841" s="131"/>
    </row>
    <row r="11842" spans="14:14" x14ac:dyDescent="0.2">
      <c r="N11842" s="131"/>
    </row>
    <row r="11843" spans="14:14" x14ac:dyDescent="0.2">
      <c r="N11843" s="131"/>
    </row>
    <row r="11844" spans="14:14" x14ac:dyDescent="0.2">
      <c r="N11844" s="131"/>
    </row>
    <row r="11845" spans="14:14" x14ac:dyDescent="0.2">
      <c r="N11845" s="131"/>
    </row>
    <row r="11846" spans="14:14" x14ac:dyDescent="0.2">
      <c r="N11846" s="131"/>
    </row>
    <row r="11847" spans="14:14" x14ac:dyDescent="0.2">
      <c r="N11847" s="131"/>
    </row>
    <row r="11848" spans="14:14" x14ac:dyDescent="0.2">
      <c r="N11848" s="131"/>
    </row>
    <row r="11849" spans="14:14" x14ac:dyDescent="0.2">
      <c r="N11849" s="131"/>
    </row>
    <row r="11850" spans="14:14" x14ac:dyDescent="0.2">
      <c r="N11850" s="131"/>
    </row>
    <row r="11851" spans="14:14" x14ac:dyDescent="0.2">
      <c r="N11851" s="131"/>
    </row>
    <row r="11852" spans="14:14" x14ac:dyDescent="0.2">
      <c r="N11852" s="131"/>
    </row>
    <row r="11853" spans="14:14" x14ac:dyDescent="0.2">
      <c r="N11853" s="131"/>
    </row>
    <row r="11854" spans="14:14" x14ac:dyDescent="0.2">
      <c r="N11854" s="131"/>
    </row>
    <row r="11855" spans="14:14" x14ac:dyDescent="0.2">
      <c r="N11855" s="131"/>
    </row>
    <row r="11856" spans="14:14" x14ac:dyDescent="0.2">
      <c r="N11856" s="131"/>
    </row>
    <row r="11857" spans="14:14" x14ac:dyDescent="0.2">
      <c r="N11857" s="131"/>
    </row>
    <row r="11858" spans="14:14" x14ac:dyDescent="0.2">
      <c r="N11858" s="131"/>
    </row>
    <row r="11859" spans="14:14" x14ac:dyDescent="0.2">
      <c r="N11859" s="131"/>
    </row>
    <row r="11860" spans="14:14" x14ac:dyDescent="0.2">
      <c r="N11860" s="131"/>
    </row>
    <row r="11861" spans="14:14" x14ac:dyDescent="0.2">
      <c r="N11861" s="131"/>
    </row>
    <row r="11862" spans="14:14" x14ac:dyDescent="0.2">
      <c r="N11862" s="131"/>
    </row>
    <row r="11863" spans="14:14" x14ac:dyDescent="0.2">
      <c r="N11863" s="131"/>
    </row>
    <row r="11864" spans="14:14" x14ac:dyDescent="0.2">
      <c r="N11864" s="131"/>
    </row>
    <row r="11865" spans="14:14" x14ac:dyDescent="0.2">
      <c r="N11865" s="131"/>
    </row>
    <row r="11866" spans="14:14" x14ac:dyDescent="0.2">
      <c r="N11866" s="131"/>
    </row>
    <row r="11867" spans="14:14" x14ac:dyDescent="0.2">
      <c r="N11867" s="131"/>
    </row>
    <row r="11868" spans="14:14" x14ac:dyDescent="0.2">
      <c r="N11868" s="131"/>
    </row>
    <row r="11869" spans="14:14" x14ac:dyDescent="0.2">
      <c r="N11869" s="131"/>
    </row>
    <row r="11870" spans="14:14" x14ac:dyDescent="0.2">
      <c r="N11870" s="131"/>
    </row>
    <row r="11871" spans="14:14" x14ac:dyDescent="0.2">
      <c r="N11871" s="131"/>
    </row>
    <row r="11872" spans="14:14" x14ac:dyDescent="0.2">
      <c r="N11872" s="131"/>
    </row>
    <row r="11873" spans="14:14" x14ac:dyDescent="0.2">
      <c r="N11873" s="131"/>
    </row>
    <row r="11874" spans="14:14" x14ac:dyDescent="0.2">
      <c r="N11874" s="131"/>
    </row>
    <row r="11875" spans="14:14" x14ac:dyDescent="0.2">
      <c r="N11875" s="131"/>
    </row>
    <row r="11876" spans="14:14" x14ac:dyDescent="0.2">
      <c r="N11876" s="131"/>
    </row>
    <row r="11877" spans="14:14" x14ac:dyDescent="0.2">
      <c r="N11877" s="131"/>
    </row>
    <row r="11878" spans="14:14" x14ac:dyDescent="0.2">
      <c r="N11878" s="131"/>
    </row>
    <row r="11879" spans="14:14" x14ac:dyDescent="0.2">
      <c r="N11879" s="131"/>
    </row>
    <row r="11880" spans="14:14" x14ac:dyDescent="0.2">
      <c r="N11880" s="131"/>
    </row>
    <row r="11881" spans="14:14" x14ac:dyDescent="0.2">
      <c r="N11881" s="131"/>
    </row>
    <row r="11882" spans="14:14" x14ac:dyDescent="0.2">
      <c r="N11882" s="131"/>
    </row>
    <row r="11883" spans="14:14" x14ac:dyDescent="0.2">
      <c r="N11883" s="131"/>
    </row>
    <row r="11884" spans="14:14" x14ac:dyDescent="0.2">
      <c r="N11884" s="131"/>
    </row>
    <row r="11885" spans="14:14" x14ac:dyDescent="0.2">
      <c r="N11885" s="131"/>
    </row>
    <row r="11886" spans="14:14" x14ac:dyDescent="0.2">
      <c r="N11886" s="131"/>
    </row>
    <row r="11887" spans="14:14" x14ac:dyDescent="0.2">
      <c r="N11887" s="131"/>
    </row>
    <row r="11888" spans="14:14" x14ac:dyDescent="0.2">
      <c r="N11888" s="131"/>
    </row>
    <row r="11889" spans="14:14" x14ac:dyDescent="0.2">
      <c r="N11889" s="131"/>
    </row>
    <row r="11890" spans="14:14" x14ac:dyDescent="0.2">
      <c r="N11890" s="131"/>
    </row>
    <row r="11891" spans="14:14" x14ac:dyDescent="0.2">
      <c r="N11891" s="131"/>
    </row>
    <row r="11892" spans="14:14" x14ac:dyDescent="0.2">
      <c r="N11892" s="131"/>
    </row>
    <row r="11893" spans="14:14" x14ac:dyDescent="0.2">
      <c r="N11893" s="131"/>
    </row>
    <row r="11894" spans="14:14" x14ac:dyDescent="0.2">
      <c r="N11894" s="131"/>
    </row>
    <row r="11895" spans="14:14" x14ac:dyDescent="0.2">
      <c r="N11895" s="131"/>
    </row>
    <row r="11896" spans="14:14" x14ac:dyDescent="0.2">
      <c r="N11896" s="131"/>
    </row>
    <row r="11897" spans="14:14" x14ac:dyDescent="0.2">
      <c r="N11897" s="131"/>
    </row>
    <row r="11898" spans="14:14" x14ac:dyDescent="0.2">
      <c r="N11898" s="131"/>
    </row>
    <row r="11899" spans="14:14" x14ac:dyDescent="0.2">
      <c r="N11899" s="131"/>
    </row>
    <row r="11900" spans="14:14" x14ac:dyDescent="0.2">
      <c r="N11900" s="131"/>
    </row>
    <row r="11901" spans="14:14" x14ac:dyDescent="0.2">
      <c r="N11901" s="131"/>
    </row>
    <row r="11902" spans="14:14" x14ac:dyDescent="0.2">
      <c r="N11902" s="131"/>
    </row>
    <row r="11903" spans="14:14" x14ac:dyDescent="0.2">
      <c r="N11903" s="131"/>
    </row>
    <row r="11904" spans="14:14" x14ac:dyDescent="0.2">
      <c r="N11904" s="131"/>
    </row>
    <row r="11905" spans="14:14" x14ac:dyDescent="0.2">
      <c r="N11905" s="131"/>
    </row>
    <row r="11906" spans="14:14" x14ac:dyDescent="0.2">
      <c r="N11906" s="131"/>
    </row>
    <row r="11907" spans="14:14" x14ac:dyDescent="0.2">
      <c r="N11907" s="131"/>
    </row>
    <row r="11908" spans="14:14" x14ac:dyDescent="0.2">
      <c r="N11908" s="131"/>
    </row>
    <row r="11909" spans="14:14" x14ac:dyDescent="0.2">
      <c r="N11909" s="131"/>
    </row>
    <row r="11910" spans="14:14" x14ac:dyDescent="0.2">
      <c r="N11910" s="131"/>
    </row>
    <row r="11911" spans="14:14" x14ac:dyDescent="0.2">
      <c r="N11911" s="131"/>
    </row>
    <row r="11912" spans="14:14" x14ac:dyDescent="0.2">
      <c r="N11912" s="131"/>
    </row>
    <row r="11913" spans="14:14" x14ac:dyDescent="0.2">
      <c r="N11913" s="131"/>
    </row>
    <row r="11914" spans="14:14" x14ac:dyDescent="0.2">
      <c r="N11914" s="131"/>
    </row>
    <row r="11915" spans="14:14" x14ac:dyDescent="0.2">
      <c r="N11915" s="131"/>
    </row>
    <row r="11916" spans="14:14" x14ac:dyDescent="0.2">
      <c r="N11916" s="131"/>
    </row>
    <row r="11917" spans="14:14" x14ac:dyDescent="0.2">
      <c r="N11917" s="131"/>
    </row>
    <row r="11918" spans="14:14" x14ac:dyDescent="0.2">
      <c r="N11918" s="131"/>
    </row>
    <row r="11919" spans="14:14" x14ac:dyDescent="0.2">
      <c r="N11919" s="131"/>
    </row>
    <row r="11920" spans="14:14" x14ac:dyDescent="0.2">
      <c r="N11920" s="131"/>
    </row>
    <row r="11921" spans="14:14" x14ac:dyDescent="0.2">
      <c r="N11921" s="131"/>
    </row>
    <row r="11922" spans="14:14" x14ac:dyDescent="0.2">
      <c r="N11922" s="131"/>
    </row>
    <row r="11923" spans="14:14" x14ac:dyDescent="0.2">
      <c r="N11923" s="131"/>
    </row>
    <row r="11924" spans="14:14" x14ac:dyDescent="0.2">
      <c r="N11924" s="131"/>
    </row>
    <row r="11925" spans="14:14" x14ac:dyDescent="0.2">
      <c r="N11925" s="131"/>
    </row>
    <row r="11926" spans="14:14" x14ac:dyDescent="0.2">
      <c r="N11926" s="131"/>
    </row>
    <row r="11927" spans="14:14" x14ac:dyDescent="0.2">
      <c r="N11927" s="131"/>
    </row>
    <row r="11928" spans="14:14" x14ac:dyDescent="0.2">
      <c r="N11928" s="131"/>
    </row>
    <row r="11929" spans="14:14" x14ac:dyDescent="0.2">
      <c r="N11929" s="131"/>
    </row>
    <row r="11930" spans="14:14" x14ac:dyDescent="0.2">
      <c r="N11930" s="131"/>
    </row>
    <row r="11931" spans="14:14" x14ac:dyDescent="0.2">
      <c r="N11931" s="131"/>
    </row>
    <row r="11932" spans="14:14" x14ac:dyDescent="0.2">
      <c r="N11932" s="131"/>
    </row>
    <row r="11933" spans="14:14" x14ac:dyDescent="0.2">
      <c r="N11933" s="131"/>
    </row>
    <row r="11934" spans="14:14" x14ac:dyDescent="0.2">
      <c r="N11934" s="131"/>
    </row>
    <row r="11935" spans="14:14" x14ac:dyDescent="0.2">
      <c r="N11935" s="131"/>
    </row>
    <row r="11936" spans="14:14" x14ac:dyDescent="0.2">
      <c r="N11936" s="131"/>
    </row>
    <row r="11937" spans="14:14" x14ac:dyDescent="0.2">
      <c r="N11937" s="131"/>
    </row>
    <row r="11938" spans="14:14" x14ac:dyDescent="0.2">
      <c r="N11938" s="131"/>
    </row>
    <row r="11939" spans="14:14" x14ac:dyDescent="0.2">
      <c r="N11939" s="131"/>
    </row>
    <row r="11940" spans="14:14" x14ac:dyDescent="0.2">
      <c r="N11940" s="131"/>
    </row>
    <row r="11941" spans="14:14" x14ac:dyDescent="0.2">
      <c r="N11941" s="131"/>
    </row>
    <row r="11942" spans="14:14" x14ac:dyDescent="0.2">
      <c r="N11942" s="131"/>
    </row>
    <row r="11943" spans="14:14" x14ac:dyDescent="0.2">
      <c r="N11943" s="131"/>
    </row>
    <row r="11944" spans="14:14" x14ac:dyDescent="0.2">
      <c r="N11944" s="131"/>
    </row>
    <row r="11945" spans="14:14" x14ac:dyDescent="0.2">
      <c r="N11945" s="131"/>
    </row>
    <row r="11946" spans="14:14" x14ac:dyDescent="0.2">
      <c r="N11946" s="131"/>
    </row>
    <row r="11947" spans="14:14" x14ac:dyDescent="0.2">
      <c r="N11947" s="131"/>
    </row>
    <row r="11948" spans="14:14" x14ac:dyDescent="0.2">
      <c r="N11948" s="131"/>
    </row>
    <row r="11949" spans="14:14" x14ac:dyDescent="0.2">
      <c r="N11949" s="131"/>
    </row>
    <row r="11950" spans="14:14" x14ac:dyDescent="0.2">
      <c r="N11950" s="131"/>
    </row>
    <row r="11951" spans="14:14" x14ac:dyDescent="0.2">
      <c r="N11951" s="131"/>
    </row>
    <row r="11952" spans="14:14" x14ac:dyDescent="0.2">
      <c r="N11952" s="131"/>
    </row>
    <row r="11953" spans="14:14" x14ac:dyDescent="0.2">
      <c r="N11953" s="131"/>
    </row>
    <row r="11954" spans="14:14" x14ac:dyDescent="0.2">
      <c r="N11954" s="131"/>
    </row>
    <row r="11955" spans="14:14" x14ac:dyDescent="0.2">
      <c r="N11955" s="131"/>
    </row>
    <row r="11956" spans="14:14" x14ac:dyDescent="0.2">
      <c r="N11956" s="131"/>
    </row>
    <row r="11957" spans="14:14" x14ac:dyDescent="0.2">
      <c r="N11957" s="131"/>
    </row>
    <row r="11958" spans="14:14" x14ac:dyDescent="0.2">
      <c r="N11958" s="131"/>
    </row>
    <row r="11959" spans="14:14" x14ac:dyDescent="0.2">
      <c r="N11959" s="131"/>
    </row>
    <row r="11960" spans="14:14" x14ac:dyDescent="0.2">
      <c r="N11960" s="131"/>
    </row>
    <row r="11961" spans="14:14" x14ac:dyDescent="0.2">
      <c r="N11961" s="131"/>
    </row>
    <row r="11962" spans="14:14" x14ac:dyDescent="0.2">
      <c r="N11962" s="131"/>
    </row>
    <row r="11963" spans="14:14" x14ac:dyDescent="0.2">
      <c r="N11963" s="131"/>
    </row>
    <row r="11964" spans="14:14" x14ac:dyDescent="0.2">
      <c r="N11964" s="131"/>
    </row>
    <row r="11965" spans="14:14" x14ac:dyDescent="0.2">
      <c r="N11965" s="131"/>
    </row>
    <row r="11966" spans="14:14" x14ac:dyDescent="0.2">
      <c r="N11966" s="131"/>
    </row>
    <row r="11967" spans="14:14" x14ac:dyDescent="0.2">
      <c r="N11967" s="131"/>
    </row>
    <row r="11968" spans="14:14" x14ac:dyDescent="0.2">
      <c r="N11968" s="131"/>
    </row>
    <row r="11969" spans="14:14" x14ac:dyDescent="0.2">
      <c r="N11969" s="131"/>
    </row>
    <row r="11970" spans="14:14" x14ac:dyDescent="0.2">
      <c r="N11970" s="131"/>
    </row>
    <row r="11971" spans="14:14" x14ac:dyDescent="0.2">
      <c r="N11971" s="131"/>
    </row>
    <row r="11972" spans="14:14" x14ac:dyDescent="0.2">
      <c r="N11972" s="131"/>
    </row>
    <row r="11973" spans="14:14" x14ac:dyDescent="0.2">
      <c r="N11973" s="131"/>
    </row>
    <row r="11974" spans="14:14" x14ac:dyDescent="0.2">
      <c r="N11974" s="131"/>
    </row>
    <row r="11975" spans="14:14" x14ac:dyDescent="0.2">
      <c r="N11975" s="131"/>
    </row>
    <row r="11976" spans="14:14" x14ac:dyDescent="0.2">
      <c r="N11976" s="131"/>
    </row>
    <row r="11977" spans="14:14" x14ac:dyDescent="0.2">
      <c r="N11977" s="131"/>
    </row>
    <row r="11978" spans="14:14" x14ac:dyDescent="0.2">
      <c r="N11978" s="131"/>
    </row>
    <row r="11979" spans="14:14" x14ac:dyDescent="0.2">
      <c r="N11979" s="131"/>
    </row>
    <row r="11980" spans="14:14" x14ac:dyDescent="0.2">
      <c r="N11980" s="131"/>
    </row>
    <row r="11981" spans="14:14" x14ac:dyDescent="0.2">
      <c r="N11981" s="131"/>
    </row>
    <row r="11982" spans="14:14" x14ac:dyDescent="0.2">
      <c r="N11982" s="131"/>
    </row>
    <row r="11983" spans="14:14" x14ac:dyDescent="0.2">
      <c r="N11983" s="131"/>
    </row>
    <row r="11984" spans="14:14" x14ac:dyDescent="0.2">
      <c r="N11984" s="131"/>
    </row>
    <row r="11985" spans="14:14" x14ac:dyDescent="0.2">
      <c r="N11985" s="131"/>
    </row>
    <row r="11986" spans="14:14" x14ac:dyDescent="0.2">
      <c r="N11986" s="131"/>
    </row>
    <row r="11987" spans="14:14" x14ac:dyDescent="0.2">
      <c r="N11987" s="131"/>
    </row>
    <row r="11988" spans="14:14" x14ac:dyDescent="0.2">
      <c r="N11988" s="131"/>
    </row>
    <row r="11989" spans="14:14" x14ac:dyDescent="0.2">
      <c r="N11989" s="131"/>
    </row>
    <row r="11990" spans="14:14" x14ac:dyDescent="0.2">
      <c r="N11990" s="131"/>
    </row>
    <row r="11991" spans="14:14" x14ac:dyDescent="0.2">
      <c r="N11991" s="131"/>
    </row>
    <row r="11992" spans="14:14" x14ac:dyDescent="0.2">
      <c r="N11992" s="131"/>
    </row>
    <row r="11993" spans="14:14" x14ac:dyDescent="0.2">
      <c r="N11993" s="131"/>
    </row>
    <row r="11994" spans="14:14" x14ac:dyDescent="0.2">
      <c r="N11994" s="131"/>
    </row>
    <row r="11995" spans="14:14" x14ac:dyDescent="0.2">
      <c r="N11995" s="131"/>
    </row>
    <row r="11996" spans="14:14" x14ac:dyDescent="0.2">
      <c r="N11996" s="131"/>
    </row>
    <row r="11997" spans="14:14" x14ac:dyDescent="0.2">
      <c r="N11997" s="131"/>
    </row>
    <row r="11998" spans="14:14" x14ac:dyDescent="0.2">
      <c r="N11998" s="131"/>
    </row>
    <row r="11999" spans="14:14" x14ac:dyDescent="0.2">
      <c r="N11999" s="131"/>
    </row>
    <row r="12000" spans="14:14" x14ac:dyDescent="0.2">
      <c r="N12000" s="131"/>
    </row>
    <row r="12001" spans="14:14" x14ac:dyDescent="0.2">
      <c r="N12001" s="131"/>
    </row>
    <row r="12002" spans="14:14" x14ac:dyDescent="0.2">
      <c r="N12002" s="131"/>
    </row>
    <row r="12003" spans="14:14" x14ac:dyDescent="0.2">
      <c r="N12003" s="131"/>
    </row>
    <row r="12004" spans="14:14" x14ac:dyDescent="0.2">
      <c r="N12004" s="131"/>
    </row>
    <row r="12005" spans="14:14" x14ac:dyDescent="0.2">
      <c r="N12005" s="131"/>
    </row>
    <row r="12006" spans="14:14" x14ac:dyDescent="0.2">
      <c r="N12006" s="131"/>
    </row>
    <row r="12007" spans="14:14" x14ac:dyDescent="0.2">
      <c r="N12007" s="131"/>
    </row>
    <row r="12008" spans="14:14" x14ac:dyDescent="0.2">
      <c r="N12008" s="131"/>
    </row>
    <row r="12009" spans="14:14" x14ac:dyDescent="0.2">
      <c r="N12009" s="131"/>
    </row>
    <row r="12010" spans="14:14" x14ac:dyDescent="0.2">
      <c r="N12010" s="131"/>
    </row>
    <row r="12011" spans="14:14" x14ac:dyDescent="0.2">
      <c r="N12011" s="131"/>
    </row>
    <row r="12012" spans="14:14" x14ac:dyDescent="0.2">
      <c r="N12012" s="131"/>
    </row>
    <row r="12013" spans="14:14" x14ac:dyDescent="0.2">
      <c r="N12013" s="131"/>
    </row>
    <row r="12014" spans="14:14" x14ac:dyDescent="0.2">
      <c r="N12014" s="131"/>
    </row>
    <row r="12015" spans="14:14" x14ac:dyDescent="0.2">
      <c r="N12015" s="131"/>
    </row>
    <row r="12016" spans="14:14" x14ac:dyDescent="0.2">
      <c r="N12016" s="131"/>
    </row>
    <row r="12017" spans="14:14" x14ac:dyDescent="0.2">
      <c r="N12017" s="131"/>
    </row>
    <row r="12018" spans="14:14" x14ac:dyDescent="0.2">
      <c r="N12018" s="131"/>
    </row>
    <row r="12019" spans="14:14" x14ac:dyDescent="0.2">
      <c r="N12019" s="131"/>
    </row>
    <row r="12020" spans="14:14" x14ac:dyDescent="0.2">
      <c r="N12020" s="131"/>
    </row>
    <row r="12021" spans="14:14" x14ac:dyDescent="0.2">
      <c r="N12021" s="131"/>
    </row>
    <row r="12022" spans="14:14" x14ac:dyDescent="0.2">
      <c r="N12022" s="131"/>
    </row>
    <row r="12023" spans="14:14" x14ac:dyDescent="0.2">
      <c r="N12023" s="131"/>
    </row>
    <row r="12024" spans="14:14" x14ac:dyDescent="0.2">
      <c r="N12024" s="131"/>
    </row>
    <row r="12025" spans="14:14" x14ac:dyDescent="0.2">
      <c r="N12025" s="131"/>
    </row>
    <row r="12026" spans="14:14" x14ac:dyDescent="0.2">
      <c r="N12026" s="131"/>
    </row>
    <row r="12027" spans="14:14" x14ac:dyDescent="0.2">
      <c r="N12027" s="131"/>
    </row>
    <row r="12028" spans="14:14" x14ac:dyDescent="0.2">
      <c r="N12028" s="131"/>
    </row>
    <row r="12029" spans="14:14" x14ac:dyDescent="0.2">
      <c r="N12029" s="131"/>
    </row>
    <row r="12030" spans="14:14" x14ac:dyDescent="0.2">
      <c r="N12030" s="131"/>
    </row>
    <row r="12031" spans="14:14" x14ac:dyDescent="0.2">
      <c r="N12031" s="131"/>
    </row>
    <row r="12032" spans="14:14" x14ac:dyDescent="0.2">
      <c r="N12032" s="131"/>
    </row>
    <row r="12033" spans="14:14" x14ac:dyDescent="0.2">
      <c r="N12033" s="131"/>
    </row>
    <row r="12034" spans="14:14" x14ac:dyDescent="0.2">
      <c r="N12034" s="131"/>
    </row>
    <row r="12035" spans="14:14" x14ac:dyDescent="0.2">
      <c r="N12035" s="131"/>
    </row>
    <row r="12036" spans="14:14" x14ac:dyDescent="0.2">
      <c r="N12036" s="131"/>
    </row>
    <row r="12037" spans="14:14" x14ac:dyDescent="0.2">
      <c r="N12037" s="131"/>
    </row>
    <row r="12038" spans="14:14" x14ac:dyDescent="0.2">
      <c r="N12038" s="131"/>
    </row>
    <row r="12039" spans="14:14" x14ac:dyDescent="0.2">
      <c r="N12039" s="131"/>
    </row>
    <row r="12040" spans="14:14" x14ac:dyDescent="0.2">
      <c r="N12040" s="131"/>
    </row>
    <row r="12041" spans="14:14" x14ac:dyDescent="0.2">
      <c r="N12041" s="131"/>
    </row>
    <row r="12042" spans="14:14" x14ac:dyDescent="0.2">
      <c r="N12042" s="131"/>
    </row>
    <row r="12043" spans="14:14" x14ac:dyDescent="0.2">
      <c r="N12043" s="131"/>
    </row>
    <row r="12044" spans="14:14" x14ac:dyDescent="0.2">
      <c r="N12044" s="131"/>
    </row>
    <row r="12045" spans="14:14" x14ac:dyDescent="0.2">
      <c r="N12045" s="131"/>
    </row>
    <row r="12046" spans="14:14" x14ac:dyDescent="0.2">
      <c r="N12046" s="131"/>
    </row>
    <row r="12047" spans="14:14" x14ac:dyDescent="0.2">
      <c r="N12047" s="131"/>
    </row>
    <row r="12048" spans="14:14" x14ac:dyDescent="0.2">
      <c r="N12048" s="131"/>
    </row>
    <row r="12049" spans="14:14" x14ac:dyDescent="0.2">
      <c r="N12049" s="131"/>
    </row>
    <row r="12050" spans="14:14" x14ac:dyDescent="0.2">
      <c r="N12050" s="131"/>
    </row>
    <row r="12051" spans="14:14" x14ac:dyDescent="0.2">
      <c r="N12051" s="131"/>
    </row>
    <row r="12052" spans="14:14" x14ac:dyDescent="0.2">
      <c r="N12052" s="131"/>
    </row>
    <row r="12053" spans="14:14" x14ac:dyDescent="0.2">
      <c r="N12053" s="131"/>
    </row>
    <row r="12054" spans="14:14" x14ac:dyDescent="0.2">
      <c r="N12054" s="131"/>
    </row>
    <row r="12055" spans="14:14" x14ac:dyDescent="0.2">
      <c r="N12055" s="131"/>
    </row>
    <row r="12056" spans="14:14" x14ac:dyDescent="0.2">
      <c r="N12056" s="131"/>
    </row>
    <row r="12057" spans="14:14" x14ac:dyDescent="0.2">
      <c r="N12057" s="131"/>
    </row>
    <row r="12058" spans="14:14" x14ac:dyDescent="0.2">
      <c r="N12058" s="131"/>
    </row>
    <row r="12059" spans="14:14" x14ac:dyDescent="0.2">
      <c r="N12059" s="131"/>
    </row>
    <row r="12060" spans="14:14" x14ac:dyDescent="0.2">
      <c r="N12060" s="131"/>
    </row>
    <row r="12061" spans="14:14" x14ac:dyDescent="0.2">
      <c r="N12061" s="131"/>
    </row>
    <row r="12062" spans="14:14" x14ac:dyDescent="0.2">
      <c r="N12062" s="131"/>
    </row>
    <row r="12063" spans="14:14" x14ac:dyDescent="0.2">
      <c r="N12063" s="131"/>
    </row>
    <row r="12064" spans="14:14" x14ac:dyDescent="0.2">
      <c r="N12064" s="131"/>
    </row>
    <row r="12065" spans="14:14" x14ac:dyDescent="0.2">
      <c r="N12065" s="131"/>
    </row>
    <row r="12066" spans="14:14" x14ac:dyDescent="0.2">
      <c r="N12066" s="131"/>
    </row>
    <row r="12067" spans="14:14" x14ac:dyDescent="0.2">
      <c r="N12067" s="131"/>
    </row>
    <row r="12068" spans="14:14" x14ac:dyDescent="0.2">
      <c r="N12068" s="131"/>
    </row>
    <row r="12069" spans="14:14" x14ac:dyDescent="0.2">
      <c r="N12069" s="131"/>
    </row>
    <row r="12070" spans="14:14" x14ac:dyDescent="0.2">
      <c r="N12070" s="131"/>
    </row>
    <row r="12071" spans="14:14" x14ac:dyDescent="0.2">
      <c r="N12071" s="131"/>
    </row>
    <row r="12072" spans="14:14" x14ac:dyDescent="0.2">
      <c r="N12072" s="131"/>
    </row>
    <row r="12073" spans="14:14" x14ac:dyDescent="0.2">
      <c r="N12073" s="131"/>
    </row>
    <row r="12074" spans="14:14" x14ac:dyDescent="0.2">
      <c r="N12074" s="131"/>
    </row>
    <row r="12075" spans="14:14" x14ac:dyDescent="0.2">
      <c r="N12075" s="131"/>
    </row>
    <row r="12076" spans="14:14" x14ac:dyDescent="0.2">
      <c r="N12076" s="131"/>
    </row>
    <row r="12077" spans="14:14" x14ac:dyDescent="0.2">
      <c r="N12077" s="131"/>
    </row>
    <row r="12078" spans="14:14" x14ac:dyDescent="0.2">
      <c r="N12078" s="131"/>
    </row>
    <row r="12079" spans="14:14" x14ac:dyDescent="0.2">
      <c r="N12079" s="131"/>
    </row>
    <row r="12080" spans="14:14" x14ac:dyDescent="0.2">
      <c r="N12080" s="131"/>
    </row>
    <row r="12081" spans="14:14" x14ac:dyDescent="0.2">
      <c r="N12081" s="131"/>
    </row>
    <row r="12082" spans="14:14" x14ac:dyDescent="0.2">
      <c r="N12082" s="131"/>
    </row>
    <row r="12083" spans="14:14" x14ac:dyDescent="0.2">
      <c r="N12083" s="131"/>
    </row>
    <row r="12084" spans="14:14" x14ac:dyDescent="0.2">
      <c r="N12084" s="131"/>
    </row>
    <row r="12085" spans="14:14" x14ac:dyDescent="0.2">
      <c r="N12085" s="131"/>
    </row>
    <row r="12086" spans="14:14" x14ac:dyDescent="0.2">
      <c r="N12086" s="131"/>
    </row>
    <row r="12087" spans="14:14" x14ac:dyDescent="0.2">
      <c r="N12087" s="131"/>
    </row>
    <row r="12088" spans="14:14" x14ac:dyDescent="0.2">
      <c r="N12088" s="131"/>
    </row>
    <row r="12089" spans="14:14" x14ac:dyDescent="0.2">
      <c r="N12089" s="131"/>
    </row>
    <row r="12090" spans="14:14" x14ac:dyDescent="0.2">
      <c r="N12090" s="131"/>
    </row>
    <row r="12091" spans="14:14" x14ac:dyDescent="0.2">
      <c r="N12091" s="131"/>
    </row>
    <row r="12092" spans="14:14" x14ac:dyDescent="0.2">
      <c r="N12092" s="131"/>
    </row>
    <row r="12093" spans="14:14" x14ac:dyDescent="0.2">
      <c r="N12093" s="131"/>
    </row>
    <row r="12094" spans="14:14" x14ac:dyDescent="0.2">
      <c r="N12094" s="131"/>
    </row>
    <row r="12095" spans="14:14" x14ac:dyDescent="0.2">
      <c r="N12095" s="131"/>
    </row>
    <row r="12096" spans="14:14" x14ac:dyDescent="0.2">
      <c r="N12096" s="131"/>
    </row>
    <row r="12097" spans="14:14" x14ac:dyDescent="0.2">
      <c r="N12097" s="131"/>
    </row>
    <row r="12098" spans="14:14" x14ac:dyDescent="0.2">
      <c r="N12098" s="131"/>
    </row>
    <row r="12099" spans="14:14" x14ac:dyDescent="0.2">
      <c r="N12099" s="131"/>
    </row>
    <row r="12100" spans="14:14" x14ac:dyDescent="0.2">
      <c r="N12100" s="131"/>
    </row>
    <row r="12101" spans="14:14" x14ac:dyDescent="0.2">
      <c r="N12101" s="131"/>
    </row>
    <row r="12102" spans="14:14" x14ac:dyDescent="0.2">
      <c r="N12102" s="131"/>
    </row>
    <row r="12103" spans="14:14" x14ac:dyDescent="0.2">
      <c r="N12103" s="131"/>
    </row>
    <row r="12104" spans="14:14" x14ac:dyDescent="0.2">
      <c r="N12104" s="131"/>
    </row>
    <row r="12105" spans="14:14" x14ac:dyDescent="0.2">
      <c r="N12105" s="131"/>
    </row>
    <row r="12106" spans="14:14" x14ac:dyDescent="0.2">
      <c r="N12106" s="131"/>
    </row>
    <row r="12107" spans="14:14" x14ac:dyDescent="0.2">
      <c r="N12107" s="131"/>
    </row>
    <row r="12108" spans="14:14" x14ac:dyDescent="0.2">
      <c r="N12108" s="131"/>
    </row>
    <row r="12109" spans="14:14" x14ac:dyDescent="0.2">
      <c r="N12109" s="131"/>
    </row>
    <row r="12110" spans="14:14" x14ac:dyDescent="0.2">
      <c r="N12110" s="131"/>
    </row>
    <row r="12111" spans="14:14" x14ac:dyDescent="0.2">
      <c r="N12111" s="131"/>
    </row>
    <row r="12112" spans="14:14" x14ac:dyDescent="0.2">
      <c r="N12112" s="131"/>
    </row>
    <row r="12113" spans="14:14" x14ac:dyDescent="0.2">
      <c r="N12113" s="131"/>
    </row>
    <row r="12114" spans="14:14" x14ac:dyDescent="0.2">
      <c r="N12114" s="131"/>
    </row>
    <row r="12115" spans="14:14" x14ac:dyDescent="0.2">
      <c r="N12115" s="131"/>
    </row>
    <row r="12116" spans="14:14" x14ac:dyDescent="0.2">
      <c r="N12116" s="131"/>
    </row>
    <row r="12117" spans="14:14" x14ac:dyDescent="0.2">
      <c r="N12117" s="131"/>
    </row>
    <row r="12118" spans="14:14" x14ac:dyDescent="0.2">
      <c r="N12118" s="131"/>
    </row>
    <row r="12119" spans="14:14" x14ac:dyDescent="0.2">
      <c r="N12119" s="131"/>
    </row>
    <row r="12120" spans="14:14" x14ac:dyDescent="0.2">
      <c r="N12120" s="131"/>
    </row>
    <row r="12121" spans="14:14" x14ac:dyDescent="0.2">
      <c r="N12121" s="131"/>
    </row>
    <row r="12122" spans="14:14" x14ac:dyDescent="0.2">
      <c r="N12122" s="131"/>
    </row>
    <row r="12123" spans="14:14" x14ac:dyDescent="0.2">
      <c r="N12123" s="131"/>
    </row>
    <row r="12124" spans="14:14" x14ac:dyDescent="0.2">
      <c r="N12124" s="131"/>
    </row>
    <row r="12125" spans="14:14" x14ac:dyDescent="0.2">
      <c r="N12125" s="131"/>
    </row>
    <row r="12126" spans="14:14" x14ac:dyDescent="0.2">
      <c r="N12126" s="131"/>
    </row>
    <row r="12127" spans="14:14" x14ac:dyDescent="0.2">
      <c r="N12127" s="131"/>
    </row>
    <row r="12128" spans="14:14" x14ac:dyDescent="0.2">
      <c r="N12128" s="131"/>
    </row>
    <row r="12129" spans="14:14" x14ac:dyDescent="0.2">
      <c r="N12129" s="131"/>
    </row>
    <row r="12130" spans="14:14" x14ac:dyDescent="0.2">
      <c r="N12130" s="131"/>
    </row>
    <row r="12131" spans="14:14" x14ac:dyDescent="0.2">
      <c r="N12131" s="131"/>
    </row>
    <row r="12132" spans="14:14" x14ac:dyDescent="0.2">
      <c r="N12132" s="131"/>
    </row>
    <row r="12133" spans="14:14" x14ac:dyDescent="0.2">
      <c r="N12133" s="131"/>
    </row>
    <row r="12134" spans="14:14" x14ac:dyDescent="0.2">
      <c r="N12134" s="131"/>
    </row>
    <row r="12135" spans="14:14" x14ac:dyDescent="0.2">
      <c r="N12135" s="131"/>
    </row>
    <row r="12136" spans="14:14" x14ac:dyDescent="0.2">
      <c r="N12136" s="131"/>
    </row>
    <row r="12137" spans="14:14" x14ac:dyDescent="0.2">
      <c r="N12137" s="131"/>
    </row>
    <row r="12138" spans="14:14" x14ac:dyDescent="0.2">
      <c r="N12138" s="131"/>
    </row>
    <row r="12139" spans="14:14" x14ac:dyDescent="0.2">
      <c r="N12139" s="131"/>
    </row>
    <row r="12140" spans="14:14" x14ac:dyDescent="0.2">
      <c r="N12140" s="131"/>
    </row>
    <row r="12141" spans="14:14" x14ac:dyDescent="0.2">
      <c r="N12141" s="131"/>
    </row>
    <row r="12142" spans="14:14" x14ac:dyDescent="0.2">
      <c r="N12142" s="131"/>
    </row>
    <row r="12143" spans="14:14" x14ac:dyDescent="0.2">
      <c r="N12143" s="131"/>
    </row>
    <row r="12144" spans="14:14" x14ac:dyDescent="0.2">
      <c r="N12144" s="131"/>
    </row>
    <row r="12145" spans="14:14" x14ac:dyDescent="0.2">
      <c r="N12145" s="131"/>
    </row>
    <row r="12146" spans="14:14" x14ac:dyDescent="0.2">
      <c r="N12146" s="131"/>
    </row>
    <row r="12147" spans="14:14" x14ac:dyDescent="0.2">
      <c r="N12147" s="131"/>
    </row>
    <row r="12148" spans="14:14" x14ac:dyDescent="0.2">
      <c r="N12148" s="131"/>
    </row>
    <row r="12149" spans="14:14" x14ac:dyDescent="0.2">
      <c r="N12149" s="131"/>
    </row>
    <row r="12150" spans="14:14" x14ac:dyDescent="0.2">
      <c r="N12150" s="131"/>
    </row>
    <row r="12151" spans="14:14" x14ac:dyDescent="0.2">
      <c r="N12151" s="131"/>
    </row>
    <row r="12152" spans="14:14" x14ac:dyDescent="0.2">
      <c r="N12152" s="131"/>
    </row>
    <row r="12153" spans="14:14" x14ac:dyDescent="0.2">
      <c r="N12153" s="131"/>
    </row>
    <row r="12154" spans="14:14" x14ac:dyDescent="0.2">
      <c r="N12154" s="131"/>
    </row>
    <row r="12155" spans="14:14" x14ac:dyDescent="0.2">
      <c r="N12155" s="131"/>
    </row>
    <row r="12156" spans="14:14" x14ac:dyDescent="0.2">
      <c r="N12156" s="131"/>
    </row>
    <row r="12157" spans="14:14" x14ac:dyDescent="0.2">
      <c r="N12157" s="131"/>
    </row>
    <row r="12158" spans="14:14" x14ac:dyDescent="0.2">
      <c r="N12158" s="131"/>
    </row>
    <row r="12159" spans="14:14" x14ac:dyDescent="0.2">
      <c r="N12159" s="131"/>
    </row>
    <row r="12160" spans="14:14" x14ac:dyDescent="0.2">
      <c r="N12160" s="131"/>
    </row>
    <row r="12161" spans="14:14" x14ac:dyDescent="0.2">
      <c r="N12161" s="131"/>
    </row>
    <row r="12162" spans="14:14" x14ac:dyDescent="0.2">
      <c r="N12162" s="131"/>
    </row>
    <row r="12163" spans="14:14" x14ac:dyDescent="0.2">
      <c r="N12163" s="131"/>
    </row>
    <row r="12164" spans="14:14" x14ac:dyDescent="0.2">
      <c r="N12164" s="131"/>
    </row>
    <row r="12165" spans="14:14" x14ac:dyDescent="0.2">
      <c r="N12165" s="131"/>
    </row>
    <row r="12166" spans="14:14" x14ac:dyDescent="0.2">
      <c r="N12166" s="131"/>
    </row>
    <row r="12167" spans="14:14" x14ac:dyDescent="0.2">
      <c r="N12167" s="131"/>
    </row>
    <row r="12168" spans="14:14" x14ac:dyDescent="0.2">
      <c r="N12168" s="131"/>
    </row>
    <row r="12169" spans="14:14" x14ac:dyDescent="0.2">
      <c r="N12169" s="131"/>
    </row>
    <row r="12170" spans="14:14" x14ac:dyDescent="0.2">
      <c r="N12170" s="131"/>
    </row>
    <row r="12171" spans="14:14" x14ac:dyDescent="0.2">
      <c r="N12171" s="131"/>
    </row>
    <row r="12172" spans="14:14" x14ac:dyDescent="0.2">
      <c r="N12172" s="131"/>
    </row>
    <row r="12173" spans="14:14" x14ac:dyDescent="0.2">
      <c r="N12173" s="131"/>
    </row>
    <row r="12174" spans="14:14" x14ac:dyDescent="0.2">
      <c r="N12174" s="131"/>
    </row>
    <row r="12175" spans="14:14" x14ac:dyDescent="0.2">
      <c r="N12175" s="131"/>
    </row>
    <row r="12176" spans="14:14" x14ac:dyDescent="0.2">
      <c r="N12176" s="131"/>
    </row>
    <row r="12177" spans="14:14" x14ac:dyDescent="0.2">
      <c r="N12177" s="131"/>
    </row>
    <row r="12178" spans="14:14" x14ac:dyDescent="0.2">
      <c r="N12178" s="131"/>
    </row>
    <row r="12179" spans="14:14" x14ac:dyDescent="0.2">
      <c r="N12179" s="131"/>
    </row>
    <row r="12180" spans="14:14" x14ac:dyDescent="0.2">
      <c r="N12180" s="131"/>
    </row>
    <row r="12181" spans="14:14" x14ac:dyDescent="0.2">
      <c r="N12181" s="131"/>
    </row>
    <row r="12182" spans="14:14" x14ac:dyDescent="0.2">
      <c r="N12182" s="131"/>
    </row>
    <row r="12183" spans="14:14" x14ac:dyDescent="0.2">
      <c r="N12183" s="131"/>
    </row>
    <row r="12184" spans="14:14" x14ac:dyDescent="0.2">
      <c r="N12184" s="131"/>
    </row>
    <row r="12185" spans="14:14" x14ac:dyDescent="0.2">
      <c r="N12185" s="131"/>
    </row>
    <row r="12186" spans="14:14" x14ac:dyDescent="0.2">
      <c r="N12186" s="131"/>
    </row>
    <row r="12187" spans="14:14" x14ac:dyDescent="0.2">
      <c r="N12187" s="131"/>
    </row>
    <row r="12188" spans="14:14" x14ac:dyDescent="0.2">
      <c r="N12188" s="131"/>
    </row>
    <row r="12189" spans="14:14" x14ac:dyDescent="0.2">
      <c r="N12189" s="131"/>
    </row>
    <row r="12190" spans="14:14" x14ac:dyDescent="0.2">
      <c r="N12190" s="131"/>
    </row>
    <row r="12191" spans="14:14" x14ac:dyDescent="0.2">
      <c r="N12191" s="131"/>
    </row>
    <row r="12192" spans="14:14" x14ac:dyDescent="0.2">
      <c r="N12192" s="131"/>
    </row>
    <row r="12193" spans="14:14" x14ac:dyDescent="0.2">
      <c r="N12193" s="131"/>
    </row>
    <row r="12194" spans="14:14" x14ac:dyDescent="0.2">
      <c r="N12194" s="131"/>
    </row>
    <row r="12195" spans="14:14" x14ac:dyDescent="0.2">
      <c r="N12195" s="131"/>
    </row>
    <row r="12196" spans="14:14" x14ac:dyDescent="0.2">
      <c r="N12196" s="131"/>
    </row>
    <row r="12197" spans="14:14" x14ac:dyDescent="0.2">
      <c r="N12197" s="131"/>
    </row>
    <row r="12198" spans="14:14" x14ac:dyDescent="0.2">
      <c r="N12198" s="131"/>
    </row>
    <row r="12199" spans="14:14" x14ac:dyDescent="0.2">
      <c r="N12199" s="131"/>
    </row>
    <row r="12200" spans="14:14" x14ac:dyDescent="0.2">
      <c r="N12200" s="131"/>
    </row>
    <row r="12201" spans="14:14" x14ac:dyDescent="0.2">
      <c r="N12201" s="131"/>
    </row>
    <row r="12202" spans="14:14" x14ac:dyDescent="0.2">
      <c r="N12202" s="131"/>
    </row>
    <row r="12203" spans="14:14" x14ac:dyDescent="0.2">
      <c r="N12203" s="131"/>
    </row>
    <row r="12204" spans="14:14" x14ac:dyDescent="0.2">
      <c r="N12204" s="131"/>
    </row>
    <row r="12205" spans="14:14" x14ac:dyDescent="0.2">
      <c r="N12205" s="131"/>
    </row>
    <row r="12206" spans="14:14" x14ac:dyDescent="0.2">
      <c r="N12206" s="131"/>
    </row>
    <row r="12207" spans="14:14" x14ac:dyDescent="0.2">
      <c r="N12207" s="131"/>
    </row>
    <row r="12208" spans="14:14" x14ac:dyDescent="0.2">
      <c r="N12208" s="131"/>
    </row>
    <row r="12209" spans="14:14" x14ac:dyDescent="0.2">
      <c r="N12209" s="131"/>
    </row>
    <row r="12210" spans="14:14" x14ac:dyDescent="0.2">
      <c r="N12210" s="131"/>
    </row>
    <row r="12211" spans="14:14" x14ac:dyDescent="0.2">
      <c r="N12211" s="131"/>
    </row>
    <row r="12212" spans="14:14" x14ac:dyDescent="0.2">
      <c r="N12212" s="131"/>
    </row>
    <row r="12213" spans="14:14" x14ac:dyDescent="0.2">
      <c r="N12213" s="131"/>
    </row>
    <row r="12214" spans="14:14" x14ac:dyDescent="0.2">
      <c r="N12214" s="131"/>
    </row>
    <row r="12215" spans="14:14" x14ac:dyDescent="0.2">
      <c r="N12215" s="131"/>
    </row>
    <row r="12216" spans="14:14" x14ac:dyDescent="0.2">
      <c r="N12216" s="131"/>
    </row>
    <row r="12217" spans="14:14" x14ac:dyDescent="0.2">
      <c r="N12217" s="131"/>
    </row>
    <row r="12218" spans="14:14" x14ac:dyDescent="0.2">
      <c r="N12218" s="131"/>
    </row>
    <row r="12219" spans="14:14" x14ac:dyDescent="0.2">
      <c r="N12219" s="131"/>
    </row>
    <row r="12220" spans="14:14" x14ac:dyDescent="0.2">
      <c r="N12220" s="131"/>
    </row>
    <row r="12221" spans="14:14" x14ac:dyDescent="0.2">
      <c r="N12221" s="131"/>
    </row>
    <row r="12222" spans="14:14" x14ac:dyDescent="0.2">
      <c r="N12222" s="131"/>
    </row>
    <row r="12223" spans="14:14" x14ac:dyDescent="0.2">
      <c r="N12223" s="131"/>
    </row>
    <row r="12224" spans="14:14" x14ac:dyDescent="0.2">
      <c r="N12224" s="131"/>
    </row>
    <row r="12225" spans="14:14" x14ac:dyDescent="0.2">
      <c r="N12225" s="131"/>
    </row>
    <row r="12226" spans="14:14" x14ac:dyDescent="0.2">
      <c r="N12226" s="131"/>
    </row>
    <row r="12227" spans="14:14" x14ac:dyDescent="0.2">
      <c r="N12227" s="131"/>
    </row>
    <row r="12228" spans="14:14" x14ac:dyDescent="0.2">
      <c r="N12228" s="131"/>
    </row>
    <row r="12229" spans="14:14" x14ac:dyDescent="0.2">
      <c r="N12229" s="131"/>
    </row>
    <row r="12230" spans="14:14" x14ac:dyDescent="0.2">
      <c r="N12230" s="131"/>
    </row>
    <row r="12231" spans="14:14" x14ac:dyDescent="0.2">
      <c r="N12231" s="131"/>
    </row>
    <row r="12232" spans="14:14" x14ac:dyDescent="0.2">
      <c r="N12232" s="131"/>
    </row>
    <row r="12233" spans="14:14" x14ac:dyDescent="0.2">
      <c r="N12233" s="131"/>
    </row>
    <row r="12234" spans="14:14" x14ac:dyDescent="0.2">
      <c r="N12234" s="131"/>
    </row>
    <row r="12235" spans="14:14" x14ac:dyDescent="0.2">
      <c r="N12235" s="131"/>
    </row>
    <row r="12236" spans="14:14" x14ac:dyDescent="0.2">
      <c r="N12236" s="131"/>
    </row>
    <row r="12237" spans="14:14" x14ac:dyDescent="0.2">
      <c r="N12237" s="131"/>
    </row>
    <row r="12238" spans="14:14" x14ac:dyDescent="0.2">
      <c r="N12238" s="131"/>
    </row>
    <row r="12239" spans="14:14" x14ac:dyDescent="0.2">
      <c r="N12239" s="131"/>
    </row>
    <row r="12240" spans="14:14" x14ac:dyDescent="0.2">
      <c r="N12240" s="131"/>
    </row>
    <row r="12241" spans="14:14" x14ac:dyDescent="0.2">
      <c r="N12241" s="131"/>
    </row>
    <row r="12242" spans="14:14" x14ac:dyDescent="0.2">
      <c r="N12242" s="131"/>
    </row>
    <row r="12243" spans="14:14" x14ac:dyDescent="0.2">
      <c r="N12243" s="131"/>
    </row>
    <row r="12244" spans="14:14" x14ac:dyDescent="0.2">
      <c r="N12244" s="131"/>
    </row>
    <row r="12245" spans="14:14" x14ac:dyDescent="0.2">
      <c r="N12245" s="131"/>
    </row>
    <row r="12246" spans="14:14" x14ac:dyDescent="0.2">
      <c r="N12246" s="131"/>
    </row>
    <row r="12247" spans="14:14" x14ac:dyDescent="0.2">
      <c r="N12247" s="131"/>
    </row>
    <row r="12248" spans="14:14" x14ac:dyDescent="0.2">
      <c r="N12248" s="131"/>
    </row>
    <row r="12249" spans="14:14" x14ac:dyDescent="0.2">
      <c r="N12249" s="131"/>
    </row>
    <row r="12250" spans="14:14" x14ac:dyDescent="0.2">
      <c r="N12250" s="131"/>
    </row>
    <row r="12251" spans="14:14" x14ac:dyDescent="0.2">
      <c r="N12251" s="131"/>
    </row>
    <row r="12252" spans="14:14" x14ac:dyDescent="0.2">
      <c r="N12252" s="131"/>
    </row>
    <row r="12253" spans="14:14" x14ac:dyDescent="0.2">
      <c r="N12253" s="131"/>
    </row>
    <row r="12254" spans="14:14" x14ac:dyDescent="0.2">
      <c r="N12254" s="131"/>
    </row>
    <row r="12255" spans="14:14" x14ac:dyDescent="0.2">
      <c r="N12255" s="131"/>
    </row>
    <row r="12256" spans="14:14" x14ac:dyDescent="0.2">
      <c r="N12256" s="131"/>
    </row>
    <row r="12257" spans="14:14" x14ac:dyDescent="0.2">
      <c r="N12257" s="131"/>
    </row>
    <row r="12258" spans="14:14" x14ac:dyDescent="0.2">
      <c r="N12258" s="131"/>
    </row>
    <row r="12259" spans="14:14" x14ac:dyDescent="0.2">
      <c r="N12259" s="131"/>
    </row>
    <row r="12260" spans="14:14" x14ac:dyDescent="0.2">
      <c r="N12260" s="131"/>
    </row>
    <row r="12261" spans="14:14" x14ac:dyDescent="0.2">
      <c r="N12261" s="131"/>
    </row>
    <row r="12262" spans="14:14" x14ac:dyDescent="0.2">
      <c r="N12262" s="131"/>
    </row>
    <row r="12263" spans="14:14" x14ac:dyDescent="0.2">
      <c r="N12263" s="131"/>
    </row>
    <row r="12264" spans="14:14" x14ac:dyDescent="0.2">
      <c r="N12264" s="131"/>
    </row>
    <row r="12265" spans="14:14" x14ac:dyDescent="0.2">
      <c r="N12265" s="131"/>
    </row>
    <row r="12266" spans="14:14" x14ac:dyDescent="0.2">
      <c r="N12266" s="131"/>
    </row>
    <row r="12267" spans="14:14" x14ac:dyDescent="0.2">
      <c r="N12267" s="131"/>
    </row>
    <row r="12268" spans="14:14" x14ac:dyDescent="0.2">
      <c r="N12268" s="131"/>
    </row>
    <row r="12269" spans="14:14" x14ac:dyDescent="0.2">
      <c r="N12269" s="131"/>
    </row>
    <row r="12270" spans="14:14" x14ac:dyDescent="0.2">
      <c r="N12270" s="131"/>
    </row>
    <row r="12271" spans="14:14" x14ac:dyDescent="0.2">
      <c r="N12271" s="131"/>
    </row>
    <row r="12272" spans="14:14" x14ac:dyDescent="0.2">
      <c r="N12272" s="131"/>
    </row>
    <row r="12273" spans="14:14" x14ac:dyDescent="0.2">
      <c r="N12273" s="131"/>
    </row>
    <row r="12274" spans="14:14" x14ac:dyDescent="0.2">
      <c r="N12274" s="131"/>
    </row>
    <row r="12275" spans="14:14" x14ac:dyDescent="0.2">
      <c r="N12275" s="131"/>
    </row>
    <row r="12276" spans="14:14" x14ac:dyDescent="0.2">
      <c r="N12276" s="131"/>
    </row>
    <row r="12277" spans="14:14" x14ac:dyDescent="0.2">
      <c r="N12277" s="131"/>
    </row>
    <row r="12278" spans="14:14" x14ac:dyDescent="0.2">
      <c r="N12278" s="131"/>
    </row>
    <row r="12279" spans="14:14" x14ac:dyDescent="0.2">
      <c r="N12279" s="131"/>
    </row>
    <row r="12280" spans="14:14" x14ac:dyDescent="0.2">
      <c r="N12280" s="131"/>
    </row>
    <row r="12281" spans="14:14" x14ac:dyDescent="0.2">
      <c r="N12281" s="131"/>
    </row>
    <row r="12282" spans="14:14" x14ac:dyDescent="0.2">
      <c r="N12282" s="131"/>
    </row>
    <row r="12283" spans="14:14" x14ac:dyDescent="0.2">
      <c r="N12283" s="131"/>
    </row>
    <row r="12284" spans="14:14" x14ac:dyDescent="0.2">
      <c r="N12284" s="131"/>
    </row>
    <row r="12285" spans="14:14" x14ac:dyDescent="0.2">
      <c r="N12285" s="131"/>
    </row>
    <row r="12286" spans="14:14" x14ac:dyDescent="0.2">
      <c r="N12286" s="131"/>
    </row>
    <row r="12287" spans="14:14" x14ac:dyDescent="0.2">
      <c r="N12287" s="131"/>
    </row>
    <row r="12288" spans="14:14" x14ac:dyDescent="0.2">
      <c r="N12288" s="131"/>
    </row>
    <row r="12289" spans="14:14" x14ac:dyDescent="0.2">
      <c r="N12289" s="131"/>
    </row>
    <row r="12290" spans="14:14" x14ac:dyDescent="0.2">
      <c r="N12290" s="131"/>
    </row>
    <row r="12291" spans="14:14" x14ac:dyDescent="0.2">
      <c r="N12291" s="131"/>
    </row>
    <row r="12292" spans="14:14" x14ac:dyDescent="0.2">
      <c r="N12292" s="131"/>
    </row>
    <row r="12293" spans="14:14" x14ac:dyDescent="0.2">
      <c r="N12293" s="131"/>
    </row>
    <row r="12294" spans="14:14" x14ac:dyDescent="0.2">
      <c r="N12294" s="131"/>
    </row>
    <row r="12295" spans="14:14" x14ac:dyDescent="0.2">
      <c r="N12295" s="131"/>
    </row>
    <row r="12296" spans="14:14" x14ac:dyDescent="0.2">
      <c r="N12296" s="131"/>
    </row>
    <row r="12297" spans="14:14" x14ac:dyDescent="0.2">
      <c r="N12297" s="131"/>
    </row>
    <row r="12298" spans="14:14" x14ac:dyDescent="0.2">
      <c r="N12298" s="131"/>
    </row>
    <row r="12299" spans="14:14" x14ac:dyDescent="0.2">
      <c r="N12299" s="131"/>
    </row>
    <row r="12300" spans="14:14" x14ac:dyDescent="0.2">
      <c r="N12300" s="131"/>
    </row>
    <row r="12301" spans="14:14" x14ac:dyDescent="0.2">
      <c r="N12301" s="131"/>
    </row>
    <row r="12302" spans="14:14" x14ac:dyDescent="0.2">
      <c r="N12302" s="131"/>
    </row>
    <row r="12303" spans="14:14" x14ac:dyDescent="0.2">
      <c r="N12303" s="131"/>
    </row>
    <row r="12304" spans="14:14" x14ac:dyDescent="0.2">
      <c r="N12304" s="131"/>
    </row>
    <row r="12305" spans="14:14" x14ac:dyDescent="0.2">
      <c r="N12305" s="131"/>
    </row>
    <row r="12306" spans="14:14" x14ac:dyDescent="0.2">
      <c r="N12306" s="131"/>
    </row>
    <row r="12307" spans="14:14" x14ac:dyDescent="0.2">
      <c r="N12307" s="131"/>
    </row>
    <row r="12308" spans="14:14" x14ac:dyDescent="0.2">
      <c r="N12308" s="131"/>
    </row>
    <row r="12309" spans="14:14" x14ac:dyDescent="0.2">
      <c r="N12309" s="131"/>
    </row>
    <row r="12310" spans="14:14" x14ac:dyDescent="0.2">
      <c r="N12310" s="131"/>
    </row>
    <row r="12311" spans="14:14" x14ac:dyDescent="0.2">
      <c r="N12311" s="131"/>
    </row>
    <row r="12312" spans="14:14" x14ac:dyDescent="0.2">
      <c r="N12312" s="131"/>
    </row>
    <row r="12313" spans="14:14" x14ac:dyDescent="0.2">
      <c r="N12313" s="131"/>
    </row>
    <row r="12314" spans="14:14" x14ac:dyDescent="0.2">
      <c r="N12314" s="131"/>
    </row>
    <row r="12315" spans="14:14" x14ac:dyDescent="0.2">
      <c r="N12315" s="131"/>
    </row>
    <row r="12316" spans="14:14" x14ac:dyDescent="0.2">
      <c r="N12316" s="131"/>
    </row>
    <row r="12317" spans="14:14" x14ac:dyDescent="0.2">
      <c r="N12317" s="131"/>
    </row>
    <row r="12318" spans="14:14" x14ac:dyDescent="0.2">
      <c r="N12318" s="131"/>
    </row>
    <row r="12319" spans="14:14" x14ac:dyDescent="0.2">
      <c r="N12319" s="131"/>
    </row>
    <row r="12320" spans="14:14" x14ac:dyDescent="0.2">
      <c r="N12320" s="131"/>
    </row>
    <row r="12321" spans="14:14" x14ac:dyDescent="0.2">
      <c r="N12321" s="131"/>
    </row>
    <row r="12322" spans="14:14" x14ac:dyDescent="0.2">
      <c r="N12322" s="131"/>
    </row>
    <row r="12323" spans="14:14" x14ac:dyDescent="0.2">
      <c r="N12323" s="131"/>
    </row>
    <row r="12324" spans="14:14" x14ac:dyDescent="0.2">
      <c r="N12324" s="131"/>
    </row>
    <row r="12325" spans="14:14" x14ac:dyDescent="0.2">
      <c r="N12325" s="131"/>
    </row>
    <row r="12326" spans="14:14" x14ac:dyDescent="0.2">
      <c r="N12326" s="131"/>
    </row>
    <row r="12327" spans="14:14" x14ac:dyDescent="0.2">
      <c r="N12327" s="131"/>
    </row>
    <row r="12328" spans="14:14" x14ac:dyDescent="0.2">
      <c r="N12328" s="131"/>
    </row>
    <row r="12329" spans="14:14" x14ac:dyDescent="0.2">
      <c r="N12329" s="131"/>
    </row>
    <row r="12330" spans="14:14" x14ac:dyDescent="0.2">
      <c r="N12330" s="131"/>
    </row>
    <row r="12331" spans="14:14" x14ac:dyDescent="0.2">
      <c r="N12331" s="131"/>
    </row>
    <row r="12332" spans="14:14" x14ac:dyDescent="0.2">
      <c r="N12332" s="131"/>
    </row>
    <row r="12333" spans="14:14" x14ac:dyDescent="0.2">
      <c r="N12333" s="131"/>
    </row>
    <row r="12334" spans="14:14" x14ac:dyDescent="0.2">
      <c r="N12334" s="131"/>
    </row>
    <row r="12335" spans="14:14" x14ac:dyDescent="0.2">
      <c r="N12335" s="131"/>
    </row>
    <row r="12336" spans="14:14" x14ac:dyDescent="0.2">
      <c r="N12336" s="131"/>
    </row>
    <row r="12337" spans="14:14" x14ac:dyDescent="0.2">
      <c r="N12337" s="131"/>
    </row>
    <row r="12338" spans="14:14" x14ac:dyDescent="0.2">
      <c r="N12338" s="131"/>
    </row>
    <row r="12339" spans="14:14" x14ac:dyDescent="0.2">
      <c r="N12339" s="131"/>
    </row>
    <row r="12340" spans="14:14" x14ac:dyDescent="0.2">
      <c r="N12340" s="131"/>
    </row>
    <row r="12341" spans="14:14" x14ac:dyDescent="0.2">
      <c r="N12341" s="131"/>
    </row>
    <row r="12342" spans="14:14" x14ac:dyDescent="0.2">
      <c r="N12342" s="131"/>
    </row>
    <row r="12343" spans="14:14" x14ac:dyDescent="0.2">
      <c r="N12343" s="131"/>
    </row>
    <row r="12344" spans="14:14" x14ac:dyDescent="0.2">
      <c r="N12344" s="131"/>
    </row>
    <row r="12345" spans="14:14" x14ac:dyDescent="0.2">
      <c r="N12345" s="131"/>
    </row>
    <row r="12346" spans="14:14" x14ac:dyDescent="0.2">
      <c r="N12346" s="131"/>
    </row>
    <row r="12347" spans="14:14" x14ac:dyDescent="0.2">
      <c r="N12347" s="131"/>
    </row>
    <row r="12348" spans="14:14" x14ac:dyDescent="0.2">
      <c r="N12348" s="131"/>
    </row>
    <row r="12349" spans="14:14" x14ac:dyDescent="0.2">
      <c r="N12349" s="131"/>
    </row>
    <row r="12350" spans="14:14" x14ac:dyDescent="0.2">
      <c r="N12350" s="131"/>
    </row>
    <row r="12351" spans="14:14" x14ac:dyDescent="0.2">
      <c r="N12351" s="131"/>
    </row>
    <row r="12352" spans="14:14" x14ac:dyDescent="0.2">
      <c r="N12352" s="131"/>
    </row>
    <row r="12353" spans="14:14" x14ac:dyDescent="0.2">
      <c r="N12353" s="131"/>
    </row>
    <row r="12354" spans="14:14" x14ac:dyDescent="0.2">
      <c r="N12354" s="131"/>
    </row>
    <row r="12355" spans="14:14" x14ac:dyDescent="0.2">
      <c r="N12355" s="131"/>
    </row>
    <row r="12356" spans="14:14" x14ac:dyDescent="0.2">
      <c r="N12356" s="131"/>
    </row>
    <row r="12357" spans="14:14" x14ac:dyDescent="0.2">
      <c r="N12357" s="131"/>
    </row>
    <row r="12358" spans="14:14" x14ac:dyDescent="0.2">
      <c r="N12358" s="131"/>
    </row>
    <row r="12359" spans="14:14" x14ac:dyDescent="0.2">
      <c r="N12359" s="131"/>
    </row>
    <row r="12360" spans="14:14" x14ac:dyDescent="0.2">
      <c r="N12360" s="131"/>
    </row>
    <row r="12361" spans="14:14" x14ac:dyDescent="0.2">
      <c r="N12361" s="131"/>
    </row>
    <row r="12362" spans="14:14" x14ac:dyDescent="0.2">
      <c r="N12362" s="131"/>
    </row>
    <row r="12363" spans="14:14" x14ac:dyDescent="0.2">
      <c r="N12363" s="131"/>
    </row>
    <row r="12364" spans="14:14" x14ac:dyDescent="0.2">
      <c r="N12364" s="131"/>
    </row>
    <row r="12365" spans="14:14" x14ac:dyDescent="0.2">
      <c r="N12365" s="131"/>
    </row>
    <row r="12366" spans="14:14" x14ac:dyDescent="0.2">
      <c r="N12366" s="131"/>
    </row>
    <row r="12367" spans="14:14" x14ac:dyDescent="0.2">
      <c r="N12367" s="131"/>
    </row>
    <row r="12368" spans="14:14" x14ac:dyDescent="0.2">
      <c r="N12368" s="131"/>
    </row>
    <row r="12369" spans="14:14" x14ac:dyDescent="0.2">
      <c r="N12369" s="131"/>
    </row>
    <row r="12370" spans="14:14" x14ac:dyDescent="0.2">
      <c r="N12370" s="131"/>
    </row>
    <row r="12371" spans="14:14" x14ac:dyDescent="0.2">
      <c r="N12371" s="131"/>
    </row>
    <row r="12372" spans="14:14" x14ac:dyDescent="0.2">
      <c r="N12372" s="131"/>
    </row>
    <row r="12373" spans="14:14" x14ac:dyDescent="0.2">
      <c r="N12373" s="131"/>
    </row>
    <row r="12374" spans="14:14" x14ac:dyDescent="0.2">
      <c r="N12374" s="131"/>
    </row>
    <row r="12375" spans="14:14" x14ac:dyDescent="0.2">
      <c r="N12375" s="131"/>
    </row>
    <row r="12376" spans="14:14" x14ac:dyDescent="0.2">
      <c r="N12376" s="131"/>
    </row>
    <row r="12377" spans="14:14" x14ac:dyDescent="0.2">
      <c r="N12377" s="131"/>
    </row>
    <row r="12378" spans="14:14" x14ac:dyDescent="0.2">
      <c r="N12378" s="131"/>
    </row>
    <row r="12379" spans="14:14" x14ac:dyDescent="0.2">
      <c r="N12379" s="131"/>
    </row>
    <row r="12380" spans="14:14" x14ac:dyDescent="0.2">
      <c r="N12380" s="131"/>
    </row>
    <row r="12381" spans="14:14" x14ac:dyDescent="0.2">
      <c r="N12381" s="131"/>
    </row>
    <row r="12382" spans="14:14" x14ac:dyDescent="0.2">
      <c r="N12382" s="131"/>
    </row>
    <row r="12383" spans="14:14" x14ac:dyDescent="0.2">
      <c r="N12383" s="131"/>
    </row>
    <row r="12384" spans="14:14" x14ac:dyDescent="0.2">
      <c r="N12384" s="131"/>
    </row>
    <row r="12385" spans="14:14" x14ac:dyDescent="0.2">
      <c r="N12385" s="131"/>
    </row>
    <row r="12386" spans="14:14" x14ac:dyDescent="0.2">
      <c r="N12386" s="131"/>
    </row>
    <row r="12387" spans="14:14" x14ac:dyDescent="0.2">
      <c r="N12387" s="131"/>
    </row>
    <row r="12388" spans="14:14" x14ac:dyDescent="0.2">
      <c r="N12388" s="131"/>
    </row>
    <row r="12389" spans="14:14" x14ac:dyDescent="0.2">
      <c r="N12389" s="131"/>
    </row>
    <row r="12390" spans="14:14" x14ac:dyDescent="0.2">
      <c r="N12390" s="131"/>
    </row>
    <row r="12391" spans="14:14" x14ac:dyDescent="0.2">
      <c r="N12391" s="131"/>
    </row>
    <row r="12392" spans="14:14" x14ac:dyDescent="0.2">
      <c r="N12392" s="131"/>
    </row>
    <row r="12393" spans="14:14" x14ac:dyDescent="0.2">
      <c r="N12393" s="131"/>
    </row>
    <row r="12394" spans="14:14" x14ac:dyDescent="0.2">
      <c r="N12394" s="131"/>
    </row>
    <row r="12395" spans="14:14" x14ac:dyDescent="0.2">
      <c r="N12395" s="131"/>
    </row>
    <row r="12396" spans="14:14" x14ac:dyDescent="0.2">
      <c r="N12396" s="131"/>
    </row>
    <row r="12397" spans="14:14" x14ac:dyDescent="0.2">
      <c r="N12397" s="131"/>
    </row>
    <row r="12398" spans="14:14" x14ac:dyDescent="0.2">
      <c r="N12398" s="131"/>
    </row>
    <row r="12399" spans="14:14" x14ac:dyDescent="0.2">
      <c r="N12399" s="131"/>
    </row>
    <row r="12400" spans="14:14" x14ac:dyDescent="0.2">
      <c r="N12400" s="131"/>
    </row>
    <row r="12401" spans="14:14" x14ac:dyDescent="0.2">
      <c r="N12401" s="131"/>
    </row>
    <row r="12402" spans="14:14" x14ac:dyDescent="0.2">
      <c r="N12402" s="131"/>
    </row>
    <row r="12403" spans="14:14" x14ac:dyDescent="0.2">
      <c r="N12403" s="131"/>
    </row>
    <row r="12404" spans="14:14" x14ac:dyDescent="0.2">
      <c r="N12404" s="131"/>
    </row>
    <row r="12405" spans="14:14" x14ac:dyDescent="0.2">
      <c r="N12405" s="131"/>
    </row>
    <row r="12406" spans="14:14" x14ac:dyDescent="0.2">
      <c r="N12406" s="131"/>
    </row>
    <row r="12407" spans="14:14" x14ac:dyDescent="0.2">
      <c r="N12407" s="131"/>
    </row>
    <row r="12408" spans="14:14" x14ac:dyDescent="0.2">
      <c r="N12408" s="131"/>
    </row>
    <row r="12409" spans="14:14" x14ac:dyDescent="0.2">
      <c r="N12409" s="131"/>
    </row>
    <row r="12410" spans="14:14" x14ac:dyDescent="0.2">
      <c r="N12410" s="131"/>
    </row>
    <row r="12411" spans="14:14" x14ac:dyDescent="0.2">
      <c r="N12411" s="131"/>
    </row>
    <row r="12412" spans="14:14" x14ac:dyDescent="0.2">
      <c r="N12412" s="131"/>
    </row>
    <row r="12413" spans="14:14" x14ac:dyDescent="0.2">
      <c r="N12413" s="131"/>
    </row>
    <row r="12414" spans="14:14" x14ac:dyDescent="0.2">
      <c r="N12414" s="131"/>
    </row>
    <row r="12415" spans="14:14" x14ac:dyDescent="0.2">
      <c r="N12415" s="131"/>
    </row>
    <row r="12416" spans="14:14" x14ac:dyDescent="0.2">
      <c r="N12416" s="131"/>
    </row>
    <row r="12417" spans="14:14" x14ac:dyDescent="0.2">
      <c r="N12417" s="131"/>
    </row>
    <row r="12418" spans="14:14" x14ac:dyDescent="0.2">
      <c r="N12418" s="131"/>
    </row>
    <row r="12419" spans="14:14" x14ac:dyDescent="0.2">
      <c r="N12419" s="131"/>
    </row>
    <row r="12420" spans="14:14" x14ac:dyDescent="0.2">
      <c r="N12420" s="131"/>
    </row>
    <row r="12421" spans="14:14" x14ac:dyDescent="0.2">
      <c r="N12421" s="131"/>
    </row>
    <row r="12422" spans="14:14" x14ac:dyDescent="0.2">
      <c r="N12422" s="131"/>
    </row>
    <row r="12423" spans="14:14" x14ac:dyDescent="0.2">
      <c r="N12423" s="131"/>
    </row>
    <row r="12424" spans="14:14" x14ac:dyDescent="0.2">
      <c r="N12424" s="131"/>
    </row>
    <row r="12425" spans="14:14" x14ac:dyDescent="0.2">
      <c r="N12425" s="131"/>
    </row>
    <row r="12426" spans="14:14" x14ac:dyDescent="0.2">
      <c r="N12426" s="131"/>
    </row>
    <row r="12427" spans="14:14" x14ac:dyDescent="0.2">
      <c r="N12427" s="131"/>
    </row>
    <row r="12428" spans="14:14" x14ac:dyDescent="0.2">
      <c r="N12428" s="131"/>
    </row>
    <row r="12429" spans="14:14" x14ac:dyDescent="0.2">
      <c r="N12429" s="131"/>
    </row>
    <row r="12430" spans="14:14" x14ac:dyDescent="0.2">
      <c r="N12430" s="131"/>
    </row>
    <row r="12431" spans="14:14" x14ac:dyDescent="0.2">
      <c r="N12431" s="131"/>
    </row>
    <row r="12432" spans="14:14" x14ac:dyDescent="0.2">
      <c r="N12432" s="131"/>
    </row>
    <row r="12433" spans="14:14" x14ac:dyDescent="0.2">
      <c r="N12433" s="131"/>
    </row>
    <row r="12434" spans="14:14" x14ac:dyDescent="0.2">
      <c r="N12434" s="131"/>
    </row>
    <row r="12435" spans="14:14" x14ac:dyDescent="0.2">
      <c r="N12435" s="131"/>
    </row>
    <row r="12436" spans="14:14" x14ac:dyDescent="0.2">
      <c r="N12436" s="131"/>
    </row>
    <row r="12437" spans="14:14" x14ac:dyDescent="0.2">
      <c r="N12437" s="131"/>
    </row>
    <row r="12438" spans="14:14" x14ac:dyDescent="0.2">
      <c r="N12438" s="131"/>
    </row>
    <row r="12439" spans="14:14" x14ac:dyDescent="0.2">
      <c r="N12439" s="131"/>
    </row>
    <row r="12440" spans="14:14" x14ac:dyDescent="0.2">
      <c r="N12440" s="131"/>
    </row>
    <row r="12441" spans="14:14" x14ac:dyDescent="0.2">
      <c r="N12441" s="131"/>
    </row>
    <row r="12442" spans="14:14" x14ac:dyDescent="0.2">
      <c r="N12442" s="131"/>
    </row>
    <row r="12443" spans="14:14" x14ac:dyDescent="0.2">
      <c r="N12443" s="131"/>
    </row>
    <row r="12444" spans="14:14" x14ac:dyDescent="0.2">
      <c r="N12444" s="131"/>
    </row>
    <row r="12445" spans="14:14" x14ac:dyDescent="0.2">
      <c r="N12445" s="131"/>
    </row>
    <row r="12446" spans="14:14" x14ac:dyDescent="0.2">
      <c r="N12446" s="131"/>
    </row>
    <row r="12447" spans="14:14" x14ac:dyDescent="0.2">
      <c r="N12447" s="131"/>
    </row>
    <row r="12448" spans="14:14" x14ac:dyDescent="0.2">
      <c r="N12448" s="131"/>
    </row>
    <row r="12449" spans="14:14" x14ac:dyDescent="0.2">
      <c r="N12449" s="131"/>
    </row>
    <row r="12450" spans="14:14" x14ac:dyDescent="0.2">
      <c r="N12450" s="131"/>
    </row>
    <row r="12451" spans="14:14" x14ac:dyDescent="0.2">
      <c r="N12451" s="131"/>
    </row>
    <row r="12452" spans="14:14" x14ac:dyDescent="0.2">
      <c r="N12452" s="131"/>
    </row>
    <row r="12453" spans="14:14" x14ac:dyDescent="0.2">
      <c r="N12453" s="131"/>
    </row>
    <row r="12454" spans="14:14" x14ac:dyDescent="0.2">
      <c r="N12454" s="131"/>
    </row>
    <row r="12455" spans="14:14" x14ac:dyDescent="0.2">
      <c r="N12455" s="131"/>
    </row>
    <row r="12456" spans="14:14" x14ac:dyDescent="0.2">
      <c r="N12456" s="131"/>
    </row>
    <row r="12457" spans="14:14" x14ac:dyDescent="0.2">
      <c r="N12457" s="131"/>
    </row>
    <row r="12458" spans="14:14" x14ac:dyDescent="0.2">
      <c r="N12458" s="131"/>
    </row>
    <row r="12459" spans="14:14" x14ac:dyDescent="0.2">
      <c r="N12459" s="131"/>
    </row>
    <row r="12460" spans="14:14" x14ac:dyDescent="0.2">
      <c r="N12460" s="131"/>
    </row>
    <row r="12461" spans="14:14" x14ac:dyDescent="0.2">
      <c r="N12461" s="131"/>
    </row>
    <row r="12462" spans="14:14" x14ac:dyDescent="0.2">
      <c r="N12462" s="131"/>
    </row>
    <row r="12463" spans="14:14" x14ac:dyDescent="0.2">
      <c r="N12463" s="131"/>
    </row>
    <row r="12464" spans="14:14" x14ac:dyDescent="0.2">
      <c r="N12464" s="131"/>
    </row>
    <row r="12465" spans="14:14" x14ac:dyDescent="0.2">
      <c r="N12465" s="131"/>
    </row>
    <row r="12466" spans="14:14" x14ac:dyDescent="0.2">
      <c r="N12466" s="131"/>
    </row>
    <row r="12467" spans="14:14" x14ac:dyDescent="0.2">
      <c r="N12467" s="131"/>
    </row>
    <row r="12468" spans="14:14" x14ac:dyDescent="0.2">
      <c r="N12468" s="131"/>
    </row>
    <row r="12469" spans="14:14" x14ac:dyDescent="0.2">
      <c r="N12469" s="131"/>
    </row>
    <row r="12470" spans="14:14" x14ac:dyDescent="0.2">
      <c r="N12470" s="131"/>
    </row>
    <row r="12471" spans="14:14" x14ac:dyDescent="0.2">
      <c r="N12471" s="131"/>
    </row>
    <row r="12472" spans="14:14" x14ac:dyDescent="0.2">
      <c r="N12472" s="131"/>
    </row>
    <row r="12473" spans="14:14" x14ac:dyDescent="0.2">
      <c r="N12473" s="131"/>
    </row>
    <row r="12474" spans="14:14" x14ac:dyDescent="0.2">
      <c r="N12474" s="131"/>
    </row>
    <row r="12475" spans="14:14" x14ac:dyDescent="0.2">
      <c r="N12475" s="131"/>
    </row>
    <row r="12476" spans="14:14" x14ac:dyDescent="0.2">
      <c r="N12476" s="131"/>
    </row>
    <row r="12477" spans="14:14" x14ac:dyDescent="0.2">
      <c r="N12477" s="131"/>
    </row>
    <row r="12478" spans="14:14" x14ac:dyDescent="0.2">
      <c r="N12478" s="131"/>
    </row>
    <row r="12479" spans="14:14" x14ac:dyDescent="0.2">
      <c r="N12479" s="131"/>
    </row>
    <row r="12480" spans="14:14" x14ac:dyDescent="0.2">
      <c r="N12480" s="131"/>
    </row>
    <row r="12481" spans="14:14" x14ac:dyDescent="0.2">
      <c r="N12481" s="131"/>
    </row>
    <row r="12482" spans="14:14" x14ac:dyDescent="0.2">
      <c r="N12482" s="131"/>
    </row>
    <row r="12483" spans="14:14" x14ac:dyDescent="0.2">
      <c r="N12483" s="131"/>
    </row>
    <row r="12484" spans="14:14" x14ac:dyDescent="0.2">
      <c r="N12484" s="131"/>
    </row>
    <row r="12485" spans="14:14" x14ac:dyDescent="0.2">
      <c r="N12485" s="131"/>
    </row>
    <row r="12486" spans="14:14" x14ac:dyDescent="0.2">
      <c r="N12486" s="131"/>
    </row>
    <row r="12487" spans="14:14" x14ac:dyDescent="0.2">
      <c r="N12487" s="131"/>
    </row>
    <row r="12488" spans="14:14" x14ac:dyDescent="0.2">
      <c r="N12488" s="131"/>
    </row>
    <row r="12489" spans="14:14" x14ac:dyDescent="0.2">
      <c r="N12489" s="131"/>
    </row>
    <row r="12490" spans="14:14" x14ac:dyDescent="0.2">
      <c r="N12490" s="131"/>
    </row>
    <row r="12491" spans="14:14" x14ac:dyDescent="0.2">
      <c r="N12491" s="131"/>
    </row>
    <row r="12492" spans="14:14" x14ac:dyDescent="0.2">
      <c r="N12492" s="131"/>
    </row>
    <row r="12493" spans="14:14" x14ac:dyDescent="0.2">
      <c r="N12493" s="131"/>
    </row>
    <row r="12494" spans="14:14" x14ac:dyDescent="0.2">
      <c r="N12494" s="131"/>
    </row>
    <row r="12495" spans="14:14" x14ac:dyDescent="0.2">
      <c r="N12495" s="131"/>
    </row>
    <row r="12496" spans="14:14" x14ac:dyDescent="0.2">
      <c r="N12496" s="131"/>
    </row>
    <row r="12497" spans="14:14" x14ac:dyDescent="0.2">
      <c r="N12497" s="131"/>
    </row>
    <row r="12498" spans="14:14" x14ac:dyDescent="0.2">
      <c r="N12498" s="131"/>
    </row>
    <row r="12499" spans="14:14" x14ac:dyDescent="0.2">
      <c r="N12499" s="131"/>
    </row>
    <row r="12500" spans="14:14" x14ac:dyDescent="0.2">
      <c r="N12500" s="131"/>
    </row>
    <row r="12501" spans="14:14" x14ac:dyDescent="0.2">
      <c r="N12501" s="131"/>
    </row>
    <row r="12502" spans="14:14" x14ac:dyDescent="0.2">
      <c r="N12502" s="131"/>
    </row>
    <row r="12503" spans="14:14" x14ac:dyDescent="0.2">
      <c r="N12503" s="131"/>
    </row>
    <row r="12504" spans="14:14" x14ac:dyDescent="0.2">
      <c r="N12504" s="131"/>
    </row>
    <row r="12505" spans="14:14" x14ac:dyDescent="0.2">
      <c r="N12505" s="131"/>
    </row>
    <row r="12506" spans="14:14" x14ac:dyDescent="0.2">
      <c r="N12506" s="131"/>
    </row>
    <row r="12507" spans="14:14" x14ac:dyDescent="0.2">
      <c r="N12507" s="131"/>
    </row>
    <row r="12508" spans="14:14" x14ac:dyDescent="0.2">
      <c r="N12508" s="131"/>
    </row>
    <row r="12509" spans="14:14" x14ac:dyDescent="0.2">
      <c r="N12509" s="131"/>
    </row>
    <row r="12510" spans="14:14" x14ac:dyDescent="0.2">
      <c r="N12510" s="131"/>
    </row>
    <row r="12511" spans="14:14" x14ac:dyDescent="0.2">
      <c r="N12511" s="131"/>
    </row>
    <row r="12512" spans="14:14" x14ac:dyDescent="0.2">
      <c r="N12512" s="131"/>
    </row>
    <row r="12513" spans="14:14" x14ac:dyDescent="0.2">
      <c r="N12513" s="131"/>
    </row>
    <row r="12514" spans="14:14" x14ac:dyDescent="0.2">
      <c r="N12514" s="131"/>
    </row>
    <row r="12515" spans="14:14" x14ac:dyDescent="0.2">
      <c r="N12515" s="131"/>
    </row>
    <row r="12516" spans="14:14" x14ac:dyDescent="0.2">
      <c r="N12516" s="131"/>
    </row>
    <row r="12517" spans="14:14" x14ac:dyDescent="0.2">
      <c r="N12517" s="131"/>
    </row>
    <row r="12518" spans="14:14" x14ac:dyDescent="0.2">
      <c r="N12518" s="131"/>
    </row>
    <row r="12519" spans="14:14" x14ac:dyDescent="0.2">
      <c r="N12519" s="131"/>
    </row>
    <row r="12520" spans="14:14" x14ac:dyDescent="0.2">
      <c r="N12520" s="131"/>
    </row>
    <row r="12521" spans="14:14" x14ac:dyDescent="0.2">
      <c r="N12521" s="131"/>
    </row>
    <row r="12522" spans="14:14" x14ac:dyDescent="0.2">
      <c r="N12522" s="131"/>
    </row>
    <row r="12523" spans="14:14" x14ac:dyDescent="0.2">
      <c r="N12523" s="131"/>
    </row>
    <row r="12524" spans="14:14" x14ac:dyDescent="0.2">
      <c r="N12524" s="131"/>
    </row>
    <row r="12525" spans="14:14" x14ac:dyDescent="0.2">
      <c r="N12525" s="131"/>
    </row>
    <row r="12526" spans="14:14" x14ac:dyDescent="0.2">
      <c r="N12526" s="131"/>
    </row>
    <row r="12527" spans="14:14" x14ac:dyDescent="0.2">
      <c r="N12527" s="131"/>
    </row>
    <row r="12528" spans="14:14" x14ac:dyDescent="0.2">
      <c r="N12528" s="131"/>
    </row>
    <row r="12529" spans="14:14" x14ac:dyDescent="0.2">
      <c r="N12529" s="131"/>
    </row>
    <row r="12530" spans="14:14" x14ac:dyDescent="0.2">
      <c r="N12530" s="131"/>
    </row>
    <row r="12531" spans="14:14" x14ac:dyDescent="0.2">
      <c r="N12531" s="131"/>
    </row>
    <row r="12532" spans="14:14" x14ac:dyDescent="0.2">
      <c r="N12532" s="131"/>
    </row>
    <row r="12533" spans="14:14" x14ac:dyDescent="0.2">
      <c r="N12533" s="131"/>
    </row>
    <row r="12534" spans="14:14" x14ac:dyDescent="0.2">
      <c r="N12534" s="131"/>
    </row>
    <row r="12535" spans="14:14" x14ac:dyDescent="0.2">
      <c r="N12535" s="131"/>
    </row>
    <row r="12536" spans="14:14" x14ac:dyDescent="0.2">
      <c r="N12536" s="131"/>
    </row>
    <row r="12537" spans="14:14" x14ac:dyDescent="0.2">
      <c r="N12537" s="131"/>
    </row>
    <row r="12538" spans="14:14" x14ac:dyDescent="0.2">
      <c r="N12538" s="131"/>
    </row>
    <row r="12539" spans="14:14" x14ac:dyDescent="0.2">
      <c r="N12539" s="131"/>
    </row>
    <row r="12540" spans="14:14" x14ac:dyDescent="0.2">
      <c r="N12540" s="131"/>
    </row>
    <row r="12541" spans="14:14" x14ac:dyDescent="0.2">
      <c r="N12541" s="131"/>
    </row>
    <row r="12542" spans="14:14" x14ac:dyDescent="0.2">
      <c r="N12542" s="131"/>
    </row>
    <row r="12543" spans="14:14" x14ac:dyDescent="0.2">
      <c r="N12543" s="131"/>
    </row>
    <row r="12544" spans="14:14" x14ac:dyDescent="0.2">
      <c r="N12544" s="131"/>
    </row>
    <row r="12545" spans="14:14" x14ac:dyDescent="0.2">
      <c r="N12545" s="131"/>
    </row>
    <row r="12546" spans="14:14" x14ac:dyDescent="0.2">
      <c r="N12546" s="131"/>
    </row>
    <row r="12547" spans="14:14" x14ac:dyDescent="0.2">
      <c r="N12547" s="131"/>
    </row>
    <row r="12548" spans="14:14" x14ac:dyDescent="0.2">
      <c r="N12548" s="131"/>
    </row>
    <row r="12549" spans="14:14" x14ac:dyDescent="0.2">
      <c r="N12549" s="131"/>
    </row>
    <row r="12550" spans="14:14" x14ac:dyDescent="0.2">
      <c r="N12550" s="131"/>
    </row>
    <row r="12551" spans="14:14" x14ac:dyDescent="0.2">
      <c r="N12551" s="131"/>
    </row>
    <row r="12552" spans="14:14" x14ac:dyDescent="0.2">
      <c r="N12552" s="131"/>
    </row>
    <row r="12553" spans="14:14" x14ac:dyDescent="0.2">
      <c r="N12553" s="131"/>
    </row>
    <row r="12554" spans="14:14" x14ac:dyDescent="0.2">
      <c r="N12554" s="131"/>
    </row>
    <row r="12555" spans="14:14" x14ac:dyDescent="0.2">
      <c r="N12555" s="131"/>
    </row>
    <row r="12556" spans="14:14" x14ac:dyDescent="0.2">
      <c r="N12556" s="131"/>
    </row>
    <row r="12557" spans="14:14" x14ac:dyDescent="0.2">
      <c r="N12557" s="131"/>
    </row>
    <row r="12558" spans="14:14" x14ac:dyDescent="0.2">
      <c r="N12558" s="131"/>
    </row>
    <row r="12559" spans="14:14" x14ac:dyDescent="0.2">
      <c r="N12559" s="131"/>
    </row>
    <row r="12560" spans="14:14" x14ac:dyDescent="0.2">
      <c r="N12560" s="131"/>
    </row>
    <row r="12561" spans="14:14" x14ac:dyDescent="0.2">
      <c r="N12561" s="131"/>
    </row>
    <row r="12562" spans="14:14" x14ac:dyDescent="0.2">
      <c r="N12562" s="131"/>
    </row>
    <row r="12563" spans="14:14" x14ac:dyDescent="0.2">
      <c r="N12563" s="131"/>
    </row>
    <row r="12564" spans="14:14" x14ac:dyDescent="0.2">
      <c r="N12564" s="131"/>
    </row>
    <row r="12565" spans="14:14" x14ac:dyDescent="0.2">
      <c r="N12565" s="131"/>
    </row>
    <row r="12566" spans="14:14" x14ac:dyDescent="0.2">
      <c r="N12566" s="131"/>
    </row>
    <row r="12567" spans="14:14" x14ac:dyDescent="0.2">
      <c r="N12567" s="131"/>
    </row>
    <row r="12568" spans="14:14" x14ac:dyDescent="0.2">
      <c r="N12568" s="131"/>
    </row>
    <row r="12569" spans="14:14" x14ac:dyDescent="0.2">
      <c r="N12569" s="131"/>
    </row>
    <row r="12570" spans="14:14" x14ac:dyDescent="0.2">
      <c r="N12570" s="131"/>
    </row>
    <row r="12571" spans="14:14" x14ac:dyDescent="0.2">
      <c r="N12571" s="131"/>
    </row>
    <row r="12572" spans="14:14" x14ac:dyDescent="0.2">
      <c r="N12572" s="131"/>
    </row>
    <row r="12573" spans="14:14" x14ac:dyDescent="0.2">
      <c r="N12573" s="131"/>
    </row>
    <row r="12574" spans="14:14" x14ac:dyDescent="0.2">
      <c r="N12574" s="131"/>
    </row>
    <row r="12575" spans="14:14" x14ac:dyDescent="0.2">
      <c r="N12575" s="131"/>
    </row>
    <row r="12576" spans="14:14" x14ac:dyDescent="0.2">
      <c r="N12576" s="131"/>
    </row>
    <row r="12577" spans="14:14" x14ac:dyDescent="0.2">
      <c r="N12577" s="131"/>
    </row>
    <row r="12578" spans="14:14" x14ac:dyDescent="0.2">
      <c r="N12578" s="131"/>
    </row>
    <row r="12579" spans="14:14" x14ac:dyDescent="0.2">
      <c r="N12579" s="131"/>
    </row>
    <row r="12580" spans="14:14" x14ac:dyDescent="0.2">
      <c r="N12580" s="131"/>
    </row>
    <row r="12581" spans="14:14" x14ac:dyDescent="0.2">
      <c r="N12581" s="131"/>
    </row>
    <row r="12582" spans="14:14" x14ac:dyDescent="0.2">
      <c r="N12582" s="131"/>
    </row>
    <row r="12583" spans="14:14" x14ac:dyDescent="0.2">
      <c r="N12583" s="131"/>
    </row>
    <row r="12584" spans="14:14" x14ac:dyDescent="0.2">
      <c r="N12584" s="131"/>
    </row>
    <row r="12585" spans="14:14" x14ac:dyDescent="0.2">
      <c r="N12585" s="131"/>
    </row>
    <row r="12586" spans="14:14" x14ac:dyDescent="0.2">
      <c r="N12586" s="131"/>
    </row>
    <row r="12587" spans="14:14" x14ac:dyDescent="0.2">
      <c r="N12587" s="131"/>
    </row>
    <row r="12588" spans="14:14" x14ac:dyDescent="0.2">
      <c r="N12588" s="131"/>
    </row>
    <row r="12589" spans="14:14" x14ac:dyDescent="0.2">
      <c r="N12589" s="131"/>
    </row>
    <row r="12590" spans="14:14" x14ac:dyDescent="0.2">
      <c r="N12590" s="131"/>
    </row>
    <row r="12591" spans="14:14" x14ac:dyDescent="0.2">
      <c r="N12591" s="131"/>
    </row>
    <row r="12592" spans="14:14" x14ac:dyDescent="0.2">
      <c r="N12592" s="131"/>
    </row>
    <row r="12593" spans="14:14" x14ac:dyDescent="0.2">
      <c r="N12593" s="131"/>
    </row>
    <row r="12594" spans="14:14" x14ac:dyDescent="0.2">
      <c r="N12594" s="131"/>
    </row>
    <row r="12595" spans="14:14" x14ac:dyDescent="0.2">
      <c r="N12595" s="131"/>
    </row>
    <row r="12596" spans="14:14" x14ac:dyDescent="0.2">
      <c r="N12596" s="131"/>
    </row>
    <row r="12597" spans="14:14" x14ac:dyDescent="0.2">
      <c r="N12597" s="131"/>
    </row>
    <row r="12598" spans="14:14" x14ac:dyDescent="0.2">
      <c r="N12598" s="131"/>
    </row>
    <row r="12599" spans="14:14" x14ac:dyDescent="0.2">
      <c r="N12599" s="131"/>
    </row>
    <row r="12600" spans="14:14" x14ac:dyDescent="0.2">
      <c r="N12600" s="131"/>
    </row>
    <row r="12601" spans="14:14" x14ac:dyDescent="0.2">
      <c r="N12601" s="131"/>
    </row>
    <row r="12602" spans="14:14" x14ac:dyDescent="0.2">
      <c r="N12602" s="131"/>
    </row>
    <row r="12603" spans="14:14" x14ac:dyDescent="0.2">
      <c r="N12603" s="131"/>
    </row>
    <row r="12604" spans="14:14" x14ac:dyDescent="0.2">
      <c r="N12604" s="131"/>
    </row>
    <row r="12605" spans="14:14" x14ac:dyDescent="0.2">
      <c r="N12605" s="131"/>
    </row>
    <row r="12606" spans="14:14" x14ac:dyDescent="0.2">
      <c r="N12606" s="131"/>
    </row>
    <row r="12607" spans="14:14" x14ac:dyDescent="0.2">
      <c r="N12607" s="131"/>
    </row>
    <row r="12608" spans="14:14" x14ac:dyDescent="0.2">
      <c r="N12608" s="131"/>
    </row>
    <row r="12609" spans="14:14" x14ac:dyDescent="0.2">
      <c r="N12609" s="131"/>
    </row>
    <row r="12610" spans="14:14" x14ac:dyDescent="0.2">
      <c r="N12610" s="131"/>
    </row>
    <row r="12611" spans="14:14" x14ac:dyDescent="0.2">
      <c r="N12611" s="131"/>
    </row>
    <row r="12612" spans="14:14" x14ac:dyDescent="0.2">
      <c r="N12612" s="131"/>
    </row>
    <row r="12613" spans="14:14" x14ac:dyDescent="0.2">
      <c r="N12613" s="131"/>
    </row>
    <row r="12614" spans="14:14" x14ac:dyDescent="0.2">
      <c r="N12614" s="131"/>
    </row>
    <row r="12615" spans="14:14" x14ac:dyDescent="0.2">
      <c r="N12615" s="131"/>
    </row>
    <row r="12616" spans="14:14" x14ac:dyDescent="0.2">
      <c r="N12616" s="131"/>
    </row>
    <row r="12617" spans="14:14" x14ac:dyDescent="0.2">
      <c r="N12617" s="131"/>
    </row>
    <row r="12618" spans="14:14" x14ac:dyDescent="0.2">
      <c r="N12618" s="131"/>
    </row>
    <row r="12619" spans="14:14" x14ac:dyDescent="0.2">
      <c r="N12619" s="131"/>
    </row>
    <row r="12620" spans="14:14" x14ac:dyDescent="0.2">
      <c r="N12620" s="131"/>
    </row>
    <row r="12621" spans="14:14" x14ac:dyDescent="0.2">
      <c r="N12621" s="131"/>
    </row>
    <row r="12622" spans="14:14" x14ac:dyDescent="0.2">
      <c r="N12622" s="131"/>
    </row>
    <row r="12623" spans="14:14" x14ac:dyDescent="0.2">
      <c r="N12623" s="131"/>
    </row>
    <row r="12624" spans="14:14" x14ac:dyDescent="0.2">
      <c r="N12624" s="131"/>
    </row>
    <row r="12625" spans="14:14" x14ac:dyDescent="0.2">
      <c r="N12625" s="131"/>
    </row>
    <row r="12626" spans="14:14" x14ac:dyDescent="0.2">
      <c r="N12626" s="131"/>
    </row>
    <row r="12627" spans="14:14" x14ac:dyDescent="0.2">
      <c r="N12627" s="131"/>
    </row>
    <row r="12628" spans="14:14" x14ac:dyDescent="0.2">
      <c r="N12628" s="131"/>
    </row>
    <row r="12629" spans="14:14" x14ac:dyDescent="0.2">
      <c r="N12629" s="131"/>
    </row>
    <row r="12630" spans="14:14" x14ac:dyDescent="0.2">
      <c r="N12630" s="131"/>
    </row>
    <row r="12631" spans="14:14" x14ac:dyDescent="0.2">
      <c r="N12631" s="131"/>
    </row>
    <row r="12632" spans="14:14" x14ac:dyDescent="0.2">
      <c r="N12632" s="131"/>
    </row>
    <row r="12633" spans="14:14" x14ac:dyDescent="0.2">
      <c r="N12633" s="131"/>
    </row>
    <row r="12634" spans="14:14" x14ac:dyDescent="0.2">
      <c r="N12634" s="131"/>
    </row>
    <row r="12635" spans="14:14" x14ac:dyDescent="0.2">
      <c r="N12635" s="131"/>
    </row>
    <row r="12636" spans="14:14" x14ac:dyDescent="0.2">
      <c r="N12636" s="131"/>
    </row>
    <row r="12637" spans="14:14" x14ac:dyDescent="0.2">
      <c r="N12637" s="131"/>
    </row>
    <row r="12638" spans="14:14" x14ac:dyDescent="0.2">
      <c r="N12638" s="131"/>
    </row>
    <row r="12639" spans="14:14" x14ac:dyDescent="0.2">
      <c r="N12639" s="131"/>
    </row>
    <row r="12640" spans="14:14" x14ac:dyDescent="0.2">
      <c r="N12640" s="131"/>
    </row>
    <row r="12641" spans="14:14" x14ac:dyDescent="0.2">
      <c r="N12641" s="131"/>
    </row>
    <row r="12642" spans="14:14" x14ac:dyDescent="0.2">
      <c r="N12642" s="131"/>
    </row>
    <row r="12643" spans="14:14" x14ac:dyDescent="0.2">
      <c r="N12643" s="131"/>
    </row>
    <row r="12644" spans="14:14" x14ac:dyDescent="0.2">
      <c r="N12644" s="131"/>
    </row>
    <row r="12645" spans="14:14" x14ac:dyDescent="0.2">
      <c r="N12645" s="131"/>
    </row>
    <row r="12646" spans="14:14" x14ac:dyDescent="0.2">
      <c r="N12646" s="131"/>
    </row>
    <row r="12647" spans="14:14" x14ac:dyDescent="0.2">
      <c r="N12647" s="131"/>
    </row>
    <row r="12648" spans="14:14" x14ac:dyDescent="0.2">
      <c r="N12648" s="131"/>
    </row>
    <row r="12649" spans="14:14" x14ac:dyDescent="0.2">
      <c r="N12649" s="131"/>
    </row>
    <row r="12650" spans="14:14" x14ac:dyDescent="0.2">
      <c r="N12650" s="131"/>
    </row>
    <row r="12651" spans="14:14" x14ac:dyDescent="0.2">
      <c r="N12651" s="131"/>
    </row>
    <row r="12652" spans="14:14" x14ac:dyDescent="0.2">
      <c r="N12652" s="131"/>
    </row>
    <row r="12653" spans="14:14" x14ac:dyDescent="0.2">
      <c r="N12653" s="131"/>
    </row>
    <row r="12654" spans="14:14" x14ac:dyDescent="0.2">
      <c r="N12654" s="131"/>
    </row>
    <row r="12655" spans="14:14" x14ac:dyDescent="0.2">
      <c r="N12655" s="131"/>
    </row>
    <row r="12656" spans="14:14" x14ac:dyDescent="0.2">
      <c r="N12656" s="131"/>
    </row>
    <row r="12657" spans="14:14" x14ac:dyDescent="0.2">
      <c r="N12657" s="131"/>
    </row>
    <row r="12658" spans="14:14" x14ac:dyDescent="0.2">
      <c r="N12658" s="131"/>
    </row>
    <row r="12659" spans="14:14" x14ac:dyDescent="0.2">
      <c r="N12659" s="131"/>
    </row>
    <row r="12660" spans="14:14" x14ac:dyDescent="0.2">
      <c r="N12660" s="131"/>
    </row>
    <row r="12661" spans="14:14" x14ac:dyDescent="0.2">
      <c r="N12661" s="131"/>
    </row>
    <row r="12662" spans="14:14" x14ac:dyDescent="0.2">
      <c r="N12662" s="131"/>
    </row>
    <row r="12663" spans="14:14" x14ac:dyDescent="0.2">
      <c r="N12663" s="131"/>
    </row>
    <row r="12664" spans="14:14" x14ac:dyDescent="0.2">
      <c r="N12664" s="131"/>
    </row>
    <row r="12665" spans="14:14" x14ac:dyDescent="0.2">
      <c r="N12665" s="131"/>
    </row>
    <row r="12666" spans="14:14" x14ac:dyDescent="0.2">
      <c r="N12666" s="131"/>
    </row>
    <row r="12667" spans="14:14" x14ac:dyDescent="0.2">
      <c r="N12667" s="131"/>
    </row>
    <row r="12668" spans="14:14" x14ac:dyDescent="0.2">
      <c r="N12668" s="131"/>
    </row>
    <row r="12669" spans="14:14" x14ac:dyDescent="0.2">
      <c r="N12669" s="131"/>
    </row>
    <row r="12670" spans="14:14" x14ac:dyDescent="0.2">
      <c r="N12670" s="131"/>
    </row>
    <row r="12671" spans="14:14" x14ac:dyDescent="0.2">
      <c r="N12671" s="131"/>
    </row>
    <row r="12672" spans="14:14" x14ac:dyDescent="0.2">
      <c r="N12672" s="131"/>
    </row>
    <row r="12673" spans="14:14" x14ac:dyDescent="0.2">
      <c r="N12673" s="131"/>
    </row>
    <row r="12674" spans="14:14" x14ac:dyDescent="0.2">
      <c r="N12674" s="131"/>
    </row>
    <row r="12675" spans="14:14" x14ac:dyDescent="0.2">
      <c r="N12675" s="131"/>
    </row>
    <row r="12676" spans="14:14" x14ac:dyDescent="0.2">
      <c r="N12676" s="131"/>
    </row>
    <row r="12677" spans="14:14" x14ac:dyDescent="0.2">
      <c r="N12677" s="131"/>
    </row>
    <row r="12678" spans="14:14" x14ac:dyDescent="0.2">
      <c r="N12678" s="131"/>
    </row>
    <row r="12679" spans="14:14" x14ac:dyDescent="0.2">
      <c r="N12679" s="131"/>
    </row>
    <row r="12680" spans="14:14" x14ac:dyDescent="0.2">
      <c r="N12680" s="131"/>
    </row>
    <row r="12681" spans="14:14" x14ac:dyDescent="0.2">
      <c r="N12681" s="131"/>
    </row>
    <row r="12682" spans="14:14" x14ac:dyDescent="0.2">
      <c r="N12682" s="131"/>
    </row>
    <row r="12683" spans="14:14" x14ac:dyDescent="0.2">
      <c r="N12683" s="131"/>
    </row>
    <row r="12684" spans="14:14" x14ac:dyDescent="0.2">
      <c r="N12684" s="131"/>
    </row>
    <row r="12685" spans="14:14" x14ac:dyDescent="0.2">
      <c r="N12685" s="131"/>
    </row>
    <row r="12686" spans="14:14" x14ac:dyDescent="0.2">
      <c r="N12686" s="131"/>
    </row>
    <row r="12687" spans="14:14" x14ac:dyDescent="0.2">
      <c r="N12687" s="131"/>
    </row>
    <row r="12688" spans="14:14" x14ac:dyDescent="0.2">
      <c r="N12688" s="131"/>
    </row>
    <row r="12689" spans="14:14" x14ac:dyDescent="0.2">
      <c r="N12689" s="131"/>
    </row>
    <row r="12690" spans="14:14" x14ac:dyDescent="0.2">
      <c r="N12690" s="131"/>
    </row>
    <row r="12691" spans="14:14" x14ac:dyDescent="0.2">
      <c r="N12691" s="131"/>
    </row>
    <row r="12692" spans="14:14" x14ac:dyDescent="0.2">
      <c r="N12692" s="131"/>
    </row>
    <row r="12693" spans="14:14" x14ac:dyDescent="0.2">
      <c r="N12693" s="131"/>
    </row>
    <row r="12694" spans="14:14" x14ac:dyDescent="0.2">
      <c r="N12694" s="131"/>
    </row>
    <row r="12695" spans="14:14" x14ac:dyDescent="0.2">
      <c r="N12695" s="131"/>
    </row>
    <row r="12696" spans="14:14" x14ac:dyDescent="0.2">
      <c r="N12696" s="131"/>
    </row>
    <row r="12697" spans="14:14" x14ac:dyDescent="0.2">
      <c r="N12697" s="131"/>
    </row>
    <row r="12698" spans="14:14" x14ac:dyDescent="0.2">
      <c r="N12698" s="131"/>
    </row>
    <row r="12699" spans="14:14" x14ac:dyDescent="0.2">
      <c r="N12699" s="131"/>
    </row>
    <row r="12700" spans="14:14" x14ac:dyDescent="0.2">
      <c r="N12700" s="131"/>
    </row>
    <row r="12701" spans="14:14" x14ac:dyDescent="0.2">
      <c r="N12701" s="131"/>
    </row>
    <row r="12702" spans="14:14" x14ac:dyDescent="0.2">
      <c r="N12702" s="131"/>
    </row>
    <row r="12703" spans="14:14" x14ac:dyDescent="0.2">
      <c r="N12703" s="131"/>
    </row>
    <row r="12704" spans="14:14" x14ac:dyDescent="0.2">
      <c r="N12704" s="131"/>
    </row>
    <row r="12705" spans="14:14" x14ac:dyDescent="0.2">
      <c r="N12705" s="131"/>
    </row>
    <row r="12706" spans="14:14" x14ac:dyDescent="0.2">
      <c r="N12706" s="131"/>
    </row>
    <row r="12707" spans="14:14" x14ac:dyDescent="0.2">
      <c r="N12707" s="131"/>
    </row>
    <row r="12708" spans="14:14" x14ac:dyDescent="0.2">
      <c r="N12708" s="131"/>
    </row>
    <row r="12709" spans="14:14" x14ac:dyDescent="0.2">
      <c r="N12709" s="131"/>
    </row>
    <row r="12710" spans="14:14" x14ac:dyDescent="0.2">
      <c r="N12710" s="131"/>
    </row>
    <row r="12711" spans="14:14" x14ac:dyDescent="0.2">
      <c r="N12711" s="131"/>
    </row>
    <row r="12712" spans="14:14" x14ac:dyDescent="0.2">
      <c r="N12712" s="131"/>
    </row>
    <row r="12713" spans="14:14" x14ac:dyDescent="0.2">
      <c r="N12713" s="131"/>
    </row>
    <row r="12714" spans="14:14" x14ac:dyDescent="0.2">
      <c r="N12714" s="131"/>
    </row>
    <row r="12715" spans="14:14" x14ac:dyDescent="0.2">
      <c r="N12715" s="131"/>
    </row>
    <row r="12716" spans="14:14" x14ac:dyDescent="0.2">
      <c r="N12716" s="131"/>
    </row>
    <row r="12717" spans="14:14" x14ac:dyDescent="0.2">
      <c r="N12717" s="131"/>
    </row>
    <row r="12718" spans="14:14" x14ac:dyDescent="0.2">
      <c r="N12718" s="131"/>
    </row>
    <row r="12719" spans="14:14" x14ac:dyDescent="0.2">
      <c r="N12719" s="131"/>
    </row>
    <row r="12720" spans="14:14" x14ac:dyDescent="0.2">
      <c r="N12720" s="131"/>
    </row>
    <row r="12721" spans="14:14" x14ac:dyDescent="0.2">
      <c r="N12721" s="131"/>
    </row>
    <row r="12722" spans="14:14" x14ac:dyDescent="0.2">
      <c r="N12722" s="131"/>
    </row>
    <row r="12723" spans="14:14" x14ac:dyDescent="0.2">
      <c r="N12723" s="131"/>
    </row>
    <row r="12724" spans="14:14" x14ac:dyDescent="0.2">
      <c r="N12724" s="131"/>
    </row>
    <row r="12725" spans="14:14" x14ac:dyDescent="0.2">
      <c r="N12725" s="131"/>
    </row>
    <row r="12726" spans="14:14" x14ac:dyDescent="0.2">
      <c r="N12726" s="131"/>
    </row>
    <row r="12727" spans="14:14" x14ac:dyDescent="0.2">
      <c r="N12727" s="131"/>
    </row>
    <row r="12728" spans="14:14" x14ac:dyDescent="0.2">
      <c r="N12728" s="131"/>
    </row>
    <row r="12729" spans="14:14" x14ac:dyDescent="0.2">
      <c r="N12729" s="131"/>
    </row>
    <row r="12730" spans="14:14" x14ac:dyDescent="0.2">
      <c r="N12730" s="131"/>
    </row>
    <row r="12731" spans="14:14" x14ac:dyDescent="0.2">
      <c r="N12731" s="131"/>
    </row>
    <row r="12732" spans="14:14" x14ac:dyDescent="0.2">
      <c r="N12732" s="131"/>
    </row>
    <row r="12733" spans="14:14" x14ac:dyDescent="0.2">
      <c r="N12733" s="131"/>
    </row>
    <row r="12734" spans="14:14" x14ac:dyDescent="0.2">
      <c r="N12734" s="131"/>
    </row>
    <row r="12735" spans="14:14" x14ac:dyDescent="0.2">
      <c r="N12735" s="131"/>
    </row>
    <row r="12736" spans="14:14" x14ac:dyDescent="0.2">
      <c r="N12736" s="131"/>
    </row>
    <row r="12737" spans="14:14" x14ac:dyDescent="0.2">
      <c r="N12737" s="131"/>
    </row>
    <row r="12738" spans="14:14" x14ac:dyDescent="0.2">
      <c r="N12738" s="131"/>
    </row>
    <row r="12739" spans="14:14" x14ac:dyDescent="0.2">
      <c r="N12739" s="131"/>
    </row>
    <row r="12740" spans="14:14" x14ac:dyDescent="0.2">
      <c r="N12740" s="131"/>
    </row>
    <row r="12741" spans="14:14" x14ac:dyDescent="0.2">
      <c r="N12741" s="131"/>
    </row>
    <row r="12742" spans="14:14" x14ac:dyDescent="0.2">
      <c r="N12742" s="131"/>
    </row>
    <row r="12743" spans="14:14" x14ac:dyDescent="0.2">
      <c r="N12743" s="131"/>
    </row>
    <row r="12744" spans="14:14" x14ac:dyDescent="0.2">
      <c r="N12744" s="131"/>
    </row>
    <row r="12745" spans="14:14" x14ac:dyDescent="0.2">
      <c r="N12745" s="131"/>
    </row>
    <row r="12746" spans="14:14" x14ac:dyDescent="0.2">
      <c r="N12746" s="131"/>
    </row>
    <row r="12747" spans="14:14" x14ac:dyDescent="0.2">
      <c r="N12747" s="131"/>
    </row>
    <row r="12748" spans="14:14" x14ac:dyDescent="0.2">
      <c r="N12748" s="131"/>
    </row>
    <row r="12749" spans="14:14" x14ac:dyDescent="0.2">
      <c r="N12749" s="131"/>
    </row>
    <row r="12750" spans="14:14" x14ac:dyDescent="0.2">
      <c r="N12750" s="131"/>
    </row>
    <row r="12751" spans="14:14" x14ac:dyDescent="0.2">
      <c r="N12751" s="131"/>
    </row>
    <row r="12752" spans="14:14" x14ac:dyDescent="0.2">
      <c r="N12752" s="131"/>
    </row>
    <row r="12753" spans="14:14" x14ac:dyDescent="0.2">
      <c r="N12753" s="131"/>
    </row>
    <row r="12754" spans="14:14" x14ac:dyDescent="0.2">
      <c r="N12754" s="131"/>
    </row>
    <row r="12755" spans="14:14" x14ac:dyDescent="0.2">
      <c r="N12755" s="131"/>
    </row>
    <row r="12756" spans="14:14" x14ac:dyDescent="0.2">
      <c r="N12756" s="131"/>
    </row>
    <row r="12757" spans="14:14" x14ac:dyDescent="0.2">
      <c r="N12757" s="131"/>
    </row>
    <row r="12758" spans="14:14" x14ac:dyDescent="0.2">
      <c r="N12758" s="131"/>
    </row>
    <row r="12759" spans="14:14" x14ac:dyDescent="0.2">
      <c r="N12759" s="131"/>
    </row>
    <row r="12760" spans="14:14" x14ac:dyDescent="0.2">
      <c r="N12760" s="131"/>
    </row>
    <row r="12761" spans="14:14" x14ac:dyDescent="0.2">
      <c r="N12761" s="131"/>
    </row>
    <row r="12762" spans="14:14" x14ac:dyDescent="0.2">
      <c r="N12762" s="131"/>
    </row>
    <row r="12763" spans="14:14" x14ac:dyDescent="0.2">
      <c r="N12763" s="131"/>
    </row>
    <row r="12764" spans="14:14" x14ac:dyDescent="0.2">
      <c r="N12764" s="131"/>
    </row>
    <row r="12765" spans="14:14" x14ac:dyDescent="0.2">
      <c r="N12765" s="131"/>
    </row>
    <row r="12766" spans="14:14" x14ac:dyDescent="0.2">
      <c r="N12766" s="131"/>
    </row>
    <row r="12767" spans="14:14" x14ac:dyDescent="0.2">
      <c r="N12767" s="131"/>
    </row>
    <row r="12768" spans="14:14" x14ac:dyDescent="0.2">
      <c r="N12768" s="131"/>
    </row>
    <row r="12769" spans="14:14" x14ac:dyDescent="0.2">
      <c r="N12769" s="131"/>
    </row>
    <row r="12770" spans="14:14" x14ac:dyDescent="0.2">
      <c r="N12770" s="131"/>
    </row>
    <row r="12771" spans="14:14" x14ac:dyDescent="0.2">
      <c r="N12771" s="131"/>
    </row>
    <row r="12772" spans="14:14" x14ac:dyDescent="0.2">
      <c r="N12772" s="131"/>
    </row>
    <row r="12773" spans="14:14" x14ac:dyDescent="0.2">
      <c r="N12773" s="131"/>
    </row>
    <row r="12774" spans="14:14" x14ac:dyDescent="0.2">
      <c r="N12774" s="131"/>
    </row>
    <row r="12775" spans="14:14" x14ac:dyDescent="0.2">
      <c r="N12775" s="131"/>
    </row>
    <row r="12776" spans="14:14" x14ac:dyDescent="0.2">
      <c r="N12776" s="131"/>
    </row>
    <row r="12777" spans="14:14" x14ac:dyDescent="0.2">
      <c r="N12777" s="131"/>
    </row>
    <row r="12778" spans="14:14" x14ac:dyDescent="0.2">
      <c r="N12778" s="131"/>
    </row>
    <row r="12779" spans="14:14" x14ac:dyDescent="0.2">
      <c r="N12779" s="131"/>
    </row>
    <row r="12780" spans="14:14" x14ac:dyDescent="0.2">
      <c r="N12780" s="131"/>
    </row>
    <row r="12781" spans="14:14" x14ac:dyDescent="0.2">
      <c r="N12781" s="131"/>
    </row>
    <row r="12782" spans="14:14" x14ac:dyDescent="0.2">
      <c r="N12782" s="131"/>
    </row>
    <row r="12783" spans="14:14" x14ac:dyDescent="0.2">
      <c r="N12783" s="131"/>
    </row>
    <row r="12784" spans="14:14" x14ac:dyDescent="0.2">
      <c r="N12784" s="131"/>
    </row>
    <row r="12785" spans="14:14" x14ac:dyDescent="0.2">
      <c r="N12785" s="131"/>
    </row>
    <row r="12786" spans="14:14" x14ac:dyDescent="0.2">
      <c r="N12786" s="131"/>
    </row>
    <row r="12787" spans="14:14" x14ac:dyDescent="0.2">
      <c r="N12787" s="131"/>
    </row>
    <row r="12788" spans="14:14" x14ac:dyDescent="0.2">
      <c r="N12788" s="131"/>
    </row>
    <row r="12789" spans="14:14" x14ac:dyDescent="0.2">
      <c r="N12789" s="131"/>
    </row>
    <row r="12790" spans="14:14" x14ac:dyDescent="0.2">
      <c r="N12790" s="131"/>
    </row>
    <row r="12791" spans="14:14" x14ac:dyDescent="0.2">
      <c r="N12791" s="131"/>
    </row>
    <row r="12792" spans="14:14" x14ac:dyDescent="0.2">
      <c r="N12792" s="131"/>
    </row>
    <row r="12793" spans="14:14" x14ac:dyDescent="0.2">
      <c r="N12793" s="131"/>
    </row>
    <row r="12794" spans="14:14" x14ac:dyDescent="0.2">
      <c r="N12794" s="131"/>
    </row>
    <row r="12795" spans="14:14" x14ac:dyDescent="0.2">
      <c r="N12795" s="131"/>
    </row>
    <row r="12796" spans="14:14" x14ac:dyDescent="0.2">
      <c r="N12796" s="131"/>
    </row>
    <row r="12797" spans="14:14" x14ac:dyDescent="0.2">
      <c r="N12797" s="131"/>
    </row>
    <row r="12798" spans="14:14" x14ac:dyDescent="0.2">
      <c r="N12798" s="131"/>
    </row>
    <row r="12799" spans="14:14" x14ac:dyDescent="0.2">
      <c r="N12799" s="131"/>
    </row>
    <row r="12800" spans="14:14" x14ac:dyDescent="0.2">
      <c r="N12800" s="131"/>
    </row>
    <row r="12801" spans="14:14" x14ac:dyDescent="0.2">
      <c r="N12801" s="131"/>
    </row>
    <row r="12802" spans="14:14" x14ac:dyDescent="0.2">
      <c r="N12802" s="131"/>
    </row>
    <row r="12803" spans="14:14" x14ac:dyDescent="0.2">
      <c r="N12803" s="131"/>
    </row>
    <row r="12804" spans="14:14" x14ac:dyDescent="0.2">
      <c r="N12804" s="131"/>
    </row>
    <row r="12805" spans="14:14" x14ac:dyDescent="0.2">
      <c r="N12805" s="131"/>
    </row>
    <row r="12806" spans="14:14" x14ac:dyDescent="0.2">
      <c r="N12806" s="131"/>
    </row>
    <row r="12807" spans="14:14" x14ac:dyDescent="0.2">
      <c r="N12807" s="131"/>
    </row>
    <row r="12808" spans="14:14" x14ac:dyDescent="0.2">
      <c r="N12808" s="131"/>
    </row>
    <row r="12809" spans="14:14" x14ac:dyDescent="0.2">
      <c r="N12809" s="131"/>
    </row>
    <row r="12810" spans="14:14" x14ac:dyDescent="0.2">
      <c r="N12810" s="131"/>
    </row>
    <row r="12811" spans="14:14" x14ac:dyDescent="0.2">
      <c r="N12811" s="131"/>
    </row>
    <row r="12812" spans="14:14" x14ac:dyDescent="0.2">
      <c r="N12812" s="131"/>
    </row>
    <row r="12813" spans="14:14" x14ac:dyDescent="0.2">
      <c r="N12813" s="131"/>
    </row>
    <row r="12814" spans="14:14" x14ac:dyDescent="0.2">
      <c r="N12814" s="131"/>
    </row>
    <row r="12815" spans="14:14" x14ac:dyDescent="0.2">
      <c r="N12815" s="131"/>
    </row>
    <row r="12816" spans="14:14" x14ac:dyDescent="0.2">
      <c r="N12816" s="131"/>
    </row>
    <row r="12817" spans="14:14" x14ac:dyDescent="0.2">
      <c r="N12817" s="131"/>
    </row>
    <row r="12818" spans="14:14" x14ac:dyDescent="0.2">
      <c r="N12818" s="131"/>
    </row>
    <row r="12819" spans="14:14" x14ac:dyDescent="0.2">
      <c r="N12819" s="131"/>
    </row>
    <row r="12820" spans="14:14" x14ac:dyDescent="0.2">
      <c r="N12820" s="131"/>
    </row>
    <row r="12821" spans="14:14" x14ac:dyDescent="0.2">
      <c r="N12821" s="131"/>
    </row>
    <row r="12822" spans="14:14" x14ac:dyDescent="0.2">
      <c r="N12822" s="131"/>
    </row>
    <row r="12823" spans="14:14" x14ac:dyDescent="0.2">
      <c r="N12823" s="131"/>
    </row>
    <row r="12824" spans="14:14" x14ac:dyDescent="0.2">
      <c r="N12824" s="131"/>
    </row>
    <row r="12825" spans="14:14" x14ac:dyDescent="0.2">
      <c r="N12825" s="131"/>
    </row>
    <row r="12826" spans="14:14" x14ac:dyDescent="0.2">
      <c r="N12826" s="131"/>
    </row>
    <row r="12827" spans="14:14" x14ac:dyDescent="0.2">
      <c r="N12827" s="131"/>
    </row>
    <row r="12828" spans="14:14" x14ac:dyDescent="0.2">
      <c r="N12828" s="131"/>
    </row>
    <row r="12829" spans="14:14" x14ac:dyDescent="0.2">
      <c r="N12829" s="131"/>
    </row>
    <row r="12830" spans="14:14" x14ac:dyDescent="0.2">
      <c r="N12830" s="131"/>
    </row>
    <row r="12831" spans="14:14" x14ac:dyDescent="0.2">
      <c r="N12831" s="131"/>
    </row>
    <row r="12832" spans="14:14" x14ac:dyDescent="0.2">
      <c r="N12832" s="131"/>
    </row>
    <row r="12833" spans="14:14" x14ac:dyDescent="0.2">
      <c r="N12833" s="131"/>
    </row>
    <row r="12834" spans="14:14" x14ac:dyDescent="0.2">
      <c r="N12834" s="131"/>
    </row>
    <row r="12835" spans="14:14" x14ac:dyDescent="0.2">
      <c r="N12835" s="131"/>
    </row>
    <row r="12836" spans="14:14" x14ac:dyDescent="0.2">
      <c r="N12836" s="131"/>
    </row>
    <row r="12837" spans="14:14" x14ac:dyDescent="0.2">
      <c r="N12837" s="131"/>
    </row>
    <row r="12838" spans="14:14" x14ac:dyDescent="0.2">
      <c r="N12838" s="131"/>
    </row>
    <row r="12839" spans="14:14" x14ac:dyDescent="0.2">
      <c r="N12839" s="131"/>
    </row>
    <row r="12840" spans="14:14" x14ac:dyDescent="0.2">
      <c r="N12840" s="131"/>
    </row>
    <row r="12841" spans="14:14" x14ac:dyDescent="0.2">
      <c r="N12841" s="131"/>
    </row>
    <row r="12842" spans="14:14" x14ac:dyDescent="0.2">
      <c r="N12842" s="131"/>
    </row>
    <row r="12843" spans="14:14" x14ac:dyDescent="0.2">
      <c r="N12843" s="131"/>
    </row>
    <row r="12844" spans="14:14" x14ac:dyDescent="0.2">
      <c r="N12844" s="131"/>
    </row>
    <row r="12845" spans="14:14" x14ac:dyDescent="0.2">
      <c r="N12845" s="131"/>
    </row>
    <row r="12846" spans="14:14" x14ac:dyDescent="0.2">
      <c r="N12846" s="131"/>
    </row>
    <row r="12847" spans="14:14" x14ac:dyDescent="0.2">
      <c r="N12847" s="131"/>
    </row>
    <row r="12848" spans="14:14" x14ac:dyDescent="0.2">
      <c r="N12848" s="131"/>
    </row>
    <row r="12849" spans="14:14" x14ac:dyDescent="0.2">
      <c r="N12849" s="131"/>
    </row>
    <row r="12850" spans="14:14" x14ac:dyDescent="0.2">
      <c r="N12850" s="131"/>
    </row>
    <row r="12851" spans="14:14" x14ac:dyDescent="0.2">
      <c r="N12851" s="131"/>
    </row>
    <row r="12852" spans="14:14" x14ac:dyDescent="0.2">
      <c r="N12852" s="131"/>
    </row>
    <row r="12853" spans="14:14" x14ac:dyDescent="0.2">
      <c r="N12853" s="131"/>
    </row>
    <row r="12854" spans="14:14" x14ac:dyDescent="0.2">
      <c r="N12854" s="131"/>
    </row>
    <row r="12855" spans="14:14" x14ac:dyDescent="0.2">
      <c r="N12855" s="131"/>
    </row>
    <row r="12856" spans="14:14" x14ac:dyDescent="0.2">
      <c r="N12856" s="131"/>
    </row>
    <row r="12857" spans="14:14" x14ac:dyDescent="0.2">
      <c r="N12857" s="131"/>
    </row>
    <row r="12858" spans="14:14" x14ac:dyDescent="0.2">
      <c r="N12858" s="131"/>
    </row>
    <row r="12859" spans="14:14" x14ac:dyDescent="0.2">
      <c r="N12859" s="131"/>
    </row>
    <row r="12860" spans="14:14" x14ac:dyDescent="0.2">
      <c r="N12860" s="131"/>
    </row>
    <row r="12861" spans="14:14" x14ac:dyDescent="0.2">
      <c r="N12861" s="131"/>
    </row>
    <row r="12862" spans="14:14" x14ac:dyDescent="0.2">
      <c r="N12862" s="131"/>
    </row>
    <row r="12863" spans="14:14" x14ac:dyDescent="0.2">
      <c r="N12863" s="131"/>
    </row>
    <row r="12864" spans="14:14" x14ac:dyDescent="0.2">
      <c r="N12864" s="131"/>
    </row>
    <row r="12865" spans="14:14" x14ac:dyDescent="0.2">
      <c r="N12865" s="131"/>
    </row>
    <row r="12866" spans="14:14" x14ac:dyDescent="0.2">
      <c r="N12866" s="131"/>
    </row>
    <row r="12867" spans="14:14" x14ac:dyDescent="0.2">
      <c r="N12867" s="131"/>
    </row>
    <row r="12868" spans="14:14" x14ac:dyDescent="0.2">
      <c r="N12868" s="131"/>
    </row>
    <row r="12869" spans="14:14" x14ac:dyDescent="0.2">
      <c r="N12869" s="131"/>
    </row>
    <row r="12870" spans="14:14" x14ac:dyDescent="0.2">
      <c r="N12870" s="131"/>
    </row>
    <row r="12871" spans="14:14" x14ac:dyDescent="0.2">
      <c r="N12871" s="131"/>
    </row>
    <row r="12872" spans="14:14" x14ac:dyDescent="0.2">
      <c r="N12872" s="131"/>
    </row>
    <row r="12873" spans="14:14" x14ac:dyDescent="0.2">
      <c r="N12873" s="131"/>
    </row>
    <row r="12874" spans="14:14" x14ac:dyDescent="0.2">
      <c r="N12874" s="131"/>
    </row>
    <row r="12875" spans="14:14" x14ac:dyDescent="0.2">
      <c r="N12875" s="131"/>
    </row>
    <row r="12876" spans="14:14" x14ac:dyDescent="0.2">
      <c r="N12876" s="131"/>
    </row>
    <row r="12877" spans="14:14" x14ac:dyDescent="0.2">
      <c r="N12877" s="131"/>
    </row>
    <row r="12878" spans="14:14" x14ac:dyDescent="0.2">
      <c r="N12878" s="131"/>
    </row>
    <row r="12879" spans="14:14" x14ac:dyDescent="0.2">
      <c r="N12879" s="131"/>
    </row>
    <row r="12880" spans="14:14" x14ac:dyDescent="0.2">
      <c r="N12880" s="131"/>
    </row>
    <row r="12881" spans="14:14" x14ac:dyDescent="0.2">
      <c r="N12881" s="131"/>
    </row>
    <row r="12882" spans="14:14" x14ac:dyDescent="0.2">
      <c r="N12882" s="131"/>
    </row>
    <row r="12883" spans="14:14" x14ac:dyDescent="0.2">
      <c r="N12883" s="131"/>
    </row>
    <row r="12884" spans="14:14" x14ac:dyDescent="0.2">
      <c r="N12884" s="131"/>
    </row>
    <row r="12885" spans="14:14" x14ac:dyDescent="0.2">
      <c r="N12885" s="131"/>
    </row>
    <row r="12886" spans="14:14" x14ac:dyDescent="0.2">
      <c r="N12886" s="131"/>
    </row>
    <row r="12887" spans="14:14" x14ac:dyDescent="0.2">
      <c r="N12887" s="131"/>
    </row>
    <row r="12888" spans="14:14" x14ac:dyDescent="0.2">
      <c r="N12888" s="131"/>
    </row>
    <row r="12889" spans="14:14" x14ac:dyDescent="0.2">
      <c r="N12889" s="131"/>
    </row>
    <row r="12890" spans="14:14" x14ac:dyDescent="0.2">
      <c r="N12890" s="131"/>
    </row>
    <row r="12891" spans="14:14" x14ac:dyDescent="0.2">
      <c r="N12891" s="131"/>
    </row>
    <row r="12892" spans="14:14" x14ac:dyDescent="0.2">
      <c r="N12892" s="131"/>
    </row>
    <row r="12893" spans="14:14" x14ac:dyDescent="0.2">
      <c r="N12893" s="131"/>
    </row>
    <row r="12894" spans="14:14" x14ac:dyDescent="0.2">
      <c r="N12894" s="131"/>
    </row>
    <row r="12895" spans="14:14" x14ac:dyDescent="0.2">
      <c r="N12895" s="131"/>
    </row>
    <row r="12896" spans="14:14" x14ac:dyDescent="0.2">
      <c r="N12896" s="131"/>
    </row>
    <row r="12897" spans="14:14" x14ac:dyDescent="0.2">
      <c r="N12897" s="131"/>
    </row>
    <row r="12898" spans="14:14" x14ac:dyDescent="0.2">
      <c r="N12898" s="131"/>
    </row>
    <row r="12899" spans="14:14" x14ac:dyDescent="0.2">
      <c r="N12899" s="131"/>
    </row>
    <row r="12900" spans="14:14" x14ac:dyDescent="0.2">
      <c r="N12900" s="131"/>
    </row>
    <row r="12901" spans="14:14" x14ac:dyDescent="0.2">
      <c r="N12901" s="131"/>
    </row>
    <row r="12902" spans="14:14" x14ac:dyDescent="0.2">
      <c r="N12902" s="131"/>
    </row>
    <row r="12903" spans="14:14" x14ac:dyDescent="0.2">
      <c r="N12903" s="131"/>
    </row>
    <row r="12904" spans="14:14" x14ac:dyDescent="0.2">
      <c r="N12904" s="131"/>
    </row>
    <row r="12905" spans="14:14" x14ac:dyDescent="0.2">
      <c r="N12905" s="131"/>
    </row>
    <row r="12906" spans="14:14" x14ac:dyDescent="0.2">
      <c r="N12906" s="131"/>
    </row>
    <row r="12907" spans="14:14" x14ac:dyDescent="0.2">
      <c r="N12907" s="131"/>
    </row>
    <row r="12908" spans="14:14" x14ac:dyDescent="0.2">
      <c r="N12908" s="131"/>
    </row>
    <row r="12909" spans="14:14" x14ac:dyDescent="0.2">
      <c r="N12909" s="131"/>
    </row>
    <row r="12910" spans="14:14" x14ac:dyDescent="0.2">
      <c r="N12910" s="131"/>
    </row>
    <row r="12911" spans="14:14" x14ac:dyDescent="0.2">
      <c r="N12911" s="131"/>
    </row>
    <row r="12912" spans="14:14" x14ac:dyDescent="0.2">
      <c r="N12912" s="131"/>
    </row>
    <row r="12913" spans="14:14" x14ac:dyDescent="0.2">
      <c r="N12913" s="131"/>
    </row>
    <row r="12914" spans="14:14" x14ac:dyDescent="0.2">
      <c r="N12914" s="131"/>
    </row>
    <row r="12915" spans="14:14" x14ac:dyDescent="0.2">
      <c r="N12915" s="131"/>
    </row>
    <row r="12916" spans="14:14" x14ac:dyDescent="0.2">
      <c r="N12916" s="131"/>
    </row>
    <row r="12917" spans="14:14" x14ac:dyDescent="0.2">
      <c r="N12917" s="131"/>
    </row>
    <row r="12918" spans="14:14" x14ac:dyDescent="0.2">
      <c r="N12918" s="131"/>
    </row>
    <row r="12919" spans="14:14" x14ac:dyDescent="0.2">
      <c r="N12919" s="131"/>
    </row>
    <row r="12920" spans="14:14" x14ac:dyDescent="0.2">
      <c r="N12920" s="131"/>
    </row>
    <row r="12921" spans="14:14" x14ac:dyDescent="0.2">
      <c r="N12921" s="131"/>
    </row>
    <row r="12922" spans="14:14" x14ac:dyDescent="0.2">
      <c r="N12922" s="131"/>
    </row>
    <row r="12923" spans="14:14" x14ac:dyDescent="0.2">
      <c r="N12923" s="131"/>
    </row>
    <row r="12924" spans="14:14" x14ac:dyDescent="0.2">
      <c r="N12924" s="131"/>
    </row>
    <row r="12925" spans="14:14" x14ac:dyDescent="0.2">
      <c r="N12925" s="131"/>
    </row>
    <row r="12926" spans="14:14" x14ac:dyDescent="0.2">
      <c r="N12926" s="131"/>
    </row>
    <row r="12927" spans="14:14" x14ac:dyDescent="0.2">
      <c r="N12927" s="131"/>
    </row>
    <row r="12928" spans="14:14" x14ac:dyDescent="0.2">
      <c r="N12928" s="131"/>
    </row>
    <row r="12929" spans="14:14" x14ac:dyDescent="0.2">
      <c r="N12929" s="131"/>
    </row>
    <row r="12930" spans="14:14" x14ac:dyDescent="0.2">
      <c r="N12930" s="131"/>
    </row>
    <row r="12931" spans="14:14" x14ac:dyDescent="0.2">
      <c r="N12931" s="131"/>
    </row>
    <row r="12932" spans="14:14" x14ac:dyDescent="0.2">
      <c r="N12932" s="131"/>
    </row>
    <row r="12933" spans="14:14" x14ac:dyDescent="0.2">
      <c r="N12933" s="131"/>
    </row>
    <row r="12934" spans="14:14" x14ac:dyDescent="0.2">
      <c r="N12934" s="131"/>
    </row>
    <row r="12935" spans="14:14" x14ac:dyDescent="0.2">
      <c r="N12935" s="131"/>
    </row>
    <row r="12936" spans="14:14" x14ac:dyDescent="0.2">
      <c r="N12936" s="131"/>
    </row>
    <row r="12937" spans="14:14" x14ac:dyDescent="0.2">
      <c r="N12937" s="131"/>
    </row>
    <row r="12938" spans="14:14" x14ac:dyDescent="0.2">
      <c r="N12938" s="131"/>
    </row>
    <row r="12939" spans="14:14" x14ac:dyDescent="0.2">
      <c r="N12939" s="131"/>
    </row>
    <row r="12940" spans="14:14" x14ac:dyDescent="0.2">
      <c r="N12940" s="131"/>
    </row>
    <row r="12941" spans="14:14" x14ac:dyDescent="0.2">
      <c r="N12941" s="131"/>
    </row>
    <row r="12942" spans="14:14" x14ac:dyDescent="0.2">
      <c r="N12942" s="131"/>
    </row>
    <row r="12943" spans="14:14" x14ac:dyDescent="0.2">
      <c r="N12943" s="131"/>
    </row>
    <row r="12944" spans="14:14" x14ac:dyDescent="0.2">
      <c r="N12944" s="131"/>
    </row>
    <row r="12945" spans="14:14" x14ac:dyDescent="0.2">
      <c r="N12945" s="131"/>
    </row>
    <row r="12946" spans="14:14" x14ac:dyDescent="0.2">
      <c r="N12946" s="131"/>
    </row>
    <row r="12947" spans="14:14" x14ac:dyDescent="0.2">
      <c r="N12947" s="131"/>
    </row>
    <row r="12948" spans="14:14" x14ac:dyDescent="0.2">
      <c r="N12948" s="131"/>
    </row>
    <row r="12949" spans="14:14" x14ac:dyDescent="0.2">
      <c r="N12949" s="131"/>
    </row>
    <row r="12950" spans="14:14" x14ac:dyDescent="0.2">
      <c r="N12950" s="131"/>
    </row>
    <row r="12951" spans="14:14" x14ac:dyDescent="0.2">
      <c r="N12951" s="131"/>
    </row>
    <row r="12952" spans="14:14" x14ac:dyDescent="0.2">
      <c r="N12952" s="131"/>
    </row>
    <row r="12953" spans="14:14" x14ac:dyDescent="0.2">
      <c r="N12953" s="131"/>
    </row>
    <row r="12954" spans="14:14" x14ac:dyDescent="0.2">
      <c r="N12954" s="131"/>
    </row>
    <row r="12955" spans="14:14" x14ac:dyDescent="0.2">
      <c r="N12955" s="131"/>
    </row>
    <row r="12956" spans="14:14" x14ac:dyDescent="0.2">
      <c r="N12956" s="131"/>
    </row>
    <row r="12957" spans="14:14" x14ac:dyDescent="0.2">
      <c r="N12957" s="131"/>
    </row>
    <row r="12958" spans="14:14" x14ac:dyDescent="0.2">
      <c r="N12958" s="131"/>
    </row>
    <row r="12959" spans="14:14" x14ac:dyDescent="0.2">
      <c r="N12959" s="131"/>
    </row>
    <row r="12960" spans="14:14" x14ac:dyDescent="0.2">
      <c r="N12960" s="131"/>
    </row>
    <row r="12961" spans="14:14" x14ac:dyDescent="0.2">
      <c r="N12961" s="131"/>
    </row>
    <row r="12962" spans="14:14" x14ac:dyDescent="0.2">
      <c r="N12962" s="131"/>
    </row>
    <row r="12963" spans="14:14" x14ac:dyDescent="0.2">
      <c r="N12963" s="131"/>
    </row>
    <row r="12964" spans="14:14" x14ac:dyDescent="0.2">
      <c r="N12964" s="131"/>
    </row>
    <row r="12965" spans="14:14" x14ac:dyDescent="0.2">
      <c r="N12965" s="131"/>
    </row>
    <row r="12966" spans="14:14" x14ac:dyDescent="0.2">
      <c r="N12966" s="131"/>
    </row>
    <row r="12967" spans="14:14" x14ac:dyDescent="0.2">
      <c r="N12967" s="131"/>
    </row>
    <row r="12968" spans="14:14" x14ac:dyDescent="0.2">
      <c r="N12968" s="131"/>
    </row>
    <row r="12969" spans="14:14" x14ac:dyDescent="0.2">
      <c r="N12969" s="131"/>
    </row>
    <row r="12970" spans="14:14" x14ac:dyDescent="0.2">
      <c r="N12970" s="131"/>
    </row>
    <row r="12971" spans="14:14" x14ac:dyDescent="0.2">
      <c r="N12971" s="131"/>
    </row>
    <row r="12972" spans="14:14" x14ac:dyDescent="0.2">
      <c r="N12972" s="131"/>
    </row>
    <row r="12973" spans="14:14" x14ac:dyDescent="0.2">
      <c r="N12973" s="131"/>
    </row>
    <row r="12974" spans="14:14" x14ac:dyDescent="0.2">
      <c r="N12974" s="131"/>
    </row>
    <row r="12975" spans="14:14" x14ac:dyDescent="0.2">
      <c r="N12975" s="131"/>
    </row>
    <row r="12976" spans="14:14" x14ac:dyDescent="0.2">
      <c r="N12976" s="131"/>
    </row>
    <row r="12977" spans="14:14" x14ac:dyDescent="0.2">
      <c r="N12977" s="131"/>
    </row>
    <row r="12978" spans="14:14" x14ac:dyDescent="0.2">
      <c r="N12978" s="131"/>
    </row>
    <row r="12979" spans="14:14" x14ac:dyDescent="0.2">
      <c r="N12979" s="131"/>
    </row>
    <row r="12980" spans="14:14" x14ac:dyDescent="0.2">
      <c r="N12980" s="131"/>
    </row>
    <row r="12981" spans="14:14" x14ac:dyDescent="0.2">
      <c r="N12981" s="131"/>
    </row>
    <row r="12982" spans="14:14" x14ac:dyDescent="0.2">
      <c r="N12982" s="131"/>
    </row>
    <row r="12983" spans="14:14" x14ac:dyDescent="0.2">
      <c r="N12983" s="131"/>
    </row>
    <row r="12984" spans="14:14" x14ac:dyDescent="0.2">
      <c r="N12984" s="131"/>
    </row>
    <row r="12985" spans="14:14" x14ac:dyDescent="0.2">
      <c r="N12985" s="131"/>
    </row>
    <row r="12986" spans="14:14" x14ac:dyDescent="0.2">
      <c r="N12986" s="131"/>
    </row>
    <row r="12987" spans="14:14" x14ac:dyDescent="0.2">
      <c r="N12987" s="131"/>
    </row>
    <row r="12988" spans="14:14" x14ac:dyDescent="0.2">
      <c r="N12988" s="131"/>
    </row>
    <row r="12989" spans="14:14" x14ac:dyDescent="0.2">
      <c r="N12989" s="131"/>
    </row>
    <row r="12990" spans="14:14" x14ac:dyDescent="0.2">
      <c r="N12990" s="131"/>
    </row>
    <row r="12991" spans="14:14" x14ac:dyDescent="0.2">
      <c r="N12991" s="131"/>
    </row>
    <row r="12992" spans="14:14" x14ac:dyDescent="0.2">
      <c r="N12992" s="131"/>
    </row>
    <row r="12993" spans="14:14" x14ac:dyDescent="0.2">
      <c r="N12993" s="131"/>
    </row>
    <row r="12994" spans="14:14" x14ac:dyDescent="0.2">
      <c r="N12994" s="131"/>
    </row>
    <row r="12995" spans="14:14" x14ac:dyDescent="0.2">
      <c r="N12995" s="131"/>
    </row>
    <row r="12996" spans="14:14" x14ac:dyDescent="0.2">
      <c r="N12996" s="131"/>
    </row>
    <row r="12997" spans="14:14" x14ac:dyDescent="0.2">
      <c r="N12997" s="131"/>
    </row>
    <row r="12998" spans="14:14" x14ac:dyDescent="0.2">
      <c r="N12998" s="131"/>
    </row>
    <row r="12999" spans="14:14" x14ac:dyDescent="0.2">
      <c r="N12999" s="131"/>
    </row>
    <row r="13000" spans="14:14" x14ac:dyDescent="0.2">
      <c r="N13000" s="131"/>
    </row>
    <row r="13001" spans="14:14" x14ac:dyDescent="0.2">
      <c r="N13001" s="131"/>
    </row>
    <row r="13002" spans="14:14" x14ac:dyDescent="0.2">
      <c r="N13002" s="131"/>
    </row>
    <row r="13003" spans="14:14" x14ac:dyDescent="0.2">
      <c r="N13003" s="131"/>
    </row>
    <row r="13004" spans="14:14" x14ac:dyDescent="0.2">
      <c r="N13004" s="131"/>
    </row>
    <row r="13005" spans="14:14" x14ac:dyDescent="0.2">
      <c r="N13005" s="131"/>
    </row>
    <row r="13006" spans="14:14" x14ac:dyDescent="0.2">
      <c r="N13006" s="131"/>
    </row>
    <row r="13007" spans="14:14" x14ac:dyDescent="0.2">
      <c r="N13007" s="131"/>
    </row>
    <row r="13008" spans="14:14" x14ac:dyDescent="0.2">
      <c r="N13008" s="131"/>
    </row>
    <row r="13009" spans="14:14" x14ac:dyDescent="0.2">
      <c r="N13009" s="131"/>
    </row>
    <row r="13010" spans="14:14" x14ac:dyDescent="0.2">
      <c r="N13010" s="131"/>
    </row>
    <row r="13011" spans="14:14" x14ac:dyDescent="0.2">
      <c r="N13011" s="131"/>
    </row>
    <row r="13012" spans="14:14" x14ac:dyDescent="0.2">
      <c r="N13012" s="131"/>
    </row>
    <row r="13013" spans="14:14" x14ac:dyDescent="0.2">
      <c r="N13013" s="131"/>
    </row>
    <row r="13014" spans="14:14" x14ac:dyDescent="0.2">
      <c r="N13014" s="131"/>
    </row>
    <row r="13015" spans="14:14" x14ac:dyDescent="0.2">
      <c r="N13015" s="131"/>
    </row>
    <row r="13016" spans="14:14" x14ac:dyDescent="0.2">
      <c r="N13016" s="131"/>
    </row>
    <row r="13017" spans="14:14" x14ac:dyDescent="0.2">
      <c r="N13017" s="131"/>
    </row>
    <row r="13018" spans="14:14" x14ac:dyDescent="0.2">
      <c r="N13018" s="131"/>
    </row>
    <row r="13019" spans="14:14" x14ac:dyDescent="0.2">
      <c r="N13019" s="131"/>
    </row>
    <row r="13020" spans="14:14" x14ac:dyDescent="0.2">
      <c r="N13020" s="131"/>
    </row>
    <row r="13021" spans="14:14" x14ac:dyDescent="0.2">
      <c r="N13021" s="131"/>
    </row>
    <row r="13022" spans="14:14" x14ac:dyDescent="0.2">
      <c r="N13022" s="131"/>
    </row>
    <row r="13023" spans="14:14" x14ac:dyDescent="0.2">
      <c r="N13023" s="131"/>
    </row>
    <row r="13024" spans="14:14" x14ac:dyDescent="0.2">
      <c r="N13024" s="131"/>
    </row>
    <row r="13025" spans="14:14" x14ac:dyDescent="0.2">
      <c r="N13025" s="131"/>
    </row>
    <row r="13026" spans="14:14" x14ac:dyDescent="0.2">
      <c r="N13026" s="131"/>
    </row>
    <row r="13027" spans="14:14" x14ac:dyDescent="0.2">
      <c r="N13027" s="131"/>
    </row>
    <row r="13028" spans="14:14" x14ac:dyDescent="0.2">
      <c r="N13028" s="131"/>
    </row>
    <row r="13029" spans="14:14" x14ac:dyDescent="0.2">
      <c r="N13029" s="131"/>
    </row>
    <row r="13030" spans="14:14" x14ac:dyDescent="0.2">
      <c r="N13030" s="131"/>
    </row>
    <row r="13031" spans="14:14" x14ac:dyDescent="0.2">
      <c r="N13031" s="131"/>
    </row>
    <row r="13032" spans="14:14" x14ac:dyDescent="0.2">
      <c r="N13032" s="131"/>
    </row>
    <row r="13033" spans="14:14" x14ac:dyDescent="0.2">
      <c r="N13033" s="131"/>
    </row>
    <row r="13034" spans="14:14" x14ac:dyDescent="0.2">
      <c r="N13034" s="131"/>
    </row>
    <row r="13035" spans="14:14" x14ac:dyDescent="0.2">
      <c r="N13035" s="131"/>
    </row>
    <row r="13036" spans="14:14" x14ac:dyDescent="0.2">
      <c r="N13036" s="131"/>
    </row>
    <row r="13037" spans="14:14" x14ac:dyDescent="0.2">
      <c r="N13037" s="131"/>
    </row>
    <row r="13038" spans="14:14" x14ac:dyDescent="0.2">
      <c r="N13038" s="131"/>
    </row>
    <row r="13039" spans="14:14" x14ac:dyDescent="0.2">
      <c r="N13039" s="131"/>
    </row>
    <row r="13040" spans="14:14" x14ac:dyDescent="0.2">
      <c r="N13040" s="131"/>
    </row>
    <row r="13041" spans="14:14" x14ac:dyDescent="0.2">
      <c r="N13041" s="131"/>
    </row>
    <row r="13042" spans="14:14" x14ac:dyDescent="0.2">
      <c r="N13042" s="131"/>
    </row>
    <row r="13043" spans="14:14" x14ac:dyDescent="0.2">
      <c r="N13043" s="131"/>
    </row>
    <row r="13044" spans="14:14" x14ac:dyDescent="0.2">
      <c r="N13044" s="131"/>
    </row>
    <row r="13045" spans="14:14" x14ac:dyDescent="0.2">
      <c r="N13045" s="131"/>
    </row>
    <row r="13046" spans="14:14" x14ac:dyDescent="0.2">
      <c r="N13046" s="131"/>
    </row>
    <row r="13047" spans="14:14" x14ac:dyDescent="0.2">
      <c r="N13047" s="131"/>
    </row>
    <row r="13048" spans="14:14" x14ac:dyDescent="0.2">
      <c r="N13048" s="131"/>
    </row>
    <row r="13049" spans="14:14" x14ac:dyDescent="0.2">
      <c r="N13049" s="131"/>
    </row>
    <row r="13050" spans="14:14" x14ac:dyDescent="0.2">
      <c r="N13050" s="131"/>
    </row>
    <row r="13051" spans="14:14" x14ac:dyDescent="0.2">
      <c r="N13051" s="131"/>
    </row>
    <row r="13052" spans="14:14" x14ac:dyDescent="0.2">
      <c r="N13052" s="131"/>
    </row>
    <row r="13053" spans="14:14" x14ac:dyDescent="0.2">
      <c r="N13053" s="131"/>
    </row>
    <row r="13054" spans="14:14" x14ac:dyDescent="0.2">
      <c r="N13054" s="131"/>
    </row>
    <row r="13055" spans="14:14" x14ac:dyDescent="0.2">
      <c r="N13055" s="131"/>
    </row>
    <row r="13056" spans="14:14" x14ac:dyDescent="0.2">
      <c r="N13056" s="131"/>
    </row>
    <row r="13057" spans="14:14" x14ac:dyDescent="0.2">
      <c r="N13057" s="131"/>
    </row>
    <row r="13058" spans="14:14" x14ac:dyDescent="0.2">
      <c r="N13058" s="131"/>
    </row>
    <row r="13059" spans="14:14" x14ac:dyDescent="0.2">
      <c r="N13059" s="131"/>
    </row>
    <row r="13060" spans="14:14" x14ac:dyDescent="0.2">
      <c r="N13060" s="131"/>
    </row>
    <row r="13061" spans="14:14" x14ac:dyDescent="0.2">
      <c r="N13061" s="131"/>
    </row>
    <row r="13062" spans="14:14" x14ac:dyDescent="0.2">
      <c r="N13062" s="131"/>
    </row>
    <row r="13063" spans="14:14" x14ac:dyDescent="0.2">
      <c r="N13063" s="131"/>
    </row>
    <row r="13064" spans="14:14" x14ac:dyDescent="0.2">
      <c r="N13064" s="131"/>
    </row>
    <row r="13065" spans="14:14" x14ac:dyDescent="0.2">
      <c r="N13065" s="131"/>
    </row>
    <row r="13066" spans="14:14" x14ac:dyDescent="0.2">
      <c r="N13066" s="131"/>
    </row>
    <row r="13067" spans="14:14" x14ac:dyDescent="0.2">
      <c r="N13067" s="131"/>
    </row>
    <row r="13068" spans="14:14" x14ac:dyDescent="0.2">
      <c r="N13068" s="131"/>
    </row>
    <row r="13069" spans="14:14" x14ac:dyDescent="0.2">
      <c r="N13069" s="131"/>
    </row>
    <row r="13070" spans="14:14" x14ac:dyDescent="0.2">
      <c r="N13070" s="131"/>
    </row>
    <row r="13071" spans="14:14" x14ac:dyDescent="0.2">
      <c r="N13071" s="131"/>
    </row>
    <row r="13072" spans="14:14" x14ac:dyDescent="0.2">
      <c r="N13072" s="131"/>
    </row>
    <row r="13073" spans="14:14" x14ac:dyDescent="0.2">
      <c r="N13073" s="131"/>
    </row>
    <row r="13074" spans="14:14" x14ac:dyDescent="0.2">
      <c r="N13074" s="131"/>
    </row>
    <row r="13075" spans="14:14" x14ac:dyDescent="0.2">
      <c r="N13075" s="131"/>
    </row>
    <row r="13076" spans="14:14" x14ac:dyDescent="0.2">
      <c r="N13076" s="131"/>
    </row>
    <row r="13077" spans="14:14" x14ac:dyDescent="0.2">
      <c r="N13077" s="131"/>
    </row>
    <row r="13078" spans="14:14" x14ac:dyDescent="0.2">
      <c r="N13078" s="131"/>
    </row>
    <row r="13079" spans="14:14" x14ac:dyDescent="0.2">
      <c r="N13079" s="131"/>
    </row>
    <row r="13080" spans="14:14" x14ac:dyDescent="0.2">
      <c r="N13080" s="131"/>
    </row>
    <row r="13081" spans="14:14" x14ac:dyDescent="0.2">
      <c r="N13081" s="131"/>
    </row>
    <row r="13082" spans="14:14" x14ac:dyDescent="0.2">
      <c r="N13082" s="131"/>
    </row>
    <row r="13083" spans="14:14" x14ac:dyDescent="0.2">
      <c r="N13083" s="131"/>
    </row>
    <row r="13084" spans="14:14" x14ac:dyDescent="0.2">
      <c r="N13084" s="131"/>
    </row>
    <row r="13085" spans="14:14" x14ac:dyDescent="0.2">
      <c r="N13085" s="131"/>
    </row>
    <row r="13086" spans="14:14" x14ac:dyDescent="0.2">
      <c r="N13086" s="131"/>
    </row>
    <row r="13087" spans="14:14" x14ac:dyDescent="0.2">
      <c r="N13087" s="131"/>
    </row>
    <row r="13088" spans="14:14" x14ac:dyDescent="0.2">
      <c r="N13088" s="131"/>
    </row>
    <row r="13089" spans="14:14" x14ac:dyDescent="0.2">
      <c r="N13089" s="131"/>
    </row>
    <row r="13090" spans="14:14" x14ac:dyDescent="0.2">
      <c r="N13090" s="131"/>
    </row>
    <row r="13091" spans="14:14" x14ac:dyDescent="0.2">
      <c r="N13091" s="131"/>
    </row>
    <row r="13092" spans="14:14" x14ac:dyDescent="0.2">
      <c r="N13092" s="131"/>
    </row>
    <row r="13093" spans="14:14" x14ac:dyDescent="0.2">
      <c r="N13093" s="131"/>
    </row>
    <row r="13094" spans="14:14" x14ac:dyDescent="0.2">
      <c r="N13094" s="131"/>
    </row>
    <row r="13095" spans="14:14" x14ac:dyDescent="0.2">
      <c r="N13095" s="131"/>
    </row>
    <row r="13096" spans="14:14" x14ac:dyDescent="0.2">
      <c r="N13096" s="131"/>
    </row>
    <row r="13097" spans="14:14" x14ac:dyDescent="0.2">
      <c r="N13097" s="131"/>
    </row>
    <row r="13098" spans="14:14" x14ac:dyDescent="0.2">
      <c r="N13098" s="131"/>
    </row>
    <row r="13099" spans="14:14" x14ac:dyDescent="0.2">
      <c r="N13099" s="131"/>
    </row>
    <row r="13100" spans="14:14" x14ac:dyDescent="0.2">
      <c r="N13100" s="131"/>
    </row>
    <row r="13101" spans="14:14" x14ac:dyDescent="0.2">
      <c r="N13101" s="131"/>
    </row>
    <row r="13102" spans="14:14" x14ac:dyDescent="0.2">
      <c r="N13102" s="131"/>
    </row>
    <row r="13103" spans="14:14" x14ac:dyDescent="0.2">
      <c r="N13103" s="131"/>
    </row>
    <row r="13104" spans="14:14" x14ac:dyDescent="0.2">
      <c r="N13104" s="131"/>
    </row>
    <row r="13105" spans="14:14" x14ac:dyDescent="0.2">
      <c r="N13105" s="131"/>
    </row>
    <row r="13106" spans="14:14" x14ac:dyDescent="0.2">
      <c r="N13106" s="131"/>
    </row>
    <row r="13107" spans="14:14" x14ac:dyDescent="0.2">
      <c r="N13107" s="131"/>
    </row>
    <row r="13108" spans="14:14" x14ac:dyDescent="0.2">
      <c r="N13108" s="131"/>
    </row>
    <row r="13109" spans="14:14" x14ac:dyDescent="0.2">
      <c r="N13109" s="131"/>
    </row>
    <row r="13110" spans="14:14" x14ac:dyDescent="0.2">
      <c r="N13110" s="131"/>
    </row>
    <row r="13111" spans="14:14" x14ac:dyDescent="0.2">
      <c r="N13111" s="131"/>
    </row>
    <row r="13112" spans="14:14" x14ac:dyDescent="0.2">
      <c r="N13112" s="131"/>
    </row>
    <row r="13113" spans="14:14" x14ac:dyDescent="0.2">
      <c r="N13113" s="131"/>
    </row>
    <row r="13114" spans="14:14" x14ac:dyDescent="0.2">
      <c r="N13114" s="131"/>
    </row>
    <row r="13115" spans="14:14" x14ac:dyDescent="0.2">
      <c r="N13115" s="131"/>
    </row>
    <row r="13116" spans="14:14" x14ac:dyDescent="0.2">
      <c r="N13116" s="131"/>
    </row>
    <row r="13117" spans="14:14" x14ac:dyDescent="0.2">
      <c r="N13117" s="131"/>
    </row>
    <row r="13118" spans="14:14" x14ac:dyDescent="0.2">
      <c r="N13118" s="131"/>
    </row>
    <row r="13119" spans="14:14" x14ac:dyDescent="0.2">
      <c r="N13119" s="131"/>
    </row>
    <row r="13120" spans="14:14" x14ac:dyDescent="0.2">
      <c r="N13120" s="131"/>
    </row>
    <row r="13121" spans="14:14" x14ac:dyDescent="0.2">
      <c r="N13121" s="131"/>
    </row>
    <row r="13122" spans="14:14" x14ac:dyDescent="0.2">
      <c r="N13122" s="131"/>
    </row>
    <row r="13123" spans="14:14" x14ac:dyDescent="0.2">
      <c r="N13123" s="131"/>
    </row>
    <row r="13124" spans="14:14" x14ac:dyDescent="0.2">
      <c r="N13124" s="131"/>
    </row>
    <row r="13125" spans="14:14" x14ac:dyDescent="0.2">
      <c r="N13125" s="131"/>
    </row>
    <row r="13126" spans="14:14" x14ac:dyDescent="0.2">
      <c r="N13126" s="131"/>
    </row>
    <row r="13127" spans="14:14" x14ac:dyDescent="0.2">
      <c r="N13127" s="131"/>
    </row>
    <row r="13128" spans="14:14" x14ac:dyDescent="0.2">
      <c r="N13128" s="131"/>
    </row>
    <row r="13129" spans="14:14" x14ac:dyDescent="0.2">
      <c r="N13129" s="131"/>
    </row>
    <row r="13130" spans="14:14" x14ac:dyDescent="0.2">
      <c r="N13130" s="131"/>
    </row>
    <row r="13131" spans="14:14" x14ac:dyDescent="0.2">
      <c r="N13131" s="131"/>
    </row>
    <row r="13132" spans="14:14" x14ac:dyDescent="0.2">
      <c r="N13132" s="131"/>
    </row>
    <row r="13133" spans="14:14" x14ac:dyDescent="0.2">
      <c r="N13133" s="131"/>
    </row>
    <row r="13134" spans="14:14" x14ac:dyDescent="0.2">
      <c r="N13134" s="131"/>
    </row>
    <row r="13135" spans="14:14" x14ac:dyDescent="0.2">
      <c r="N13135" s="131"/>
    </row>
    <row r="13136" spans="14:14" x14ac:dyDescent="0.2">
      <c r="N13136" s="131"/>
    </row>
    <row r="13137" spans="14:14" x14ac:dyDescent="0.2">
      <c r="N13137" s="131"/>
    </row>
    <row r="13138" spans="14:14" x14ac:dyDescent="0.2">
      <c r="N13138" s="131"/>
    </row>
    <row r="13139" spans="14:14" x14ac:dyDescent="0.2">
      <c r="N13139" s="131"/>
    </row>
    <row r="13140" spans="14:14" x14ac:dyDescent="0.2">
      <c r="N13140" s="131"/>
    </row>
    <row r="13141" spans="14:14" x14ac:dyDescent="0.2">
      <c r="N13141" s="131"/>
    </row>
    <row r="13142" spans="14:14" x14ac:dyDescent="0.2">
      <c r="N13142" s="131"/>
    </row>
    <row r="13143" spans="14:14" x14ac:dyDescent="0.2">
      <c r="N13143" s="131"/>
    </row>
    <row r="13144" spans="14:14" x14ac:dyDescent="0.2">
      <c r="N13144" s="131"/>
    </row>
    <row r="13145" spans="14:14" x14ac:dyDescent="0.2">
      <c r="N13145" s="131"/>
    </row>
    <row r="13146" spans="14:14" x14ac:dyDescent="0.2">
      <c r="N13146" s="131"/>
    </row>
    <row r="13147" spans="14:14" x14ac:dyDescent="0.2">
      <c r="N13147" s="131"/>
    </row>
    <row r="13148" spans="14:14" x14ac:dyDescent="0.2">
      <c r="N13148" s="131"/>
    </row>
    <row r="13149" spans="14:14" x14ac:dyDescent="0.2">
      <c r="N13149" s="131"/>
    </row>
    <row r="13150" spans="14:14" x14ac:dyDescent="0.2">
      <c r="N13150" s="131"/>
    </row>
    <row r="13151" spans="14:14" x14ac:dyDescent="0.2">
      <c r="N13151" s="131"/>
    </row>
    <row r="13152" spans="14:14" x14ac:dyDescent="0.2">
      <c r="N13152" s="131"/>
    </row>
    <row r="13153" spans="14:14" x14ac:dyDescent="0.2">
      <c r="N13153" s="131"/>
    </row>
    <row r="13154" spans="14:14" x14ac:dyDescent="0.2">
      <c r="N13154" s="131"/>
    </row>
    <row r="13155" spans="14:14" x14ac:dyDescent="0.2">
      <c r="N13155" s="131"/>
    </row>
    <row r="13156" spans="14:14" x14ac:dyDescent="0.2">
      <c r="N13156" s="131"/>
    </row>
    <row r="13157" spans="14:14" x14ac:dyDescent="0.2">
      <c r="N13157" s="131"/>
    </row>
    <row r="13158" spans="14:14" x14ac:dyDescent="0.2">
      <c r="N13158" s="131"/>
    </row>
    <row r="13159" spans="14:14" x14ac:dyDescent="0.2">
      <c r="N13159" s="131"/>
    </row>
    <row r="13160" spans="14:14" x14ac:dyDescent="0.2">
      <c r="N13160" s="131"/>
    </row>
    <row r="13161" spans="14:14" x14ac:dyDescent="0.2">
      <c r="N13161" s="131"/>
    </row>
    <row r="13162" spans="14:14" x14ac:dyDescent="0.2">
      <c r="N13162" s="131"/>
    </row>
    <row r="13163" spans="14:14" x14ac:dyDescent="0.2">
      <c r="N13163" s="131"/>
    </row>
    <row r="13164" spans="14:14" x14ac:dyDescent="0.2">
      <c r="N13164" s="131"/>
    </row>
    <row r="13165" spans="14:14" x14ac:dyDescent="0.2">
      <c r="N13165" s="131"/>
    </row>
    <row r="13166" spans="14:14" x14ac:dyDescent="0.2">
      <c r="N13166" s="131"/>
    </row>
    <row r="13167" spans="14:14" x14ac:dyDescent="0.2">
      <c r="N13167" s="131"/>
    </row>
    <row r="13168" spans="14:14" x14ac:dyDescent="0.2">
      <c r="N13168" s="131"/>
    </row>
    <row r="13169" spans="14:14" x14ac:dyDescent="0.2">
      <c r="N13169" s="131"/>
    </row>
    <row r="13170" spans="14:14" x14ac:dyDescent="0.2">
      <c r="N13170" s="131"/>
    </row>
    <row r="13171" spans="14:14" x14ac:dyDescent="0.2">
      <c r="N13171" s="131"/>
    </row>
    <row r="13172" spans="14:14" x14ac:dyDescent="0.2">
      <c r="N13172" s="131"/>
    </row>
    <row r="13173" spans="14:14" x14ac:dyDescent="0.2">
      <c r="N13173" s="131"/>
    </row>
    <row r="13174" spans="14:14" x14ac:dyDescent="0.2">
      <c r="N13174" s="131"/>
    </row>
    <row r="13175" spans="14:14" x14ac:dyDescent="0.2">
      <c r="N13175" s="131"/>
    </row>
    <row r="13176" spans="14:14" x14ac:dyDescent="0.2">
      <c r="N13176" s="131"/>
    </row>
    <row r="13177" spans="14:14" x14ac:dyDescent="0.2">
      <c r="N13177" s="131"/>
    </row>
    <row r="13178" spans="14:14" x14ac:dyDescent="0.2">
      <c r="N13178" s="131"/>
    </row>
    <row r="13179" spans="14:14" x14ac:dyDescent="0.2">
      <c r="N13179" s="131"/>
    </row>
    <row r="13180" spans="14:14" x14ac:dyDescent="0.2">
      <c r="N13180" s="131"/>
    </row>
    <row r="13181" spans="14:14" x14ac:dyDescent="0.2">
      <c r="N13181" s="131"/>
    </row>
    <row r="13182" spans="14:14" x14ac:dyDescent="0.2">
      <c r="N13182" s="131"/>
    </row>
    <row r="13183" spans="14:14" x14ac:dyDescent="0.2">
      <c r="N13183" s="131"/>
    </row>
    <row r="13184" spans="14:14" x14ac:dyDescent="0.2">
      <c r="N13184" s="131"/>
    </row>
    <row r="13185" spans="14:14" x14ac:dyDescent="0.2">
      <c r="N13185" s="131"/>
    </row>
    <row r="13186" spans="14:14" x14ac:dyDescent="0.2">
      <c r="N13186" s="131"/>
    </row>
    <row r="13187" spans="14:14" x14ac:dyDescent="0.2">
      <c r="N13187" s="131"/>
    </row>
    <row r="13188" spans="14:14" x14ac:dyDescent="0.2">
      <c r="N13188" s="131"/>
    </row>
    <row r="13189" spans="14:14" x14ac:dyDescent="0.2">
      <c r="N13189" s="131"/>
    </row>
    <row r="13190" spans="14:14" x14ac:dyDescent="0.2">
      <c r="N13190" s="131"/>
    </row>
    <row r="13191" spans="14:14" x14ac:dyDescent="0.2">
      <c r="N13191" s="131"/>
    </row>
    <row r="13192" spans="14:14" x14ac:dyDescent="0.2">
      <c r="N13192" s="131"/>
    </row>
    <row r="13193" spans="14:14" x14ac:dyDescent="0.2">
      <c r="N13193" s="131"/>
    </row>
    <row r="13194" spans="14:14" x14ac:dyDescent="0.2">
      <c r="N13194" s="131"/>
    </row>
    <row r="13195" spans="14:14" x14ac:dyDescent="0.2">
      <c r="N13195" s="131"/>
    </row>
    <row r="13196" spans="14:14" x14ac:dyDescent="0.2">
      <c r="N13196" s="131"/>
    </row>
    <row r="13197" spans="14:14" x14ac:dyDescent="0.2">
      <c r="N13197" s="131"/>
    </row>
    <row r="13198" spans="14:14" x14ac:dyDescent="0.2">
      <c r="N13198" s="131"/>
    </row>
    <row r="13199" spans="14:14" x14ac:dyDescent="0.2">
      <c r="N13199" s="131"/>
    </row>
    <row r="13200" spans="14:14" x14ac:dyDescent="0.2">
      <c r="N13200" s="131"/>
    </row>
    <row r="13201" spans="14:14" x14ac:dyDescent="0.2">
      <c r="N13201" s="131"/>
    </row>
    <row r="13202" spans="14:14" x14ac:dyDescent="0.2">
      <c r="N13202" s="131"/>
    </row>
    <row r="13203" spans="14:14" x14ac:dyDescent="0.2">
      <c r="N13203" s="131"/>
    </row>
    <row r="13204" spans="14:14" x14ac:dyDescent="0.2">
      <c r="N13204" s="131"/>
    </row>
    <row r="13205" spans="14:14" x14ac:dyDescent="0.2">
      <c r="N13205" s="131"/>
    </row>
    <row r="13206" spans="14:14" x14ac:dyDescent="0.2">
      <c r="N13206" s="131"/>
    </row>
    <row r="13207" spans="14:14" x14ac:dyDescent="0.2">
      <c r="N13207" s="131"/>
    </row>
    <row r="13208" spans="14:14" x14ac:dyDescent="0.2">
      <c r="N13208" s="131"/>
    </row>
    <row r="13209" spans="14:14" x14ac:dyDescent="0.2">
      <c r="N13209" s="131"/>
    </row>
    <row r="13210" spans="14:14" x14ac:dyDescent="0.2">
      <c r="N13210" s="131"/>
    </row>
    <row r="13211" spans="14:14" x14ac:dyDescent="0.2">
      <c r="N13211" s="131"/>
    </row>
    <row r="13212" spans="14:14" x14ac:dyDescent="0.2">
      <c r="N13212" s="131"/>
    </row>
    <row r="13213" spans="14:14" x14ac:dyDescent="0.2">
      <c r="N13213" s="131"/>
    </row>
    <row r="13214" spans="14:14" x14ac:dyDescent="0.2">
      <c r="N13214" s="131"/>
    </row>
    <row r="13215" spans="14:14" x14ac:dyDescent="0.2">
      <c r="N13215" s="131"/>
    </row>
    <row r="13216" spans="14:14" x14ac:dyDescent="0.2">
      <c r="N13216" s="131"/>
    </row>
    <row r="13217" spans="14:14" x14ac:dyDescent="0.2">
      <c r="N13217" s="131"/>
    </row>
    <row r="13218" spans="14:14" x14ac:dyDescent="0.2">
      <c r="N13218" s="131"/>
    </row>
    <row r="13219" spans="14:14" x14ac:dyDescent="0.2">
      <c r="N13219" s="131"/>
    </row>
    <row r="13220" spans="14:14" x14ac:dyDescent="0.2">
      <c r="N13220" s="131"/>
    </row>
    <row r="13221" spans="14:14" x14ac:dyDescent="0.2">
      <c r="N13221" s="131"/>
    </row>
    <row r="13222" spans="14:14" x14ac:dyDescent="0.2">
      <c r="N13222" s="131"/>
    </row>
    <row r="13223" spans="14:14" x14ac:dyDescent="0.2">
      <c r="N13223" s="131"/>
    </row>
    <row r="13224" spans="14:14" x14ac:dyDescent="0.2">
      <c r="N13224" s="131"/>
    </row>
    <row r="13225" spans="14:14" x14ac:dyDescent="0.2">
      <c r="N13225" s="131"/>
    </row>
    <row r="13226" spans="14:14" x14ac:dyDescent="0.2">
      <c r="N13226" s="131"/>
    </row>
    <row r="13227" spans="14:14" x14ac:dyDescent="0.2">
      <c r="N13227" s="131"/>
    </row>
    <row r="13228" spans="14:14" x14ac:dyDescent="0.2">
      <c r="N13228" s="131"/>
    </row>
    <row r="13229" spans="14:14" x14ac:dyDescent="0.2">
      <c r="N13229" s="131"/>
    </row>
    <row r="13230" spans="14:14" x14ac:dyDescent="0.2">
      <c r="N13230" s="131"/>
    </row>
    <row r="13231" spans="14:14" x14ac:dyDescent="0.2">
      <c r="N13231" s="131"/>
    </row>
    <row r="13232" spans="14:14" x14ac:dyDescent="0.2">
      <c r="N13232" s="131"/>
    </row>
    <row r="13233" spans="14:14" x14ac:dyDescent="0.2">
      <c r="N13233" s="131"/>
    </row>
    <row r="13234" spans="14:14" x14ac:dyDescent="0.2">
      <c r="N13234" s="131"/>
    </row>
    <row r="13235" spans="14:14" x14ac:dyDescent="0.2">
      <c r="N13235" s="131"/>
    </row>
    <row r="13236" spans="14:14" x14ac:dyDescent="0.2">
      <c r="N13236" s="131"/>
    </row>
    <row r="13237" spans="14:14" x14ac:dyDescent="0.2">
      <c r="N13237" s="131"/>
    </row>
    <row r="13238" spans="14:14" x14ac:dyDescent="0.2">
      <c r="N13238" s="131"/>
    </row>
    <row r="13239" spans="14:14" x14ac:dyDescent="0.2">
      <c r="N13239" s="131"/>
    </row>
    <row r="13240" spans="14:14" x14ac:dyDescent="0.2">
      <c r="N13240" s="131"/>
    </row>
    <row r="13241" spans="14:14" x14ac:dyDescent="0.2">
      <c r="N13241" s="131"/>
    </row>
    <row r="13242" spans="14:14" x14ac:dyDescent="0.2">
      <c r="N13242" s="131"/>
    </row>
    <row r="13243" spans="14:14" x14ac:dyDescent="0.2">
      <c r="N13243" s="131"/>
    </row>
    <row r="13244" spans="14:14" x14ac:dyDescent="0.2">
      <c r="N13244" s="131"/>
    </row>
    <row r="13245" spans="14:14" x14ac:dyDescent="0.2">
      <c r="N13245" s="131"/>
    </row>
    <row r="13246" spans="14:14" x14ac:dyDescent="0.2">
      <c r="N13246" s="131"/>
    </row>
    <row r="13247" spans="14:14" x14ac:dyDescent="0.2">
      <c r="N13247" s="131"/>
    </row>
    <row r="13248" spans="14:14" x14ac:dyDescent="0.2">
      <c r="N13248" s="131"/>
    </row>
    <row r="13249" spans="14:14" x14ac:dyDescent="0.2">
      <c r="N13249" s="131"/>
    </row>
    <row r="13250" spans="14:14" x14ac:dyDescent="0.2">
      <c r="N13250" s="131"/>
    </row>
    <row r="13251" spans="14:14" x14ac:dyDescent="0.2">
      <c r="N13251" s="131"/>
    </row>
    <row r="13252" spans="14:14" x14ac:dyDescent="0.2">
      <c r="N13252" s="131"/>
    </row>
    <row r="13253" spans="14:14" x14ac:dyDescent="0.2">
      <c r="N13253" s="131"/>
    </row>
    <row r="13254" spans="14:14" x14ac:dyDescent="0.2">
      <c r="N13254" s="131"/>
    </row>
    <row r="13255" spans="14:14" x14ac:dyDescent="0.2">
      <c r="N13255" s="131"/>
    </row>
    <row r="13256" spans="14:14" x14ac:dyDescent="0.2">
      <c r="N13256" s="131"/>
    </row>
    <row r="13257" spans="14:14" x14ac:dyDescent="0.2">
      <c r="N13257" s="131"/>
    </row>
    <row r="13258" spans="14:14" x14ac:dyDescent="0.2">
      <c r="N13258" s="131"/>
    </row>
    <row r="13259" spans="14:14" x14ac:dyDescent="0.2">
      <c r="N13259" s="131"/>
    </row>
    <row r="13260" spans="14:14" x14ac:dyDescent="0.2">
      <c r="N13260" s="131"/>
    </row>
    <row r="13261" spans="14:14" x14ac:dyDescent="0.2">
      <c r="N13261" s="131"/>
    </row>
    <row r="13262" spans="14:14" x14ac:dyDescent="0.2">
      <c r="N13262" s="131"/>
    </row>
    <row r="13263" spans="14:14" x14ac:dyDescent="0.2">
      <c r="N13263" s="131"/>
    </row>
    <row r="13264" spans="14:14" x14ac:dyDescent="0.2">
      <c r="N13264" s="131"/>
    </row>
    <row r="13265" spans="14:14" x14ac:dyDescent="0.2">
      <c r="N13265" s="131"/>
    </row>
    <row r="13266" spans="14:14" x14ac:dyDescent="0.2">
      <c r="N13266" s="131"/>
    </row>
    <row r="13267" spans="14:14" x14ac:dyDescent="0.2">
      <c r="N13267" s="131"/>
    </row>
    <row r="13268" spans="14:14" x14ac:dyDescent="0.2">
      <c r="N13268" s="131"/>
    </row>
    <row r="13269" spans="14:14" x14ac:dyDescent="0.2">
      <c r="N13269" s="131"/>
    </row>
    <row r="13270" spans="14:14" x14ac:dyDescent="0.2">
      <c r="N13270" s="131"/>
    </row>
    <row r="13271" spans="14:14" x14ac:dyDescent="0.2">
      <c r="N13271" s="131"/>
    </row>
    <row r="13272" spans="14:14" x14ac:dyDescent="0.2">
      <c r="N13272" s="131"/>
    </row>
    <row r="13273" spans="14:14" x14ac:dyDescent="0.2">
      <c r="N13273" s="131"/>
    </row>
    <row r="13274" spans="14:14" x14ac:dyDescent="0.2">
      <c r="N13274" s="131"/>
    </row>
    <row r="13275" spans="14:14" x14ac:dyDescent="0.2">
      <c r="N13275" s="131"/>
    </row>
    <row r="13276" spans="14:14" x14ac:dyDescent="0.2">
      <c r="N13276" s="131"/>
    </row>
    <row r="13277" spans="14:14" x14ac:dyDescent="0.2">
      <c r="N13277" s="131"/>
    </row>
    <row r="13278" spans="14:14" x14ac:dyDescent="0.2">
      <c r="N13278" s="131"/>
    </row>
    <row r="13279" spans="14:14" x14ac:dyDescent="0.2">
      <c r="N13279" s="131"/>
    </row>
    <row r="13280" spans="14:14" x14ac:dyDescent="0.2">
      <c r="N13280" s="131"/>
    </row>
    <row r="13281" spans="14:14" x14ac:dyDescent="0.2">
      <c r="N13281" s="131"/>
    </row>
    <row r="13282" spans="14:14" x14ac:dyDescent="0.2">
      <c r="N13282" s="131"/>
    </row>
    <row r="13283" spans="14:14" x14ac:dyDescent="0.2">
      <c r="N13283" s="131"/>
    </row>
    <row r="13284" spans="14:14" x14ac:dyDescent="0.2">
      <c r="N13284" s="131"/>
    </row>
    <row r="13285" spans="14:14" x14ac:dyDescent="0.2">
      <c r="N13285" s="131"/>
    </row>
    <row r="13286" spans="14:14" x14ac:dyDescent="0.2">
      <c r="N13286" s="131"/>
    </row>
    <row r="13287" spans="14:14" x14ac:dyDescent="0.2">
      <c r="N13287" s="131"/>
    </row>
    <row r="13288" spans="14:14" x14ac:dyDescent="0.2">
      <c r="N13288" s="131"/>
    </row>
    <row r="13289" spans="14:14" x14ac:dyDescent="0.2">
      <c r="N13289" s="131"/>
    </row>
    <row r="13290" spans="14:14" x14ac:dyDescent="0.2">
      <c r="N13290" s="131"/>
    </row>
    <row r="13291" spans="14:14" x14ac:dyDescent="0.2">
      <c r="N13291" s="131"/>
    </row>
    <row r="13292" spans="14:14" x14ac:dyDescent="0.2">
      <c r="N13292" s="131"/>
    </row>
    <row r="13293" spans="14:14" x14ac:dyDescent="0.2">
      <c r="N13293" s="131"/>
    </row>
    <row r="13294" spans="14:14" x14ac:dyDescent="0.2">
      <c r="N13294" s="131"/>
    </row>
    <row r="13295" spans="14:14" x14ac:dyDescent="0.2">
      <c r="N13295" s="131"/>
    </row>
    <row r="13296" spans="14:14" x14ac:dyDescent="0.2">
      <c r="N13296" s="131"/>
    </row>
    <row r="13297" spans="14:14" x14ac:dyDescent="0.2">
      <c r="N13297" s="131"/>
    </row>
    <row r="13298" spans="14:14" x14ac:dyDescent="0.2">
      <c r="N13298" s="131"/>
    </row>
    <row r="13299" spans="14:14" x14ac:dyDescent="0.2">
      <c r="N13299" s="131"/>
    </row>
    <row r="13300" spans="14:14" x14ac:dyDescent="0.2">
      <c r="N13300" s="131"/>
    </row>
    <row r="13301" spans="14:14" x14ac:dyDescent="0.2">
      <c r="N13301" s="131"/>
    </row>
    <row r="13302" spans="14:14" x14ac:dyDescent="0.2">
      <c r="N13302" s="131"/>
    </row>
    <row r="13303" spans="14:14" x14ac:dyDescent="0.2">
      <c r="N13303" s="131"/>
    </row>
    <row r="13304" spans="14:14" x14ac:dyDescent="0.2">
      <c r="N13304" s="131"/>
    </row>
    <row r="13305" spans="14:14" x14ac:dyDescent="0.2">
      <c r="N13305" s="131"/>
    </row>
    <row r="13306" spans="14:14" x14ac:dyDescent="0.2">
      <c r="N13306" s="131"/>
    </row>
    <row r="13307" spans="14:14" x14ac:dyDescent="0.2">
      <c r="N13307" s="131"/>
    </row>
    <row r="13308" spans="14:14" x14ac:dyDescent="0.2">
      <c r="N13308" s="131"/>
    </row>
    <row r="13309" spans="14:14" x14ac:dyDescent="0.2">
      <c r="N13309" s="131"/>
    </row>
    <row r="13310" spans="14:14" x14ac:dyDescent="0.2">
      <c r="N13310" s="131"/>
    </row>
    <row r="13311" spans="14:14" x14ac:dyDescent="0.2">
      <c r="N13311" s="131"/>
    </row>
    <row r="13312" spans="14:14" x14ac:dyDescent="0.2">
      <c r="N13312" s="131"/>
    </row>
    <row r="13313" spans="14:14" x14ac:dyDescent="0.2">
      <c r="N13313" s="131"/>
    </row>
    <row r="13314" spans="14:14" x14ac:dyDescent="0.2">
      <c r="N13314" s="131"/>
    </row>
    <row r="13315" spans="14:14" x14ac:dyDescent="0.2">
      <c r="N13315" s="131"/>
    </row>
    <row r="13316" spans="14:14" x14ac:dyDescent="0.2">
      <c r="N13316" s="131"/>
    </row>
    <row r="13317" spans="14:14" x14ac:dyDescent="0.2">
      <c r="N13317" s="131"/>
    </row>
    <row r="13318" spans="14:14" x14ac:dyDescent="0.2">
      <c r="N13318" s="131"/>
    </row>
    <row r="13319" spans="14:14" x14ac:dyDescent="0.2">
      <c r="N13319" s="131"/>
    </row>
    <row r="13320" spans="14:14" x14ac:dyDescent="0.2">
      <c r="N13320" s="131"/>
    </row>
    <row r="13321" spans="14:14" x14ac:dyDescent="0.2">
      <c r="N13321" s="131"/>
    </row>
    <row r="13322" spans="14:14" x14ac:dyDescent="0.2">
      <c r="N13322" s="131"/>
    </row>
    <row r="13323" spans="14:14" x14ac:dyDescent="0.2">
      <c r="N13323" s="131"/>
    </row>
    <row r="13324" spans="14:14" x14ac:dyDescent="0.2">
      <c r="N13324" s="131"/>
    </row>
    <row r="13325" spans="14:14" x14ac:dyDescent="0.2">
      <c r="N13325" s="131"/>
    </row>
    <row r="13326" spans="14:14" x14ac:dyDescent="0.2">
      <c r="N13326" s="131"/>
    </row>
    <row r="13327" spans="14:14" x14ac:dyDescent="0.2">
      <c r="N13327" s="131"/>
    </row>
    <row r="13328" spans="14:14" x14ac:dyDescent="0.2">
      <c r="N13328" s="131"/>
    </row>
    <row r="13329" spans="14:14" x14ac:dyDescent="0.2">
      <c r="N13329" s="131"/>
    </row>
    <row r="13330" spans="14:14" x14ac:dyDescent="0.2">
      <c r="N13330" s="131"/>
    </row>
    <row r="13331" spans="14:14" x14ac:dyDescent="0.2">
      <c r="N13331" s="131"/>
    </row>
    <row r="13332" spans="14:14" x14ac:dyDescent="0.2">
      <c r="N13332" s="131"/>
    </row>
    <row r="13333" spans="14:14" x14ac:dyDescent="0.2">
      <c r="N13333" s="131"/>
    </row>
    <row r="13334" spans="14:14" x14ac:dyDescent="0.2">
      <c r="N13334" s="131"/>
    </row>
    <row r="13335" spans="14:14" x14ac:dyDescent="0.2">
      <c r="N13335" s="131"/>
    </row>
    <row r="13336" spans="14:14" x14ac:dyDescent="0.2">
      <c r="N13336" s="131"/>
    </row>
    <row r="13337" spans="14:14" x14ac:dyDescent="0.2">
      <c r="N13337" s="131"/>
    </row>
    <row r="13338" spans="14:14" x14ac:dyDescent="0.2">
      <c r="N13338" s="131"/>
    </row>
    <row r="13339" spans="14:14" x14ac:dyDescent="0.2">
      <c r="N13339" s="131"/>
    </row>
    <row r="13340" spans="14:14" x14ac:dyDescent="0.2">
      <c r="N13340" s="131"/>
    </row>
    <row r="13341" spans="14:14" x14ac:dyDescent="0.2">
      <c r="N13341" s="131"/>
    </row>
    <row r="13342" spans="14:14" x14ac:dyDescent="0.2">
      <c r="N13342" s="131"/>
    </row>
    <row r="13343" spans="14:14" x14ac:dyDescent="0.2">
      <c r="N13343" s="131"/>
    </row>
    <row r="13344" spans="14:14" x14ac:dyDescent="0.2">
      <c r="N13344" s="131"/>
    </row>
    <row r="13345" spans="14:14" x14ac:dyDescent="0.2">
      <c r="N13345" s="131"/>
    </row>
    <row r="13346" spans="14:14" x14ac:dyDescent="0.2">
      <c r="N13346" s="131"/>
    </row>
    <row r="13347" spans="14:14" x14ac:dyDescent="0.2">
      <c r="N13347" s="131"/>
    </row>
    <row r="13348" spans="14:14" x14ac:dyDescent="0.2">
      <c r="N13348" s="131"/>
    </row>
    <row r="13349" spans="14:14" x14ac:dyDescent="0.2">
      <c r="N13349" s="131"/>
    </row>
    <row r="13350" spans="14:14" x14ac:dyDescent="0.2">
      <c r="N13350" s="131"/>
    </row>
    <row r="13351" spans="14:14" x14ac:dyDescent="0.2">
      <c r="N13351" s="131"/>
    </row>
    <row r="13352" spans="14:14" x14ac:dyDescent="0.2">
      <c r="N13352" s="131"/>
    </row>
    <row r="13353" spans="14:14" x14ac:dyDescent="0.2">
      <c r="N13353" s="131"/>
    </row>
    <row r="13354" spans="14:14" x14ac:dyDescent="0.2">
      <c r="N13354" s="131"/>
    </row>
    <row r="13355" spans="14:14" x14ac:dyDescent="0.2">
      <c r="N13355" s="131"/>
    </row>
    <row r="13356" spans="14:14" x14ac:dyDescent="0.2">
      <c r="N13356" s="131"/>
    </row>
    <row r="13357" spans="14:14" x14ac:dyDescent="0.2">
      <c r="N13357" s="131"/>
    </row>
    <row r="13358" spans="14:14" x14ac:dyDescent="0.2">
      <c r="N13358" s="131"/>
    </row>
    <row r="13359" spans="14:14" x14ac:dyDescent="0.2">
      <c r="N13359" s="131"/>
    </row>
    <row r="13360" spans="14:14" x14ac:dyDescent="0.2">
      <c r="N13360" s="131"/>
    </row>
    <row r="13361" spans="14:14" x14ac:dyDescent="0.2">
      <c r="N13361" s="131"/>
    </row>
    <row r="13362" spans="14:14" x14ac:dyDescent="0.2">
      <c r="N13362" s="131"/>
    </row>
    <row r="13363" spans="14:14" x14ac:dyDescent="0.2">
      <c r="N13363" s="131"/>
    </row>
    <row r="13364" spans="14:14" x14ac:dyDescent="0.2">
      <c r="N13364" s="131"/>
    </row>
    <row r="13365" spans="14:14" x14ac:dyDescent="0.2">
      <c r="N13365" s="131"/>
    </row>
    <row r="13366" spans="14:14" x14ac:dyDescent="0.2">
      <c r="N13366" s="131"/>
    </row>
    <row r="13367" spans="14:14" x14ac:dyDescent="0.2">
      <c r="N13367" s="131"/>
    </row>
    <row r="13368" spans="14:14" x14ac:dyDescent="0.2">
      <c r="N13368" s="131"/>
    </row>
    <row r="13369" spans="14:14" x14ac:dyDescent="0.2">
      <c r="N13369" s="131"/>
    </row>
    <row r="13370" spans="14:14" x14ac:dyDescent="0.2">
      <c r="N13370" s="131"/>
    </row>
    <row r="13371" spans="14:14" x14ac:dyDescent="0.2">
      <c r="N13371" s="131"/>
    </row>
    <row r="13372" spans="14:14" x14ac:dyDescent="0.2">
      <c r="N13372" s="131"/>
    </row>
    <row r="13373" spans="14:14" x14ac:dyDescent="0.2">
      <c r="N13373" s="131"/>
    </row>
    <row r="13374" spans="14:14" x14ac:dyDescent="0.2">
      <c r="N13374" s="131"/>
    </row>
    <row r="13375" spans="14:14" x14ac:dyDescent="0.2">
      <c r="N13375" s="131"/>
    </row>
    <row r="13376" spans="14:14" x14ac:dyDescent="0.2">
      <c r="N13376" s="131"/>
    </row>
    <row r="13377" spans="14:14" x14ac:dyDescent="0.2">
      <c r="N13377" s="131"/>
    </row>
    <row r="13378" spans="14:14" x14ac:dyDescent="0.2">
      <c r="N13378" s="131"/>
    </row>
    <row r="13379" spans="14:14" x14ac:dyDescent="0.2">
      <c r="N13379" s="131"/>
    </row>
    <row r="13380" spans="14:14" x14ac:dyDescent="0.2">
      <c r="N13380" s="131"/>
    </row>
    <row r="13381" spans="14:14" x14ac:dyDescent="0.2">
      <c r="N13381" s="131"/>
    </row>
    <row r="13382" spans="14:14" x14ac:dyDescent="0.2">
      <c r="N13382" s="131"/>
    </row>
    <row r="13383" spans="14:14" x14ac:dyDescent="0.2">
      <c r="N13383" s="131"/>
    </row>
    <row r="13384" spans="14:14" x14ac:dyDescent="0.2">
      <c r="N13384" s="131"/>
    </row>
    <row r="13385" spans="14:14" x14ac:dyDescent="0.2">
      <c r="N13385" s="131"/>
    </row>
    <row r="13386" spans="14:14" x14ac:dyDescent="0.2">
      <c r="N13386" s="131"/>
    </row>
    <row r="13387" spans="14:14" x14ac:dyDescent="0.2">
      <c r="N13387" s="131"/>
    </row>
    <row r="13388" spans="14:14" x14ac:dyDescent="0.2">
      <c r="N13388" s="131"/>
    </row>
    <row r="13389" spans="14:14" x14ac:dyDescent="0.2">
      <c r="N13389" s="131"/>
    </row>
    <row r="13390" spans="14:14" x14ac:dyDescent="0.2">
      <c r="N13390" s="131"/>
    </row>
    <row r="13391" spans="14:14" x14ac:dyDescent="0.2">
      <c r="N13391" s="131"/>
    </row>
    <row r="13392" spans="14:14" x14ac:dyDescent="0.2">
      <c r="N13392" s="131"/>
    </row>
    <row r="13393" spans="14:14" x14ac:dyDescent="0.2">
      <c r="N13393" s="131"/>
    </row>
    <row r="13394" spans="14:14" x14ac:dyDescent="0.2">
      <c r="N13394" s="131"/>
    </row>
    <row r="13395" spans="14:14" x14ac:dyDescent="0.2">
      <c r="N13395" s="131"/>
    </row>
    <row r="13396" spans="14:14" x14ac:dyDescent="0.2">
      <c r="N13396" s="131"/>
    </row>
    <row r="13397" spans="14:14" x14ac:dyDescent="0.2">
      <c r="N13397" s="131"/>
    </row>
    <row r="13398" spans="14:14" x14ac:dyDescent="0.2">
      <c r="N13398" s="131"/>
    </row>
    <row r="13399" spans="14:14" x14ac:dyDescent="0.2">
      <c r="N13399" s="131"/>
    </row>
    <row r="13400" spans="14:14" x14ac:dyDescent="0.2">
      <c r="N13400" s="131"/>
    </row>
    <row r="13401" spans="14:14" x14ac:dyDescent="0.2">
      <c r="N13401" s="131"/>
    </row>
    <row r="13402" spans="14:14" x14ac:dyDescent="0.2">
      <c r="N13402" s="131"/>
    </row>
    <row r="13403" spans="14:14" x14ac:dyDescent="0.2">
      <c r="N13403" s="131"/>
    </row>
    <row r="13404" spans="14:14" x14ac:dyDescent="0.2">
      <c r="N13404" s="131"/>
    </row>
    <row r="13405" spans="14:14" x14ac:dyDescent="0.2">
      <c r="N13405" s="131"/>
    </row>
    <row r="13406" spans="14:14" x14ac:dyDescent="0.2">
      <c r="N13406" s="131"/>
    </row>
    <row r="13407" spans="14:14" x14ac:dyDescent="0.2">
      <c r="N13407" s="131"/>
    </row>
    <row r="13408" spans="14:14" x14ac:dyDescent="0.2">
      <c r="N13408" s="131"/>
    </row>
    <row r="13409" spans="14:14" x14ac:dyDescent="0.2">
      <c r="N13409" s="131"/>
    </row>
    <row r="13410" spans="14:14" x14ac:dyDescent="0.2">
      <c r="N13410" s="131"/>
    </row>
    <row r="13411" spans="14:14" x14ac:dyDescent="0.2">
      <c r="N13411" s="131"/>
    </row>
    <row r="13412" spans="14:14" x14ac:dyDescent="0.2">
      <c r="N13412" s="131"/>
    </row>
    <row r="13413" spans="14:14" x14ac:dyDescent="0.2">
      <c r="N13413" s="131"/>
    </row>
    <row r="13414" spans="14:14" x14ac:dyDescent="0.2">
      <c r="N13414" s="131"/>
    </row>
    <row r="13415" spans="14:14" x14ac:dyDescent="0.2">
      <c r="N13415" s="131"/>
    </row>
    <row r="13416" spans="14:14" x14ac:dyDescent="0.2">
      <c r="N13416" s="131"/>
    </row>
    <row r="13417" spans="14:14" x14ac:dyDescent="0.2">
      <c r="N13417" s="131"/>
    </row>
    <row r="13418" spans="14:14" x14ac:dyDescent="0.2">
      <c r="N13418" s="131"/>
    </row>
    <row r="13419" spans="14:14" x14ac:dyDescent="0.2">
      <c r="N13419" s="131"/>
    </row>
    <row r="13420" spans="14:14" x14ac:dyDescent="0.2">
      <c r="N13420" s="131"/>
    </row>
    <row r="13421" spans="14:14" x14ac:dyDescent="0.2">
      <c r="N13421" s="131"/>
    </row>
    <row r="13422" spans="14:14" x14ac:dyDescent="0.2">
      <c r="N13422" s="131"/>
    </row>
    <row r="13423" spans="14:14" x14ac:dyDescent="0.2">
      <c r="N13423" s="131"/>
    </row>
    <row r="13424" spans="14:14" x14ac:dyDescent="0.2">
      <c r="N13424" s="131"/>
    </row>
    <row r="13425" spans="14:14" x14ac:dyDescent="0.2">
      <c r="N13425" s="131"/>
    </row>
    <row r="13426" spans="14:14" x14ac:dyDescent="0.2">
      <c r="N13426" s="131"/>
    </row>
    <row r="13427" spans="14:14" x14ac:dyDescent="0.2">
      <c r="N13427" s="131"/>
    </row>
    <row r="13428" spans="14:14" x14ac:dyDescent="0.2">
      <c r="N13428" s="131"/>
    </row>
    <row r="13429" spans="14:14" x14ac:dyDescent="0.2">
      <c r="N13429" s="131"/>
    </row>
    <row r="13430" spans="14:14" x14ac:dyDescent="0.2">
      <c r="N13430" s="131"/>
    </row>
    <row r="13431" spans="14:14" x14ac:dyDescent="0.2">
      <c r="N13431" s="131"/>
    </row>
    <row r="13432" spans="14:14" x14ac:dyDescent="0.2">
      <c r="N13432" s="131"/>
    </row>
    <row r="13433" spans="14:14" x14ac:dyDescent="0.2">
      <c r="N13433" s="131"/>
    </row>
    <row r="13434" spans="14:14" x14ac:dyDescent="0.2">
      <c r="N13434" s="131"/>
    </row>
    <row r="13435" spans="14:14" x14ac:dyDescent="0.2">
      <c r="N13435" s="131"/>
    </row>
    <row r="13436" spans="14:14" x14ac:dyDescent="0.2">
      <c r="N13436" s="131"/>
    </row>
    <row r="13437" spans="14:14" x14ac:dyDescent="0.2">
      <c r="N13437" s="131"/>
    </row>
    <row r="13438" spans="14:14" x14ac:dyDescent="0.2">
      <c r="N13438" s="131"/>
    </row>
    <row r="13439" spans="14:14" x14ac:dyDescent="0.2">
      <c r="N13439" s="131"/>
    </row>
    <row r="13440" spans="14:14" x14ac:dyDescent="0.2">
      <c r="N13440" s="131"/>
    </row>
    <row r="13441" spans="14:14" x14ac:dyDescent="0.2">
      <c r="N13441" s="131"/>
    </row>
    <row r="13442" spans="14:14" x14ac:dyDescent="0.2">
      <c r="N13442" s="131"/>
    </row>
    <row r="13443" spans="14:14" x14ac:dyDescent="0.2">
      <c r="N13443" s="131"/>
    </row>
    <row r="13444" spans="14:14" x14ac:dyDescent="0.2">
      <c r="N13444" s="131"/>
    </row>
    <row r="13445" spans="14:14" x14ac:dyDescent="0.2">
      <c r="N13445" s="131"/>
    </row>
    <row r="13446" spans="14:14" x14ac:dyDescent="0.2">
      <c r="N13446" s="131"/>
    </row>
    <row r="13447" spans="14:14" x14ac:dyDescent="0.2">
      <c r="N13447" s="131"/>
    </row>
    <row r="13448" spans="14:14" x14ac:dyDescent="0.2">
      <c r="N13448" s="131"/>
    </row>
    <row r="13449" spans="14:14" x14ac:dyDescent="0.2">
      <c r="N13449" s="131"/>
    </row>
    <row r="13450" spans="14:14" x14ac:dyDescent="0.2">
      <c r="N13450" s="131"/>
    </row>
    <row r="13451" spans="14:14" x14ac:dyDescent="0.2">
      <c r="N13451" s="131"/>
    </row>
    <row r="13452" spans="14:14" x14ac:dyDescent="0.2">
      <c r="N13452" s="131"/>
    </row>
    <row r="13453" spans="14:14" x14ac:dyDescent="0.2">
      <c r="N13453" s="131"/>
    </row>
    <row r="13454" spans="14:14" x14ac:dyDescent="0.2">
      <c r="N13454" s="131"/>
    </row>
    <row r="13455" spans="14:14" x14ac:dyDescent="0.2">
      <c r="N13455" s="131"/>
    </row>
    <row r="13456" spans="14:14" x14ac:dyDescent="0.2">
      <c r="N13456" s="131"/>
    </row>
    <row r="13457" spans="14:14" x14ac:dyDescent="0.2">
      <c r="N13457" s="131"/>
    </row>
    <row r="13458" spans="14:14" x14ac:dyDescent="0.2">
      <c r="N13458" s="131"/>
    </row>
    <row r="13459" spans="14:14" x14ac:dyDescent="0.2">
      <c r="N13459" s="131"/>
    </row>
    <row r="13460" spans="14:14" x14ac:dyDescent="0.2">
      <c r="N13460" s="131"/>
    </row>
    <row r="13461" spans="14:14" x14ac:dyDescent="0.2">
      <c r="N13461" s="131"/>
    </row>
    <row r="13462" spans="14:14" x14ac:dyDescent="0.2">
      <c r="N13462" s="131"/>
    </row>
    <row r="13463" spans="14:14" x14ac:dyDescent="0.2">
      <c r="N13463" s="131"/>
    </row>
    <row r="13464" spans="14:14" x14ac:dyDescent="0.2">
      <c r="N13464" s="131"/>
    </row>
    <row r="13465" spans="14:14" x14ac:dyDescent="0.2">
      <c r="N13465" s="131"/>
    </row>
    <row r="13466" spans="14:14" x14ac:dyDescent="0.2">
      <c r="N13466" s="131"/>
    </row>
    <row r="13467" spans="14:14" x14ac:dyDescent="0.2">
      <c r="N13467" s="131"/>
    </row>
    <row r="13468" spans="14:14" x14ac:dyDescent="0.2">
      <c r="N13468" s="131"/>
    </row>
    <row r="13469" spans="14:14" x14ac:dyDescent="0.2">
      <c r="N13469" s="131"/>
    </row>
    <row r="13470" spans="14:14" x14ac:dyDescent="0.2">
      <c r="N13470" s="131"/>
    </row>
    <row r="13471" spans="14:14" x14ac:dyDescent="0.2">
      <c r="N13471" s="131"/>
    </row>
    <row r="13472" spans="14:14" x14ac:dyDescent="0.2">
      <c r="N13472" s="131"/>
    </row>
    <row r="13473" spans="14:14" x14ac:dyDescent="0.2">
      <c r="N13473" s="131"/>
    </row>
    <row r="13474" spans="14:14" x14ac:dyDescent="0.2">
      <c r="N13474" s="131"/>
    </row>
    <row r="13475" spans="14:14" x14ac:dyDescent="0.2">
      <c r="N13475" s="131"/>
    </row>
    <row r="13476" spans="14:14" x14ac:dyDescent="0.2">
      <c r="N13476" s="131"/>
    </row>
    <row r="13477" spans="14:14" x14ac:dyDescent="0.2">
      <c r="N13477" s="131"/>
    </row>
    <row r="13478" spans="14:14" x14ac:dyDescent="0.2">
      <c r="N13478" s="131"/>
    </row>
    <row r="13479" spans="14:14" x14ac:dyDescent="0.2">
      <c r="N13479" s="131"/>
    </row>
    <row r="13480" spans="14:14" x14ac:dyDescent="0.2">
      <c r="N13480" s="131"/>
    </row>
    <row r="13481" spans="14:14" x14ac:dyDescent="0.2">
      <c r="N13481" s="131"/>
    </row>
    <row r="13482" spans="14:14" x14ac:dyDescent="0.2">
      <c r="N13482" s="131"/>
    </row>
    <row r="13483" spans="14:14" x14ac:dyDescent="0.2">
      <c r="N13483" s="131"/>
    </row>
    <row r="13484" spans="14:14" x14ac:dyDescent="0.2">
      <c r="N13484" s="131"/>
    </row>
    <row r="13485" spans="14:14" x14ac:dyDescent="0.2">
      <c r="N13485" s="131"/>
    </row>
    <row r="13486" spans="14:14" x14ac:dyDescent="0.2">
      <c r="N13486" s="131"/>
    </row>
    <row r="13487" spans="14:14" x14ac:dyDescent="0.2">
      <c r="N13487" s="131"/>
    </row>
    <row r="13488" spans="14:14" x14ac:dyDescent="0.2">
      <c r="N13488" s="131"/>
    </row>
    <row r="13489" spans="14:14" x14ac:dyDescent="0.2">
      <c r="N13489" s="131"/>
    </row>
    <row r="13490" spans="14:14" x14ac:dyDescent="0.2">
      <c r="N13490" s="131"/>
    </row>
    <row r="13491" spans="14:14" x14ac:dyDescent="0.2">
      <c r="N13491" s="131"/>
    </row>
    <row r="13492" spans="14:14" x14ac:dyDescent="0.2">
      <c r="N13492" s="131"/>
    </row>
    <row r="13493" spans="14:14" x14ac:dyDescent="0.2">
      <c r="N13493" s="131"/>
    </row>
    <row r="13494" spans="14:14" x14ac:dyDescent="0.2">
      <c r="N13494" s="131"/>
    </row>
    <row r="13495" spans="14:14" x14ac:dyDescent="0.2">
      <c r="N13495" s="131"/>
    </row>
    <row r="13496" spans="14:14" x14ac:dyDescent="0.2">
      <c r="N13496" s="131"/>
    </row>
    <row r="13497" spans="14:14" x14ac:dyDescent="0.2">
      <c r="N13497" s="131"/>
    </row>
    <row r="13498" spans="14:14" x14ac:dyDescent="0.2">
      <c r="N13498" s="131"/>
    </row>
    <row r="13499" spans="14:14" x14ac:dyDescent="0.2">
      <c r="N13499" s="131"/>
    </row>
    <row r="13500" spans="14:14" x14ac:dyDescent="0.2">
      <c r="N13500" s="131"/>
    </row>
    <row r="13501" spans="14:14" x14ac:dyDescent="0.2">
      <c r="N13501" s="131"/>
    </row>
    <row r="13502" spans="14:14" x14ac:dyDescent="0.2">
      <c r="N13502" s="131"/>
    </row>
    <row r="13503" spans="14:14" x14ac:dyDescent="0.2">
      <c r="N13503" s="131"/>
    </row>
    <row r="13504" spans="14:14" x14ac:dyDescent="0.2">
      <c r="N13504" s="131"/>
    </row>
    <row r="13505" spans="14:14" x14ac:dyDescent="0.2">
      <c r="N13505" s="131"/>
    </row>
    <row r="13506" spans="14:14" x14ac:dyDescent="0.2">
      <c r="N13506" s="131"/>
    </row>
    <row r="13507" spans="14:14" x14ac:dyDescent="0.2">
      <c r="N13507" s="131"/>
    </row>
    <row r="13508" spans="14:14" x14ac:dyDescent="0.2">
      <c r="N13508" s="131"/>
    </row>
    <row r="13509" spans="14:14" x14ac:dyDescent="0.2">
      <c r="N13509" s="131"/>
    </row>
    <row r="13510" spans="14:14" x14ac:dyDescent="0.2">
      <c r="N13510" s="131"/>
    </row>
    <row r="13511" spans="14:14" x14ac:dyDescent="0.2">
      <c r="N13511" s="131"/>
    </row>
    <row r="13512" spans="14:14" x14ac:dyDescent="0.2">
      <c r="N13512" s="131"/>
    </row>
    <row r="13513" spans="14:14" x14ac:dyDescent="0.2">
      <c r="N13513" s="131"/>
    </row>
    <row r="13514" spans="14:14" x14ac:dyDescent="0.2">
      <c r="N13514" s="131"/>
    </row>
    <row r="13515" spans="14:14" x14ac:dyDescent="0.2">
      <c r="N13515" s="131"/>
    </row>
    <row r="13516" spans="14:14" x14ac:dyDescent="0.2">
      <c r="N13516" s="131"/>
    </row>
    <row r="13517" spans="14:14" x14ac:dyDescent="0.2">
      <c r="N13517" s="131"/>
    </row>
    <row r="13518" spans="14:14" x14ac:dyDescent="0.2">
      <c r="N13518" s="131"/>
    </row>
    <row r="13519" spans="14:14" x14ac:dyDescent="0.2">
      <c r="N13519" s="131"/>
    </row>
    <row r="13520" spans="14:14" x14ac:dyDescent="0.2">
      <c r="N13520" s="131"/>
    </row>
    <row r="13521" spans="14:14" x14ac:dyDescent="0.2">
      <c r="N13521" s="131"/>
    </row>
    <row r="13522" spans="14:14" x14ac:dyDescent="0.2">
      <c r="N13522" s="131"/>
    </row>
    <row r="13523" spans="14:14" x14ac:dyDescent="0.2">
      <c r="N13523" s="131"/>
    </row>
    <row r="13524" spans="14:14" x14ac:dyDescent="0.2">
      <c r="N13524" s="131"/>
    </row>
    <row r="13525" spans="14:14" x14ac:dyDescent="0.2">
      <c r="N13525" s="131"/>
    </row>
    <row r="13526" spans="14:14" x14ac:dyDescent="0.2">
      <c r="N13526" s="131"/>
    </row>
    <row r="13527" spans="14:14" x14ac:dyDescent="0.2">
      <c r="N13527" s="131"/>
    </row>
    <row r="13528" spans="14:14" x14ac:dyDescent="0.2">
      <c r="N13528" s="131"/>
    </row>
    <row r="13529" spans="14:14" x14ac:dyDescent="0.2">
      <c r="N13529" s="131"/>
    </row>
    <row r="13530" spans="14:14" x14ac:dyDescent="0.2">
      <c r="N13530" s="131"/>
    </row>
    <row r="13531" spans="14:14" x14ac:dyDescent="0.2">
      <c r="N13531" s="131"/>
    </row>
    <row r="13532" spans="14:14" x14ac:dyDescent="0.2">
      <c r="N13532" s="131"/>
    </row>
    <row r="13533" spans="14:14" x14ac:dyDescent="0.2">
      <c r="N13533" s="131"/>
    </row>
    <row r="13534" spans="14:14" x14ac:dyDescent="0.2">
      <c r="N13534" s="131"/>
    </row>
    <row r="13535" spans="14:14" x14ac:dyDescent="0.2">
      <c r="N13535" s="131"/>
    </row>
    <row r="13536" spans="14:14" x14ac:dyDescent="0.2">
      <c r="N13536" s="131"/>
    </row>
    <row r="13537" spans="14:14" x14ac:dyDescent="0.2">
      <c r="N13537" s="131"/>
    </row>
    <row r="13538" spans="14:14" x14ac:dyDescent="0.2">
      <c r="N13538" s="131"/>
    </row>
    <row r="13539" spans="14:14" x14ac:dyDescent="0.2">
      <c r="N13539" s="131"/>
    </row>
    <row r="13540" spans="14:14" x14ac:dyDescent="0.2">
      <c r="N13540" s="131"/>
    </row>
    <row r="13541" spans="14:14" x14ac:dyDescent="0.2">
      <c r="N13541" s="131"/>
    </row>
    <row r="13542" spans="14:14" x14ac:dyDescent="0.2">
      <c r="N13542" s="131"/>
    </row>
    <row r="13543" spans="14:14" x14ac:dyDescent="0.2">
      <c r="N13543" s="131"/>
    </row>
    <row r="13544" spans="14:14" x14ac:dyDescent="0.2">
      <c r="N13544" s="131"/>
    </row>
    <row r="13545" spans="14:14" x14ac:dyDescent="0.2">
      <c r="N13545" s="131"/>
    </row>
    <row r="13546" spans="14:14" x14ac:dyDescent="0.2">
      <c r="N13546" s="131"/>
    </row>
    <row r="13547" spans="14:14" x14ac:dyDescent="0.2">
      <c r="N13547" s="131"/>
    </row>
    <row r="13548" spans="14:14" x14ac:dyDescent="0.2">
      <c r="N13548" s="131"/>
    </row>
    <row r="13549" spans="14:14" x14ac:dyDescent="0.2">
      <c r="N13549" s="131"/>
    </row>
    <row r="13550" spans="14:14" x14ac:dyDescent="0.2">
      <c r="N13550" s="131"/>
    </row>
    <row r="13551" spans="14:14" x14ac:dyDescent="0.2">
      <c r="N13551" s="131"/>
    </row>
    <row r="13552" spans="14:14" x14ac:dyDescent="0.2">
      <c r="N13552" s="131"/>
    </row>
    <row r="13553" spans="14:14" x14ac:dyDescent="0.2">
      <c r="N13553" s="131"/>
    </row>
    <row r="13554" spans="14:14" x14ac:dyDescent="0.2">
      <c r="N13554" s="131"/>
    </row>
    <row r="13555" spans="14:14" x14ac:dyDescent="0.2">
      <c r="N13555" s="131"/>
    </row>
    <row r="13556" spans="14:14" x14ac:dyDescent="0.2">
      <c r="N13556" s="131"/>
    </row>
    <row r="13557" spans="14:14" x14ac:dyDescent="0.2">
      <c r="N13557" s="131"/>
    </row>
    <row r="13558" spans="14:14" x14ac:dyDescent="0.2">
      <c r="N13558" s="131"/>
    </row>
    <row r="13559" spans="14:14" x14ac:dyDescent="0.2">
      <c r="N13559" s="131"/>
    </row>
    <row r="13560" spans="14:14" x14ac:dyDescent="0.2">
      <c r="N13560" s="131"/>
    </row>
    <row r="13561" spans="14:14" x14ac:dyDescent="0.2">
      <c r="N13561" s="131"/>
    </row>
    <row r="13562" spans="14:14" x14ac:dyDescent="0.2">
      <c r="N13562" s="131"/>
    </row>
    <row r="13563" spans="14:14" x14ac:dyDescent="0.2">
      <c r="N13563" s="131"/>
    </row>
    <row r="13564" spans="14:14" x14ac:dyDescent="0.2">
      <c r="N13564" s="131"/>
    </row>
    <row r="13565" spans="14:14" x14ac:dyDescent="0.2">
      <c r="N13565" s="131"/>
    </row>
    <row r="13566" spans="14:14" x14ac:dyDescent="0.2">
      <c r="N13566" s="131"/>
    </row>
    <row r="13567" spans="14:14" x14ac:dyDescent="0.2">
      <c r="N13567" s="131"/>
    </row>
    <row r="13568" spans="14:14" x14ac:dyDescent="0.2">
      <c r="N13568" s="131"/>
    </row>
    <row r="13569" spans="14:14" x14ac:dyDescent="0.2">
      <c r="N13569" s="131"/>
    </row>
    <row r="13570" spans="14:14" x14ac:dyDescent="0.2">
      <c r="N13570" s="131"/>
    </row>
    <row r="13571" spans="14:14" x14ac:dyDescent="0.2">
      <c r="N13571" s="131"/>
    </row>
    <row r="13572" spans="14:14" x14ac:dyDescent="0.2">
      <c r="N13572" s="131"/>
    </row>
    <row r="13573" spans="14:14" x14ac:dyDescent="0.2">
      <c r="N13573" s="131"/>
    </row>
    <row r="13574" spans="14:14" x14ac:dyDescent="0.2">
      <c r="N13574" s="131"/>
    </row>
    <row r="13575" spans="14:14" x14ac:dyDescent="0.2">
      <c r="N13575" s="131"/>
    </row>
    <row r="13576" spans="14:14" x14ac:dyDescent="0.2">
      <c r="N13576" s="131"/>
    </row>
    <row r="13577" spans="14:14" x14ac:dyDescent="0.2">
      <c r="N13577" s="131"/>
    </row>
    <row r="13578" spans="14:14" x14ac:dyDescent="0.2">
      <c r="N13578" s="131"/>
    </row>
    <row r="13579" spans="14:14" x14ac:dyDescent="0.2">
      <c r="N13579" s="131"/>
    </row>
    <row r="13580" spans="14:14" x14ac:dyDescent="0.2">
      <c r="N13580" s="131"/>
    </row>
    <row r="13581" spans="14:14" x14ac:dyDescent="0.2">
      <c r="N13581" s="131"/>
    </row>
    <row r="13582" spans="14:14" x14ac:dyDescent="0.2">
      <c r="N13582" s="131"/>
    </row>
    <row r="13583" spans="14:14" x14ac:dyDescent="0.2">
      <c r="N13583" s="131"/>
    </row>
    <row r="13584" spans="14:14" x14ac:dyDescent="0.2">
      <c r="N13584" s="131"/>
    </row>
    <row r="13585" spans="14:14" x14ac:dyDescent="0.2">
      <c r="N13585" s="131"/>
    </row>
    <row r="13586" spans="14:14" x14ac:dyDescent="0.2">
      <c r="N13586" s="131"/>
    </row>
    <row r="13587" spans="14:14" x14ac:dyDescent="0.2">
      <c r="N13587" s="131"/>
    </row>
    <row r="13588" spans="14:14" x14ac:dyDescent="0.2">
      <c r="N13588" s="131"/>
    </row>
    <row r="13589" spans="14:14" x14ac:dyDescent="0.2">
      <c r="N13589" s="131"/>
    </row>
    <row r="13590" spans="14:14" x14ac:dyDescent="0.2">
      <c r="N13590" s="131"/>
    </row>
    <row r="13591" spans="14:14" x14ac:dyDescent="0.2">
      <c r="N13591" s="131"/>
    </row>
    <row r="13592" spans="14:14" x14ac:dyDescent="0.2">
      <c r="N13592" s="131"/>
    </row>
    <row r="13593" spans="14:14" x14ac:dyDescent="0.2">
      <c r="N13593" s="131"/>
    </row>
    <row r="13594" spans="14:14" x14ac:dyDescent="0.2">
      <c r="N13594" s="131"/>
    </row>
    <row r="13595" spans="14:14" x14ac:dyDescent="0.2">
      <c r="N13595" s="131"/>
    </row>
    <row r="13596" spans="14:14" x14ac:dyDescent="0.2">
      <c r="N13596" s="131"/>
    </row>
    <row r="13597" spans="14:14" x14ac:dyDescent="0.2">
      <c r="N13597" s="131"/>
    </row>
    <row r="13598" spans="14:14" x14ac:dyDescent="0.2">
      <c r="N13598" s="131"/>
    </row>
    <row r="13599" spans="14:14" x14ac:dyDescent="0.2">
      <c r="N13599" s="131"/>
    </row>
    <row r="13600" spans="14:14" x14ac:dyDescent="0.2">
      <c r="N13600" s="131"/>
    </row>
    <row r="13601" spans="14:14" x14ac:dyDescent="0.2">
      <c r="N13601" s="131"/>
    </row>
    <row r="13602" spans="14:14" x14ac:dyDescent="0.2">
      <c r="N13602" s="131"/>
    </row>
    <row r="13603" spans="14:14" x14ac:dyDescent="0.2">
      <c r="N13603" s="131"/>
    </row>
    <row r="13604" spans="14:14" x14ac:dyDescent="0.2">
      <c r="N13604" s="131"/>
    </row>
    <row r="13605" spans="14:14" x14ac:dyDescent="0.2">
      <c r="N13605" s="131"/>
    </row>
    <row r="13606" spans="14:14" x14ac:dyDescent="0.2">
      <c r="N13606" s="131"/>
    </row>
    <row r="13607" spans="14:14" x14ac:dyDescent="0.2">
      <c r="N13607" s="131"/>
    </row>
    <row r="13608" spans="14:14" x14ac:dyDescent="0.2">
      <c r="N13608" s="131"/>
    </row>
    <row r="13609" spans="14:14" x14ac:dyDescent="0.2">
      <c r="N13609" s="131"/>
    </row>
    <row r="13610" spans="14:14" x14ac:dyDescent="0.2">
      <c r="N13610" s="131"/>
    </row>
    <row r="13611" spans="14:14" x14ac:dyDescent="0.2">
      <c r="N13611" s="131"/>
    </row>
    <row r="13612" spans="14:14" x14ac:dyDescent="0.2">
      <c r="N13612" s="131"/>
    </row>
    <row r="13613" spans="14:14" x14ac:dyDescent="0.2">
      <c r="N13613" s="131"/>
    </row>
    <row r="13614" spans="14:14" x14ac:dyDescent="0.2">
      <c r="N13614" s="131"/>
    </row>
    <row r="13615" spans="14:14" x14ac:dyDescent="0.2">
      <c r="N13615" s="131"/>
    </row>
    <row r="13616" spans="14:14" x14ac:dyDescent="0.2">
      <c r="N13616" s="131"/>
    </row>
    <row r="13617" spans="14:14" x14ac:dyDescent="0.2">
      <c r="N13617" s="131"/>
    </row>
    <row r="13618" spans="14:14" x14ac:dyDescent="0.2">
      <c r="N13618" s="131"/>
    </row>
    <row r="13619" spans="14:14" x14ac:dyDescent="0.2">
      <c r="N13619" s="131"/>
    </row>
    <row r="13620" spans="14:14" x14ac:dyDescent="0.2">
      <c r="N13620" s="131"/>
    </row>
    <row r="13621" spans="14:14" x14ac:dyDescent="0.2">
      <c r="N13621" s="131"/>
    </row>
    <row r="13622" spans="14:14" x14ac:dyDescent="0.2">
      <c r="N13622" s="131"/>
    </row>
    <row r="13623" spans="14:14" x14ac:dyDescent="0.2">
      <c r="N13623" s="131"/>
    </row>
    <row r="13624" spans="14:14" x14ac:dyDescent="0.2">
      <c r="N13624" s="131"/>
    </row>
    <row r="13625" spans="14:14" x14ac:dyDescent="0.2">
      <c r="N13625" s="131"/>
    </row>
    <row r="13626" spans="14:14" x14ac:dyDescent="0.2">
      <c r="N13626" s="131"/>
    </row>
    <row r="13627" spans="14:14" x14ac:dyDescent="0.2">
      <c r="N13627" s="131"/>
    </row>
    <row r="13628" spans="14:14" x14ac:dyDescent="0.2">
      <c r="N13628" s="131"/>
    </row>
    <row r="13629" spans="14:14" x14ac:dyDescent="0.2">
      <c r="N13629" s="131"/>
    </row>
    <row r="13630" spans="14:14" x14ac:dyDescent="0.2">
      <c r="N13630" s="131"/>
    </row>
    <row r="13631" spans="14:14" x14ac:dyDescent="0.2">
      <c r="N13631" s="131"/>
    </row>
    <row r="13632" spans="14:14" x14ac:dyDescent="0.2">
      <c r="N13632" s="131"/>
    </row>
    <row r="13633" spans="14:14" x14ac:dyDescent="0.2">
      <c r="N13633" s="131"/>
    </row>
    <row r="13634" spans="14:14" x14ac:dyDescent="0.2">
      <c r="N13634" s="131"/>
    </row>
    <row r="13635" spans="14:14" x14ac:dyDescent="0.2">
      <c r="N13635" s="131"/>
    </row>
    <row r="13636" spans="14:14" x14ac:dyDescent="0.2">
      <c r="N13636" s="131"/>
    </row>
    <row r="13637" spans="14:14" x14ac:dyDescent="0.2">
      <c r="N13637" s="131"/>
    </row>
    <row r="13638" spans="14:14" x14ac:dyDescent="0.2">
      <c r="N13638" s="131"/>
    </row>
    <row r="13639" spans="14:14" x14ac:dyDescent="0.2">
      <c r="N13639" s="131"/>
    </row>
    <row r="13640" spans="14:14" x14ac:dyDescent="0.2">
      <c r="N13640" s="131"/>
    </row>
    <row r="13641" spans="14:14" x14ac:dyDescent="0.2">
      <c r="N13641" s="131"/>
    </row>
    <row r="13642" spans="14:14" x14ac:dyDescent="0.2">
      <c r="N13642" s="131"/>
    </row>
    <row r="13643" spans="14:14" x14ac:dyDescent="0.2">
      <c r="N13643" s="131"/>
    </row>
    <row r="13644" spans="14:14" x14ac:dyDescent="0.2">
      <c r="N13644" s="131"/>
    </row>
    <row r="13645" spans="14:14" x14ac:dyDescent="0.2">
      <c r="N13645" s="131"/>
    </row>
    <row r="13646" spans="14:14" x14ac:dyDescent="0.2">
      <c r="N13646" s="131"/>
    </row>
    <row r="13647" spans="14:14" x14ac:dyDescent="0.2">
      <c r="N13647" s="131"/>
    </row>
    <row r="13648" spans="14:14" x14ac:dyDescent="0.2">
      <c r="N13648" s="131"/>
    </row>
    <row r="13649" spans="14:14" x14ac:dyDescent="0.2">
      <c r="N13649" s="131"/>
    </row>
    <row r="13650" spans="14:14" x14ac:dyDescent="0.2">
      <c r="N13650" s="131"/>
    </row>
    <row r="13651" spans="14:14" x14ac:dyDescent="0.2">
      <c r="N13651" s="131"/>
    </row>
    <row r="13652" spans="14:14" x14ac:dyDescent="0.2">
      <c r="N13652" s="131"/>
    </row>
    <row r="13653" spans="14:14" x14ac:dyDescent="0.2">
      <c r="N13653" s="131"/>
    </row>
    <row r="13654" spans="14:14" x14ac:dyDescent="0.2">
      <c r="N13654" s="131"/>
    </row>
    <row r="13655" spans="14:14" x14ac:dyDescent="0.2">
      <c r="N13655" s="131"/>
    </row>
    <row r="13656" spans="14:14" x14ac:dyDescent="0.2">
      <c r="N13656" s="131"/>
    </row>
    <row r="13657" spans="14:14" x14ac:dyDescent="0.2">
      <c r="N13657" s="131"/>
    </row>
    <row r="13658" spans="14:14" x14ac:dyDescent="0.2">
      <c r="N13658" s="131"/>
    </row>
    <row r="13659" spans="14:14" x14ac:dyDescent="0.2">
      <c r="N13659" s="131"/>
    </row>
    <row r="13660" spans="14:14" x14ac:dyDescent="0.2">
      <c r="N13660" s="131"/>
    </row>
    <row r="13661" spans="14:14" x14ac:dyDescent="0.2">
      <c r="N13661" s="131"/>
    </row>
    <row r="13662" spans="14:14" x14ac:dyDescent="0.2">
      <c r="N13662" s="131"/>
    </row>
    <row r="13663" spans="14:14" x14ac:dyDescent="0.2">
      <c r="N13663" s="131"/>
    </row>
    <row r="13664" spans="14:14" x14ac:dyDescent="0.2">
      <c r="N13664" s="131"/>
    </row>
    <row r="13665" spans="14:14" x14ac:dyDescent="0.2">
      <c r="N13665" s="131"/>
    </row>
    <row r="13666" spans="14:14" x14ac:dyDescent="0.2">
      <c r="N13666" s="131"/>
    </row>
    <row r="13667" spans="14:14" x14ac:dyDescent="0.2">
      <c r="N13667" s="131"/>
    </row>
    <row r="13668" spans="14:14" x14ac:dyDescent="0.2">
      <c r="N13668" s="131"/>
    </row>
    <row r="13669" spans="14:14" x14ac:dyDescent="0.2">
      <c r="N13669" s="131"/>
    </row>
    <row r="13670" spans="14:14" x14ac:dyDescent="0.2">
      <c r="N13670" s="131"/>
    </row>
    <row r="13671" spans="14:14" x14ac:dyDescent="0.2">
      <c r="N13671" s="131"/>
    </row>
    <row r="13672" spans="14:14" x14ac:dyDescent="0.2">
      <c r="N13672" s="131"/>
    </row>
    <row r="13673" spans="14:14" x14ac:dyDescent="0.2">
      <c r="N13673" s="131"/>
    </row>
    <row r="13674" spans="14:14" x14ac:dyDescent="0.2">
      <c r="N13674" s="131"/>
    </row>
    <row r="13675" spans="14:14" x14ac:dyDescent="0.2">
      <c r="N13675" s="131"/>
    </row>
    <row r="13676" spans="14:14" x14ac:dyDescent="0.2">
      <c r="N13676" s="131"/>
    </row>
    <row r="13677" spans="14:14" x14ac:dyDescent="0.2">
      <c r="N13677" s="131"/>
    </row>
    <row r="13678" spans="14:14" x14ac:dyDescent="0.2">
      <c r="N13678" s="131"/>
    </row>
    <row r="13679" spans="14:14" x14ac:dyDescent="0.2">
      <c r="N13679" s="131"/>
    </row>
    <row r="13680" spans="14:14" x14ac:dyDescent="0.2">
      <c r="N13680" s="131"/>
    </row>
    <row r="13681" spans="14:14" x14ac:dyDescent="0.2">
      <c r="N13681" s="131"/>
    </row>
    <row r="13682" spans="14:14" x14ac:dyDescent="0.2">
      <c r="N13682" s="131"/>
    </row>
    <row r="13683" spans="14:14" x14ac:dyDescent="0.2">
      <c r="N13683" s="131"/>
    </row>
    <row r="13684" spans="14:14" x14ac:dyDescent="0.2">
      <c r="N13684" s="131"/>
    </row>
    <row r="13685" spans="14:14" x14ac:dyDescent="0.2">
      <c r="N13685" s="131"/>
    </row>
    <row r="13686" spans="14:14" x14ac:dyDescent="0.2">
      <c r="N13686" s="131"/>
    </row>
    <row r="13687" spans="14:14" x14ac:dyDescent="0.2">
      <c r="N13687" s="131"/>
    </row>
    <row r="13688" spans="14:14" x14ac:dyDescent="0.2">
      <c r="N13688" s="131"/>
    </row>
    <row r="13689" spans="14:14" x14ac:dyDescent="0.2">
      <c r="N13689" s="131"/>
    </row>
    <row r="13690" spans="14:14" x14ac:dyDescent="0.2">
      <c r="N13690" s="131"/>
    </row>
    <row r="13691" spans="14:14" x14ac:dyDescent="0.2">
      <c r="N13691" s="131"/>
    </row>
    <row r="13692" spans="14:14" x14ac:dyDescent="0.2">
      <c r="N13692" s="131"/>
    </row>
    <row r="13693" spans="14:14" x14ac:dyDescent="0.2">
      <c r="N13693" s="131"/>
    </row>
    <row r="13694" spans="14:14" x14ac:dyDescent="0.2">
      <c r="N13694" s="131"/>
    </row>
    <row r="13695" spans="14:14" x14ac:dyDescent="0.2">
      <c r="N13695" s="131"/>
    </row>
    <row r="13696" spans="14:14" x14ac:dyDescent="0.2">
      <c r="N13696" s="131"/>
    </row>
    <row r="13697" spans="14:14" x14ac:dyDescent="0.2">
      <c r="N13697" s="131"/>
    </row>
    <row r="13698" spans="14:14" x14ac:dyDescent="0.2">
      <c r="N13698" s="131"/>
    </row>
    <row r="13699" spans="14:14" x14ac:dyDescent="0.2">
      <c r="N13699" s="131"/>
    </row>
    <row r="13700" spans="14:14" x14ac:dyDescent="0.2">
      <c r="N13700" s="131"/>
    </row>
    <row r="13701" spans="14:14" x14ac:dyDescent="0.2">
      <c r="N13701" s="131"/>
    </row>
    <row r="13702" spans="14:14" x14ac:dyDescent="0.2">
      <c r="N13702" s="131"/>
    </row>
    <row r="13703" spans="14:14" x14ac:dyDescent="0.2">
      <c r="N13703" s="131"/>
    </row>
    <row r="13704" spans="14:14" x14ac:dyDescent="0.2">
      <c r="N13704" s="131"/>
    </row>
    <row r="13705" spans="14:14" x14ac:dyDescent="0.2">
      <c r="N13705" s="131"/>
    </row>
    <row r="13706" spans="14:14" x14ac:dyDescent="0.2">
      <c r="N13706" s="131"/>
    </row>
    <row r="13707" spans="14:14" x14ac:dyDescent="0.2">
      <c r="N13707" s="131"/>
    </row>
    <row r="13708" spans="14:14" x14ac:dyDescent="0.2">
      <c r="N13708" s="131"/>
    </row>
    <row r="13709" spans="14:14" x14ac:dyDescent="0.2">
      <c r="N13709" s="131"/>
    </row>
    <row r="13710" spans="14:14" x14ac:dyDescent="0.2">
      <c r="N13710" s="131"/>
    </row>
    <row r="13711" spans="14:14" x14ac:dyDescent="0.2">
      <c r="N13711" s="131"/>
    </row>
    <row r="13712" spans="14:14" x14ac:dyDescent="0.2">
      <c r="N13712" s="131"/>
    </row>
    <row r="13713" spans="14:14" x14ac:dyDescent="0.2">
      <c r="N13713" s="131"/>
    </row>
    <row r="13714" spans="14:14" x14ac:dyDescent="0.2">
      <c r="N13714" s="131"/>
    </row>
    <row r="13715" spans="14:14" x14ac:dyDescent="0.2">
      <c r="N13715" s="131"/>
    </row>
    <row r="13716" spans="14:14" x14ac:dyDescent="0.2">
      <c r="N13716" s="131"/>
    </row>
    <row r="13717" spans="14:14" x14ac:dyDescent="0.2">
      <c r="N13717" s="131"/>
    </row>
    <row r="13718" spans="14:14" x14ac:dyDescent="0.2">
      <c r="N13718" s="131"/>
    </row>
    <row r="13719" spans="14:14" x14ac:dyDescent="0.2">
      <c r="N13719" s="131"/>
    </row>
    <row r="13720" spans="14:14" x14ac:dyDescent="0.2">
      <c r="N13720" s="131"/>
    </row>
    <row r="13721" spans="14:14" x14ac:dyDescent="0.2">
      <c r="N13721" s="131"/>
    </row>
    <row r="13722" spans="14:14" x14ac:dyDescent="0.2">
      <c r="N13722" s="131"/>
    </row>
    <row r="13723" spans="14:14" x14ac:dyDescent="0.2">
      <c r="N13723" s="131"/>
    </row>
    <row r="13724" spans="14:14" x14ac:dyDescent="0.2">
      <c r="N13724" s="131"/>
    </row>
    <row r="13725" spans="14:14" x14ac:dyDescent="0.2">
      <c r="N13725" s="131"/>
    </row>
    <row r="13726" spans="14:14" x14ac:dyDescent="0.2">
      <c r="N13726" s="131"/>
    </row>
    <row r="13727" spans="14:14" x14ac:dyDescent="0.2">
      <c r="N13727" s="131"/>
    </row>
    <row r="13728" spans="14:14" x14ac:dyDescent="0.2">
      <c r="N13728" s="131"/>
    </row>
    <row r="13729" spans="14:14" x14ac:dyDescent="0.2">
      <c r="N13729" s="131"/>
    </row>
    <row r="13730" spans="14:14" x14ac:dyDescent="0.2">
      <c r="N13730" s="131"/>
    </row>
    <row r="13731" spans="14:14" x14ac:dyDescent="0.2">
      <c r="N13731" s="131"/>
    </row>
    <row r="13732" spans="14:14" x14ac:dyDescent="0.2">
      <c r="N13732" s="131"/>
    </row>
    <row r="13733" spans="14:14" x14ac:dyDescent="0.2">
      <c r="N13733" s="131"/>
    </row>
    <row r="13734" spans="14:14" x14ac:dyDescent="0.2">
      <c r="N13734" s="131"/>
    </row>
    <row r="13735" spans="14:14" x14ac:dyDescent="0.2">
      <c r="N13735" s="131"/>
    </row>
    <row r="13736" spans="14:14" x14ac:dyDescent="0.2">
      <c r="N13736" s="131"/>
    </row>
    <row r="13737" spans="14:14" x14ac:dyDescent="0.2">
      <c r="N13737" s="131"/>
    </row>
    <row r="13738" spans="14:14" x14ac:dyDescent="0.2">
      <c r="N13738" s="131"/>
    </row>
    <row r="13739" spans="14:14" x14ac:dyDescent="0.2">
      <c r="N13739" s="131"/>
    </row>
    <row r="13740" spans="14:14" x14ac:dyDescent="0.2">
      <c r="N13740" s="131"/>
    </row>
    <row r="13741" spans="14:14" x14ac:dyDescent="0.2">
      <c r="N13741" s="131"/>
    </row>
    <row r="13742" spans="14:14" x14ac:dyDescent="0.2">
      <c r="N13742" s="131"/>
    </row>
    <row r="13743" spans="14:14" x14ac:dyDescent="0.2">
      <c r="N13743" s="131"/>
    </row>
    <row r="13744" spans="14:14" x14ac:dyDescent="0.2">
      <c r="N13744" s="131"/>
    </row>
    <row r="13745" spans="14:14" x14ac:dyDescent="0.2">
      <c r="N13745" s="131"/>
    </row>
    <row r="13746" spans="14:14" x14ac:dyDescent="0.2">
      <c r="N13746" s="131"/>
    </row>
    <row r="13747" spans="14:14" x14ac:dyDescent="0.2">
      <c r="N13747" s="131"/>
    </row>
    <row r="13748" spans="14:14" x14ac:dyDescent="0.2">
      <c r="N13748" s="131"/>
    </row>
    <row r="13749" spans="14:14" x14ac:dyDescent="0.2">
      <c r="N13749" s="131"/>
    </row>
    <row r="13750" spans="14:14" x14ac:dyDescent="0.2">
      <c r="N13750" s="131"/>
    </row>
    <row r="13751" spans="14:14" x14ac:dyDescent="0.2">
      <c r="N13751" s="131"/>
    </row>
    <row r="13752" spans="14:14" x14ac:dyDescent="0.2">
      <c r="N13752" s="131"/>
    </row>
    <row r="13753" spans="14:14" x14ac:dyDescent="0.2">
      <c r="N13753" s="131"/>
    </row>
    <row r="13754" spans="14:14" x14ac:dyDescent="0.2">
      <c r="N13754" s="131"/>
    </row>
    <row r="13755" spans="14:14" x14ac:dyDescent="0.2">
      <c r="N13755" s="131"/>
    </row>
    <row r="13756" spans="14:14" x14ac:dyDescent="0.2">
      <c r="N13756" s="131"/>
    </row>
    <row r="13757" spans="14:14" x14ac:dyDescent="0.2">
      <c r="N13757" s="131"/>
    </row>
    <row r="13758" spans="14:14" x14ac:dyDescent="0.2">
      <c r="N13758" s="131"/>
    </row>
    <row r="13759" spans="14:14" x14ac:dyDescent="0.2">
      <c r="N13759" s="131"/>
    </row>
    <row r="13760" spans="14:14" x14ac:dyDescent="0.2">
      <c r="N13760" s="131"/>
    </row>
    <row r="13761" spans="14:14" x14ac:dyDescent="0.2">
      <c r="N13761" s="131"/>
    </row>
    <row r="13762" spans="14:14" x14ac:dyDescent="0.2">
      <c r="N13762" s="131"/>
    </row>
    <row r="13763" spans="14:14" x14ac:dyDescent="0.2">
      <c r="N13763" s="131"/>
    </row>
    <row r="13764" spans="14:14" x14ac:dyDescent="0.2">
      <c r="N13764" s="131"/>
    </row>
    <row r="13765" spans="14:14" x14ac:dyDescent="0.2">
      <c r="N13765" s="131"/>
    </row>
    <row r="13766" spans="14:14" x14ac:dyDescent="0.2">
      <c r="N13766" s="131"/>
    </row>
    <row r="13767" spans="14:14" x14ac:dyDescent="0.2">
      <c r="N13767" s="131"/>
    </row>
    <row r="13768" spans="14:14" x14ac:dyDescent="0.2">
      <c r="N13768" s="131"/>
    </row>
    <row r="13769" spans="14:14" x14ac:dyDescent="0.2">
      <c r="N13769" s="131"/>
    </row>
    <row r="13770" spans="14:14" x14ac:dyDescent="0.2">
      <c r="N13770" s="131"/>
    </row>
    <row r="13771" spans="14:14" x14ac:dyDescent="0.2">
      <c r="N13771" s="131"/>
    </row>
    <row r="13772" spans="14:14" x14ac:dyDescent="0.2">
      <c r="N13772" s="131"/>
    </row>
    <row r="13773" spans="14:14" x14ac:dyDescent="0.2">
      <c r="N13773" s="131"/>
    </row>
    <row r="13774" spans="14:14" x14ac:dyDescent="0.2">
      <c r="N13774" s="131"/>
    </row>
    <row r="13775" spans="14:14" x14ac:dyDescent="0.2">
      <c r="N13775" s="131"/>
    </row>
    <row r="13776" spans="14:14" x14ac:dyDescent="0.2">
      <c r="N13776" s="131"/>
    </row>
    <row r="13777" spans="14:14" x14ac:dyDescent="0.2">
      <c r="N13777" s="131"/>
    </row>
    <row r="13778" spans="14:14" x14ac:dyDescent="0.2">
      <c r="N13778" s="131"/>
    </row>
    <row r="13779" spans="14:14" x14ac:dyDescent="0.2">
      <c r="N13779" s="131"/>
    </row>
    <row r="13780" spans="14:14" x14ac:dyDescent="0.2">
      <c r="N13780" s="131"/>
    </row>
    <row r="13781" spans="14:14" x14ac:dyDescent="0.2">
      <c r="N13781" s="131"/>
    </row>
    <row r="13782" spans="14:14" x14ac:dyDescent="0.2">
      <c r="N13782" s="131"/>
    </row>
    <row r="13783" spans="14:14" x14ac:dyDescent="0.2">
      <c r="N13783" s="131"/>
    </row>
    <row r="13784" spans="14:14" x14ac:dyDescent="0.2">
      <c r="N13784" s="131"/>
    </row>
    <row r="13785" spans="14:14" x14ac:dyDescent="0.2">
      <c r="N13785" s="131"/>
    </row>
    <row r="13786" spans="14:14" x14ac:dyDescent="0.2">
      <c r="N13786" s="131"/>
    </row>
    <row r="13787" spans="14:14" x14ac:dyDescent="0.2">
      <c r="N13787" s="131"/>
    </row>
    <row r="13788" spans="14:14" x14ac:dyDescent="0.2">
      <c r="N13788" s="131"/>
    </row>
    <row r="13789" spans="14:14" x14ac:dyDescent="0.2">
      <c r="N13789" s="131"/>
    </row>
    <row r="13790" spans="14:14" x14ac:dyDescent="0.2">
      <c r="N13790" s="131"/>
    </row>
    <row r="13791" spans="14:14" x14ac:dyDescent="0.2">
      <c r="N13791" s="131"/>
    </row>
    <row r="13792" spans="14:14" x14ac:dyDescent="0.2">
      <c r="N13792" s="131"/>
    </row>
    <row r="13793" spans="14:14" x14ac:dyDescent="0.2">
      <c r="N13793" s="131"/>
    </row>
    <row r="13794" spans="14:14" x14ac:dyDescent="0.2">
      <c r="N13794" s="131"/>
    </row>
    <row r="13795" spans="14:14" x14ac:dyDescent="0.2">
      <c r="N13795" s="131"/>
    </row>
    <row r="13796" spans="14:14" x14ac:dyDescent="0.2">
      <c r="N13796" s="131"/>
    </row>
    <row r="13797" spans="14:14" x14ac:dyDescent="0.2">
      <c r="N13797" s="131"/>
    </row>
    <row r="13798" spans="14:14" x14ac:dyDescent="0.2">
      <c r="N13798" s="131"/>
    </row>
    <row r="13799" spans="14:14" x14ac:dyDescent="0.2">
      <c r="N13799" s="131"/>
    </row>
    <row r="13800" spans="14:14" x14ac:dyDescent="0.2">
      <c r="N13800" s="131"/>
    </row>
    <row r="13801" spans="14:14" x14ac:dyDescent="0.2">
      <c r="N13801" s="131"/>
    </row>
    <row r="13802" spans="14:14" x14ac:dyDescent="0.2">
      <c r="N13802" s="131"/>
    </row>
    <row r="13803" spans="14:14" x14ac:dyDescent="0.2">
      <c r="N13803" s="131"/>
    </row>
    <row r="13804" spans="14:14" x14ac:dyDescent="0.2">
      <c r="N13804" s="131"/>
    </row>
    <row r="13805" spans="14:14" x14ac:dyDescent="0.2">
      <c r="N13805" s="131"/>
    </row>
    <row r="13806" spans="14:14" x14ac:dyDescent="0.2">
      <c r="N13806" s="131"/>
    </row>
    <row r="13807" spans="14:14" x14ac:dyDescent="0.2">
      <c r="N13807" s="131"/>
    </row>
    <row r="13808" spans="14:14" x14ac:dyDescent="0.2">
      <c r="N13808" s="131"/>
    </row>
    <row r="13809" spans="14:14" x14ac:dyDescent="0.2">
      <c r="N13809" s="131"/>
    </row>
    <row r="13810" spans="14:14" x14ac:dyDescent="0.2">
      <c r="N13810" s="131"/>
    </row>
    <row r="13811" spans="14:14" x14ac:dyDescent="0.2">
      <c r="N13811" s="131"/>
    </row>
    <row r="13812" spans="14:14" x14ac:dyDescent="0.2">
      <c r="N13812" s="131"/>
    </row>
    <row r="13813" spans="14:14" x14ac:dyDescent="0.2">
      <c r="N13813" s="131"/>
    </row>
    <row r="13814" spans="14:14" x14ac:dyDescent="0.2">
      <c r="N13814" s="131"/>
    </row>
    <row r="13815" spans="14:14" x14ac:dyDescent="0.2">
      <c r="N13815" s="131"/>
    </row>
    <row r="13816" spans="14:14" x14ac:dyDescent="0.2">
      <c r="N13816" s="131"/>
    </row>
    <row r="13817" spans="14:14" x14ac:dyDescent="0.2">
      <c r="N13817" s="131"/>
    </row>
    <row r="13818" spans="14:14" x14ac:dyDescent="0.2">
      <c r="N13818" s="131"/>
    </row>
    <row r="13819" spans="14:14" x14ac:dyDescent="0.2">
      <c r="N13819" s="131"/>
    </row>
    <row r="13820" spans="14:14" x14ac:dyDescent="0.2">
      <c r="N13820" s="131"/>
    </row>
    <row r="13821" spans="14:14" x14ac:dyDescent="0.2">
      <c r="N13821" s="131"/>
    </row>
    <row r="13822" spans="14:14" x14ac:dyDescent="0.2">
      <c r="N13822" s="131"/>
    </row>
    <row r="13823" spans="14:14" x14ac:dyDescent="0.2">
      <c r="N13823" s="131"/>
    </row>
    <row r="13824" spans="14:14" x14ac:dyDescent="0.2">
      <c r="N13824" s="131"/>
    </row>
    <row r="13825" spans="14:14" x14ac:dyDescent="0.2">
      <c r="N13825" s="131"/>
    </row>
    <row r="13826" spans="14:14" x14ac:dyDescent="0.2">
      <c r="N13826" s="131"/>
    </row>
    <row r="13827" spans="14:14" x14ac:dyDescent="0.2">
      <c r="N13827" s="131"/>
    </row>
    <row r="13828" spans="14:14" x14ac:dyDescent="0.2">
      <c r="N13828" s="131"/>
    </row>
    <row r="13829" spans="14:14" x14ac:dyDescent="0.2">
      <c r="N13829" s="131"/>
    </row>
    <row r="13830" spans="14:14" x14ac:dyDescent="0.2">
      <c r="N13830" s="131"/>
    </row>
    <row r="13831" spans="14:14" x14ac:dyDescent="0.2">
      <c r="N13831" s="131"/>
    </row>
    <row r="13832" spans="14:14" x14ac:dyDescent="0.2">
      <c r="N13832" s="131"/>
    </row>
    <row r="13833" spans="14:14" x14ac:dyDescent="0.2">
      <c r="N13833" s="131"/>
    </row>
    <row r="13834" spans="14:14" x14ac:dyDescent="0.2">
      <c r="N13834" s="131"/>
    </row>
    <row r="13835" spans="14:14" x14ac:dyDescent="0.2">
      <c r="N13835" s="131"/>
    </row>
    <row r="13836" spans="14:14" x14ac:dyDescent="0.2">
      <c r="N13836" s="131"/>
    </row>
    <row r="13837" spans="14:14" x14ac:dyDescent="0.2">
      <c r="N13837" s="131"/>
    </row>
    <row r="13838" spans="14:14" x14ac:dyDescent="0.2">
      <c r="N13838" s="131"/>
    </row>
    <row r="13839" spans="14:14" x14ac:dyDescent="0.2">
      <c r="N13839" s="131"/>
    </row>
    <row r="13840" spans="14:14" x14ac:dyDescent="0.2">
      <c r="N13840" s="131"/>
    </row>
    <row r="13841" spans="14:14" x14ac:dyDescent="0.2">
      <c r="N13841" s="131"/>
    </row>
    <row r="13842" spans="14:14" x14ac:dyDescent="0.2">
      <c r="N13842" s="131"/>
    </row>
    <row r="13843" spans="14:14" x14ac:dyDescent="0.2">
      <c r="N13843" s="131"/>
    </row>
    <row r="13844" spans="14:14" x14ac:dyDescent="0.2">
      <c r="N13844" s="131"/>
    </row>
    <row r="13845" spans="14:14" x14ac:dyDescent="0.2">
      <c r="N13845" s="131"/>
    </row>
    <row r="13846" spans="14:14" x14ac:dyDescent="0.2">
      <c r="N13846" s="131"/>
    </row>
    <row r="13847" spans="14:14" x14ac:dyDescent="0.2">
      <c r="N13847" s="131"/>
    </row>
    <row r="13848" spans="14:14" x14ac:dyDescent="0.2">
      <c r="N13848" s="131"/>
    </row>
    <row r="13849" spans="14:14" x14ac:dyDescent="0.2">
      <c r="N13849" s="131"/>
    </row>
    <row r="13850" spans="14:14" x14ac:dyDescent="0.2">
      <c r="N13850" s="131"/>
    </row>
    <row r="13851" spans="14:14" x14ac:dyDescent="0.2">
      <c r="N13851" s="131"/>
    </row>
    <row r="13852" spans="14:14" x14ac:dyDescent="0.2">
      <c r="N13852" s="131"/>
    </row>
    <row r="13853" spans="14:14" x14ac:dyDescent="0.2">
      <c r="N13853" s="131"/>
    </row>
    <row r="13854" spans="14:14" x14ac:dyDescent="0.2">
      <c r="N13854" s="131"/>
    </row>
    <row r="13855" spans="14:14" x14ac:dyDescent="0.2">
      <c r="N13855" s="131"/>
    </row>
    <row r="13856" spans="14:14" x14ac:dyDescent="0.2">
      <c r="N13856" s="131"/>
    </row>
    <row r="13857" spans="14:14" x14ac:dyDescent="0.2">
      <c r="N13857" s="131"/>
    </row>
    <row r="13858" spans="14:14" x14ac:dyDescent="0.2">
      <c r="N13858" s="131"/>
    </row>
    <row r="13859" spans="14:14" x14ac:dyDescent="0.2">
      <c r="N13859" s="131"/>
    </row>
    <row r="13860" spans="14:14" x14ac:dyDescent="0.2">
      <c r="N13860" s="131"/>
    </row>
    <row r="13861" spans="14:14" x14ac:dyDescent="0.2">
      <c r="N13861" s="131"/>
    </row>
    <row r="13862" spans="14:14" x14ac:dyDescent="0.2">
      <c r="N13862" s="131"/>
    </row>
    <row r="13863" spans="14:14" x14ac:dyDescent="0.2">
      <c r="N13863" s="131"/>
    </row>
    <row r="13864" spans="14:14" x14ac:dyDescent="0.2">
      <c r="N13864" s="131"/>
    </row>
    <row r="13865" spans="14:14" x14ac:dyDescent="0.2">
      <c r="N13865" s="131"/>
    </row>
    <row r="13866" spans="14:14" x14ac:dyDescent="0.2">
      <c r="N13866" s="131"/>
    </row>
    <row r="13867" spans="14:14" x14ac:dyDescent="0.2">
      <c r="N13867" s="131"/>
    </row>
    <row r="13868" spans="14:14" x14ac:dyDescent="0.2">
      <c r="N13868" s="131"/>
    </row>
    <row r="13869" spans="14:14" x14ac:dyDescent="0.2">
      <c r="N13869" s="131"/>
    </row>
    <row r="13870" spans="14:14" x14ac:dyDescent="0.2">
      <c r="N13870" s="131"/>
    </row>
    <row r="13871" spans="14:14" x14ac:dyDescent="0.2">
      <c r="N13871" s="131"/>
    </row>
    <row r="13872" spans="14:14" x14ac:dyDescent="0.2">
      <c r="N13872" s="131"/>
    </row>
    <row r="13873" spans="14:14" x14ac:dyDescent="0.2">
      <c r="N13873" s="131"/>
    </row>
    <row r="13874" spans="14:14" x14ac:dyDescent="0.2">
      <c r="N13874" s="131"/>
    </row>
    <row r="13875" spans="14:14" x14ac:dyDescent="0.2">
      <c r="N13875" s="131"/>
    </row>
    <row r="13876" spans="14:14" x14ac:dyDescent="0.2">
      <c r="N13876" s="131"/>
    </row>
    <row r="13877" spans="14:14" x14ac:dyDescent="0.2">
      <c r="N13877" s="131"/>
    </row>
    <row r="13878" spans="14:14" x14ac:dyDescent="0.2">
      <c r="N13878" s="131"/>
    </row>
    <row r="13879" spans="14:14" x14ac:dyDescent="0.2">
      <c r="N13879" s="131"/>
    </row>
    <row r="13880" spans="14:14" x14ac:dyDescent="0.2">
      <c r="N13880" s="131"/>
    </row>
    <row r="13881" spans="14:14" x14ac:dyDescent="0.2">
      <c r="N13881" s="131"/>
    </row>
    <row r="13882" spans="14:14" x14ac:dyDescent="0.2">
      <c r="N13882" s="131"/>
    </row>
    <row r="13883" spans="14:14" x14ac:dyDescent="0.2">
      <c r="N13883" s="131"/>
    </row>
    <row r="13884" spans="14:14" x14ac:dyDescent="0.2">
      <c r="N13884" s="131"/>
    </row>
    <row r="13885" spans="14:14" x14ac:dyDescent="0.2">
      <c r="N13885" s="131"/>
    </row>
    <row r="13886" spans="14:14" x14ac:dyDescent="0.2">
      <c r="N13886" s="131"/>
    </row>
    <row r="13887" spans="14:14" x14ac:dyDescent="0.2">
      <c r="N13887" s="131"/>
    </row>
    <row r="13888" spans="14:14" x14ac:dyDescent="0.2">
      <c r="N13888" s="131"/>
    </row>
    <row r="13889" spans="14:14" x14ac:dyDescent="0.2">
      <c r="N13889" s="131"/>
    </row>
    <row r="13890" spans="14:14" x14ac:dyDescent="0.2">
      <c r="N13890" s="131"/>
    </row>
    <row r="13891" spans="14:14" x14ac:dyDescent="0.2">
      <c r="N13891" s="131"/>
    </row>
    <row r="13892" spans="14:14" x14ac:dyDescent="0.2">
      <c r="N13892" s="131"/>
    </row>
    <row r="13893" spans="14:14" x14ac:dyDescent="0.2">
      <c r="N13893" s="131"/>
    </row>
    <row r="13894" spans="14:14" x14ac:dyDescent="0.2">
      <c r="N13894" s="131"/>
    </row>
    <row r="13895" spans="14:14" x14ac:dyDescent="0.2">
      <c r="N13895" s="131"/>
    </row>
    <row r="13896" spans="14:14" x14ac:dyDescent="0.2">
      <c r="N13896" s="131"/>
    </row>
    <row r="13897" spans="14:14" x14ac:dyDescent="0.2">
      <c r="N13897" s="131"/>
    </row>
    <row r="13898" spans="14:14" x14ac:dyDescent="0.2">
      <c r="N13898" s="131"/>
    </row>
    <row r="13899" spans="14:14" x14ac:dyDescent="0.2">
      <c r="N13899" s="131"/>
    </row>
    <row r="13900" spans="14:14" x14ac:dyDescent="0.2">
      <c r="N13900" s="131"/>
    </row>
    <row r="13901" spans="14:14" x14ac:dyDescent="0.2">
      <c r="N13901" s="131"/>
    </row>
    <row r="13902" spans="14:14" x14ac:dyDescent="0.2">
      <c r="N13902" s="131"/>
    </row>
    <row r="13903" spans="14:14" x14ac:dyDescent="0.2">
      <c r="N13903" s="131"/>
    </row>
    <row r="13904" spans="14:14" x14ac:dyDescent="0.2">
      <c r="N13904" s="131"/>
    </row>
    <row r="13905" spans="14:14" x14ac:dyDescent="0.2">
      <c r="N13905" s="131"/>
    </row>
    <row r="13906" spans="14:14" x14ac:dyDescent="0.2">
      <c r="N13906" s="131"/>
    </row>
    <row r="13907" spans="14:14" x14ac:dyDescent="0.2">
      <c r="N13907" s="131"/>
    </row>
    <row r="13908" spans="14:14" x14ac:dyDescent="0.2">
      <c r="N13908" s="131"/>
    </row>
    <row r="13909" spans="14:14" x14ac:dyDescent="0.2">
      <c r="N13909" s="131"/>
    </row>
    <row r="13910" spans="14:14" x14ac:dyDescent="0.2">
      <c r="N13910" s="131"/>
    </row>
    <row r="13911" spans="14:14" x14ac:dyDescent="0.2">
      <c r="N13911" s="131"/>
    </row>
    <row r="13912" spans="14:14" x14ac:dyDescent="0.2">
      <c r="N13912" s="131"/>
    </row>
    <row r="13913" spans="14:14" x14ac:dyDescent="0.2">
      <c r="N13913" s="131"/>
    </row>
    <row r="13914" spans="14:14" x14ac:dyDescent="0.2">
      <c r="N13914" s="131"/>
    </row>
    <row r="13915" spans="14:14" x14ac:dyDescent="0.2">
      <c r="N13915" s="131"/>
    </row>
    <row r="13916" spans="14:14" x14ac:dyDescent="0.2">
      <c r="N13916" s="131"/>
    </row>
    <row r="13917" spans="14:14" x14ac:dyDescent="0.2">
      <c r="N13917" s="131"/>
    </row>
    <row r="13918" spans="14:14" x14ac:dyDescent="0.2">
      <c r="N13918" s="131"/>
    </row>
    <row r="13919" spans="14:14" x14ac:dyDescent="0.2">
      <c r="N13919" s="131"/>
    </row>
    <row r="13920" spans="14:14" x14ac:dyDescent="0.2">
      <c r="N13920" s="131"/>
    </row>
    <row r="13921" spans="14:14" x14ac:dyDescent="0.2">
      <c r="N13921" s="131"/>
    </row>
    <row r="13922" spans="14:14" x14ac:dyDescent="0.2">
      <c r="N13922" s="131"/>
    </row>
    <row r="13923" spans="14:14" x14ac:dyDescent="0.2">
      <c r="N13923" s="131"/>
    </row>
    <row r="13924" spans="14:14" x14ac:dyDescent="0.2">
      <c r="N13924" s="131"/>
    </row>
    <row r="13925" spans="14:14" x14ac:dyDescent="0.2">
      <c r="N13925" s="131"/>
    </row>
    <row r="13926" spans="14:14" x14ac:dyDescent="0.2">
      <c r="N13926" s="131"/>
    </row>
    <row r="13927" spans="14:14" x14ac:dyDescent="0.2">
      <c r="N13927" s="131"/>
    </row>
    <row r="13928" spans="14:14" x14ac:dyDescent="0.2">
      <c r="N13928" s="131"/>
    </row>
    <row r="13929" spans="14:14" x14ac:dyDescent="0.2">
      <c r="N13929" s="131"/>
    </row>
    <row r="13930" spans="14:14" x14ac:dyDescent="0.2">
      <c r="N13930" s="131"/>
    </row>
    <row r="13931" spans="14:14" x14ac:dyDescent="0.2">
      <c r="N13931" s="131"/>
    </row>
    <row r="13932" spans="14:14" x14ac:dyDescent="0.2">
      <c r="N13932" s="131"/>
    </row>
    <row r="13933" spans="14:14" x14ac:dyDescent="0.2">
      <c r="N13933" s="131"/>
    </row>
    <row r="13934" spans="14:14" x14ac:dyDescent="0.2">
      <c r="N13934" s="131"/>
    </row>
    <row r="13935" spans="14:14" x14ac:dyDescent="0.2">
      <c r="N13935" s="131"/>
    </row>
    <row r="13936" spans="14:14" x14ac:dyDescent="0.2">
      <c r="N13936" s="131"/>
    </row>
    <row r="13937" spans="14:14" x14ac:dyDescent="0.2">
      <c r="N13937" s="131"/>
    </row>
    <row r="13938" spans="14:14" x14ac:dyDescent="0.2">
      <c r="N13938" s="131"/>
    </row>
    <row r="13939" spans="14:14" x14ac:dyDescent="0.2">
      <c r="N13939" s="131"/>
    </row>
    <row r="13940" spans="14:14" x14ac:dyDescent="0.2">
      <c r="N13940" s="131"/>
    </row>
    <row r="13941" spans="14:14" x14ac:dyDescent="0.2">
      <c r="N13941" s="131"/>
    </row>
    <row r="13942" spans="14:14" x14ac:dyDescent="0.2">
      <c r="N13942" s="131"/>
    </row>
    <row r="13943" spans="14:14" x14ac:dyDescent="0.2">
      <c r="N13943" s="131"/>
    </row>
    <row r="13944" spans="14:14" x14ac:dyDescent="0.2">
      <c r="N13944" s="131"/>
    </row>
    <row r="13945" spans="14:14" x14ac:dyDescent="0.2">
      <c r="N13945" s="131"/>
    </row>
    <row r="13946" spans="14:14" x14ac:dyDescent="0.2">
      <c r="N13946" s="131"/>
    </row>
    <row r="13947" spans="14:14" x14ac:dyDescent="0.2">
      <c r="N13947" s="131"/>
    </row>
    <row r="13948" spans="14:14" x14ac:dyDescent="0.2">
      <c r="N13948" s="131"/>
    </row>
    <row r="13949" spans="14:14" x14ac:dyDescent="0.2">
      <c r="N13949" s="131"/>
    </row>
    <row r="13950" spans="14:14" x14ac:dyDescent="0.2">
      <c r="N13950" s="131"/>
    </row>
    <row r="13951" spans="14:14" x14ac:dyDescent="0.2">
      <c r="N13951" s="131"/>
    </row>
    <row r="13952" spans="14:14" x14ac:dyDescent="0.2">
      <c r="N13952" s="131"/>
    </row>
    <row r="13953" spans="14:14" x14ac:dyDescent="0.2">
      <c r="N13953" s="131"/>
    </row>
    <row r="13954" spans="14:14" x14ac:dyDescent="0.2">
      <c r="N13954" s="131"/>
    </row>
    <row r="13955" spans="14:14" x14ac:dyDescent="0.2">
      <c r="N13955" s="131"/>
    </row>
    <row r="13956" spans="14:14" x14ac:dyDescent="0.2">
      <c r="N13956" s="131"/>
    </row>
    <row r="13957" spans="14:14" x14ac:dyDescent="0.2">
      <c r="N13957" s="131"/>
    </row>
    <row r="13958" spans="14:14" x14ac:dyDescent="0.2">
      <c r="N13958" s="131"/>
    </row>
    <row r="13959" spans="14:14" x14ac:dyDescent="0.2">
      <c r="N13959" s="131"/>
    </row>
    <row r="13960" spans="14:14" x14ac:dyDescent="0.2">
      <c r="N13960" s="131"/>
    </row>
    <row r="13961" spans="14:14" x14ac:dyDescent="0.2">
      <c r="N13961" s="131"/>
    </row>
    <row r="13962" spans="14:14" x14ac:dyDescent="0.2">
      <c r="N13962" s="131"/>
    </row>
    <row r="13963" spans="14:14" x14ac:dyDescent="0.2">
      <c r="N13963" s="131"/>
    </row>
    <row r="13964" spans="14:14" x14ac:dyDescent="0.2">
      <c r="N13964" s="131"/>
    </row>
    <row r="13965" spans="14:14" x14ac:dyDescent="0.2">
      <c r="N13965" s="131"/>
    </row>
    <row r="13966" spans="14:14" x14ac:dyDescent="0.2">
      <c r="N13966" s="131"/>
    </row>
    <row r="13967" spans="14:14" x14ac:dyDescent="0.2">
      <c r="N13967" s="131"/>
    </row>
    <row r="13968" spans="14:14" x14ac:dyDescent="0.2">
      <c r="N13968" s="131"/>
    </row>
    <row r="13969" spans="14:14" x14ac:dyDescent="0.2">
      <c r="N13969" s="131"/>
    </row>
    <row r="13970" spans="14:14" x14ac:dyDescent="0.2">
      <c r="N13970" s="131"/>
    </row>
    <row r="13971" spans="14:14" x14ac:dyDescent="0.2">
      <c r="N13971" s="131"/>
    </row>
    <row r="13972" spans="14:14" x14ac:dyDescent="0.2">
      <c r="N13972" s="131"/>
    </row>
    <row r="13973" spans="14:14" x14ac:dyDescent="0.2">
      <c r="N13973" s="131"/>
    </row>
    <row r="13974" spans="14:14" x14ac:dyDescent="0.2">
      <c r="N13974" s="131"/>
    </row>
    <row r="13975" spans="14:14" x14ac:dyDescent="0.2">
      <c r="N13975" s="131"/>
    </row>
    <row r="13976" spans="14:14" x14ac:dyDescent="0.2">
      <c r="N13976" s="131"/>
    </row>
    <row r="13977" spans="14:14" x14ac:dyDescent="0.2">
      <c r="N13977" s="131"/>
    </row>
    <row r="13978" spans="14:14" x14ac:dyDescent="0.2">
      <c r="N13978" s="131"/>
    </row>
    <row r="13979" spans="14:14" x14ac:dyDescent="0.2">
      <c r="N13979" s="131"/>
    </row>
    <row r="13980" spans="14:14" x14ac:dyDescent="0.2">
      <c r="N13980" s="131"/>
    </row>
    <row r="13981" spans="14:14" x14ac:dyDescent="0.2">
      <c r="N13981" s="131"/>
    </row>
    <row r="13982" spans="14:14" x14ac:dyDescent="0.2">
      <c r="N13982" s="131"/>
    </row>
    <row r="13983" spans="14:14" x14ac:dyDescent="0.2">
      <c r="N13983" s="131"/>
    </row>
    <row r="13984" spans="14:14" x14ac:dyDescent="0.2">
      <c r="N13984" s="131"/>
    </row>
    <row r="13985" spans="14:14" x14ac:dyDescent="0.2">
      <c r="N13985" s="131"/>
    </row>
    <row r="13986" spans="14:14" x14ac:dyDescent="0.2">
      <c r="N13986" s="131"/>
    </row>
    <row r="13987" spans="14:14" x14ac:dyDescent="0.2">
      <c r="N13987" s="131"/>
    </row>
    <row r="13988" spans="14:14" x14ac:dyDescent="0.2">
      <c r="N13988" s="131"/>
    </row>
    <row r="13989" spans="14:14" x14ac:dyDescent="0.2">
      <c r="N13989" s="131"/>
    </row>
    <row r="13990" spans="14:14" x14ac:dyDescent="0.2">
      <c r="N13990" s="131"/>
    </row>
    <row r="13991" spans="14:14" x14ac:dyDescent="0.2">
      <c r="N13991" s="131"/>
    </row>
    <row r="13992" spans="14:14" x14ac:dyDescent="0.2">
      <c r="N13992" s="131"/>
    </row>
    <row r="13993" spans="14:14" x14ac:dyDescent="0.2">
      <c r="N13993" s="131"/>
    </row>
    <row r="13994" spans="14:14" x14ac:dyDescent="0.2">
      <c r="N13994" s="131"/>
    </row>
    <row r="13995" spans="14:14" x14ac:dyDescent="0.2">
      <c r="N13995" s="131"/>
    </row>
    <row r="13996" spans="14:14" x14ac:dyDescent="0.2">
      <c r="N13996" s="131"/>
    </row>
    <row r="13997" spans="14:14" x14ac:dyDescent="0.2">
      <c r="N13997" s="131"/>
    </row>
    <row r="13998" spans="14:14" x14ac:dyDescent="0.2">
      <c r="N13998" s="131"/>
    </row>
    <row r="13999" spans="14:14" x14ac:dyDescent="0.2">
      <c r="N13999" s="131"/>
    </row>
    <row r="14000" spans="14:14" x14ac:dyDescent="0.2">
      <c r="N14000" s="131"/>
    </row>
    <row r="14001" spans="14:14" x14ac:dyDescent="0.2">
      <c r="N14001" s="131"/>
    </row>
    <row r="14002" spans="14:14" x14ac:dyDescent="0.2">
      <c r="N14002" s="131"/>
    </row>
    <row r="14003" spans="14:14" x14ac:dyDescent="0.2">
      <c r="N14003" s="131"/>
    </row>
    <row r="14004" spans="14:14" x14ac:dyDescent="0.2">
      <c r="N14004" s="131"/>
    </row>
    <row r="14005" spans="14:14" x14ac:dyDescent="0.2">
      <c r="N14005" s="131"/>
    </row>
    <row r="14006" spans="14:14" x14ac:dyDescent="0.2">
      <c r="N14006" s="131"/>
    </row>
    <row r="14007" spans="14:14" x14ac:dyDescent="0.2">
      <c r="N14007" s="131"/>
    </row>
    <row r="14008" spans="14:14" x14ac:dyDescent="0.2">
      <c r="N14008" s="131"/>
    </row>
    <row r="14009" spans="14:14" x14ac:dyDescent="0.2">
      <c r="N14009" s="131"/>
    </row>
    <row r="14010" spans="14:14" x14ac:dyDescent="0.2">
      <c r="N14010" s="131"/>
    </row>
    <row r="14011" spans="14:14" x14ac:dyDescent="0.2">
      <c r="N14011" s="131"/>
    </row>
    <row r="14012" spans="14:14" x14ac:dyDescent="0.2">
      <c r="N14012" s="131"/>
    </row>
    <row r="14013" spans="14:14" x14ac:dyDescent="0.2">
      <c r="N14013" s="131"/>
    </row>
    <row r="14014" spans="14:14" x14ac:dyDescent="0.2">
      <c r="N14014" s="131"/>
    </row>
    <row r="14015" spans="14:14" x14ac:dyDescent="0.2">
      <c r="N14015" s="131"/>
    </row>
    <row r="14016" spans="14:14" x14ac:dyDescent="0.2">
      <c r="N14016" s="131"/>
    </row>
    <row r="14017" spans="14:14" x14ac:dyDescent="0.2">
      <c r="N14017" s="131"/>
    </row>
    <row r="14018" spans="14:14" x14ac:dyDescent="0.2">
      <c r="N14018" s="131"/>
    </row>
    <row r="14019" spans="14:14" x14ac:dyDescent="0.2">
      <c r="N14019" s="131"/>
    </row>
    <row r="14020" spans="14:14" x14ac:dyDescent="0.2">
      <c r="N14020" s="131"/>
    </row>
    <row r="14021" spans="14:14" x14ac:dyDescent="0.2">
      <c r="N14021" s="131"/>
    </row>
    <row r="14022" spans="14:14" x14ac:dyDescent="0.2">
      <c r="N14022" s="131"/>
    </row>
    <row r="14023" spans="14:14" x14ac:dyDescent="0.2">
      <c r="N14023" s="131"/>
    </row>
    <row r="14024" spans="14:14" x14ac:dyDescent="0.2">
      <c r="N14024" s="131"/>
    </row>
    <row r="14025" spans="14:14" x14ac:dyDescent="0.2">
      <c r="N14025" s="131"/>
    </row>
    <row r="14026" spans="14:14" x14ac:dyDescent="0.2">
      <c r="N14026" s="131"/>
    </row>
    <row r="14027" spans="14:14" x14ac:dyDescent="0.2">
      <c r="N14027" s="131"/>
    </row>
    <row r="14028" spans="14:14" x14ac:dyDescent="0.2">
      <c r="N14028" s="131"/>
    </row>
    <row r="14029" spans="14:14" x14ac:dyDescent="0.2">
      <c r="N14029" s="131"/>
    </row>
    <row r="14030" spans="14:14" x14ac:dyDescent="0.2">
      <c r="N14030" s="131"/>
    </row>
    <row r="14031" spans="14:14" x14ac:dyDescent="0.2">
      <c r="N14031" s="131"/>
    </row>
    <row r="14032" spans="14:14" x14ac:dyDescent="0.2">
      <c r="N14032" s="131"/>
    </row>
    <row r="14033" spans="14:14" x14ac:dyDescent="0.2">
      <c r="N14033" s="131"/>
    </row>
    <row r="14034" spans="14:14" x14ac:dyDescent="0.2">
      <c r="N14034" s="131"/>
    </row>
    <row r="14035" spans="14:14" x14ac:dyDescent="0.2">
      <c r="N14035" s="131"/>
    </row>
    <row r="14036" spans="14:14" x14ac:dyDescent="0.2">
      <c r="N14036" s="131"/>
    </row>
    <row r="14037" spans="14:14" x14ac:dyDescent="0.2">
      <c r="N14037" s="131"/>
    </row>
    <row r="14038" spans="14:14" x14ac:dyDescent="0.2">
      <c r="N14038" s="131"/>
    </row>
    <row r="14039" spans="14:14" x14ac:dyDescent="0.2">
      <c r="N14039" s="131"/>
    </row>
    <row r="14040" spans="14:14" x14ac:dyDescent="0.2">
      <c r="N14040" s="131"/>
    </row>
    <row r="14041" spans="14:14" x14ac:dyDescent="0.2">
      <c r="N14041" s="131"/>
    </row>
    <row r="14042" spans="14:14" x14ac:dyDescent="0.2">
      <c r="N14042" s="131"/>
    </row>
    <row r="14043" spans="14:14" x14ac:dyDescent="0.2">
      <c r="N14043" s="131"/>
    </row>
    <row r="14044" spans="14:14" x14ac:dyDescent="0.2">
      <c r="N14044" s="131"/>
    </row>
    <row r="14045" spans="14:14" x14ac:dyDescent="0.2">
      <c r="N14045" s="131"/>
    </row>
    <row r="14046" spans="14:14" x14ac:dyDescent="0.2">
      <c r="N14046" s="131"/>
    </row>
    <row r="14047" spans="14:14" x14ac:dyDescent="0.2">
      <c r="N14047" s="131"/>
    </row>
    <row r="14048" spans="14:14" x14ac:dyDescent="0.2">
      <c r="N14048" s="131"/>
    </row>
    <row r="14049" spans="14:14" x14ac:dyDescent="0.2">
      <c r="N14049" s="131"/>
    </row>
    <row r="14050" spans="14:14" x14ac:dyDescent="0.2">
      <c r="N14050" s="131"/>
    </row>
    <row r="14051" spans="14:14" x14ac:dyDescent="0.2">
      <c r="N14051" s="131"/>
    </row>
    <row r="14052" spans="14:14" x14ac:dyDescent="0.2">
      <c r="N14052" s="131"/>
    </row>
    <row r="14053" spans="14:14" x14ac:dyDescent="0.2">
      <c r="N14053" s="131"/>
    </row>
    <row r="14054" spans="14:14" x14ac:dyDescent="0.2">
      <c r="N14054" s="131"/>
    </row>
    <row r="14055" spans="14:14" x14ac:dyDescent="0.2">
      <c r="N14055" s="131"/>
    </row>
    <row r="14056" spans="14:14" x14ac:dyDescent="0.2">
      <c r="N14056" s="131"/>
    </row>
    <row r="14057" spans="14:14" x14ac:dyDescent="0.2">
      <c r="N14057" s="131"/>
    </row>
    <row r="14058" spans="14:14" x14ac:dyDescent="0.2">
      <c r="N14058" s="131"/>
    </row>
    <row r="14059" spans="14:14" x14ac:dyDescent="0.2">
      <c r="N14059" s="131"/>
    </row>
    <row r="14060" spans="14:14" x14ac:dyDescent="0.2">
      <c r="N14060" s="131"/>
    </row>
    <row r="14061" spans="14:14" x14ac:dyDescent="0.2">
      <c r="N14061" s="131"/>
    </row>
    <row r="14062" spans="14:14" x14ac:dyDescent="0.2">
      <c r="N14062" s="131"/>
    </row>
    <row r="14063" spans="14:14" x14ac:dyDescent="0.2">
      <c r="N14063" s="131"/>
    </row>
    <row r="14064" spans="14:14" x14ac:dyDescent="0.2">
      <c r="N14064" s="131"/>
    </row>
    <row r="14065" spans="14:14" x14ac:dyDescent="0.2">
      <c r="N14065" s="131"/>
    </row>
    <row r="14066" spans="14:14" x14ac:dyDescent="0.2">
      <c r="N14066" s="131"/>
    </row>
    <row r="14067" spans="14:14" x14ac:dyDescent="0.2">
      <c r="N14067" s="131"/>
    </row>
    <row r="14068" spans="14:14" x14ac:dyDescent="0.2">
      <c r="N14068" s="131"/>
    </row>
    <row r="14069" spans="14:14" x14ac:dyDescent="0.2">
      <c r="N14069" s="131"/>
    </row>
    <row r="14070" spans="14:14" x14ac:dyDescent="0.2">
      <c r="N14070" s="131"/>
    </row>
    <row r="14071" spans="14:14" x14ac:dyDescent="0.2">
      <c r="N14071" s="131"/>
    </row>
    <row r="14072" spans="14:14" x14ac:dyDescent="0.2">
      <c r="N14072" s="131"/>
    </row>
    <row r="14073" spans="14:14" x14ac:dyDescent="0.2">
      <c r="N14073" s="131"/>
    </row>
    <row r="14074" spans="14:14" x14ac:dyDescent="0.2">
      <c r="N14074" s="131"/>
    </row>
    <row r="14075" spans="14:14" x14ac:dyDescent="0.2">
      <c r="N14075" s="131"/>
    </row>
    <row r="14076" spans="14:14" x14ac:dyDescent="0.2">
      <c r="N14076" s="131"/>
    </row>
    <row r="14077" spans="14:14" x14ac:dyDescent="0.2">
      <c r="N14077" s="131"/>
    </row>
    <row r="14078" spans="14:14" x14ac:dyDescent="0.2">
      <c r="N14078" s="131"/>
    </row>
    <row r="14079" spans="14:14" x14ac:dyDescent="0.2">
      <c r="N14079" s="131"/>
    </row>
    <row r="14080" spans="14:14" x14ac:dyDescent="0.2">
      <c r="N14080" s="131"/>
    </row>
    <row r="14081" spans="14:14" x14ac:dyDescent="0.2">
      <c r="N14081" s="131"/>
    </row>
    <row r="14082" spans="14:14" x14ac:dyDescent="0.2">
      <c r="N14082" s="131"/>
    </row>
    <row r="14083" spans="14:14" x14ac:dyDescent="0.2">
      <c r="N14083" s="131"/>
    </row>
    <row r="14084" spans="14:14" x14ac:dyDescent="0.2">
      <c r="N14084" s="131"/>
    </row>
    <row r="14085" spans="14:14" x14ac:dyDescent="0.2">
      <c r="N14085" s="131"/>
    </row>
    <row r="14086" spans="14:14" x14ac:dyDescent="0.2">
      <c r="N14086" s="131"/>
    </row>
    <row r="14087" spans="14:14" x14ac:dyDescent="0.2">
      <c r="N14087" s="131"/>
    </row>
    <row r="14088" spans="14:14" x14ac:dyDescent="0.2">
      <c r="N14088" s="131"/>
    </row>
    <row r="14089" spans="14:14" x14ac:dyDescent="0.2">
      <c r="N14089" s="131"/>
    </row>
    <row r="14090" spans="14:14" x14ac:dyDescent="0.2">
      <c r="N14090" s="131"/>
    </row>
    <row r="14091" spans="14:14" x14ac:dyDescent="0.2">
      <c r="N14091" s="131"/>
    </row>
    <row r="14092" spans="14:14" x14ac:dyDescent="0.2">
      <c r="N14092" s="131"/>
    </row>
    <row r="14093" spans="14:14" x14ac:dyDescent="0.2">
      <c r="N14093" s="131"/>
    </row>
    <row r="14094" spans="14:14" x14ac:dyDescent="0.2">
      <c r="N14094" s="131"/>
    </row>
    <row r="14095" spans="14:14" x14ac:dyDescent="0.2">
      <c r="N14095" s="131"/>
    </row>
    <row r="14096" spans="14:14" x14ac:dyDescent="0.2">
      <c r="N14096" s="131"/>
    </row>
    <row r="14097" spans="14:14" x14ac:dyDescent="0.2">
      <c r="N14097" s="131"/>
    </row>
    <row r="14098" spans="14:14" x14ac:dyDescent="0.2">
      <c r="N14098" s="131"/>
    </row>
    <row r="14099" spans="14:14" x14ac:dyDescent="0.2">
      <c r="N14099" s="131"/>
    </row>
    <row r="14100" spans="14:14" x14ac:dyDescent="0.2">
      <c r="N14100" s="131"/>
    </row>
    <row r="14101" spans="14:14" x14ac:dyDescent="0.2">
      <c r="N14101" s="131"/>
    </row>
    <row r="14102" spans="14:14" x14ac:dyDescent="0.2">
      <c r="N14102" s="131"/>
    </row>
    <row r="14103" spans="14:14" x14ac:dyDescent="0.2">
      <c r="N14103" s="131"/>
    </row>
    <row r="14104" spans="14:14" x14ac:dyDescent="0.2">
      <c r="N14104" s="131"/>
    </row>
    <row r="14105" spans="14:14" x14ac:dyDescent="0.2">
      <c r="N14105" s="131"/>
    </row>
    <row r="14106" spans="14:14" x14ac:dyDescent="0.2">
      <c r="N14106" s="131"/>
    </row>
    <row r="14107" spans="14:14" x14ac:dyDescent="0.2">
      <c r="N14107" s="131"/>
    </row>
    <row r="14108" spans="14:14" x14ac:dyDescent="0.2">
      <c r="N14108" s="131"/>
    </row>
    <row r="14109" spans="14:14" x14ac:dyDescent="0.2">
      <c r="N14109" s="131"/>
    </row>
    <row r="14110" spans="14:14" x14ac:dyDescent="0.2">
      <c r="N14110" s="131"/>
    </row>
    <row r="14111" spans="14:14" x14ac:dyDescent="0.2">
      <c r="N14111" s="131"/>
    </row>
    <row r="14112" spans="14:14" x14ac:dyDescent="0.2">
      <c r="N14112" s="131"/>
    </row>
    <row r="14113" spans="14:14" x14ac:dyDescent="0.2">
      <c r="N14113" s="131"/>
    </row>
    <row r="14114" spans="14:14" x14ac:dyDescent="0.2">
      <c r="N14114" s="131"/>
    </row>
    <row r="14115" spans="14:14" x14ac:dyDescent="0.2">
      <c r="N14115" s="131"/>
    </row>
    <row r="14116" spans="14:14" x14ac:dyDescent="0.2">
      <c r="N14116" s="131"/>
    </row>
    <row r="14117" spans="14:14" x14ac:dyDescent="0.2">
      <c r="N14117" s="131"/>
    </row>
    <row r="14118" spans="14:14" x14ac:dyDescent="0.2">
      <c r="N14118" s="131"/>
    </row>
    <row r="14119" spans="14:14" x14ac:dyDescent="0.2">
      <c r="N14119" s="131"/>
    </row>
    <row r="14120" spans="14:14" x14ac:dyDescent="0.2">
      <c r="N14120" s="131"/>
    </row>
    <row r="14121" spans="14:14" x14ac:dyDescent="0.2">
      <c r="N14121" s="131"/>
    </row>
    <row r="14122" spans="14:14" x14ac:dyDescent="0.2">
      <c r="N14122" s="131"/>
    </row>
    <row r="14123" spans="14:14" x14ac:dyDescent="0.2">
      <c r="N14123" s="131"/>
    </row>
    <row r="14124" spans="14:14" x14ac:dyDescent="0.2">
      <c r="N14124" s="131"/>
    </row>
    <row r="14125" spans="14:14" x14ac:dyDescent="0.2">
      <c r="N14125" s="131"/>
    </row>
    <row r="14126" spans="14:14" x14ac:dyDescent="0.2">
      <c r="N14126" s="131"/>
    </row>
    <row r="14127" spans="14:14" x14ac:dyDescent="0.2">
      <c r="N14127" s="131"/>
    </row>
    <row r="14128" spans="14:14" x14ac:dyDescent="0.2">
      <c r="N14128" s="131"/>
    </row>
    <row r="14129" spans="14:14" x14ac:dyDescent="0.2">
      <c r="N14129" s="131"/>
    </row>
    <row r="14130" spans="14:14" x14ac:dyDescent="0.2">
      <c r="N14130" s="131"/>
    </row>
    <row r="14131" spans="14:14" x14ac:dyDescent="0.2">
      <c r="N14131" s="131"/>
    </row>
    <row r="14132" spans="14:14" x14ac:dyDescent="0.2">
      <c r="N14132" s="131"/>
    </row>
    <row r="14133" spans="14:14" x14ac:dyDescent="0.2">
      <c r="N14133" s="131"/>
    </row>
    <row r="14134" spans="14:14" x14ac:dyDescent="0.2">
      <c r="N14134" s="131"/>
    </row>
    <row r="14135" spans="14:14" x14ac:dyDescent="0.2">
      <c r="N14135" s="131"/>
    </row>
    <row r="14136" spans="14:14" x14ac:dyDescent="0.2">
      <c r="N14136" s="131"/>
    </row>
    <row r="14137" spans="14:14" x14ac:dyDescent="0.2">
      <c r="N14137" s="131"/>
    </row>
    <row r="14138" spans="14:14" x14ac:dyDescent="0.2">
      <c r="N14138" s="131"/>
    </row>
    <row r="14139" spans="14:14" x14ac:dyDescent="0.2">
      <c r="N14139" s="131"/>
    </row>
    <row r="14140" spans="14:14" x14ac:dyDescent="0.2">
      <c r="N14140" s="131"/>
    </row>
    <row r="14141" spans="14:14" x14ac:dyDescent="0.2">
      <c r="N14141" s="131"/>
    </row>
    <row r="14142" spans="14:14" x14ac:dyDescent="0.2">
      <c r="N14142" s="131"/>
    </row>
    <row r="14143" spans="14:14" x14ac:dyDescent="0.2">
      <c r="N14143" s="131"/>
    </row>
    <row r="14144" spans="14:14" x14ac:dyDescent="0.2">
      <c r="N14144" s="131"/>
    </row>
    <row r="14145" spans="14:14" x14ac:dyDescent="0.2">
      <c r="N14145" s="131"/>
    </row>
    <row r="14146" spans="14:14" x14ac:dyDescent="0.2">
      <c r="N14146" s="131"/>
    </row>
    <row r="14147" spans="14:14" x14ac:dyDescent="0.2">
      <c r="N14147" s="131"/>
    </row>
    <row r="14148" spans="14:14" x14ac:dyDescent="0.2">
      <c r="N14148" s="131"/>
    </row>
    <row r="14149" spans="14:14" x14ac:dyDescent="0.2">
      <c r="N14149" s="131"/>
    </row>
    <row r="14150" spans="14:14" x14ac:dyDescent="0.2">
      <c r="N14150" s="131"/>
    </row>
    <row r="14151" spans="14:14" x14ac:dyDescent="0.2">
      <c r="N14151" s="131"/>
    </row>
    <row r="14152" spans="14:14" x14ac:dyDescent="0.2">
      <c r="N14152" s="131"/>
    </row>
    <row r="14153" spans="14:14" x14ac:dyDescent="0.2">
      <c r="N14153" s="131"/>
    </row>
    <row r="14154" spans="14:14" x14ac:dyDescent="0.2">
      <c r="N14154" s="131"/>
    </row>
    <row r="14155" spans="14:14" x14ac:dyDescent="0.2">
      <c r="N14155" s="131"/>
    </row>
    <row r="14156" spans="14:14" x14ac:dyDescent="0.2">
      <c r="N14156" s="131"/>
    </row>
    <row r="14157" spans="14:14" x14ac:dyDescent="0.2">
      <c r="N14157" s="131"/>
    </row>
    <row r="14158" spans="14:14" x14ac:dyDescent="0.2">
      <c r="N14158" s="131"/>
    </row>
    <row r="14159" spans="14:14" x14ac:dyDescent="0.2">
      <c r="N14159" s="131"/>
    </row>
    <row r="14160" spans="14:14" x14ac:dyDescent="0.2">
      <c r="N14160" s="131"/>
    </row>
    <row r="14161" spans="14:14" x14ac:dyDescent="0.2">
      <c r="N14161" s="131"/>
    </row>
    <row r="14162" spans="14:14" x14ac:dyDescent="0.2">
      <c r="N14162" s="131"/>
    </row>
    <row r="14163" spans="14:14" x14ac:dyDescent="0.2">
      <c r="N14163" s="131"/>
    </row>
    <row r="14164" spans="14:14" x14ac:dyDescent="0.2">
      <c r="N14164" s="131"/>
    </row>
    <row r="14165" spans="14:14" x14ac:dyDescent="0.2">
      <c r="N14165" s="131"/>
    </row>
    <row r="14166" spans="14:14" x14ac:dyDescent="0.2">
      <c r="N14166" s="131"/>
    </row>
    <row r="14167" spans="14:14" x14ac:dyDescent="0.2">
      <c r="N14167" s="131"/>
    </row>
    <row r="14168" spans="14:14" x14ac:dyDescent="0.2">
      <c r="N14168" s="131"/>
    </row>
    <row r="14169" spans="14:14" x14ac:dyDescent="0.2">
      <c r="N14169" s="131"/>
    </row>
    <row r="14170" spans="14:14" x14ac:dyDescent="0.2">
      <c r="N14170" s="131"/>
    </row>
    <row r="14171" spans="14:14" x14ac:dyDescent="0.2">
      <c r="N14171" s="131"/>
    </row>
    <row r="14172" spans="14:14" x14ac:dyDescent="0.2">
      <c r="N14172" s="131"/>
    </row>
    <row r="14173" spans="14:14" x14ac:dyDescent="0.2">
      <c r="N14173" s="131"/>
    </row>
    <row r="14174" spans="14:14" x14ac:dyDescent="0.2">
      <c r="N14174" s="131"/>
    </row>
    <row r="14175" spans="14:14" x14ac:dyDescent="0.2">
      <c r="N14175" s="131"/>
    </row>
    <row r="14176" spans="14:14" x14ac:dyDescent="0.2">
      <c r="N14176" s="131"/>
    </row>
    <row r="14177" spans="14:14" x14ac:dyDescent="0.2">
      <c r="N14177" s="131"/>
    </row>
    <row r="14178" spans="14:14" x14ac:dyDescent="0.2">
      <c r="N14178" s="131"/>
    </row>
    <row r="14179" spans="14:14" x14ac:dyDescent="0.2">
      <c r="N14179" s="131"/>
    </row>
    <row r="14180" spans="14:14" x14ac:dyDescent="0.2">
      <c r="N14180" s="131"/>
    </row>
    <row r="14181" spans="14:14" x14ac:dyDescent="0.2">
      <c r="N14181" s="131"/>
    </row>
    <row r="14182" spans="14:14" x14ac:dyDescent="0.2">
      <c r="N14182" s="131"/>
    </row>
    <row r="14183" spans="14:14" x14ac:dyDescent="0.2">
      <c r="N14183" s="131"/>
    </row>
    <row r="14184" spans="14:14" x14ac:dyDescent="0.2">
      <c r="N14184" s="131"/>
    </row>
    <row r="14185" spans="14:14" x14ac:dyDescent="0.2">
      <c r="N14185" s="131"/>
    </row>
    <row r="14186" spans="14:14" x14ac:dyDescent="0.2">
      <c r="N14186" s="131"/>
    </row>
    <row r="14187" spans="14:14" x14ac:dyDescent="0.2">
      <c r="N14187" s="131"/>
    </row>
    <row r="14188" spans="14:14" x14ac:dyDescent="0.2">
      <c r="N14188" s="131"/>
    </row>
    <row r="14189" spans="14:14" x14ac:dyDescent="0.2">
      <c r="N14189" s="131"/>
    </row>
    <row r="14190" spans="14:14" x14ac:dyDescent="0.2">
      <c r="N14190" s="131"/>
    </row>
    <row r="14191" spans="14:14" x14ac:dyDescent="0.2">
      <c r="N14191" s="131"/>
    </row>
    <row r="14192" spans="14:14" x14ac:dyDescent="0.2">
      <c r="N14192" s="131"/>
    </row>
    <row r="14193" spans="14:14" x14ac:dyDescent="0.2">
      <c r="N14193" s="131"/>
    </row>
    <row r="14194" spans="14:14" x14ac:dyDescent="0.2">
      <c r="N14194" s="131"/>
    </row>
    <row r="14195" spans="14:14" x14ac:dyDescent="0.2">
      <c r="N14195" s="131"/>
    </row>
    <row r="14196" spans="14:14" x14ac:dyDescent="0.2">
      <c r="N14196" s="131"/>
    </row>
    <row r="14197" spans="14:14" x14ac:dyDescent="0.2">
      <c r="N14197" s="131"/>
    </row>
    <row r="14198" spans="14:14" x14ac:dyDescent="0.2">
      <c r="N14198" s="131"/>
    </row>
    <row r="14199" spans="14:14" x14ac:dyDescent="0.2">
      <c r="N14199" s="131"/>
    </row>
    <row r="14200" spans="14:14" x14ac:dyDescent="0.2">
      <c r="N14200" s="131"/>
    </row>
    <row r="14201" spans="14:14" x14ac:dyDescent="0.2">
      <c r="N14201" s="131"/>
    </row>
    <row r="14202" spans="14:14" x14ac:dyDescent="0.2">
      <c r="N14202" s="131"/>
    </row>
    <row r="14203" spans="14:14" x14ac:dyDescent="0.2">
      <c r="N14203" s="131"/>
    </row>
    <row r="14204" spans="14:14" x14ac:dyDescent="0.2">
      <c r="N14204" s="131"/>
    </row>
    <row r="14205" spans="14:14" x14ac:dyDescent="0.2">
      <c r="N14205" s="131"/>
    </row>
    <row r="14206" spans="14:14" x14ac:dyDescent="0.2">
      <c r="N14206" s="131"/>
    </row>
    <row r="14207" spans="14:14" x14ac:dyDescent="0.2">
      <c r="N14207" s="131"/>
    </row>
    <row r="14208" spans="14:14" x14ac:dyDescent="0.2">
      <c r="N14208" s="131"/>
    </row>
    <row r="14209" spans="14:14" x14ac:dyDescent="0.2">
      <c r="N14209" s="131"/>
    </row>
    <row r="14210" spans="14:14" x14ac:dyDescent="0.2">
      <c r="N14210" s="131"/>
    </row>
    <row r="14211" spans="14:14" x14ac:dyDescent="0.2">
      <c r="N14211" s="131"/>
    </row>
    <row r="14212" spans="14:14" x14ac:dyDescent="0.2">
      <c r="N14212" s="131"/>
    </row>
    <row r="14213" spans="14:14" x14ac:dyDescent="0.2">
      <c r="N14213" s="131"/>
    </row>
    <row r="14214" spans="14:14" x14ac:dyDescent="0.2">
      <c r="N14214" s="131"/>
    </row>
    <row r="14215" spans="14:14" x14ac:dyDescent="0.2">
      <c r="N14215" s="131"/>
    </row>
    <row r="14216" spans="14:14" x14ac:dyDescent="0.2">
      <c r="N14216" s="131"/>
    </row>
    <row r="14217" spans="14:14" x14ac:dyDescent="0.2">
      <c r="N14217" s="131"/>
    </row>
    <row r="14218" spans="14:14" x14ac:dyDescent="0.2">
      <c r="N14218" s="131"/>
    </row>
    <row r="14219" spans="14:14" x14ac:dyDescent="0.2">
      <c r="N14219" s="131"/>
    </row>
    <row r="14220" spans="14:14" x14ac:dyDescent="0.2">
      <c r="N14220" s="131"/>
    </row>
    <row r="14221" spans="14:14" x14ac:dyDescent="0.2">
      <c r="N14221" s="131"/>
    </row>
    <row r="14222" spans="14:14" x14ac:dyDescent="0.2">
      <c r="N14222" s="131"/>
    </row>
    <row r="14223" spans="14:14" x14ac:dyDescent="0.2">
      <c r="N14223" s="131"/>
    </row>
    <row r="14224" spans="14:14" x14ac:dyDescent="0.2">
      <c r="N14224" s="131"/>
    </row>
    <row r="14225" spans="14:14" x14ac:dyDescent="0.2">
      <c r="N14225" s="131"/>
    </row>
    <row r="14226" spans="14:14" x14ac:dyDescent="0.2">
      <c r="N14226" s="131"/>
    </row>
    <row r="14227" spans="14:14" x14ac:dyDescent="0.2">
      <c r="N14227" s="131"/>
    </row>
    <row r="14228" spans="14:14" x14ac:dyDescent="0.2">
      <c r="N14228" s="131"/>
    </row>
    <row r="14229" spans="14:14" x14ac:dyDescent="0.2">
      <c r="N14229" s="131"/>
    </row>
    <row r="14230" spans="14:14" x14ac:dyDescent="0.2">
      <c r="N14230" s="131"/>
    </row>
    <row r="14231" spans="14:14" x14ac:dyDescent="0.2">
      <c r="N14231" s="131"/>
    </row>
    <row r="14232" spans="14:14" x14ac:dyDescent="0.2">
      <c r="N14232" s="131"/>
    </row>
    <row r="14233" spans="14:14" x14ac:dyDescent="0.2">
      <c r="N14233" s="131"/>
    </row>
    <row r="14234" spans="14:14" x14ac:dyDescent="0.2">
      <c r="N14234" s="131"/>
    </row>
    <row r="14235" spans="14:14" x14ac:dyDescent="0.2">
      <c r="N14235" s="131"/>
    </row>
    <row r="14236" spans="14:14" x14ac:dyDescent="0.2">
      <c r="N14236" s="131"/>
    </row>
    <row r="14237" spans="14:14" x14ac:dyDescent="0.2">
      <c r="N14237" s="131"/>
    </row>
    <row r="14238" spans="14:14" x14ac:dyDescent="0.2">
      <c r="N14238" s="131"/>
    </row>
    <row r="14239" spans="14:14" x14ac:dyDescent="0.2">
      <c r="N14239" s="131"/>
    </row>
    <row r="14240" spans="14:14" x14ac:dyDescent="0.2">
      <c r="N14240" s="131"/>
    </row>
    <row r="14241" spans="14:14" x14ac:dyDescent="0.2">
      <c r="N14241" s="131"/>
    </row>
    <row r="14242" spans="14:14" x14ac:dyDescent="0.2">
      <c r="N14242" s="131"/>
    </row>
    <row r="14243" spans="14:14" x14ac:dyDescent="0.2">
      <c r="N14243" s="131"/>
    </row>
    <row r="14244" spans="14:14" x14ac:dyDescent="0.2">
      <c r="N14244" s="131"/>
    </row>
    <row r="14245" spans="14:14" x14ac:dyDescent="0.2">
      <c r="N14245" s="131"/>
    </row>
    <row r="14246" spans="14:14" x14ac:dyDescent="0.2">
      <c r="N14246" s="131"/>
    </row>
    <row r="14247" spans="14:14" x14ac:dyDescent="0.2">
      <c r="N14247" s="131"/>
    </row>
    <row r="14248" spans="14:14" x14ac:dyDescent="0.2">
      <c r="N14248" s="131"/>
    </row>
    <row r="14249" spans="14:14" x14ac:dyDescent="0.2">
      <c r="N14249" s="131"/>
    </row>
    <row r="14250" spans="14:14" x14ac:dyDescent="0.2">
      <c r="N14250" s="131"/>
    </row>
    <row r="14251" spans="14:14" x14ac:dyDescent="0.2">
      <c r="N14251" s="131"/>
    </row>
    <row r="14252" spans="14:14" x14ac:dyDescent="0.2">
      <c r="N14252" s="131"/>
    </row>
    <row r="14253" spans="14:14" x14ac:dyDescent="0.2">
      <c r="N14253" s="131"/>
    </row>
    <row r="14254" spans="14:14" x14ac:dyDescent="0.2">
      <c r="N14254" s="131"/>
    </row>
    <row r="14255" spans="14:14" x14ac:dyDescent="0.2">
      <c r="N14255" s="131"/>
    </row>
    <row r="14256" spans="14:14" x14ac:dyDescent="0.2">
      <c r="N14256" s="131"/>
    </row>
    <row r="14257" spans="14:14" x14ac:dyDescent="0.2">
      <c r="N14257" s="131"/>
    </row>
    <row r="14258" spans="14:14" x14ac:dyDescent="0.2">
      <c r="N14258" s="131"/>
    </row>
    <row r="14259" spans="14:14" x14ac:dyDescent="0.2">
      <c r="N14259" s="131"/>
    </row>
    <row r="14260" spans="14:14" x14ac:dyDescent="0.2">
      <c r="N14260" s="131"/>
    </row>
    <row r="14261" spans="14:14" x14ac:dyDescent="0.2">
      <c r="N14261" s="131"/>
    </row>
    <row r="14262" spans="14:14" x14ac:dyDescent="0.2">
      <c r="N14262" s="131"/>
    </row>
    <row r="14263" spans="14:14" x14ac:dyDescent="0.2">
      <c r="N14263" s="131"/>
    </row>
    <row r="14264" spans="14:14" x14ac:dyDescent="0.2">
      <c r="N14264" s="131"/>
    </row>
    <row r="14265" spans="14:14" x14ac:dyDescent="0.2">
      <c r="N14265" s="131"/>
    </row>
    <row r="14266" spans="14:14" x14ac:dyDescent="0.2">
      <c r="N14266" s="131"/>
    </row>
    <row r="14267" spans="14:14" x14ac:dyDescent="0.2">
      <c r="N14267" s="131"/>
    </row>
    <row r="14268" spans="14:14" x14ac:dyDescent="0.2">
      <c r="N14268" s="131"/>
    </row>
    <row r="14269" spans="14:14" x14ac:dyDescent="0.2">
      <c r="N14269" s="131"/>
    </row>
    <row r="14270" spans="14:14" x14ac:dyDescent="0.2">
      <c r="N14270" s="131"/>
    </row>
    <row r="14271" spans="14:14" x14ac:dyDescent="0.2">
      <c r="N14271" s="131"/>
    </row>
    <row r="14272" spans="14:14" x14ac:dyDescent="0.2">
      <c r="N14272" s="131"/>
    </row>
    <row r="14273" spans="14:14" x14ac:dyDescent="0.2">
      <c r="N14273" s="131"/>
    </row>
    <row r="14274" spans="14:14" x14ac:dyDescent="0.2">
      <c r="N14274" s="131"/>
    </row>
    <row r="14275" spans="14:14" x14ac:dyDescent="0.2">
      <c r="N14275" s="131"/>
    </row>
    <row r="14276" spans="14:14" x14ac:dyDescent="0.2">
      <c r="N14276" s="131"/>
    </row>
    <row r="14277" spans="14:14" x14ac:dyDescent="0.2">
      <c r="N14277" s="131"/>
    </row>
    <row r="14278" spans="14:14" x14ac:dyDescent="0.2">
      <c r="N14278" s="131"/>
    </row>
    <row r="14279" spans="14:14" x14ac:dyDescent="0.2">
      <c r="N14279" s="131"/>
    </row>
    <row r="14280" spans="14:14" x14ac:dyDescent="0.2">
      <c r="N14280" s="131"/>
    </row>
    <row r="14281" spans="14:14" x14ac:dyDescent="0.2">
      <c r="N14281" s="131"/>
    </row>
    <row r="14282" spans="14:14" x14ac:dyDescent="0.2">
      <c r="N14282" s="131"/>
    </row>
    <row r="14283" spans="14:14" x14ac:dyDescent="0.2">
      <c r="N14283" s="131"/>
    </row>
    <row r="14284" spans="14:14" x14ac:dyDescent="0.2">
      <c r="N14284" s="131"/>
    </row>
    <row r="14285" spans="14:14" x14ac:dyDescent="0.2">
      <c r="N14285" s="131"/>
    </row>
    <row r="14286" spans="14:14" x14ac:dyDescent="0.2">
      <c r="N14286" s="131"/>
    </row>
    <row r="14287" spans="14:14" x14ac:dyDescent="0.2">
      <c r="N14287" s="131"/>
    </row>
    <row r="14288" spans="14:14" x14ac:dyDescent="0.2">
      <c r="N14288" s="131"/>
    </row>
    <row r="14289" spans="14:14" x14ac:dyDescent="0.2">
      <c r="N14289" s="131"/>
    </row>
    <row r="14290" spans="14:14" x14ac:dyDescent="0.2">
      <c r="N14290" s="131"/>
    </row>
    <row r="14291" spans="14:14" x14ac:dyDescent="0.2">
      <c r="N14291" s="131"/>
    </row>
    <row r="14292" spans="14:14" x14ac:dyDescent="0.2">
      <c r="N14292" s="131"/>
    </row>
    <row r="14293" spans="14:14" x14ac:dyDescent="0.2">
      <c r="N14293" s="131"/>
    </row>
    <row r="14294" spans="14:14" x14ac:dyDescent="0.2">
      <c r="N14294" s="131"/>
    </row>
    <row r="14295" spans="14:14" x14ac:dyDescent="0.2">
      <c r="N14295" s="131"/>
    </row>
    <row r="14296" spans="14:14" x14ac:dyDescent="0.2">
      <c r="N14296" s="131"/>
    </row>
    <row r="14297" spans="14:14" x14ac:dyDescent="0.2">
      <c r="N14297" s="131"/>
    </row>
    <row r="14298" spans="14:14" x14ac:dyDescent="0.2">
      <c r="N14298" s="131"/>
    </row>
    <row r="14299" spans="14:14" x14ac:dyDescent="0.2">
      <c r="N14299" s="131"/>
    </row>
    <row r="14300" spans="14:14" x14ac:dyDescent="0.2">
      <c r="N14300" s="131"/>
    </row>
    <row r="14301" spans="14:14" x14ac:dyDescent="0.2">
      <c r="N14301" s="131"/>
    </row>
    <row r="14302" spans="14:14" x14ac:dyDescent="0.2">
      <c r="N14302" s="131"/>
    </row>
    <row r="14303" spans="14:14" x14ac:dyDescent="0.2">
      <c r="N14303" s="131"/>
    </row>
    <row r="14304" spans="14:14" x14ac:dyDescent="0.2">
      <c r="N14304" s="131"/>
    </row>
    <row r="14305" spans="14:14" x14ac:dyDescent="0.2">
      <c r="N14305" s="131"/>
    </row>
    <row r="14306" spans="14:14" x14ac:dyDescent="0.2">
      <c r="N14306" s="131"/>
    </row>
    <row r="14307" spans="14:14" x14ac:dyDescent="0.2">
      <c r="N14307" s="131"/>
    </row>
    <row r="14308" spans="14:14" x14ac:dyDescent="0.2">
      <c r="N14308" s="131"/>
    </row>
    <row r="14309" spans="14:14" x14ac:dyDescent="0.2">
      <c r="N14309" s="131"/>
    </row>
    <row r="14310" spans="14:14" x14ac:dyDescent="0.2">
      <c r="N14310" s="131"/>
    </row>
    <row r="14311" spans="14:14" x14ac:dyDescent="0.2">
      <c r="N14311" s="131"/>
    </row>
    <row r="14312" spans="14:14" x14ac:dyDescent="0.2">
      <c r="N14312" s="131"/>
    </row>
    <row r="14313" spans="14:14" x14ac:dyDescent="0.2">
      <c r="N14313" s="131"/>
    </row>
    <row r="14314" spans="14:14" x14ac:dyDescent="0.2">
      <c r="N14314" s="131"/>
    </row>
    <row r="14315" spans="14:14" x14ac:dyDescent="0.2">
      <c r="N14315" s="131"/>
    </row>
    <row r="14316" spans="14:14" x14ac:dyDescent="0.2">
      <c r="N14316" s="131"/>
    </row>
    <row r="14317" spans="14:14" x14ac:dyDescent="0.2">
      <c r="N14317" s="131"/>
    </row>
    <row r="14318" spans="14:14" x14ac:dyDescent="0.2">
      <c r="N14318" s="131"/>
    </row>
    <row r="14319" spans="14:14" x14ac:dyDescent="0.2">
      <c r="N14319" s="131"/>
    </row>
    <row r="14320" spans="14:14" x14ac:dyDescent="0.2">
      <c r="N14320" s="131"/>
    </row>
    <row r="14321" spans="14:14" x14ac:dyDescent="0.2">
      <c r="N14321" s="131"/>
    </row>
    <row r="14322" spans="14:14" x14ac:dyDescent="0.2">
      <c r="N14322" s="131"/>
    </row>
    <row r="14323" spans="14:14" x14ac:dyDescent="0.2">
      <c r="N14323" s="131"/>
    </row>
    <row r="14324" spans="14:14" x14ac:dyDescent="0.2">
      <c r="N14324" s="131"/>
    </row>
    <row r="14325" spans="14:14" x14ac:dyDescent="0.2">
      <c r="N14325" s="131"/>
    </row>
    <row r="14326" spans="14:14" x14ac:dyDescent="0.2">
      <c r="N14326" s="131"/>
    </row>
    <row r="14327" spans="14:14" x14ac:dyDescent="0.2">
      <c r="N14327" s="131"/>
    </row>
    <row r="14328" spans="14:14" x14ac:dyDescent="0.2">
      <c r="N14328" s="131"/>
    </row>
    <row r="14329" spans="14:14" x14ac:dyDescent="0.2">
      <c r="N14329" s="131"/>
    </row>
    <row r="14330" spans="14:14" x14ac:dyDescent="0.2">
      <c r="N14330" s="131"/>
    </row>
    <row r="14331" spans="14:14" x14ac:dyDescent="0.2">
      <c r="N14331" s="131"/>
    </row>
    <row r="14332" spans="14:14" x14ac:dyDescent="0.2">
      <c r="N14332" s="131"/>
    </row>
    <row r="14333" spans="14:14" x14ac:dyDescent="0.2">
      <c r="N14333" s="131"/>
    </row>
    <row r="14334" spans="14:14" x14ac:dyDescent="0.2">
      <c r="N14334" s="131"/>
    </row>
    <row r="14335" spans="14:14" x14ac:dyDescent="0.2">
      <c r="N14335" s="131"/>
    </row>
    <row r="14336" spans="14:14" x14ac:dyDescent="0.2">
      <c r="N14336" s="131"/>
    </row>
    <row r="14337" spans="14:14" x14ac:dyDescent="0.2">
      <c r="N14337" s="131"/>
    </row>
    <row r="14338" spans="14:14" x14ac:dyDescent="0.2">
      <c r="N14338" s="131"/>
    </row>
    <row r="14339" spans="14:14" x14ac:dyDescent="0.2">
      <c r="N14339" s="131"/>
    </row>
    <row r="14340" spans="14:14" x14ac:dyDescent="0.2">
      <c r="N14340" s="131"/>
    </row>
    <row r="14341" spans="14:14" x14ac:dyDescent="0.2">
      <c r="N14341" s="131"/>
    </row>
    <row r="14342" spans="14:14" x14ac:dyDescent="0.2">
      <c r="N14342" s="131"/>
    </row>
    <row r="14343" spans="14:14" x14ac:dyDescent="0.2">
      <c r="N14343" s="131"/>
    </row>
    <row r="14344" spans="14:14" x14ac:dyDescent="0.2">
      <c r="N14344" s="131"/>
    </row>
    <row r="14345" spans="14:14" x14ac:dyDescent="0.2">
      <c r="N14345" s="131"/>
    </row>
    <row r="14346" spans="14:14" x14ac:dyDescent="0.2">
      <c r="N14346" s="131"/>
    </row>
    <row r="14347" spans="14:14" x14ac:dyDescent="0.2">
      <c r="N14347" s="131"/>
    </row>
    <row r="14348" spans="14:14" x14ac:dyDescent="0.2">
      <c r="N14348" s="131"/>
    </row>
    <row r="14349" spans="14:14" x14ac:dyDescent="0.2">
      <c r="N14349" s="131"/>
    </row>
    <row r="14350" spans="14:14" x14ac:dyDescent="0.2">
      <c r="N14350" s="131"/>
    </row>
    <row r="14351" spans="14:14" x14ac:dyDescent="0.2">
      <c r="N14351" s="131"/>
    </row>
    <row r="14352" spans="14:14" x14ac:dyDescent="0.2">
      <c r="N14352" s="131"/>
    </row>
    <row r="14353" spans="14:14" x14ac:dyDescent="0.2">
      <c r="N14353" s="131"/>
    </row>
    <row r="14354" spans="14:14" x14ac:dyDescent="0.2">
      <c r="N14354" s="131"/>
    </row>
    <row r="14355" spans="14:14" x14ac:dyDescent="0.2">
      <c r="N14355" s="131"/>
    </row>
    <row r="14356" spans="14:14" x14ac:dyDescent="0.2">
      <c r="N14356" s="131"/>
    </row>
    <row r="14357" spans="14:14" x14ac:dyDescent="0.2">
      <c r="N14357" s="131"/>
    </row>
    <row r="14358" spans="14:14" x14ac:dyDescent="0.2">
      <c r="N14358" s="131"/>
    </row>
    <row r="14359" spans="14:14" x14ac:dyDescent="0.2">
      <c r="N14359" s="131"/>
    </row>
    <row r="14360" spans="14:14" x14ac:dyDescent="0.2">
      <c r="N14360" s="131"/>
    </row>
    <row r="14361" spans="14:14" x14ac:dyDescent="0.2">
      <c r="N14361" s="131"/>
    </row>
    <row r="14362" spans="14:14" x14ac:dyDescent="0.2">
      <c r="N14362" s="131"/>
    </row>
    <row r="14363" spans="14:14" x14ac:dyDescent="0.2">
      <c r="N14363" s="131"/>
    </row>
    <row r="14364" spans="14:14" x14ac:dyDescent="0.2">
      <c r="N14364" s="131"/>
    </row>
    <row r="14365" spans="14:14" x14ac:dyDescent="0.2">
      <c r="N14365" s="131"/>
    </row>
    <row r="14366" spans="14:14" x14ac:dyDescent="0.2">
      <c r="N14366" s="131"/>
    </row>
    <row r="14367" spans="14:14" x14ac:dyDescent="0.2">
      <c r="N14367" s="131"/>
    </row>
    <row r="14368" spans="14:14" x14ac:dyDescent="0.2">
      <c r="N14368" s="131"/>
    </row>
    <row r="14369" spans="14:14" x14ac:dyDescent="0.2">
      <c r="N14369" s="131"/>
    </row>
    <row r="14370" spans="14:14" x14ac:dyDescent="0.2">
      <c r="N14370" s="131"/>
    </row>
    <row r="14371" spans="14:14" x14ac:dyDescent="0.2">
      <c r="N14371" s="131"/>
    </row>
    <row r="14372" spans="14:14" x14ac:dyDescent="0.2">
      <c r="N14372" s="131"/>
    </row>
    <row r="14373" spans="14:14" x14ac:dyDescent="0.2">
      <c r="N14373" s="131"/>
    </row>
    <row r="14374" spans="14:14" x14ac:dyDescent="0.2">
      <c r="N14374" s="131"/>
    </row>
    <row r="14375" spans="14:14" x14ac:dyDescent="0.2">
      <c r="N14375" s="131"/>
    </row>
    <row r="14376" spans="14:14" x14ac:dyDescent="0.2">
      <c r="N14376" s="131"/>
    </row>
    <row r="14377" spans="14:14" x14ac:dyDescent="0.2">
      <c r="N14377" s="131"/>
    </row>
    <row r="14378" spans="14:14" x14ac:dyDescent="0.2">
      <c r="N14378" s="131"/>
    </row>
    <row r="14379" spans="14:14" x14ac:dyDescent="0.2">
      <c r="N14379" s="131"/>
    </row>
    <row r="14380" spans="14:14" x14ac:dyDescent="0.2">
      <c r="N14380" s="131"/>
    </row>
    <row r="14381" spans="14:14" x14ac:dyDescent="0.2">
      <c r="N14381" s="131"/>
    </row>
    <row r="14382" spans="14:14" x14ac:dyDescent="0.2">
      <c r="N14382" s="131"/>
    </row>
    <row r="14383" spans="14:14" x14ac:dyDescent="0.2">
      <c r="N14383" s="131"/>
    </row>
    <row r="14384" spans="14:14" x14ac:dyDescent="0.2">
      <c r="N14384" s="131"/>
    </row>
    <row r="14385" spans="14:14" x14ac:dyDescent="0.2">
      <c r="N14385" s="131"/>
    </row>
    <row r="14386" spans="14:14" x14ac:dyDescent="0.2">
      <c r="N14386" s="131"/>
    </row>
    <row r="14387" spans="14:14" x14ac:dyDescent="0.2">
      <c r="N14387" s="131"/>
    </row>
    <row r="14388" spans="14:14" x14ac:dyDescent="0.2">
      <c r="N14388" s="131"/>
    </row>
    <row r="14389" spans="14:14" x14ac:dyDescent="0.2">
      <c r="N14389" s="131"/>
    </row>
    <row r="14390" spans="14:14" x14ac:dyDescent="0.2">
      <c r="N14390" s="131"/>
    </row>
    <row r="14391" spans="14:14" x14ac:dyDescent="0.2">
      <c r="N14391" s="131"/>
    </row>
    <row r="14392" spans="14:14" x14ac:dyDescent="0.2">
      <c r="N14392" s="131"/>
    </row>
    <row r="14393" spans="14:14" x14ac:dyDescent="0.2">
      <c r="N14393" s="131"/>
    </row>
    <row r="14394" spans="14:14" x14ac:dyDescent="0.2">
      <c r="N14394" s="131"/>
    </row>
    <row r="14395" spans="14:14" x14ac:dyDescent="0.2">
      <c r="N14395" s="131"/>
    </row>
    <row r="14396" spans="14:14" x14ac:dyDescent="0.2">
      <c r="N14396" s="131"/>
    </row>
    <row r="14397" spans="14:14" x14ac:dyDescent="0.2">
      <c r="N14397" s="131"/>
    </row>
    <row r="14398" spans="14:14" x14ac:dyDescent="0.2">
      <c r="N14398" s="131"/>
    </row>
    <row r="14399" spans="14:14" x14ac:dyDescent="0.2">
      <c r="N14399" s="131"/>
    </row>
    <row r="14400" spans="14:14" x14ac:dyDescent="0.2">
      <c r="N14400" s="131"/>
    </row>
    <row r="14401" spans="14:14" x14ac:dyDescent="0.2">
      <c r="N14401" s="131"/>
    </row>
    <row r="14402" spans="14:14" x14ac:dyDescent="0.2">
      <c r="N14402" s="131"/>
    </row>
    <row r="14403" spans="14:14" x14ac:dyDescent="0.2">
      <c r="N14403" s="131"/>
    </row>
    <row r="14404" spans="14:14" x14ac:dyDescent="0.2">
      <c r="N14404" s="131"/>
    </row>
    <row r="14405" spans="14:14" x14ac:dyDescent="0.2">
      <c r="N14405" s="131"/>
    </row>
    <row r="14406" spans="14:14" x14ac:dyDescent="0.2">
      <c r="N14406" s="131"/>
    </row>
    <row r="14407" spans="14:14" x14ac:dyDescent="0.2">
      <c r="N14407" s="131"/>
    </row>
    <row r="14408" spans="14:14" x14ac:dyDescent="0.2">
      <c r="N14408" s="131"/>
    </row>
    <row r="14409" spans="14:14" x14ac:dyDescent="0.2">
      <c r="N14409" s="131"/>
    </row>
    <row r="14410" spans="14:14" x14ac:dyDescent="0.2">
      <c r="N14410" s="131"/>
    </row>
    <row r="14411" spans="14:14" x14ac:dyDescent="0.2">
      <c r="N14411" s="131"/>
    </row>
    <row r="14412" spans="14:14" x14ac:dyDescent="0.2">
      <c r="N14412" s="131"/>
    </row>
    <row r="14413" spans="14:14" x14ac:dyDescent="0.2">
      <c r="N14413" s="131"/>
    </row>
    <row r="14414" spans="14:14" x14ac:dyDescent="0.2">
      <c r="N14414" s="131"/>
    </row>
    <row r="14415" spans="14:14" x14ac:dyDescent="0.2">
      <c r="N14415" s="131"/>
    </row>
    <row r="14416" spans="14:14" x14ac:dyDescent="0.2">
      <c r="N14416" s="131"/>
    </row>
    <row r="14417" spans="14:14" x14ac:dyDescent="0.2">
      <c r="N14417" s="131"/>
    </row>
    <row r="14418" spans="14:14" x14ac:dyDescent="0.2">
      <c r="N14418" s="131"/>
    </row>
    <row r="14419" spans="14:14" x14ac:dyDescent="0.2">
      <c r="N14419" s="131"/>
    </row>
    <row r="14420" spans="14:14" x14ac:dyDescent="0.2">
      <c r="N14420" s="131"/>
    </row>
    <row r="14421" spans="14:14" x14ac:dyDescent="0.2">
      <c r="N14421" s="131"/>
    </row>
    <row r="14422" spans="14:14" x14ac:dyDescent="0.2">
      <c r="N14422" s="131"/>
    </row>
    <row r="14423" spans="14:14" x14ac:dyDescent="0.2">
      <c r="N14423" s="131"/>
    </row>
    <row r="14424" spans="14:14" x14ac:dyDescent="0.2">
      <c r="N14424" s="131"/>
    </row>
    <row r="14425" spans="14:14" x14ac:dyDescent="0.2">
      <c r="N14425" s="131"/>
    </row>
    <row r="14426" spans="14:14" x14ac:dyDescent="0.2">
      <c r="N14426" s="131"/>
    </row>
    <row r="14427" spans="14:14" x14ac:dyDescent="0.2">
      <c r="N14427" s="131"/>
    </row>
    <row r="14428" spans="14:14" x14ac:dyDescent="0.2">
      <c r="N14428" s="131"/>
    </row>
    <row r="14429" spans="14:14" x14ac:dyDescent="0.2">
      <c r="N14429" s="131"/>
    </row>
    <row r="14430" spans="14:14" x14ac:dyDescent="0.2">
      <c r="N14430" s="131"/>
    </row>
    <row r="14431" spans="14:14" x14ac:dyDescent="0.2">
      <c r="N14431" s="131"/>
    </row>
    <row r="14432" spans="14:14" x14ac:dyDescent="0.2">
      <c r="N14432" s="131"/>
    </row>
    <row r="14433" spans="14:14" x14ac:dyDescent="0.2">
      <c r="N14433" s="131"/>
    </row>
    <row r="14434" spans="14:14" x14ac:dyDescent="0.2">
      <c r="N14434" s="131"/>
    </row>
    <row r="14435" spans="14:14" x14ac:dyDescent="0.2">
      <c r="N14435" s="131"/>
    </row>
    <row r="14436" spans="14:14" x14ac:dyDescent="0.2">
      <c r="N14436" s="131"/>
    </row>
    <row r="14437" spans="14:14" x14ac:dyDescent="0.2">
      <c r="N14437" s="131"/>
    </row>
    <row r="14438" spans="14:14" x14ac:dyDescent="0.2">
      <c r="N14438" s="131"/>
    </row>
    <row r="14439" spans="14:14" x14ac:dyDescent="0.2">
      <c r="N14439" s="131"/>
    </row>
    <row r="14440" spans="14:14" x14ac:dyDescent="0.2">
      <c r="N14440" s="131"/>
    </row>
    <row r="14441" spans="14:14" x14ac:dyDescent="0.2">
      <c r="N14441" s="131"/>
    </row>
    <row r="14442" spans="14:14" x14ac:dyDescent="0.2">
      <c r="N14442" s="131"/>
    </row>
    <row r="14443" spans="14:14" x14ac:dyDescent="0.2">
      <c r="N14443" s="131"/>
    </row>
    <row r="14444" spans="14:14" x14ac:dyDescent="0.2">
      <c r="N14444" s="131"/>
    </row>
    <row r="14445" spans="14:14" x14ac:dyDescent="0.2">
      <c r="N14445" s="131"/>
    </row>
    <row r="14446" spans="14:14" x14ac:dyDescent="0.2">
      <c r="N14446" s="131"/>
    </row>
    <row r="14447" spans="14:14" x14ac:dyDescent="0.2">
      <c r="N14447" s="131"/>
    </row>
    <row r="14448" spans="14:14" x14ac:dyDescent="0.2">
      <c r="N14448" s="131"/>
    </row>
    <row r="14449" spans="14:14" x14ac:dyDescent="0.2">
      <c r="N14449" s="131"/>
    </row>
    <row r="14450" spans="14:14" x14ac:dyDescent="0.2">
      <c r="N14450" s="131"/>
    </row>
    <row r="14451" spans="14:14" x14ac:dyDescent="0.2">
      <c r="N14451" s="131"/>
    </row>
    <row r="14452" spans="14:14" x14ac:dyDescent="0.2">
      <c r="N14452" s="131"/>
    </row>
    <row r="14453" spans="14:14" x14ac:dyDescent="0.2">
      <c r="N14453" s="131"/>
    </row>
    <row r="14454" spans="14:14" x14ac:dyDescent="0.2">
      <c r="N14454" s="131"/>
    </row>
    <row r="14455" spans="14:14" x14ac:dyDescent="0.2">
      <c r="N14455" s="131"/>
    </row>
    <row r="14456" spans="14:14" x14ac:dyDescent="0.2">
      <c r="N14456" s="131"/>
    </row>
    <row r="14457" spans="14:14" x14ac:dyDescent="0.2">
      <c r="N14457" s="131"/>
    </row>
    <row r="14458" spans="14:14" x14ac:dyDescent="0.2">
      <c r="N14458" s="131"/>
    </row>
    <row r="14459" spans="14:14" x14ac:dyDescent="0.2">
      <c r="N14459" s="131"/>
    </row>
    <row r="14460" spans="14:14" x14ac:dyDescent="0.2">
      <c r="N14460" s="131"/>
    </row>
    <row r="14461" spans="14:14" x14ac:dyDescent="0.2">
      <c r="N14461" s="131"/>
    </row>
    <row r="14462" spans="14:14" x14ac:dyDescent="0.2">
      <c r="N14462" s="131"/>
    </row>
    <row r="14463" spans="14:14" x14ac:dyDescent="0.2">
      <c r="N14463" s="131"/>
    </row>
    <row r="14464" spans="14:14" x14ac:dyDescent="0.2">
      <c r="N14464" s="131"/>
    </row>
    <row r="14465" spans="14:14" x14ac:dyDescent="0.2">
      <c r="N14465" s="131"/>
    </row>
    <row r="14466" spans="14:14" x14ac:dyDescent="0.2">
      <c r="N14466" s="131"/>
    </row>
    <row r="14467" spans="14:14" x14ac:dyDescent="0.2">
      <c r="N14467" s="131"/>
    </row>
    <row r="14468" spans="14:14" x14ac:dyDescent="0.2">
      <c r="N14468" s="131"/>
    </row>
    <row r="14469" spans="14:14" x14ac:dyDescent="0.2">
      <c r="N14469" s="131"/>
    </row>
    <row r="14470" spans="14:14" x14ac:dyDescent="0.2">
      <c r="N14470" s="131"/>
    </row>
    <row r="14471" spans="14:14" x14ac:dyDescent="0.2">
      <c r="N14471" s="131"/>
    </row>
    <row r="14472" spans="14:14" x14ac:dyDescent="0.2">
      <c r="N14472" s="131"/>
    </row>
    <row r="14473" spans="14:14" x14ac:dyDescent="0.2">
      <c r="N14473" s="131"/>
    </row>
    <row r="14474" spans="14:14" x14ac:dyDescent="0.2">
      <c r="N14474" s="131"/>
    </row>
    <row r="14475" spans="14:14" x14ac:dyDescent="0.2">
      <c r="N14475" s="131"/>
    </row>
    <row r="14476" spans="14:14" x14ac:dyDescent="0.2">
      <c r="N14476" s="131"/>
    </row>
    <row r="14477" spans="14:14" x14ac:dyDescent="0.2">
      <c r="N14477" s="131"/>
    </row>
    <row r="14478" spans="14:14" x14ac:dyDescent="0.2">
      <c r="N14478" s="131"/>
    </row>
    <row r="14479" spans="14:14" x14ac:dyDescent="0.2">
      <c r="N14479" s="131"/>
    </row>
    <row r="14480" spans="14:14" x14ac:dyDescent="0.2">
      <c r="N14480" s="131"/>
    </row>
    <row r="14481" spans="14:14" x14ac:dyDescent="0.2">
      <c r="N14481" s="131"/>
    </row>
    <row r="14482" spans="14:14" x14ac:dyDescent="0.2">
      <c r="N14482" s="131"/>
    </row>
    <row r="14483" spans="14:14" x14ac:dyDescent="0.2">
      <c r="N14483" s="131"/>
    </row>
    <row r="14484" spans="14:14" x14ac:dyDescent="0.2">
      <c r="N14484" s="131"/>
    </row>
    <row r="14485" spans="14:14" x14ac:dyDescent="0.2">
      <c r="N14485" s="131"/>
    </row>
    <row r="14486" spans="14:14" x14ac:dyDescent="0.2">
      <c r="N14486" s="131"/>
    </row>
    <row r="14487" spans="14:14" x14ac:dyDescent="0.2">
      <c r="N14487" s="131"/>
    </row>
    <row r="14488" spans="14:14" x14ac:dyDescent="0.2">
      <c r="N14488" s="131"/>
    </row>
    <row r="14489" spans="14:14" x14ac:dyDescent="0.2">
      <c r="N14489" s="131"/>
    </row>
    <row r="14490" spans="14:14" x14ac:dyDescent="0.2">
      <c r="N14490" s="131"/>
    </row>
    <row r="14491" spans="14:14" x14ac:dyDescent="0.2">
      <c r="N14491" s="131"/>
    </row>
    <row r="14492" spans="14:14" x14ac:dyDescent="0.2">
      <c r="N14492" s="131"/>
    </row>
    <row r="14493" spans="14:14" x14ac:dyDescent="0.2">
      <c r="N14493" s="131"/>
    </row>
    <row r="14494" spans="14:14" x14ac:dyDescent="0.2">
      <c r="N14494" s="131"/>
    </row>
    <row r="14495" spans="14:14" x14ac:dyDescent="0.2">
      <c r="N14495" s="131"/>
    </row>
    <row r="14496" spans="14:14" x14ac:dyDescent="0.2">
      <c r="N14496" s="131"/>
    </row>
    <row r="14497" spans="14:14" x14ac:dyDescent="0.2">
      <c r="N14497" s="131"/>
    </row>
    <row r="14498" spans="14:14" x14ac:dyDescent="0.2">
      <c r="N14498" s="131"/>
    </row>
    <row r="14499" spans="14:14" x14ac:dyDescent="0.2">
      <c r="N14499" s="131"/>
    </row>
    <row r="14500" spans="14:14" x14ac:dyDescent="0.2">
      <c r="N14500" s="131"/>
    </row>
    <row r="14501" spans="14:14" x14ac:dyDescent="0.2">
      <c r="N14501" s="131"/>
    </row>
    <row r="14502" spans="14:14" x14ac:dyDescent="0.2">
      <c r="N14502" s="131"/>
    </row>
    <row r="14503" spans="14:14" x14ac:dyDescent="0.2">
      <c r="N14503" s="131"/>
    </row>
    <row r="14504" spans="14:14" x14ac:dyDescent="0.2">
      <c r="N14504" s="131"/>
    </row>
    <row r="14505" spans="14:14" x14ac:dyDescent="0.2">
      <c r="N14505" s="131"/>
    </row>
    <row r="14506" spans="14:14" x14ac:dyDescent="0.2">
      <c r="N14506" s="131"/>
    </row>
    <row r="14507" spans="14:14" x14ac:dyDescent="0.2">
      <c r="N14507" s="131"/>
    </row>
    <row r="14508" spans="14:14" x14ac:dyDescent="0.2">
      <c r="N14508" s="131"/>
    </row>
    <row r="14509" spans="14:14" x14ac:dyDescent="0.2">
      <c r="N14509" s="131"/>
    </row>
    <row r="14510" spans="14:14" x14ac:dyDescent="0.2">
      <c r="N14510" s="131"/>
    </row>
    <row r="14511" spans="14:14" x14ac:dyDescent="0.2">
      <c r="N14511" s="131"/>
    </row>
    <row r="14512" spans="14:14" x14ac:dyDescent="0.2">
      <c r="N14512" s="131"/>
    </row>
    <row r="14513" spans="14:14" x14ac:dyDescent="0.2">
      <c r="N14513" s="131"/>
    </row>
    <row r="14514" spans="14:14" x14ac:dyDescent="0.2">
      <c r="N14514" s="131"/>
    </row>
    <row r="14515" spans="14:14" x14ac:dyDescent="0.2">
      <c r="N14515" s="131"/>
    </row>
    <row r="14516" spans="14:14" x14ac:dyDescent="0.2">
      <c r="N14516" s="131"/>
    </row>
    <row r="14517" spans="14:14" x14ac:dyDescent="0.2">
      <c r="N14517" s="131"/>
    </row>
    <row r="14518" spans="14:14" x14ac:dyDescent="0.2">
      <c r="N14518" s="131"/>
    </row>
    <row r="14519" spans="14:14" x14ac:dyDescent="0.2">
      <c r="N14519" s="131"/>
    </row>
    <row r="14520" spans="14:14" x14ac:dyDescent="0.2">
      <c r="N14520" s="131"/>
    </row>
    <row r="14521" spans="14:14" x14ac:dyDescent="0.2">
      <c r="N14521" s="131"/>
    </row>
    <row r="14522" spans="14:14" x14ac:dyDescent="0.2">
      <c r="N14522" s="131"/>
    </row>
    <row r="14523" spans="14:14" x14ac:dyDescent="0.2">
      <c r="N14523" s="131"/>
    </row>
    <row r="14524" spans="14:14" x14ac:dyDescent="0.2">
      <c r="N14524" s="131"/>
    </row>
    <row r="14525" spans="14:14" x14ac:dyDescent="0.2">
      <c r="N14525" s="131"/>
    </row>
    <row r="14526" spans="14:14" x14ac:dyDescent="0.2">
      <c r="N14526" s="131"/>
    </row>
    <row r="14527" spans="14:14" x14ac:dyDescent="0.2">
      <c r="N14527" s="131"/>
    </row>
    <row r="14528" spans="14:14" x14ac:dyDescent="0.2">
      <c r="N14528" s="131"/>
    </row>
    <row r="14529" spans="14:14" x14ac:dyDescent="0.2">
      <c r="N14529" s="131"/>
    </row>
    <row r="14530" spans="14:14" x14ac:dyDescent="0.2">
      <c r="N14530" s="131"/>
    </row>
    <row r="14531" spans="14:14" x14ac:dyDescent="0.2">
      <c r="N14531" s="131"/>
    </row>
    <row r="14532" spans="14:14" x14ac:dyDescent="0.2">
      <c r="N14532" s="131"/>
    </row>
    <row r="14533" spans="14:14" x14ac:dyDescent="0.2">
      <c r="N14533" s="131"/>
    </row>
    <row r="14534" spans="14:14" x14ac:dyDescent="0.2">
      <c r="N14534" s="131"/>
    </row>
    <row r="14535" spans="14:14" x14ac:dyDescent="0.2">
      <c r="N14535" s="131"/>
    </row>
    <row r="14536" spans="14:14" x14ac:dyDescent="0.2">
      <c r="N14536" s="131"/>
    </row>
    <row r="14537" spans="14:14" x14ac:dyDescent="0.2">
      <c r="N14537" s="131"/>
    </row>
    <row r="14538" spans="14:14" x14ac:dyDescent="0.2">
      <c r="N14538" s="131"/>
    </row>
    <row r="14539" spans="14:14" x14ac:dyDescent="0.2">
      <c r="N14539" s="131"/>
    </row>
    <row r="14540" spans="14:14" x14ac:dyDescent="0.2">
      <c r="N14540" s="131"/>
    </row>
    <row r="14541" spans="14:14" x14ac:dyDescent="0.2">
      <c r="N14541" s="131"/>
    </row>
    <row r="14542" spans="14:14" x14ac:dyDescent="0.2">
      <c r="N14542" s="131"/>
    </row>
    <row r="14543" spans="14:14" x14ac:dyDescent="0.2">
      <c r="N14543" s="131"/>
    </row>
    <row r="14544" spans="14:14" x14ac:dyDescent="0.2">
      <c r="N14544" s="131"/>
    </row>
    <row r="14545" spans="14:14" x14ac:dyDescent="0.2">
      <c r="N14545" s="131"/>
    </row>
    <row r="14546" spans="14:14" x14ac:dyDescent="0.2">
      <c r="N14546" s="131"/>
    </row>
    <row r="14547" spans="14:14" x14ac:dyDescent="0.2">
      <c r="N14547" s="131"/>
    </row>
    <row r="14548" spans="14:14" x14ac:dyDescent="0.2">
      <c r="N14548" s="131"/>
    </row>
    <row r="14549" spans="14:14" x14ac:dyDescent="0.2">
      <c r="N14549" s="131"/>
    </row>
    <row r="14550" spans="14:14" x14ac:dyDescent="0.2">
      <c r="N14550" s="131"/>
    </row>
    <row r="14551" spans="14:14" x14ac:dyDescent="0.2">
      <c r="N14551" s="131"/>
    </row>
    <row r="14552" spans="14:14" x14ac:dyDescent="0.2">
      <c r="N14552" s="131"/>
    </row>
    <row r="14553" spans="14:14" x14ac:dyDescent="0.2">
      <c r="N14553" s="131"/>
    </row>
    <row r="14554" spans="14:14" x14ac:dyDescent="0.2">
      <c r="N14554" s="131"/>
    </row>
    <row r="14555" spans="14:14" x14ac:dyDescent="0.2">
      <c r="N14555" s="131"/>
    </row>
    <row r="14556" spans="14:14" x14ac:dyDescent="0.2">
      <c r="N14556" s="131"/>
    </row>
    <row r="14557" spans="14:14" x14ac:dyDescent="0.2">
      <c r="N14557" s="131"/>
    </row>
    <row r="14558" spans="14:14" x14ac:dyDescent="0.2">
      <c r="N14558" s="131"/>
    </row>
    <row r="14559" spans="14:14" x14ac:dyDescent="0.2">
      <c r="N14559" s="131"/>
    </row>
    <row r="14560" spans="14:14" x14ac:dyDescent="0.2">
      <c r="N14560" s="131"/>
    </row>
    <row r="14561" spans="14:14" x14ac:dyDescent="0.2">
      <c r="N14561" s="131"/>
    </row>
    <row r="14562" spans="14:14" x14ac:dyDescent="0.2">
      <c r="N14562" s="131"/>
    </row>
    <row r="14563" spans="14:14" x14ac:dyDescent="0.2">
      <c r="N14563" s="131"/>
    </row>
    <row r="14564" spans="14:14" x14ac:dyDescent="0.2">
      <c r="N14564" s="131"/>
    </row>
    <row r="14565" spans="14:14" x14ac:dyDescent="0.2">
      <c r="N14565" s="131"/>
    </row>
    <row r="14566" spans="14:14" x14ac:dyDescent="0.2">
      <c r="N14566" s="131"/>
    </row>
    <row r="14567" spans="14:14" x14ac:dyDescent="0.2">
      <c r="N14567" s="131"/>
    </row>
    <row r="14568" spans="14:14" x14ac:dyDescent="0.2">
      <c r="N14568" s="131"/>
    </row>
    <row r="14569" spans="14:14" x14ac:dyDescent="0.2">
      <c r="N14569" s="131"/>
    </row>
    <row r="14570" spans="14:14" x14ac:dyDescent="0.2">
      <c r="N14570" s="131"/>
    </row>
    <row r="14571" spans="14:14" x14ac:dyDescent="0.2">
      <c r="N14571" s="131"/>
    </row>
    <row r="14572" spans="14:14" x14ac:dyDescent="0.2">
      <c r="N14572" s="131"/>
    </row>
    <row r="14573" spans="14:14" x14ac:dyDescent="0.2">
      <c r="N14573" s="131"/>
    </row>
    <row r="14574" spans="14:14" x14ac:dyDescent="0.2">
      <c r="N14574" s="131"/>
    </row>
    <row r="14575" spans="14:14" x14ac:dyDescent="0.2">
      <c r="N14575" s="131"/>
    </row>
    <row r="14576" spans="14:14" x14ac:dyDescent="0.2">
      <c r="N14576" s="131"/>
    </row>
    <row r="14577" spans="14:14" x14ac:dyDescent="0.2">
      <c r="N14577" s="131"/>
    </row>
    <row r="14578" spans="14:14" x14ac:dyDescent="0.2">
      <c r="N14578" s="131"/>
    </row>
    <row r="14579" spans="14:14" x14ac:dyDescent="0.2">
      <c r="N14579" s="131"/>
    </row>
    <row r="14580" spans="14:14" x14ac:dyDescent="0.2">
      <c r="N14580" s="131"/>
    </row>
    <row r="14581" spans="14:14" x14ac:dyDescent="0.2">
      <c r="N14581" s="131"/>
    </row>
    <row r="14582" spans="14:14" x14ac:dyDescent="0.2">
      <c r="N14582" s="131"/>
    </row>
    <row r="14583" spans="14:14" x14ac:dyDescent="0.2">
      <c r="N14583" s="131"/>
    </row>
    <row r="14584" spans="14:14" x14ac:dyDescent="0.2">
      <c r="N14584" s="131"/>
    </row>
    <row r="14585" spans="14:14" x14ac:dyDescent="0.2">
      <c r="N14585" s="131"/>
    </row>
    <row r="14586" spans="14:14" x14ac:dyDescent="0.2">
      <c r="N14586" s="131"/>
    </row>
    <row r="14587" spans="14:14" x14ac:dyDescent="0.2">
      <c r="N14587" s="131"/>
    </row>
    <row r="14588" spans="14:14" x14ac:dyDescent="0.2">
      <c r="N14588" s="131"/>
    </row>
    <row r="14589" spans="14:14" x14ac:dyDescent="0.2">
      <c r="N14589" s="131"/>
    </row>
    <row r="14590" spans="14:14" x14ac:dyDescent="0.2">
      <c r="N14590" s="131"/>
    </row>
    <row r="14591" spans="14:14" x14ac:dyDescent="0.2">
      <c r="N14591" s="131"/>
    </row>
    <row r="14592" spans="14:14" x14ac:dyDescent="0.2">
      <c r="N14592" s="131"/>
    </row>
    <row r="14593" spans="14:14" x14ac:dyDescent="0.2">
      <c r="N14593" s="131"/>
    </row>
    <row r="14594" spans="14:14" x14ac:dyDescent="0.2">
      <c r="N14594" s="131"/>
    </row>
    <row r="14595" spans="14:14" x14ac:dyDescent="0.2">
      <c r="N14595" s="131"/>
    </row>
    <row r="14596" spans="14:14" x14ac:dyDescent="0.2">
      <c r="N14596" s="131"/>
    </row>
    <row r="14597" spans="14:14" x14ac:dyDescent="0.2">
      <c r="N14597" s="131"/>
    </row>
    <row r="14598" spans="14:14" x14ac:dyDescent="0.2">
      <c r="N14598" s="131"/>
    </row>
    <row r="14599" spans="14:14" x14ac:dyDescent="0.2">
      <c r="N14599" s="131"/>
    </row>
    <row r="14600" spans="14:14" x14ac:dyDescent="0.2">
      <c r="N14600" s="131"/>
    </row>
    <row r="14601" spans="14:14" x14ac:dyDescent="0.2">
      <c r="N14601" s="131"/>
    </row>
    <row r="14602" spans="14:14" x14ac:dyDescent="0.2">
      <c r="N14602" s="131"/>
    </row>
    <row r="14603" spans="14:14" x14ac:dyDescent="0.2">
      <c r="N14603" s="131"/>
    </row>
    <row r="14604" spans="14:14" x14ac:dyDescent="0.2">
      <c r="N14604" s="131"/>
    </row>
    <row r="14605" spans="14:14" x14ac:dyDescent="0.2">
      <c r="N14605" s="131"/>
    </row>
    <row r="14606" spans="14:14" x14ac:dyDescent="0.2">
      <c r="N14606" s="131"/>
    </row>
    <row r="14607" spans="14:14" x14ac:dyDescent="0.2">
      <c r="N14607" s="131"/>
    </row>
    <row r="14608" spans="14:14" x14ac:dyDescent="0.2">
      <c r="N14608" s="131"/>
    </row>
    <row r="14609" spans="14:14" x14ac:dyDescent="0.2">
      <c r="N14609" s="131"/>
    </row>
    <row r="14610" spans="14:14" x14ac:dyDescent="0.2">
      <c r="N14610" s="131"/>
    </row>
    <row r="14611" spans="14:14" x14ac:dyDescent="0.2">
      <c r="N14611" s="131"/>
    </row>
    <row r="14612" spans="14:14" x14ac:dyDescent="0.2">
      <c r="N14612" s="131"/>
    </row>
    <row r="14613" spans="14:14" x14ac:dyDescent="0.2">
      <c r="N14613" s="131"/>
    </row>
    <row r="14614" spans="14:14" x14ac:dyDescent="0.2">
      <c r="N14614" s="131"/>
    </row>
    <row r="14615" spans="14:14" x14ac:dyDescent="0.2">
      <c r="N14615" s="131"/>
    </row>
    <row r="14616" spans="14:14" x14ac:dyDescent="0.2">
      <c r="N14616" s="131"/>
    </row>
    <row r="14617" spans="14:14" x14ac:dyDescent="0.2">
      <c r="N14617" s="131"/>
    </row>
    <row r="14618" spans="14:14" x14ac:dyDescent="0.2">
      <c r="N14618" s="131"/>
    </row>
    <row r="14619" spans="14:14" x14ac:dyDescent="0.2">
      <c r="N14619" s="131"/>
    </row>
    <row r="14620" spans="14:14" x14ac:dyDescent="0.2">
      <c r="N14620" s="131"/>
    </row>
    <row r="14621" spans="14:14" x14ac:dyDescent="0.2">
      <c r="N14621" s="131"/>
    </row>
    <row r="14622" spans="14:14" x14ac:dyDescent="0.2">
      <c r="N14622" s="131"/>
    </row>
    <row r="14623" spans="14:14" x14ac:dyDescent="0.2">
      <c r="N14623" s="131"/>
    </row>
    <row r="14624" spans="14:14" x14ac:dyDescent="0.2">
      <c r="N14624" s="131"/>
    </row>
    <row r="14625" spans="14:14" x14ac:dyDescent="0.2">
      <c r="N14625" s="131"/>
    </row>
    <row r="14626" spans="14:14" x14ac:dyDescent="0.2">
      <c r="N14626" s="131"/>
    </row>
    <row r="14627" spans="14:14" x14ac:dyDescent="0.2">
      <c r="N14627" s="131"/>
    </row>
    <row r="14628" spans="14:14" x14ac:dyDescent="0.2">
      <c r="N14628" s="131"/>
    </row>
    <row r="14629" spans="14:14" x14ac:dyDescent="0.2">
      <c r="N14629" s="131"/>
    </row>
    <row r="14630" spans="14:14" x14ac:dyDescent="0.2">
      <c r="N14630" s="131"/>
    </row>
    <row r="14631" spans="14:14" x14ac:dyDescent="0.2">
      <c r="N14631" s="131"/>
    </row>
    <row r="14632" spans="14:14" x14ac:dyDescent="0.2">
      <c r="N14632" s="131"/>
    </row>
    <row r="14633" spans="14:14" x14ac:dyDescent="0.2">
      <c r="N14633" s="131"/>
    </row>
    <row r="14634" spans="14:14" x14ac:dyDescent="0.2">
      <c r="N14634" s="131"/>
    </row>
    <row r="14635" spans="14:14" x14ac:dyDescent="0.2">
      <c r="N14635" s="131"/>
    </row>
    <row r="14636" spans="14:14" x14ac:dyDescent="0.2">
      <c r="N14636" s="131"/>
    </row>
    <row r="14637" spans="14:14" x14ac:dyDescent="0.2">
      <c r="N14637" s="131"/>
    </row>
    <row r="14638" spans="14:14" x14ac:dyDescent="0.2">
      <c r="N14638" s="131"/>
    </row>
    <row r="14639" spans="14:14" x14ac:dyDescent="0.2">
      <c r="N14639" s="131"/>
    </row>
    <row r="14640" spans="14:14" x14ac:dyDescent="0.2">
      <c r="N14640" s="131"/>
    </row>
    <row r="14641" spans="14:14" x14ac:dyDescent="0.2">
      <c r="N14641" s="131"/>
    </row>
    <row r="14642" spans="14:14" x14ac:dyDescent="0.2">
      <c r="N14642" s="131"/>
    </row>
    <row r="14643" spans="14:14" x14ac:dyDescent="0.2">
      <c r="N14643" s="131"/>
    </row>
    <row r="14644" spans="14:14" x14ac:dyDescent="0.2">
      <c r="N14644" s="131"/>
    </row>
    <row r="14645" spans="14:14" x14ac:dyDescent="0.2">
      <c r="N14645" s="131"/>
    </row>
    <row r="14646" spans="14:14" x14ac:dyDescent="0.2">
      <c r="N14646" s="131"/>
    </row>
    <row r="14647" spans="14:14" x14ac:dyDescent="0.2">
      <c r="N14647" s="131"/>
    </row>
    <row r="14648" spans="14:14" x14ac:dyDescent="0.2">
      <c r="N14648" s="131"/>
    </row>
    <row r="14649" spans="14:14" x14ac:dyDescent="0.2">
      <c r="N14649" s="131"/>
    </row>
    <row r="14650" spans="14:14" x14ac:dyDescent="0.2">
      <c r="N14650" s="131"/>
    </row>
    <row r="14651" spans="14:14" x14ac:dyDescent="0.2">
      <c r="N14651" s="131"/>
    </row>
    <row r="14652" spans="14:14" x14ac:dyDescent="0.2">
      <c r="N14652" s="131"/>
    </row>
    <row r="14653" spans="14:14" x14ac:dyDescent="0.2">
      <c r="N14653" s="131"/>
    </row>
    <row r="14654" spans="14:14" x14ac:dyDescent="0.2">
      <c r="N14654" s="131"/>
    </row>
    <row r="14655" spans="14:14" x14ac:dyDescent="0.2">
      <c r="N14655" s="131"/>
    </row>
    <row r="14656" spans="14:14" x14ac:dyDescent="0.2">
      <c r="N14656" s="131"/>
    </row>
    <row r="14657" spans="14:14" x14ac:dyDescent="0.2">
      <c r="N14657" s="131"/>
    </row>
    <row r="14658" spans="14:14" x14ac:dyDescent="0.2">
      <c r="N14658" s="131"/>
    </row>
    <row r="14659" spans="14:14" x14ac:dyDescent="0.2">
      <c r="N14659" s="131"/>
    </row>
    <row r="14660" spans="14:14" x14ac:dyDescent="0.2">
      <c r="N14660" s="131"/>
    </row>
    <row r="14661" spans="14:14" x14ac:dyDescent="0.2">
      <c r="N14661" s="131"/>
    </row>
    <row r="14662" spans="14:14" x14ac:dyDescent="0.2">
      <c r="N14662" s="131"/>
    </row>
    <row r="14663" spans="14:14" x14ac:dyDescent="0.2">
      <c r="N14663" s="131"/>
    </row>
    <row r="14664" spans="14:14" x14ac:dyDescent="0.2">
      <c r="N14664" s="131"/>
    </row>
    <row r="14665" spans="14:14" x14ac:dyDescent="0.2">
      <c r="N14665" s="131"/>
    </row>
    <row r="14666" spans="14:14" x14ac:dyDescent="0.2">
      <c r="N14666" s="131"/>
    </row>
    <row r="14667" spans="14:14" x14ac:dyDescent="0.2">
      <c r="N14667" s="131"/>
    </row>
    <row r="14668" spans="14:14" x14ac:dyDescent="0.2">
      <c r="N14668" s="131"/>
    </row>
    <row r="14669" spans="14:14" x14ac:dyDescent="0.2">
      <c r="N14669" s="131"/>
    </row>
    <row r="14670" spans="14:14" x14ac:dyDescent="0.2">
      <c r="N14670" s="131"/>
    </row>
    <row r="14671" spans="14:14" x14ac:dyDescent="0.2">
      <c r="N14671" s="131"/>
    </row>
    <row r="14672" spans="14:14" x14ac:dyDescent="0.2">
      <c r="N14672" s="131"/>
    </row>
    <row r="14673" spans="14:14" x14ac:dyDescent="0.2">
      <c r="N14673" s="131"/>
    </row>
    <row r="14674" spans="14:14" x14ac:dyDescent="0.2">
      <c r="N14674" s="131"/>
    </row>
    <row r="14675" spans="14:14" x14ac:dyDescent="0.2">
      <c r="N14675" s="131"/>
    </row>
    <row r="14676" spans="14:14" x14ac:dyDescent="0.2">
      <c r="N14676" s="131"/>
    </row>
    <row r="14677" spans="14:14" x14ac:dyDescent="0.2">
      <c r="N14677" s="131"/>
    </row>
    <row r="14678" spans="14:14" x14ac:dyDescent="0.2">
      <c r="N14678" s="131"/>
    </row>
    <row r="14679" spans="14:14" x14ac:dyDescent="0.2">
      <c r="N14679" s="131"/>
    </row>
    <row r="14680" spans="14:14" x14ac:dyDescent="0.2">
      <c r="N14680" s="131"/>
    </row>
    <row r="14681" spans="14:14" x14ac:dyDescent="0.2">
      <c r="N14681" s="131"/>
    </row>
    <row r="14682" spans="14:14" x14ac:dyDescent="0.2">
      <c r="N14682" s="131"/>
    </row>
    <row r="14683" spans="14:14" x14ac:dyDescent="0.2">
      <c r="N14683" s="131"/>
    </row>
    <row r="14684" spans="14:14" x14ac:dyDescent="0.2">
      <c r="N14684" s="131"/>
    </row>
    <row r="14685" spans="14:14" x14ac:dyDescent="0.2">
      <c r="N14685" s="131"/>
    </row>
    <row r="14686" spans="14:14" x14ac:dyDescent="0.2">
      <c r="N14686" s="131"/>
    </row>
    <row r="14687" spans="14:14" x14ac:dyDescent="0.2">
      <c r="N14687" s="131"/>
    </row>
    <row r="14688" spans="14:14" x14ac:dyDescent="0.2">
      <c r="N14688" s="131"/>
    </row>
    <row r="14689" spans="14:14" x14ac:dyDescent="0.2">
      <c r="N14689" s="131"/>
    </row>
    <row r="14690" spans="14:14" x14ac:dyDescent="0.2">
      <c r="N14690" s="131"/>
    </row>
    <row r="14691" spans="14:14" x14ac:dyDescent="0.2">
      <c r="N14691" s="131"/>
    </row>
    <row r="14692" spans="14:14" x14ac:dyDescent="0.2">
      <c r="N14692" s="131"/>
    </row>
    <row r="14693" spans="14:14" x14ac:dyDescent="0.2">
      <c r="N14693" s="131"/>
    </row>
    <row r="14694" spans="14:14" x14ac:dyDescent="0.2">
      <c r="N14694" s="131"/>
    </row>
    <row r="14695" spans="14:14" x14ac:dyDescent="0.2">
      <c r="N14695" s="131"/>
    </row>
    <row r="14696" spans="14:14" x14ac:dyDescent="0.2">
      <c r="N14696" s="131"/>
    </row>
    <row r="14697" spans="14:14" x14ac:dyDescent="0.2">
      <c r="N14697" s="131"/>
    </row>
    <row r="14698" spans="14:14" x14ac:dyDescent="0.2">
      <c r="N14698" s="131"/>
    </row>
    <row r="14699" spans="14:14" x14ac:dyDescent="0.2">
      <c r="N14699" s="131"/>
    </row>
    <row r="14700" spans="14:14" x14ac:dyDescent="0.2">
      <c r="N14700" s="131"/>
    </row>
    <row r="14701" spans="14:14" x14ac:dyDescent="0.2">
      <c r="N14701" s="131"/>
    </row>
    <row r="14702" spans="14:14" x14ac:dyDescent="0.2">
      <c r="N14702" s="131"/>
    </row>
    <row r="14703" spans="14:14" x14ac:dyDescent="0.2">
      <c r="N14703" s="131"/>
    </row>
    <row r="14704" spans="14:14" x14ac:dyDescent="0.2">
      <c r="N14704" s="131"/>
    </row>
    <row r="14705" spans="14:14" x14ac:dyDescent="0.2">
      <c r="N14705" s="131"/>
    </row>
    <row r="14706" spans="14:14" x14ac:dyDescent="0.2">
      <c r="N14706" s="131"/>
    </row>
    <row r="14707" spans="14:14" x14ac:dyDescent="0.2">
      <c r="N14707" s="131"/>
    </row>
    <row r="14708" spans="14:14" x14ac:dyDescent="0.2">
      <c r="N14708" s="131"/>
    </row>
    <row r="14709" spans="14:14" x14ac:dyDescent="0.2">
      <c r="N14709" s="131"/>
    </row>
    <row r="14710" spans="14:14" x14ac:dyDescent="0.2">
      <c r="N14710" s="131"/>
    </row>
    <row r="14711" spans="14:14" x14ac:dyDescent="0.2">
      <c r="N14711" s="131"/>
    </row>
    <row r="14712" spans="14:14" x14ac:dyDescent="0.2">
      <c r="N14712" s="131"/>
    </row>
    <row r="14713" spans="14:14" x14ac:dyDescent="0.2">
      <c r="N14713" s="131"/>
    </row>
    <row r="14714" spans="14:14" x14ac:dyDescent="0.2">
      <c r="N14714" s="131"/>
    </row>
    <row r="14715" spans="14:14" x14ac:dyDescent="0.2">
      <c r="N14715" s="131"/>
    </row>
    <row r="14716" spans="14:14" x14ac:dyDescent="0.2">
      <c r="N14716" s="131"/>
    </row>
    <row r="14717" spans="14:14" x14ac:dyDescent="0.2">
      <c r="N14717" s="131"/>
    </row>
    <row r="14718" spans="14:14" x14ac:dyDescent="0.2">
      <c r="N14718" s="131"/>
    </row>
    <row r="14719" spans="14:14" x14ac:dyDescent="0.2">
      <c r="N14719" s="131"/>
    </row>
    <row r="14720" spans="14:14" x14ac:dyDescent="0.2">
      <c r="N14720" s="131"/>
    </row>
    <row r="14721" spans="14:14" x14ac:dyDescent="0.2">
      <c r="N14721" s="131"/>
    </row>
    <row r="14722" spans="14:14" x14ac:dyDescent="0.2">
      <c r="N14722" s="131"/>
    </row>
    <row r="14723" spans="14:14" x14ac:dyDescent="0.2">
      <c r="N14723" s="131"/>
    </row>
    <row r="14724" spans="14:14" x14ac:dyDescent="0.2">
      <c r="N14724" s="131"/>
    </row>
    <row r="14725" spans="14:14" x14ac:dyDescent="0.2">
      <c r="N14725" s="131"/>
    </row>
    <row r="14726" spans="14:14" x14ac:dyDescent="0.2">
      <c r="N14726" s="131"/>
    </row>
    <row r="14727" spans="14:14" x14ac:dyDescent="0.2">
      <c r="N14727" s="131"/>
    </row>
    <row r="14728" spans="14:14" x14ac:dyDescent="0.2">
      <c r="N14728" s="131"/>
    </row>
    <row r="14729" spans="14:14" x14ac:dyDescent="0.2">
      <c r="N14729" s="131"/>
    </row>
    <row r="14730" spans="14:14" x14ac:dyDescent="0.2">
      <c r="N14730" s="131"/>
    </row>
    <row r="14731" spans="14:14" x14ac:dyDescent="0.2">
      <c r="N14731" s="131"/>
    </row>
    <row r="14732" spans="14:14" x14ac:dyDescent="0.2">
      <c r="N14732" s="131"/>
    </row>
    <row r="14733" spans="14:14" x14ac:dyDescent="0.2">
      <c r="N14733" s="131"/>
    </row>
    <row r="14734" spans="14:14" x14ac:dyDescent="0.2">
      <c r="N14734" s="131"/>
    </row>
    <row r="14735" spans="14:14" x14ac:dyDescent="0.2">
      <c r="N14735" s="131"/>
    </row>
    <row r="14736" spans="14:14" x14ac:dyDescent="0.2">
      <c r="N14736" s="131"/>
    </row>
    <row r="14737" spans="14:14" x14ac:dyDescent="0.2">
      <c r="N14737" s="131"/>
    </row>
    <row r="14738" spans="14:14" x14ac:dyDescent="0.2">
      <c r="N14738" s="131"/>
    </row>
    <row r="14739" spans="14:14" x14ac:dyDescent="0.2">
      <c r="N14739" s="131"/>
    </row>
    <row r="14740" spans="14:14" x14ac:dyDescent="0.2">
      <c r="N14740" s="131"/>
    </row>
    <row r="14741" spans="14:14" x14ac:dyDescent="0.2">
      <c r="N14741" s="131"/>
    </row>
    <row r="14742" spans="14:14" x14ac:dyDescent="0.2">
      <c r="N14742" s="131"/>
    </row>
    <row r="14743" spans="14:14" x14ac:dyDescent="0.2">
      <c r="N14743" s="131"/>
    </row>
    <row r="14744" spans="14:14" x14ac:dyDescent="0.2">
      <c r="N14744" s="131"/>
    </row>
    <row r="14745" spans="14:14" x14ac:dyDescent="0.2">
      <c r="N14745" s="131"/>
    </row>
    <row r="14746" spans="14:14" x14ac:dyDescent="0.2">
      <c r="N14746" s="131"/>
    </row>
    <row r="14747" spans="14:14" x14ac:dyDescent="0.2">
      <c r="N14747" s="131"/>
    </row>
    <row r="14748" spans="14:14" x14ac:dyDescent="0.2">
      <c r="N14748" s="131"/>
    </row>
    <row r="14749" spans="14:14" x14ac:dyDescent="0.2">
      <c r="N14749" s="131"/>
    </row>
    <row r="14750" spans="14:14" x14ac:dyDescent="0.2">
      <c r="N14750" s="131"/>
    </row>
    <row r="14751" spans="14:14" x14ac:dyDescent="0.2">
      <c r="N14751" s="131"/>
    </row>
    <row r="14752" spans="14:14" x14ac:dyDescent="0.2">
      <c r="N14752" s="131"/>
    </row>
    <row r="14753" spans="14:14" x14ac:dyDescent="0.2">
      <c r="N14753" s="131"/>
    </row>
    <row r="14754" spans="14:14" x14ac:dyDescent="0.2">
      <c r="N14754" s="131"/>
    </row>
    <row r="14755" spans="14:14" x14ac:dyDescent="0.2">
      <c r="N14755" s="131"/>
    </row>
    <row r="14756" spans="14:14" x14ac:dyDescent="0.2">
      <c r="N14756" s="131"/>
    </row>
    <row r="14757" spans="14:14" x14ac:dyDescent="0.2">
      <c r="N14757" s="131"/>
    </row>
    <row r="14758" spans="14:14" x14ac:dyDescent="0.2">
      <c r="N14758" s="131"/>
    </row>
    <row r="14759" spans="14:14" x14ac:dyDescent="0.2">
      <c r="N14759" s="131"/>
    </row>
    <row r="14760" spans="14:14" x14ac:dyDescent="0.2">
      <c r="N14760" s="131"/>
    </row>
    <row r="14761" spans="14:14" x14ac:dyDescent="0.2">
      <c r="N14761" s="131"/>
    </row>
    <row r="14762" spans="14:14" x14ac:dyDescent="0.2">
      <c r="N14762" s="131"/>
    </row>
    <row r="14763" spans="14:14" x14ac:dyDescent="0.2">
      <c r="N14763" s="131"/>
    </row>
    <row r="14764" spans="14:14" x14ac:dyDescent="0.2">
      <c r="N14764" s="131"/>
    </row>
    <row r="14765" spans="14:14" x14ac:dyDescent="0.2">
      <c r="N14765" s="131"/>
    </row>
    <row r="14766" spans="14:14" x14ac:dyDescent="0.2">
      <c r="N14766" s="131"/>
    </row>
    <row r="14767" spans="14:14" x14ac:dyDescent="0.2">
      <c r="N14767" s="131"/>
    </row>
    <row r="14768" spans="14:14" x14ac:dyDescent="0.2">
      <c r="N14768" s="131"/>
    </row>
    <row r="14769" spans="14:14" x14ac:dyDescent="0.2">
      <c r="N14769" s="131"/>
    </row>
    <row r="14770" spans="14:14" x14ac:dyDescent="0.2">
      <c r="N14770" s="131"/>
    </row>
    <row r="14771" spans="14:14" x14ac:dyDescent="0.2">
      <c r="N14771" s="131"/>
    </row>
    <row r="14772" spans="14:14" x14ac:dyDescent="0.2">
      <c r="N14772" s="131"/>
    </row>
    <row r="14773" spans="14:14" x14ac:dyDescent="0.2">
      <c r="N14773" s="131"/>
    </row>
    <row r="14774" spans="14:14" x14ac:dyDescent="0.2">
      <c r="N14774" s="131"/>
    </row>
    <row r="14775" spans="14:14" x14ac:dyDescent="0.2">
      <c r="N14775" s="131"/>
    </row>
    <row r="14776" spans="14:14" x14ac:dyDescent="0.2">
      <c r="N14776" s="131"/>
    </row>
    <row r="14777" spans="14:14" x14ac:dyDescent="0.2">
      <c r="N14777" s="131"/>
    </row>
    <row r="14778" spans="14:14" x14ac:dyDescent="0.2">
      <c r="N14778" s="131"/>
    </row>
    <row r="14779" spans="14:14" x14ac:dyDescent="0.2">
      <c r="N14779" s="131"/>
    </row>
    <row r="14780" spans="14:14" x14ac:dyDescent="0.2">
      <c r="N14780" s="131"/>
    </row>
    <row r="14781" spans="14:14" x14ac:dyDescent="0.2">
      <c r="N14781" s="131"/>
    </row>
    <row r="14782" spans="14:14" x14ac:dyDescent="0.2">
      <c r="N14782" s="131"/>
    </row>
    <row r="14783" spans="14:14" x14ac:dyDescent="0.2">
      <c r="N14783" s="131"/>
    </row>
    <row r="14784" spans="14:14" x14ac:dyDescent="0.2">
      <c r="N14784" s="131"/>
    </row>
    <row r="14785" spans="14:14" x14ac:dyDescent="0.2">
      <c r="N14785" s="131"/>
    </row>
    <row r="14786" spans="14:14" x14ac:dyDescent="0.2">
      <c r="N14786" s="131"/>
    </row>
    <row r="14787" spans="14:14" x14ac:dyDescent="0.2">
      <c r="N14787" s="131"/>
    </row>
    <row r="14788" spans="14:14" x14ac:dyDescent="0.2">
      <c r="N14788" s="131"/>
    </row>
    <row r="14789" spans="14:14" x14ac:dyDescent="0.2">
      <c r="N14789" s="131"/>
    </row>
    <row r="14790" spans="14:14" x14ac:dyDescent="0.2">
      <c r="N14790" s="131"/>
    </row>
    <row r="14791" spans="14:14" x14ac:dyDescent="0.2">
      <c r="N14791" s="131"/>
    </row>
    <row r="14792" spans="14:14" x14ac:dyDescent="0.2">
      <c r="N14792" s="131"/>
    </row>
    <row r="14793" spans="14:14" x14ac:dyDescent="0.2">
      <c r="N14793" s="131"/>
    </row>
    <row r="14794" spans="14:14" x14ac:dyDescent="0.2">
      <c r="N14794" s="131"/>
    </row>
    <row r="14795" spans="14:14" x14ac:dyDescent="0.2">
      <c r="N14795" s="131"/>
    </row>
    <row r="14796" spans="14:14" x14ac:dyDescent="0.2">
      <c r="N14796" s="131"/>
    </row>
    <row r="14797" spans="14:14" x14ac:dyDescent="0.2">
      <c r="N14797" s="131"/>
    </row>
    <row r="14798" spans="14:14" x14ac:dyDescent="0.2">
      <c r="N14798" s="131"/>
    </row>
    <row r="14799" spans="14:14" x14ac:dyDescent="0.2">
      <c r="N14799" s="131"/>
    </row>
    <row r="14800" spans="14:14" x14ac:dyDescent="0.2">
      <c r="N14800" s="131"/>
    </row>
    <row r="14801" spans="14:14" x14ac:dyDescent="0.2">
      <c r="N14801" s="131"/>
    </row>
    <row r="14802" spans="14:14" x14ac:dyDescent="0.2">
      <c r="N14802" s="131"/>
    </row>
    <row r="14803" spans="14:14" x14ac:dyDescent="0.2">
      <c r="N14803" s="131"/>
    </row>
    <row r="14804" spans="14:14" x14ac:dyDescent="0.2">
      <c r="N14804" s="131"/>
    </row>
    <row r="14805" spans="14:14" x14ac:dyDescent="0.2">
      <c r="N14805" s="131"/>
    </row>
    <row r="14806" spans="14:14" x14ac:dyDescent="0.2">
      <c r="N14806" s="131"/>
    </row>
    <row r="14807" spans="14:14" x14ac:dyDescent="0.2">
      <c r="N14807" s="131"/>
    </row>
    <row r="14808" spans="14:14" x14ac:dyDescent="0.2">
      <c r="N14808" s="131"/>
    </row>
    <row r="14809" spans="14:14" x14ac:dyDescent="0.2">
      <c r="N14809" s="131"/>
    </row>
    <row r="14810" spans="14:14" x14ac:dyDescent="0.2">
      <c r="N14810" s="131"/>
    </row>
    <row r="14811" spans="14:14" x14ac:dyDescent="0.2">
      <c r="N14811" s="131"/>
    </row>
    <row r="14812" spans="14:14" x14ac:dyDescent="0.2">
      <c r="N14812" s="131"/>
    </row>
    <row r="14813" spans="14:14" x14ac:dyDescent="0.2">
      <c r="N14813" s="131"/>
    </row>
    <row r="14814" spans="14:14" x14ac:dyDescent="0.2">
      <c r="N14814" s="131"/>
    </row>
    <row r="14815" spans="14:14" x14ac:dyDescent="0.2">
      <c r="N14815" s="131"/>
    </row>
    <row r="14816" spans="14:14" x14ac:dyDescent="0.2">
      <c r="N14816" s="131"/>
    </row>
    <row r="14817" spans="14:14" x14ac:dyDescent="0.2">
      <c r="N14817" s="131"/>
    </row>
    <row r="14818" spans="14:14" x14ac:dyDescent="0.2">
      <c r="N14818" s="131"/>
    </row>
    <row r="14819" spans="14:14" x14ac:dyDescent="0.2">
      <c r="N14819" s="131"/>
    </row>
    <row r="14820" spans="14:14" x14ac:dyDescent="0.2">
      <c r="N14820" s="131"/>
    </row>
    <row r="14821" spans="14:14" x14ac:dyDescent="0.2">
      <c r="N14821" s="131"/>
    </row>
    <row r="14822" spans="14:14" x14ac:dyDescent="0.2">
      <c r="N14822" s="131"/>
    </row>
    <row r="14823" spans="14:14" x14ac:dyDescent="0.2">
      <c r="N14823" s="131"/>
    </row>
    <row r="14824" spans="14:14" x14ac:dyDescent="0.2">
      <c r="N14824" s="131"/>
    </row>
    <row r="14825" spans="14:14" x14ac:dyDescent="0.2">
      <c r="N14825" s="131"/>
    </row>
    <row r="14826" spans="14:14" x14ac:dyDescent="0.2">
      <c r="N14826" s="131"/>
    </row>
    <row r="14827" spans="14:14" x14ac:dyDescent="0.2">
      <c r="N14827" s="131"/>
    </row>
    <row r="14828" spans="14:14" x14ac:dyDescent="0.2">
      <c r="N14828" s="131"/>
    </row>
    <row r="14829" spans="14:14" x14ac:dyDescent="0.2">
      <c r="N14829" s="131"/>
    </row>
    <row r="14830" spans="14:14" x14ac:dyDescent="0.2">
      <c r="N14830" s="131"/>
    </row>
    <row r="14831" spans="14:14" x14ac:dyDescent="0.2">
      <c r="N14831" s="131"/>
    </row>
    <row r="14832" spans="14:14" x14ac:dyDescent="0.2">
      <c r="N14832" s="131"/>
    </row>
    <row r="14833" spans="14:14" x14ac:dyDescent="0.2">
      <c r="N14833" s="131"/>
    </row>
    <row r="14834" spans="14:14" x14ac:dyDescent="0.2">
      <c r="N14834" s="131"/>
    </row>
    <row r="14835" spans="14:14" x14ac:dyDescent="0.2">
      <c r="N14835" s="131"/>
    </row>
    <row r="14836" spans="14:14" x14ac:dyDescent="0.2">
      <c r="N14836" s="131"/>
    </row>
    <row r="14837" spans="14:14" x14ac:dyDescent="0.2">
      <c r="N14837" s="131"/>
    </row>
    <row r="14838" spans="14:14" x14ac:dyDescent="0.2">
      <c r="N14838" s="131"/>
    </row>
    <row r="14839" spans="14:14" x14ac:dyDescent="0.2">
      <c r="N14839" s="131"/>
    </row>
    <row r="14840" spans="14:14" x14ac:dyDescent="0.2">
      <c r="N14840" s="131"/>
    </row>
    <row r="14841" spans="14:14" x14ac:dyDescent="0.2">
      <c r="N14841" s="131"/>
    </row>
    <row r="14842" spans="14:14" x14ac:dyDescent="0.2">
      <c r="N14842" s="131"/>
    </row>
    <row r="14843" spans="14:14" x14ac:dyDescent="0.2">
      <c r="N14843" s="131"/>
    </row>
    <row r="14844" spans="14:14" x14ac:dyDescent="0.2">
      <c r="N14844" s="131"/>
    </row>
    <row r="14845" spans="14:14" x14ac:dyDescent="0.2">
      <c r="N14845" s="131"/>
    </row>
    <row r="14846" spans="14:14" x14ac:dyDescent="0.2">
      <c r="N14846" s="131"/>
    </row>
    <row r="14847" spans="14:14" x14ac:dyDescent="0.2">
      <c r="N14847" s="131"/>
    </row>
    <row r="14848" spans="14:14" x14ac:dyDescent="0.2">
      <c r="N14848" s="131"/>
    </row>
    <row r="14849" spans="14:14" x14ac:dyDescent="0.2">
      <c r="N14849" s="131"/>
    </row>
    <row r="14850" spans="14:14" x14ac:dyDescent="0.2">
      <c r="N14850" s="131"/>
    </row>
    <row r="14851" spans="14:14" x14ac:dyDescent="0.2">
      <c r="N14851" s="131"/>
    </row>
    <row r="14852" spans="14:14" x14ac:dyDescent="0.2">
      <c r="N14852" s="131"/>
    </row>
    <row r="14853" spans="14:14" x14ac:dyDescent="0.2">
      <c r="N14853" s="131"/>
    </row>
    <row r="14854" spans="14:14" x14ac:dyDescent="0.2">
      <c r="N14854" s="131"/>
    </row>
    <row r="14855" spans="14:14" x14ac:dyDescent="0.2">
      <c r="N14855" s="131"/>
    </row>
    <row r="14856" spans="14:14" x14ac:dyDescent="0.2">
      <c r="N14856" s="131"/>
    </row>
    <row r="14857" spans="14:14" x14ac:dyDescent="0.2">
      <c r="N14857" s="131"/>
    </row>
    <row r="14858" spans="14:14" x14ac:dyDescent="0.2">
      <c r="N14858" s="131"/>
    </row>
    <row r="14859" spans="14:14" x14ac:dyDescent="0.2">
      <c r="N14859" s="131"/>
    </row>
    <row r="14860" spans="14:14" x14ac:dyDescent="0.2">
      <c r="N14860" s="131"/>
    </row>
    <row r="14861" spans="14:14" x14ac:dyDescent="0.2">
      <c r="N14861" s="131"/>
    </row>
    <row r="14862" spans="14:14" x14ac:dyDescent="0.2">
      <c r="N14862" s="131"/>
    </row>
    <row r="14863" spans="14:14" x14ac:dyDescent="0.2">
      <c r="N14863" s="131"/>
    </row>
    <row r="14864" spans="14:14" x14ac:dyDescent="0.2">
      <c r="N14864" s="131"/>
    </row>
    <row r="14865" spans="14:14" x14ac:dyDescent="0.2">
      <c r="N14865" s="131"/>
    </row>
    <row r="14866" spans="14:14" x14ac:dyDescent="0.2">
      <c r="N14866" s="131"/>
    </row>
    <row r="14867" spans="14:14" x14ac:dyDescent="0.2">
      <c r="N14867" s="131"/>
    </row>
    <row r="14868" spans="14:14" x14ac:dyDescent="0.2">
      <c r="N14868" s="131"/>
    </row>
    <row r="14869" spans="14:14" x14ac:dyDescent="0.2">
      <c r="N14869" s="131"/>
    </row>
    <row r="14870" spans="14:14" x14ac:dyDescent="0.2">
      <c r="N14870" s="131"/>
    </row>
    <row r="14871" spans="14:14" x14ac:dyDescent="0.2">
      <c r="N14871" s="131"/>
    </row>
    <row r="14872" spans="14:14" x14ac:dyDescent="0.2">
      <c r="N14872" s="131"/>
    </row>
    <row r="14873" spans="14:14" x14ac:dyDescent="0.2">
      <c r="N14873" s="131"/>
    </row>
    <row r="14874" spans="14:14" x14ac:dyDescent="0.2">
      <c r="N14874" s="131"/>
    </row>
    <row r="14875" spans="14:14" x14ac:dyDescent="0.2">
      <c r="N14875" s="131"/>
    </row>
    <row r="14876" spans="14:14" x14ac:dyDescent="0.2">
      <c r="N14876" s="131"/>
    </row>
    <row r="14877" spans="14:14" x14ac:dyDescent="0.2">
      <c r="N14877" s="131"/>
    </row>
    <row r="14878" spans="14:14" x14ac:dyDescent="0.2">
      <c r="N14878" s="131"/>
    </row>
    <row r="14879" spans="14:14" x14ac:dyDescent="0.2">
      <c r="N14879" s="131"/>
    </row>
    <row r="14880" spans="14:14" x14ac:dyDescent="0.2">
      <c r="N14880" s="131"/>
    </row>
    <row r="14881" spans="14:14" x14ac:dyDescent="0.2">
      <c r="N14881" s="131"/>
    </row>
    <row r="14882" spans="14:14" x14ac:dyDescent="0.2">
      <c r="N14882" s="131"/>
    </row>
    <row r="14883" spans="14:14" x14ac:dyDescent="0.2">
      <c r="N14883" s="131"/>
    </row>
    <row r="14884" spans="14:14" x14ac:dyDescent="0.2">
      <c r="N14884" s="131"/>
    </row>
    <row r="14885" spans="14:14" x14ac:dyDescent="0.2">
      <c r="N14885" s="131"/>
    </row>
    <row r="14886" spans="14:14" x14ac:dyDescent="0.2">
      <c r="N14886" s="131"/>
    </row>
    <row r="14887" spans="14:14" x14ac:dyDescent="0.2">
      <c r="N14887" s="131"/>
    </row>
    <row r="14888" spans="14:14" x14ac:dyDescent="0.2">
      <c r="N14888" s="131"/>
    </row>
    <row r="14889" spans="14:14" x14ac:dyDescent="0.2">
      <c r="N14889" s="131"/>
    </row>
    <row r="14890" spans="14:14" x14ac:dyDescent="0.2">
      <c r="N14890" s="131"/>
    </row>
    <row r="14891" spans="14:14" x14ac:dyDescent="0.2">
      <c r="N14891" s="131"/>
    </row>
    <row r="14892" spans="14:14" x14ac:dyDescent="0.2">
      <c r="N14892" s="131"/>
    </row>
    <row r="14893" spans="14:14" x14ac:dyDescent="0.2">
      <c r="N14893" s="131"/>
    </row>
    <row r="14894" spans="14:14" x14ac:dyDescent="0.2">
      <c r="N14894" s="131"/>
    </row>
    <row r="14895" spans="14:14" x14ac:dyDescent="0.2">
      <c r="N14895" s="131"/>
    </row>
    <row r="14896" spans="14:14" x14ac:dyDescent="0.2">
      <c r="N14896" s="131"/>
    </row>
    <row r="14897" spans="14:14" x14ac:dyDescent="0.2">
      <c r="N14897" s="131"/>
    </row>
    <row r="14898" spans="14:14" x14ac:dyDescent="0.2">
      <c r="N14898" s="131"/>
    </row>
    <row r="14899" spans="14:14" x14ac:dyDescent="0.2">
      <c r="N14899" s="131"/>
    </row>
    <row r="14900" spans="14:14" x14ac:dyDescent="0.2">
      <c r="N14900" s="131"/>
    </row>
    <row r="14901" spans="14:14" x14ac:dyDescent="0.2">
      <c r="N14901" s="131"/>
    </row>
    <row r="14902" spans="14:14" x14ac:dyDescent="0.2">
      <c r="N14902" s="131"/>
    </row>
    <row r="14903" spans="14:14" x14ac:dyDescent="0.2">
      <c r="N14903" s="131"/>
    </row>
    <row r="14904" spans="14:14" x14ac:dyDescent="0.2">
      <c r="N14904" s="131"/>
    </row>
    <row r="14905" spans="14:14" x14ac:dyDescent="0.2">
      <c r="N14905" s="131"/>
    </row>
    <row r="14906" spans="14:14" x14ac:dyDescent="0.2">
      <c r="N14906" s="131"/>
    </row>
    <row r="14907" spans="14:14" x14ac:dyDescent="0.2">
      <c r="N14907" s="131"/>
    </row>
    <row r="14908" spans="14:14" x14ac:dyDescent="0.2">
      <c r="N14908" s="131"/>
    </row>
    <row r="14909" spans="14:14" x14ac:dyDescent="0.2">
      <c r="N14909" s="131"/>
    </row>
    <row r="14910" spans="14:14" x14ac:dyDescent="0.2">
      <c r="N14910" s="131"/>
    </row>
    <row r="14911" spans="14:14" x14ac:dyDescent="0.2">
      <c r="N14911" s="131"/>
    </row>
    <row r="14912" spans="14:14" x14ac:dyDescent="0.2">
      <c r="N14912" s="131"/>
    </row>
    <row r="14913" spans="14:14" x14ac:dyDescent="0.2">
      <c r="N14913" s="131"/>
    </row>
    <row r="14914" spans="14:14" x14ac:dyDescent="0.2">
      <c r="N14914" s="131"/>
    </row>
    <row r="14915" spans="14:14" x14ac:dyDescent="0.2">
      <c r="N14915" s="131"/>
    </row>
    <row r="14916" spans="14:14" x14ac:dyDescent="0.2">
      <c r="N14916" s="131"/>
    </row>
    <row r="14917" spans="14:14" x14ac:dyDescent="0.2">
      <c r="N14917" s="131"/>
    </row>
    <row r="14918" spans="14:14" x14ac:dyDescent="0.2">
      <c r="N14918" s="131"/>
    </row>
    <row r="14919" spans="14:14" x14ac:dyDescent="0.2">
      <c r="N14919" s="131"/>
    </row>
    <row r="14920" spans="14:14" x14ac:dyDescent="0.2">
      <c r="N14920" s="131"/>
    </row>
    <row r="14921" spans="14:14" x14ac:dyDescent="0.2">
      <c r="N14921" s="131"/>
    </row>
    <row r="14922" spans="14:14" x14ac:dyDescent="0.2">
      <c r="N14922" s="131"/>
    </row>
    <row r="14923" spans="14:14" x14ac:dyDescent="0.2">
      <c r="N14923" s="131"/>
    </row>
    <row r="14924" spans="14:14" x14ac:dyDescent="0.2">
      <c r="N14924" s="131"/>
    </row>
    <row r="14925" spans="14:14" x14ac:dyDescent="0.2">
      <c r="N14925" s="131"/>
    </row>
    <row r="14926" spans="14:14" x14ac:dyDescent="0.2">
      <c r="N14926" s="131"/>
    </row>
    <row r="14927" spans="14:14" x14ac:dyDescent="0.2">
      <c r="N14927" s="131"/>
    </row>
    <row r="14928" spans="14:14" x14ac:dyDescent="0.2">
      <c r="N14928" s="131"/>
    </row>
    <row r="14929" spans="14:14" x14ac:dyDescent="0.2">
      <c r="N14929" s="131"/>
    </row>
    <row r="14930" spans="14:14" x14ac:dyDescent="0.2">
      <c r="N14930" s="131"/>
    </row>
    <row r="14931" spans="14:14" x14ac:dyDescent="0.2">
      <c r="N14931" s="131"/>
    </row>
    <row r="14932" spans="14:14" x14ac:dyDescent="0.2">
      <c r="N14932" s="131"/>
    </row>
    <row r="14933" spans="14:14" x14ac:dyDescent="0.2">
      <c r="N14933" s="131"/>
    </row>
    <row r="14934" spans="14:14" x14ac:dyDescent="0.2">
      <c r="N14934" s="131"/>
    </row>
    <row r="14935" spans="14:14" x14ac:dyDescent="0.2">
      <c r="N14935" s="131"/>
    </row>
    <row r="14936" spans="14:14" x14ac:dyDescent="0.2">
      <c r="N14936" s="131"/>
    </row>
    <row r="14937" spans="14:14" x14ac:dyDescent="0.2">
      <c r="N14937" s="131"/>
    </row>
    <row r="14938" spans="14:14" x14ac:dyDescent="0.2">
      <c r="N14938" s="131"/>
    </row>
    <row r="14939" spans="14:14" x14ac:dyDescent="0.2">
      <c r="N14939" s="131"/>
    </row>
    <row r="14940" spans="14:14" x14ac:dyDescent="0.2">
      <c r="N14940" s="131"/>
    </row>
    <row r="14941" spans="14:14" x14ac:dyDescent="0.2">
      <c r="N14941" s="131"/>
    </row>
    <row r="14942" spans="14:14" x14ac:dyDescent="0.2">
      <c r="N14942" s="131"/>
    </row>
    <row r="14943" spans="14:14" x14ac:dyDescent="0.2">
      <c r="N14943" s="131"/>
    </row>
    <row r="14944" spans="14:14" x14ac:dyDescent="0.2">
      <c r="N14944" s="131"/>
    </row>
    <row r="14945" spans="14:14" x14ac:dyDescent="0.2">
      <c r="N14945" s="131"/>
    </row>
    <row r="14946" spans="14:14" x14ac:dyDescent="0.2">
      <c r="N14946" s="131"/>
    </row>
    <row r="14947" spans="14:14" x14ac:dyDescent="0.2">
      <c r="N14947" s="131"/>
    </row>
    <row r="14948" spans="14:14" x14ac:dyDescent="0.2">
      <c r="N14948" s="131"/>
    </row>
    <row r="14949" spans="14:14" x14ac:dyDescent="0.2">
      <c r="N14949" s="131"/>
    </row>
    <row r="14950" spans="14:14" x14ac:dyDescent="0.2">
      <c r="N14950" s="131"/>
    </row>
    <row r="14951" spans="14:14" x14ac:dyDescent="0.2">
      <c r="N14951" s="131"/>
    </row>
    <row r="14952" spans="14:14" x14ac:dyDescent="0.2">
      <c r="N14952" s="131"/>
    </row>
    <row r="14953" spans="14:14" x14ac:dyDescent="0.2">
      <c r="N14953" s="131"/>
    </row>
    <row r="14954" spans="14:14" x14ac:dyDescent="0.2">
      <c r="N14954" s="131"/>
    </row>
    <row r="14955" spans="14:14" x14ac:dyDescent="0.2">
      <c r="N14955" s="131"/>
    </row>
    <row r="14956" spans="14:14" x14ac:dyDescent="0.2">
      <c r="N14956" s="131"/>
    </row>
    <row r="14957" spans="14:14" x14ac:dyDescent="0.2">
      <c r="N14957" s="131"/>
    </row>
    <row r="14958" spans="14:14" x14ac:dyDescent="0.2">
      <c r="N14958" s="131"/>
    </row>
    <row r="14959" spans="14:14" x14ac:dyDescent="0.2">
      <c r="N14959" s="131"/>
    </row>
    <row r="14960" spans="14:14" x14ac:dyDescent="0.2">
      <c r="N14960" s="131"/>
    </row>
    <row r="14961" spans="14:14" x14ac:dyDescent="0.2">
      <c r="N14961" s="131"/>
    </row>
    <row r="14962" spans="14:14" x14ac:dyDescent="0.2">
      <c r="N14962" s="131"/>
    </row>
    <row r="14963" spans="14:14" x14ac:dyDescent="0.2">
      <c r="N14963" s="131"/>
    </row>
    <row r="14964" spans="14:14" x14ac:dyDescent="0.2">
      <c r="N14964" s="131"/>
    </row>
    <row r="14965" spans="14:14" x14ac:dyDescent="0.2">
      <c r="N14965" s="131"/>
    </row>
    <row r="14966" spans="14:14" x14ac:dyDescent="0.2">
      <c r="N14966" s="131"/>
    </row>
    <row r="14967" spans="14:14" x14ac:dyDescent="0.2">
      <c r="N14967" s="131"/>
    </row>
    <row r="14968" spans="14:14" x14ac:dyDescent="0.2">
      <c r="N14968" s="131"/>
    </row>
    <row r="14969" spans="14:14" x14ac:dyDescent="0.2">
      <c r="N14969" s="131"/>
    </row>
    <row r="14970" spans="14:14" x14ac:dyDescent="0.2">
      <c r="N14970" s="131"/>
    </row>
    <row r="14971" spans="14:14" x14ac:dyDescent="0.2">
      <c r="N14971" s="131"/>
    </row>
    <row r="14972" spans="14:14" x14ac:dyDescent="0.2">
      <c r="N14972" s="131"/>
    </row>
    <row r="14973" spans="14:14" x14ac:dyDescent="0.2">
      <c r="N14973" s="131"/>
    </row>
    <row r="14974" spans="14:14" x14ac:dyDescent="0.2">
      <c r="N14974" s="131"/>
    </row>
    <row r="14975" spans="14:14" x14ac:dyDescent="0.2">
      <c r="N14975" s="131"/>
    </row>
    <row r="14976" spans="14:14" x14ac:dyDescent="0.2">
      <c r="N14976" s="131"/>
    </row>
    <row r="14977" spans="14:14" x14ac:dyDescent="0.2">
      <c r="N14977" s="131"/>
    </row>
    <row r="14978" spans="14:14" x14ac:dyDescent="0.2">
      <c r="N14978" s="131"/>
    </row>
    <row r="14979" spans="14:14" x14ac:dyDescent="0.2">
      <c r="N14979" s="131"/>
    </row>
    <row r="14980" spans="14:14" x14ac:dyDescent="0.2">
      <c r="N14980" s="131"/>
    </row>
    <row r="14981" spans="14:14" x14ac:dyDescent="0.2">
      <c r="N14981" s="131"/>
    </row>
    <row r="14982" spans="14:14" x14ac:dyDescent="0.2">
      <c r="N14982" s="131"/>
    </row>
    <row r="14983" spans="14:14" x14ac:dyDescent="0.2">
      <c r="N14983" s="131"/>
    </row>
    <row r="14984" spans="14:14" x14ac:dyDescent="0.2">
      <c r="N14984" s="131"/>
    </row>
    <row r="14985" spans="14:14" x14ac:dyDescent="0.2">
      <c r="N14985" s="131"/>
    </row>
    <row r="14986" spans="14:14" x14ac:dyDescent="0.2">
      <c r="N14986" s="131"/>
    </row>
    <row r="14987" spans="14:14" x14ac:dyDescent="0.2">
      <c r="N14987" s="131"/>
    </row>
    <row r="14988" spans="14:14" x14ac:dyDescent="0.2">
      <c r="N14988" s="131"/>
    </row>
    <row r="14989" spans="14:14" x14ac:dyDescent="0.2">
      <c r="N14989" s="131"/>
    </row>
    <row r="14990" spans="14:14" x14ac:dyDescent="0.2">
      <c r="N14990" s="131"/>
    </row>
    <row r="14991" spans="14:14" x14ac:dyDescent="0.2">
      <c r="N14991" s="131"/>
    </row>
    <row r="14992" spans="14:14" x14ac:dyDescent="0.2">
      <c r="N14992" s="131"/>
    </row>
    <row r="14993" spans="14:14" x14ac:dyDescent="0.2">
      <c r="N14993" s="131"/>
    </row>
    <row r="14994" spans="14:14" x14ac:dyDescent="0.2">
      <c r="N14994" s="131"/>
    </row>
    <row r="14995" spans="14:14" x14ac:dyDescent="0.2">
      <c r="N14995" s="131"/>
    </row>
    <row r="14996" spans="14:14" x14ac:dyDescent="0.2">
      <c r="N14996" s="131"/>
    </row>
    <row r="14997" spans="14:14" x14ac:dyDescent="0.2">
      <c r="N14997" s="131"/>
    </row>
    <row r="14998" spans="14:14" x14ac:dyDescent="0.2">
      <c r="N14998" s="131"/>
    </row>
    <row r="14999" spans="14:14" x14ac:dyDescent="0.2">
      <c r="N14999" s="131"/>
    </row>
    <row r="15000" spans="14:14" x14ac:dyDescent="0.2">
      <c r="N15000" s="131"/>
    </row>
    <row r="15001" spans="14:14" x14ac:dyDescent="0.2">
      <c r="N15001" s="131"/>
    </row>
    <row r="15002" spans="14:14" x14ac:dyDescent="0.2">
      <c r="N15002" s="131"/>
    </row>
    <row r="15003" spans="14:14" x14ac:dyDescent="0.2">
      <c r="N15003" s="131"/>
    </row>
    <row r="15004" spans="14:14" x14ac:dyDescent="0.2">
      <c r="N15004" s="131"/>
    </row>
    <row r="15005" spans="14:14" x14ac:dyDescent="0.2">
      <c r="N15005" s="131"/>
    </row>
    <row r="15006" spans="14:14" x14ac:dyDescent="0.2">
      <c r="N15006" s="131"/>
    </row>
    <row r="15007" spans="14:14" x14ac:dyDescent="0.2">
      <c r="N15007" s="131"/>
    </row>
    <row r="15008" spans="14:14" x14ac:dyDescent="0.2">
      <c r="N15008" s="131"/>
    </row>
    <row r="15009" spans="14:14" x14ac:dyDescent="0.2">
      <c r="N15009" s="131"/>
    </row>
    <row r="15010" spans="14:14" x14ac:dyDescent="0.2">
      <c r="N15010" s="131"/>
    </row>
    <row r="15011" spans="14:14" x14ac:dyDescent="0.2">
      <c r="N15011" s="131"/>
    </row>
    <row r="15012" spans="14:14" x14ac:dyDescent="0.2">
      <c r="N15012" s="131"/>
    </row>
    <row r="15013" spans="14:14" x14ac:dyDescent="0.2">
      <c r="N15013" s="131"/>
    </row>
    <row r="15014" spans="14:14" x14ac:dyDescent="0.2">
      <c r="N15014" s="131"/>
    </row>
    <row r="15015" spans="14:14" x14ac:dyDescent="0.2">
      <c r="N15015" s="131"/>
    </row>
    <row r="15016" spans="14:14" x14ac:dyDescent="0.2">
      <c r="N15016" s="131"/>
    </row>
    <row r="15017" spans="14:14" x14ac:dyDescent="0.2">
      <c r="N15017" s="131"/>
    </row>
    <row r="15018" spans="14:14" x14ac:dyDescent="0.2">
      <c r="N15018" s="131"/>
    </row>
    <row r="15019" spans="14:14" x14ac:dyDescent="0.2">
      <c r="N15019" s="131"/>
    </row>
    <row r="15020" spans="14:14" x14ac:dyDescent="0.2">
      <c r="N15020" s="131"/>
    </row>
    <row r="15021" spans="14:14" x14ac:dyDescent="0.2">
      <c r="N15021" s="131"/>
    </row>
    <row r="15022" spans="14:14" x14ac:dyDescent="0.2">
      <c r="N15022" s="131"/>
    </row>
    <row r="15023" spans="14:14" x14ac:dyDescent="0.2">
      <c r="N15023" s="131"/>
    </row>
    <row r="15024" spans="14:14" x14ac:dyDescent="0.2">
      <c r="N15024" s="131"/>
    </row>
    <row r="15025" spans="14:14" x14ac:dyDescent="0.2">
      <c r="N15025" s="131"/>
    </row>
    <row r="15026" spans="14:14" x14ac:dyDescent="0.2">
      <c r="N15026" s="131"/>
    </row>
    <row r="15027" spans="14:14" x14ac:dyDescent="0.2">
      <c r="N15027" s="131"/>
    </row>
    <row r="15028" spans="14:14" x14ac:dyDescent="0.2">
      <c r="N15028" s="131"/>
    </row>
    <row r="15029" spans="14:14" x14ac:dyDescent="0.2">
      <c r="N15029" s="131"/>
    </row>
    <row r="15030" spans="14:14" x14ac:dyDescent="0.2">
      <c r="N15030" s="131"/>
    </row>
    <row r="15031" spans="14:14" x14ac:dyDescent="0.2">
      <c r="N15031" s="131"/>
    </row>
    <row r="15032" spans="14:14" x14ac:dyDescent="0.2">
      <c r="N15032" s="131"/>
    </row>
    <row r="15033" spans="14:14" x14ac:dyDescent="0.2">
      <c r="N15033" s="131"/>
    </row>
    <row r="15034" spans="14:14" x14ac:dyDescent="0.2">
      <c r="N15034" s="131"/>
    </row>
    <row r="15035" spans="14:14" x14ac:dyDescent="0.2">
      <c r="N15035" s="131"/>
    </row>
    <row r="15036" spans="14:14" x14ac:dyDescent="0.2">
      <c r="N15036" s="131"/>
    </row>
    <row r="15037" spans="14:14" x14ac:dyDescent="0.2">
      <c r="N15037" s="131"/>
    </row>
    <row r="15038" spans="14:14" x14ac:dyDescent="0.2">
      <c r="N15038" s="131"/>
    </row>
    <row r="15039" spans="14:14" x14ac:dyDescent="0.2">
      <c r="N15039" s="131"/>
    </row>
    <row r="15040" spans="14:14" x14ac:dyDescent="0.2">
      <c r="N15040" s="131"/>
    </row>
    <row r="15041" spans="14:14" x14ac:dyDescent="0.2">
      <c r="N15041" s="131"/>
    </row>
    <row r="15042" spans="14:14" x14ac:dyDescent="0.2">
      <c r="N15042" s="131"/>
    </row>
    <row r="15043" spans="14:14" x14ac:dyDescent="0.2">
      <c r="N15043" s="131"/>
    </row>
    <row r="15044" spans="14:14" x14ac:dyDescent="0.2">
      <c r="N15044" s="131"/>
    </row>
    <row r="15045" spans="14:14" x14ac:dyDescent="0.2">
      <c r="N15045" s="131"/>
    </row>
    <row r="15046" spans="14:14" x14ac:dyDescent="0.2">
      <c r="N15046" s="131"/>
    </row>
    <row r="15047" spans="14:14" x14ac:dyDescent="0.2">
      <c r="N15047" s="131"/>
    </row>
    <row r="15048" spans="14:14" x14ac:dyDescent="0.2">
      <c r="N15048" s="131"/>
    </row>
    <row r="15049" spans="14:14" x14ac:dyDescent="0.2">
      <c r="N15049" s="131"/>
    </row>
    <row r="15050" spans="14:14" x14ac:dyDescent="0.2">
      <c r="N15050" s="131"/>
    </row>
    <row r="15051" spans="14:14" x14ac:dyDescent="0.2">
      <c r="N15051" s="131"/>
    </row>
    <row r="15052" spans="14:14" x14ac:dyDescent="0.2">
      <c r="N15052" s="131"/>
    </row>
    <row r="15053" spans="14:14" x14ac:dyDescent="0.2">
      <c r="N15053" s="131"/>
    </row>
    <row r="15054" spans="14:14" x14ac:dyDescent="0.2">
      <c r="N15054" s="131"/>
    </row>
    <row r="15055" spans="14:14" x14ac:dyDescent="0.2">
      <c r="N15055" s="131"/>
    </row>
    <row r="15056" spans="14:14" x14ac:dyDescent="0.2">
      <c r="N15056" s="131"/>
    </row>
    <row r="15057" spans="14:14" x14ac:dyDescent="0.2">
      <c r="N15057" s="131"/>
    </row>
    <row r="15058" spans="14:14" x14ac:dyDescent="0.2">
      <c r="N15058" s="131"/>
    </row>
    <row r="15059" spans="14:14" x14ac:dyDescent="0.2">
      <c r="N15059" s="131"/>
    </row>
    <row r="15060" spans="14:14" x14ac:dyDescent="0.2">
      <c r="N15060" s="131"/>
    </row>
    <row r="15061" spans="14:14" x14ac:dyDescent="0.2">
      <c r="N15061" s="131"/>
    </row>
    <row r="15062" spans="14:14" x14ac:dyDescent="0.2">
      <c r="N15062" s="131"/>
    </row>
    <row r="15063" spans="14:14" x14ac:dyDescent="0.2">
      <c r="N15063" s="131"/>
    </row>
    <row r="15064" spans="14:14" x14ac:dyDescent="0.2">
      <c r="N15064" s="131"/>
    </row>
    <row r="15065" spans="14:14" x14ac:dyDescent="0.2">
      <c r="N15065" s="131"/>
    </row>
    <row r="15066" spans="14:14" x14ac:dyDescent="0.2">
      <c r="N15066" s="131"/>
    </row>
    <row r="15067" spans="14:14" x14ac:dyDescent="0.2">
      <c r="N15067" s="131"/>
    </row>
    <row r="15068" spans="14:14" x14ac:dyDescent="0.2">
      <c r="N15068" s="131"/>
    </row>
    <row r="15069" spans="14:14" x14ac:dyDescent="0.2">
      <c r="N15069" s="131"/>
    </row>
    <row r="15070" spans="14:14" x14ac:dyDescent="0.2">
      <c r="N15070" s="131"/>
    </row>
    <row r="15071" spans="14:14" x14ac:dyDescent="0.2">
      <c r="N15071" s="131"/>
    </row>
    <row r="15072" spans="14:14" x14ac:dyDescent="0.2">
      <c r="N15072" s="131"/>
    </row>
    <row r="15073" spans="14:14" x14ac:dyDescent="0.2">
      <c r="N15073" s="131"/>
    </row>
    <row r="15074" spans="14:14" x14ac:dyDescent="0.2">
      <c r="N15074" s="131"/>
    </row>
    <row r="15075" spans="14:14" x14ac:dyDescent="0.2">
      <c r="N15075" s="131"/>
    </row>
    <row r="15076" spans="14:14" x14ac:dyDescent="0.2">
      <c r="N15076" s="131"/>
    </row>
    <row r="15077" spans="14:14" x14ac:dyDescent="0.2">
      <c r="N15077" s="131"/>
    </row>
    <row r="15078" spans="14:14" x14ac:dyDescent="0.2">
      <c r="N15078" s="131"/>
    </row>
    <row r="15079" spans="14:14" x14ac:dyDescent="0.2">
      <c r="N15079" s="131"/>
    </row>
    <row r="15080" spans="14:14" x14ac:dyDescent="0.2">
      <c r="N15080" s="131"/>
    </row>
    <row r="15081" spans="14:14" x14ac:dyDescent="0.2">
      <c r="N15081" s="131"/>
    </row>
    <row r="15082" spans="14:14" x14ac:dyDescent="0.2">
      <c r="N15082" s="131"/>
    </row>
    <row r="15083" spans="14:14" x14ac:dyDescent="0.2">
      <c r="N15083" s="131"/>
    </row>
    <row r="15084" spans="14:14" x14ac:dyDescent="0.2">
      <c r="N15084" s="131"/>
    </row>
    <row r="15085" spans="14:14" x14ac:dyDescent="0.2">
      <c r="N15085" s="131"/>
    </row>
    <row r="15086" spans="14:14" x14ac:dyDescent="0.2">
      <c r="N15086" s="131"/>
    </row>
    <row r="15087" spans="14:14" x14ac:dyDescent="0.2">
      <c r="N15087" s="131"/>
    </row>
    <row r="15088" spans="14:14" x14ac:dyDescent="0.2">
      <c r="N15088" s="131"/>
    </row>
    <row r="15089" spans="14:14" x14ac:dyDescent="0.2">
      <c r="N15089" s="131"/>
    </row>
    <row r="15090" spans="14:14" x14ac:dyDescent="0.2">
      <c r="N15090" s="131"/>
    </row>
    <row r="15091" spans="14:14" x14ac:dyDescent="0.2">
      <c r="N15091" s="131"/>
    </row>
    <row r="15092" spans="14:14" x14ac:dyDescent="0.2">
      <c r="N15092" s="131"/>
    </row>
    <row r="15093" spans="14:14" x14ac:dyDescent="0.2">
      <c r="N15093" s="131"/>
    </row>
    <row r="15094" spans="14:14" x14ac:dyDescent="0.2">
      <c r="N15094" s="131"/>
    </row>
    <row r="15095" spans="14:14" x14ac:dyDescent="0.2">
      <c r="N15095" s="131"/>
    </row>
    <row r="15096" spans="14:14" x14ac:dyDescent="0.2">
      <c r="N15096" s="131"/>
    </row>
    <row r="15097" spans="14:14" x14ac:dyDescent="0.2">
      <c r="N15097" s="131"/>
    </row>
    <row r="15098" spans="14:14" x14ac:dyDescent="0.2">
      <c r="N15098" s="131"/>
    </row>
    <row r="15099" spans="14:14" x14ac:dyDescent="0.2">
      <c r="N15099" s="131"/>
    </row>
    <row r="15100" spans="14:14" x14ac:dyDescent="0.2">
      <c r="N15100" s="131"/>
    </row>
    <row r="15101" spans="14:14" x14ac:dyDescent="0.2">
      <c r="N15101" s="131"/>
    </row>
    <row r="15102" spans="14:14" x14ac:dyDescent="0.2">
      <c r="N15102" s="131"/>
    </row>
    <row r="15103" spans="14:14" x14ac:dyDescent="0.2">
      <c r="N15103" s="131"/>
    </row>
    <row r="15104" spans="14:14" x14ac:dyDescent="0.2">
      <c r="N15104" s="131"/>
    </row>
    <row r="15105" spans="14:14" x14ac:dyDescent="0.2">
      <c r="N15105" s="131"/>
    </row>
    <row r="15106" spans="14:14" x14ac:dyDescent="0.2">
      <c r="N15106" s="131"/>
    </row>
    <row r="15107" spans="14:14" x14ac:dyDescent="0.2">
      <c r="N15107" s="131"/>
    </row>
    <row r="15108" spans="14:14" x14ac:dyDescent="0.2">
      <c r="N15108" s="131"/>
    </row>
    <row r="15109" spans="14:14" x14ac:dyDescent="0.2">
      <c r="N15109" s="131"/>
    </row>
    <row r="15110" spans="14:14" x14ac:dyDescent="0.2">
      <c r="N15110" s="131"/>
    </row>
    <row r="15111" spans="14:14" x14ac:dyDescent="0.2">
      <c r="N15111" s="131"/>
    </row>
    <row r="15112" spans="14:14" x14ac:dyDescent="0.2">
      <c r="N15112" s="131"/>
    </row>
    <row r="15113" spans="14:14" x14ac:dyDescent="0.2">
      <c r="N15113" s="131"/>
    </row>
    <row r="15114" spans="14:14" x14ac:dyDescent="0.2">
      <c r="N15114" s="131"/>
    </row>
    <row r="15115" spans="14:14" x14ac:dyDescent="0.2">
      <c r="N15115" s="131"/>
    </row>
    <row r="15116" spans="14:14" x14ac:dyDescent="0.2">
      <c r="N15116" s="131"/>
    </row>
    <row r="15117" spans="14:14" x14ac:dyDescent="0.2">
      <c r="N15117" s="131"/>
    </row>
    <row r="15118" spans="14:14" x14ac:dyDescent="0.2">
      <c r="N15118" s="131"/>
    </row>
    <row r="15119" spans="14:14" x14ac:dyDescent="0.2">
      <c r="N15119" s="131"/>
    </row>
    <row r="15120" spans="14:14" x14ac:dyDescent="0.2">
      <c r="N15120" s="131"/>
    </row>
    <row r="15121" spans="14:14" x14ac:dyDescent="0.2">
      <c r="N15121" s="131"/>
    </row>
    <row r="15122" spans="14:14" x14ac:dyDescent="0.2">
      <c r="N15122" s="131"/>
    </row>
    <row r="15123" spans="14:14" x14ac:dyDescent="0.2">
      <c r="N15123" s="131"/>
    </row>
    <row r="15124" spans="14:14" x14ac:dyDescent="0.2">
      <c r="N15124" s="131"/>
    </row>
    <row r="15125" spans="14:14" x14ac:dyDescent="0.2">
      <c r="N15125" s="131"/>
    </row>
    <row r="15126" spans="14:14" x14ac:dyDescent="0.2">
      <c r="N15126" s="131"/>
    </row>
    <row r="15127" spans="14:14" x14ac:dyDescent="0.2">
      <c r="N15127" s="131"/>
    </row>
    <row r="15128" spans="14:14" x14ac:dyDescent="0.2">
      <c r="N15128" s="131"/>
    </row>
    <row r="15129" spans="14:14" x14ac:dyDescent="0.2">
      <c r="N15129" s="131"/>
    </row>
    <row r="15130" spans="14:14" x14ac:dyDescent="0.2">
      <c r="N15130" s="131"/>
    </row>
    <row r="15131" spans="14:14" x14ac:dyDescent="0.2">
      <c r="N15131" s="131"/>
    </row>
    <row r="15132" spans="14:14" x14ac:dyDescent="0.2">
      <c r="N15132" s="131"/>
    </row>
    <row r="15133" spans="14:14" x14ac:dyDescent="0.2">
      <c r="N15133" s="131"/>
    </row>
    <row r="15134" spans="14:14" x14ac:dyDescent="0.2">
      <c r="N15134" s="131"/>
    </row>
    <row r="15135" spans="14:14" x14ac:dyDescent="0.2">
      <c r="N15135" s="131"/>
    </row>
    <row r="15136" spans="14:14" x14ac:dyDescent="0.2">
      <c r="N15136" s="131"/>
    </row>
    <row r="15137" spans="14:14" x14ac:dyDescent="0.2">
      <c r="N15137" s="131"/>
    </row>
    <row r="15138" spans="14:14" x14ac:dyDescent="0.2">
      <c r="N15138" s="131"/>
    </row>
    <row r="15139" spans="14:14" x14ac:dyDescent="0.2">
      <c r="N15139" s="131"/>
    </row>
    <row r="15140" spans="14:14" x14ac:dyDescent="0.2">
      <c r="N15140" s="131"/>
    </row>
    <row r="15141" spans="14:14" x14ac:dyDescent="0.2">
      <c r="N15141" s="131"/>
    </row>
    <row r="15142" spans="14:14" x14ac:dyDescent="0.2">
      <c r="N15142" s="131"/>
    </row>
    <row r="15143" spans="14:14" x14ac:dyDescent="0.2">
      <c r="N15143" s="131"/>
    </row>
    <row r="15144" spans="14:14" x14ac:dyDescent="0.2">
      <c r="N15144" s="131"/>
    </row>
    <row r="15145" spans="14:14" x14ac:dyDescent="0.2">
      <c r="N15145" s="131"/>
    </row>
    <row r="15146" spans="14:14" x14ac:dyDescent="0.2">
      <c r="N15146" s="131"/>
    </row>
    <row r="15147" spans="14:14" x14ac:dyDescent="0.2">
      <c r="N15147" s="131"/>
    </row>
    <row r="15148" spans="14:14" x14ac:dyDescent="0.2">
      <c r="N15148" s="131"/>
    </row>
    <row r="15149" spans="14:14" x14ac:dyDescent="0.2">
      <c r="N15149" s="131"/>
    </row>
    <row r="15150" spans="14:14" x14ac:dyDescent="0.2">
      <c r="N15150" s="131"/>
    </row>
    <row r="15151" spans="14:14" x14ac:dyDescent="0.2">
      <c r="N15151" s="131"/>
    </row>
    <row r="15152" spans="14:14" x14ac:dyDescent="0.2">
      <c r="N15152" s="131"/>
    </row>
    <row r="15153" spans="14:14" x14ac:dyDescent="0.2">
      <c r="N15153" s="131"/>
    </row>
    <row r="15154" spans="14:14" x14ac:dyDescent="0.2">
      <c r="N15154" s="131"/>
    </row>
    <row r="15155" spans="14:14" x14ac:dyDescent="0.2">
      <c r="N15155" s="131"/>
    </row>
    <row r="15156" spans="14:14" x14ac:dyDescent="0.2">
      <c r="N15156" s="131"/>
    </row>
    <row r="15157" spans="14:14" x14ac:dyDescent="0.2">
      <c r="N15157" s="131"/>
    </row>
    <row r="15158" spans="14:14" x14ac:dyDescent="0.2">
      <c r="N15158" s="131"/>
    </row>
    <row r="15159" spans="14:14" x14ac:dyDescent="0.2">
      <c r="N15159" s="131"/>
    </row>
    <row r="15160" spans="14:14" x14ac:dyDescent="0.2">
      <c r="N15160" s="131"/>
    </row>
    <row r="15161" spans="14:14" x14ac:dyDescent="0.2">
      <c r="N15161" s="131"/>
    </row>
    <row r="15162" spans="14:14" x14ac:dyDescent="0.2">
      <c r="N15162" s="131"/>
    </row>
    <row r="15163" spans="14:14" x14ac:dyDescent="0.2">
      <c r="N15163" s="131"/>
    </row>
    <row r="15164" spans="14:14" x14ac:dyDescent="0.2">
      <c r="N15164" s="131"/>
    </row>
    <row r="15165" spans="14:14" x14ac:dyDescent="0.2">
      <c r="N15165" s="131"/>
    </row>
    <row r="15166" spans="14:14" x14ac:dyDescent="0.2">
      <c r="N15166" s="131"/>
    </row>
    <row r="15167" spans="14:14" x14ac:dyDescent="0.2">
      <c r="N15167" s="131"/>
    </row>
    <row r="15168" spans="14:14" x14ac:dyDescent="0.2">
      <c r="N15168" s="131"/>
    </row>
    <row r="15169" spans="14:14" x14ac:dyDescent="0.2">
      <c r="N15169" s="131"/>
    </row>
    <row r="15170" spans="14:14" x14ac:dyDescent="0.2">
      <c r="N15170" s="131"/>
    </row>
    <row r="15171" spans="14:14" x14ac:dyDescent="0.2">
      <c r="N15171" s="131"/>
    </row>
    <row r="15172" spans="14:14" x14ac:dyDescent="0.2">
      <c r="N15172" s="131"/>
    </row>
    <row r="15173" spans="14:14" x14ac:dyDescent="0.2">
      <c r="N15173" s="131"/>
    </row>
    <row r="15174" spans="14:14" x14ac:dyDescent="0.2">
      <c r="N15174" s="131"/>
    </row>
    <row r="15175" spans="14:14" x14ac:dyDescent="0.2">
      <c r="N15175" s="131"/>
    </row>
    <row r="15176" spans="14:14" x14ac:dyDescent="0.2">
      <c r="N15176" s="131"/>
    </row>
    <row r="15177" spans="14:14" x14ac:dyDescent="0.2">
      <c r="N15177" s="131"/>
    </row>
    <row r="15178" spans="14:14" x14ac:dyDescent="0.2">
      <c r="N15178" s="131"/>
    </row>
    <row r="15179" spans="14:14" x14ac:dyDescent="0.2">
      <c r="N15179" s="131"/>
    </row>
    <row r="15180" spans="14:14" x14ac:dyDescent="0.2">
      <c r="N15180" s="131"/>
    </row>
    <row r="15181" spans="14:14" x14ac:dyDescent="0.2">
      <c r="N15181" s="131"/>
    </row>
    <row r="15182" spans="14:14" x14ac:dyDescent="0.2">
      <c r="N15182" s="131"/>
    </row>
    <row r="15183" spans="14:14" x14ac:dyDescent="0.2">
      <c r="N15183" s="131"/>
    </row>
    <row r="15184" spans="14:14" x14ac:dyDescent="0.2">
      <c r="N15184" s="131"/>
    </row>
    <row r="15185" spans="14:14" x14ac:dyDescent="0.2">
      <c r="N15185" s="131"/>
    </row>
    <row r="15186" spans="14:14" x14ac:dyDescent="0.2">
      <c r="N15186" s="131"/>
    </row>
    <row r="15187" spans="14:14" x14ac:dyDescent="0.2">
      <c r="N15187" s="131"/>
    </row>
    <row r="15188" spans="14:14" x14ac:dyDescent="0.2">
      <c r="N15188" s="131"/>
    </row>
    <row r="15189" spans="14:14" x14ac:dyDescent="0.2">
      <c r="N15189" s="131"/>
    </row>
    <row r="15190" spans="14:14" x14ac:dyDescent="0.2">
      <c r="N15190" s="131"/>
    </row>
    <row r="15191" spans="14:14" x14ac:dyDescent="0.2">
      <c r="N15191" s="131"/>
    </row>
    <row r="15192" spans="14:14" x14ac:dyDescent="0.2">
      <c r="N15192" s="131"/>
    </row>
    <row r="15193" spans="14:14" x14ac:dyDescent="0.2">
      <c r="N15193" s="131"/>
    </row>
    <row r="15194" spans="14:14" x14ac:dyDescent="0.2">
      <c r="N15194" s="131"/>
    </row>
    <row r="15195" spans="14:14" x14ac:dyDescent="0.2">
      <c r="N15195" s="131"/>
    </row>
    <row r="15196" spans="14:14" x14ac:dyDescent="0.2">
      <c r="N15196" s="131"/>
    </row>
    <row r="15197" spans="14:14" x14ac:dyDescent="0.2">
      <c r="N15197" s="131"/>
    </row>
    <row r="15198" spans="14:14" x14ac:dyDescent="0.2">
      <c r="N15198" s="131"/>
    </row>
    <row r="15199" spans="14:14" x14ac:dyDescent="0.2">
      <c r="N15199" s="131"/>
    </row>
    <row r="15200" spans="14:14" x14ac:dyDescent="0.2">
      <c r="N15200" s="131"/>
    </row>
    <row r="15201" spans="14:14" x14ac:dyDescent="0.2">
      <c r="N15201" s="131"/>
    </row>
    <row r="15202" spans="14:14" x14ac:dyDescent="0.2">
      <c r="N15202" s="131"/>
    </row>
    <row r="15203" spans="14:14" x14ac:dyDescent="0.2">
      <c r="N15203" s="131"/>
    </row>
    <row r="15204" spans="14:14" x14ac:dyDescent="0.2">
      <c r="N15204" s="131"/>
    </row>
    <row r="15205" spans="14:14" x14ac:dyDescent="0.2">
      <c r="N15205" s="131"/>
    </row>
    <row r="15206" spans="14:14" x14ac:dyDescent="0.2">
      <c r="N15206" s="131"/>
    </row>
    <row r="15207" spans="14:14" x14ac:dyDescent="0.2">
      <c r="N15207" s="131"/>
    </row>
    <row r="15208" spans="14:14" x14ac:dyDescent="0.2">
      <c r="N15208" s="131"/>
    </row>
    <row r="15209" spans="14:14" x14ac:dyDescent="0.2">
      <c r="N15209" s="131"/>
    </row>
    <row r="15210" spans="14:14" x14ac:dyDescent="0.2">
      <c r="N15210" s="131"/>
    </row>
    <row r="15211" spans="14:14" x14ac:dyDescent="0.2">
      <c r="N15211" s="131"/>
    </row>
    <row r="15212" spans="14:14" x14ac:dyDescent="0.2">
      <c r="N15212" s="131"/>
    </row>
    <row r="15213" spans="14:14" x14ac:dyDescent="0.2">
      <c r="N15213" s="131"/>
    </row>
    <row r="15214" spans="14:14" x14ac:dyDescent="0.2">
      <c r="N15214" s="131"/>
    </row>
    <row r="15215" spans="14:14" x14ac:dyDescent="0.2">
      <c r="N15215" s="131"/>
    </row>
    <row r="15216" spans="14:14" x14ac:dyDescent="0.2">
      <c r="N15216" s="131"/>
    </row>
    <row r="15217" spans="14:14" x14ac:dyDescent="0.2">
      <c r="N15217" s="131"/>
    </row>
    <row r="15218" spans="14:14" x14ac:dyDescent="0.2">
      <c r="N15218" s="131"/>
    </row>
    <row r="15219" spans="14:14" x14ac:dyDescent="0.2">
      <c r="N15219" s="131"/>
    </row>
    <row r="15220" spans="14:14" x14ac:dyDescent="0.2">
      <c r="N15220" s="131"/>
    </row>
    <row r="15221" spans="14:14" x14ac:dyDescent="0.2">
      <c r="N15221" s="131"/>
    </row>
    <row r="15222" spans="14:14" x14ac:dyDescent="0.2">
      <c r="N15222" s="131"/>
    </row>
    <row r="15223" spans="14:14" x14ac:dyDescent="0.2">
      <c r="N15223" s="131"/>
    </row>
    <row r="15224" spans="14:14" x14ac:dyDescent="0.2">
      <c r="N15224" s="131"/>
    </row>
    <row r="15225" spans="14:14" x14ac:dyDescent="0.2">
      <c r="N15225" s="131"/>
    </row>
    <row r="15226" spans="14:14" x14ac:dyDescent="0.2">
      <c r="N15226" s="131"/>
    </row>
    <row r="15227" spans="14:14" x14ac:dyDescent="0.2">
      <c r="N15227" s="131"/>
    </row>
    <row r="15228" spans="14:14" x14ac:dyDescent="0.2">
      <c r="N15228" s="131"/>
    </row>
    <row r="15229" spans="14:14" x14ac:dyDescent="0.2">
      <c r="N15229" s="131"/>
    </row>
    <row r="15230" spans="14:14" x14ac:dyDescent="0.2">
      <c r="N15230" s="131"/>
    </row>
    <row r="15231" spans="14:14" x14ac:dyDescent="0.2">
      <c r="N15231" s="131"/>
    </row>
    <row r="15232" spans="14:14" x14ac:dyDescent="0.2">
      <c r="N15232" s="131"/>
    </row>
    <row r="15233" spans="14:14" x14ac:dyDescent="0.2">
      <c r="N15233" s="131"/>
    </row>
    <row r="15234" spans="14:14" x14ac:dyDescent="0.2">
      <c r="N15234" s="131"/>
    </row>
    <row r="15235" spans="14:14" x14ac:dyDescent="0.2">
      <c r="N15235" s="131"/>
    </row>
    <row r="15236" spans="14:14" x14ac:dyDescent="0.2">
      <c r="N15236" s="131"/>
    </row>
    <row r="15237" spans="14:14" x14ac:dyDescent="0.2">
      <c r="N15237" s="131"/>
    </row>
    <row r="15238" spans="14:14" x14ac:dyDescent="0.2">
      <c r="N15238" s="131"/>
    </row>
    <row r="15239" spans="14:14" x14ac:dyDescent="0.2">
      <c r="N15239" s="131"/>
    </row>
    <row r="15240" spans="14:14" x14ac:dyDescent="0.2">
      <c r="N15240" s="131"/>
    </row>
    <row r="15241" spans="14:14" x14ac:dyDescent="0.2">
      <c r="N15241" s="131"/>
    </row>
    <row r="15242" spans="14:14" x14ac:dyDescent="0.2">
      <c r="N15242" s="131"/>
    </row>
    <row r="15243" spans="14:14" x14ac:dyDescent="0.2">
      <c r="N15243" s="131"/>
    </row>
    <row r="15244" spans="14:14" x14ac:dyDescent="0.2">
      <c r="N15244" s="131"/>
    </row>
    <row r="15245" spans="14:14" x14ac:dyDescent="0.2">
      <c r="N15245" s="131"/>
    </row>
    <row r="15246" spans="14:14" x14ac:dyDescent="0.2">
      <c r="N15246" s="131"/>
    </row>
    <row r="15247" spans="14:14" x14ac:dyDescent="0.2">
      <c r="N15247" s="131"/>
    </row>
    <row r="15248" spans="14:14" x14ac:dyDescent="0.2">
      <c r="N15248" s="131"/>
    </row>
    <row r="15249" spans="14:14" x14ac:dyDescent="0.2">
      <c r="N15249" s="131"/>
    </row>
    <row r="15250" spans="14:14" x14ac:dyDescent="0.2">
      <c r="N15250" s="131"/>
    </row>
    <row r="15251" spans="14:14" x14ac:dyDescent="0.2">
      <c r="N15251" s="131"/>
    </row>
    <row r="15252" spans="14:14" x14ac:dyDescent="0.2">
      <c r="N15252" s="131"/>
    </row>
    <row r="15253" spans="14:14" x14ac:dyDescent="0.2">
      <c r="N15253" s="131"/>
    </row>
    <row r="15254" spans="14:14" x14ac:dyDescent="0.2">
      <c r="N15254" s="131"/>
    </row>
    <row r="15255" spans="14:14" x14ac:dyDescent="0.2">
      <c r="N15255" s="131"/>
    </row>
    <row r="15256" spans="14:14" x14ac:dyDescent="0.2">
      <c r="N15256" s="131"/>
    </row>
    <row r="15257" spans="14:14" x14ac:dyDescent="0.2">
      <c r="N15257" s="131"/>
    </row>
    <row r="15258" spans="14:14" x14ac:dyDescent="0.2">
      <c r="N15258" s="131"/>
    </row>
    <row r="15259" spans="14:14" x14ac:dyDescent="0.2">
      <c r="N15259" s="131"/>
    </row>
    <row r="15260" spans="14:14" x14ac:dyDescent="0.2">
      <c r="N15260" s="131"/>
    </row>
    <row r="15261" spans="14:14" x14ac:dyDescent="0.2">
      <c r="N15261" s="131"/>
    </row>
    <row r="15262" spans="14:14" x14ac:dyDescent="0.2">
      <c r="N15262" s="131"/>
    </row>
    <row r="15263" spans="14:14" x14ac:dyDescent="0.2">
      <c r="N15263" s="131"/>
    </row>
    <row r="15264" spans="14:14" x14ac:dyDescent="0.2">
      <c r="N15264" s="131"/>
    </row>
    <row r="15265" spans="14:14" x14ac:dyDescent="0.2">
      <c r="N15265" s="131"/>
    </row>
    <row r="15266" spans="14:14" x14ac:dyDescent="0.2">
      <c r="N15266" s="131"/>
    </row>
    <row r="15267" spans="14:14" x14ac:dyDescent="0.2">
      <c r="N15267" s="131"/>
    </row>
    <row r="15268" spans="14:14" x14ac:dyDescent="0.2">
      <c r="N15268" s="131"/>
    </row>
    <row r="15269" spans="14:14" x14ac:dyDescent="0.2">
      <c r="N15269" s="131"/>
    </row>
    <row r="15270" spans="14:14" x14ac:dyDescent="0.2">
      <c r="N15270" s="131"/>
    </row>
    <row r="15271" spans="14:14" x14ac:dyDescent="0.2">
      <c r="N15271" s="131"/>
    </row>
    <row r="15272" spans="14:14" x14ac:dyDescent="0.2">
      <c r="N15272" s="131"/>
    </row>
    <row r="15273" spans="14:14" x14ac:dyDescent="0.2">
      <c r="N15273" s="131"/>
    </row>
    <row r="15274" spans="14:14" x14ac:dyDescent="0.2">
      <c r="N15274" s="131"/>
    </row>
    <row r="15275" spans="14:14" x14ac:dyDescent="0.2">
      <c r="N15275" s="131"/>
    </row>
    <row r="15276" spans="14:14" x14ac:dyDescent="0.2">
      <c r="N15276" s="131"/>
    </row>
    <row r="15277" spans="14:14" x14ac:dyDescent="0.2">
      <c r="N15277" s="131"/>
    </row>
    <row r="15278" spans="14:14" x14ac:dyDescent="0.2">
      <c r="N15278" s="131"/>
    </row>
    <row r="15279" spans="14:14" x14ac:dyDescent="0.2">
      <c r="N15279" s="131"/>
    </row>
    <row r="15280" spans="14:14" x14ac:dyDescent="0.2">
      <c r="N15280" s="131"/>
    </row>
    <row r="15281" spans="14:14" x14ac:dyDescent="0.2">
      <c r="N15281" s="131"/>
    </row>
    <row r="15282" spans="14:14" x14ac:dyDescent="0.2">
      <c r="N15282" s="131"/>
    </row>
    <row r="15283" spans="14:14" x14ac:dyDescent="0.2">
      <c r="N15283" s="131"/>
    </row>
    <row r="15284" spans="14:14" x14ac:dyDescent="0.2">
      <c r="N15284" s="131"/>
    </row>
    <row r="15285" spans="14:14" x14ac:dyDescent="0.2">
      <c r="N15285" s="131"/>
    </row>
    <row r="15286" spans="14:14" x14ac:dyDescent="0.2">
      <c r="N15286" s="131"/>
    </row>
    <row r="15287" spans="14:14" x14ac:dyDescent="0.2">
      <c r="N15287" s="131"/>
    </row>
    <row r="15288" spans="14:14" x14ac:dyDescent="0.2">
      <c r="N15288" s="131"/>
    </row>
    <row r="15289" spans="14:14" x14ac:dyDescent="0.2">
      <c r="N15289" s="131"/>
    </row>
    <row r="15290" spans="14:14" x14ac:dyDescent="0.2">
      <c r="N15290" s="131"/>
    </row>
    <row r="15291" spans="14:14" x14ac:dyDescent="0.2">
      <c r="N15291" s="131"/>
    </row>
    <row r="15292" spans="14:14" x14ac:dyDescent="0.2">
      <c r="N15292" s="131"/>
    </row>
    <row r="15293" spans="14:14" x14ac:dyDescent="0.2">
      <c r="N15293" s="131"/>
    </row>
    <row r="15294" spans="14:14" x14ac:dyDescent="0.2">
      <c r="N15294" s="131"/>
    </row>
    <row r="15295" spans="14:14" x14ac:dyDescent="0.2">
      <c r="N15295" s="131"/>
    </row>
    <row r="15296" spans="14:14" x14ac:dyDescent="0.2">
      <c r="N15296" s="131"/>
    </row>
    <row r="15297" spans="14:14" x14ac:dyDescent="0.2">
      <c r="N15297" s="131"/>
    </row>
    <row r="15298" spans="14:14" x14ac:dyDescent="0.2">
      <c r="N15298" s="131"/>
    </row>
    <row r="15299" spans="14:14" x14ac:dyDescent="0.2">
      <c r="N15299" s="131"/>
    </row>
    <row r="15300" spans="14:14" x14ac:dyDescent="0.2">
      <c r="N15300" s="131"/>
    </row>
    <row r="15301" spans="14:14" x14ac:dyDescent="0.2">
      <c r="N15301" s="131"/>
    </row>
    <row r="15302" spans="14:14" x14ac:dyDescent="0.2">
      <c r="N15302" s="131"/>
    </row>
    <row r="15303" spans="14:14" x14ac:dyDescent="0.2">
      <c r="N15303" s="131"/>
    </row>
    <row r="15304" spans="14:14" x14ac:dyDescent="0.2">
      <c r="N15304" s="131"/>
    </row>
    <row r="15305" spans="14:14" x14ac:dyDescent="0.2">
      <c r="N15305" s="131"/>
    </row>
    <row r="15306" spans="14:14" x14ac:dyDescent="0.2">
      <c r="N15306" s="131"/>
    </row>
    <row r="15307" spans="14:14" x14ac:dyDescent="0.2">
      <c r="N15307" s="131"/>
    </row>
    <row r="15308" spans="14:14" x14ac:dyDescent="0.2">
      <c r="N15308" s="131"/>
    </row>
    <row r="15309" spans="14:14" x14ac:dyDescent="0.2">
      <c r="N15309" s="131"/>
    </row>
    <row r="15310" spans="14:14" x14ac:dyDescent="0.2">
      <c r="N15310" s="131"/>
    </row>
    <row r="15311" spans="14:14" x14ac:dyDescent="0.2">
      <c r="N15311" s="131"/>
    </row>
    <row r="15312" spans="14:14" x14ac:dyDescent="0.2">
      <c r="N15312" s="131"/>
    </row>
    <row r="15313" spans="14:14" x14ac:dyDescent="0.2">
      <c r="N15313" s="131"/>
    </row>
    <row r="15314" spans="14:14" x14ac:dyDescent="0.2">
      <c r="N15314" s="131"/>
    </row>
    <row r="15315" spans="14:14" x14ac:dyDescent="0.2">
      <c r="N15315" s="131"/>
    </row>
    <row r="15316" spans="14:14" x14ac:dyDescent="0.2">
      <c r="N15316" s="131"/>
    </row>
    <row r="15317" spans="14:14" x14ac:dyDescent="0.2">
      <c r="N15317" s="131"/>
    </row>
    <row r="15318" spans="14:14" x14ac:dyDescent="0.2">
      <c r="N15318" s="131"/>
    </row>
    <row r="15319" spans="14:14" x14ac:dyDescent="0.2">
      <c r="N15319" s="131"/>
    </row>
    <row r="15320" spans="14:14" x14ac:dyDescent="0.2">
      <c r="N15320" s="131"/>
    </row>
    <row r="15321" spans="14:14" x14ac:dyDescent="0.2">
      <c r="N15321" s="131"/>
    </row>
    <row r="15322" spans="14:14" x14ac:dyDescent="0.2">
      <c r="N15322" s="131"/>
    </row>
    <row r="15323" spans="14:14" x14ac:dyDescent="0.2">
      <c r="N15323" s="131"/>
    </row>
    <row r="15324" spans="14:14" x14ac:dyDescent="0.2">
      <c r="N15324" s="131"/>
    </row>
    <row r="15325" spans="14:14" x14ac:dyDescent="0.2">
      <c r="N15325" s="131"/>
    </row>
    <row r="15326" spans="14:14" x14ac:dyDescent="0.2">
      <c r="N15326" s="131"/>
    </row>
    <row r="15327" spans="14:14" x14ac:dyDescent="0.2">
      <c r="N15327" s="131"/>
    </row>
    <row r="15328" spans="14:14" x14ac:dyDescent="0.2">
      <c r="N15328" s="131"/>
    </row>
    <row r="15329" spans="14:14" x14ac:dyDescent="0.2">
      <c r="N15329" s="131"/>
    </row>
    <row r="15330" spans="14:14" x14ac:dyDescent="0.2">
      <c r="N15330" s="131"/>
    </row>
    <row r="15331" spans="14:14" x14ac:dyDescent="0.2">
      <c r="N15331" s="131"/>
    </row>
    <row r="15332" spans="14:14" x14ac:dyDescent="0.2">
      <c r="N15332" s="131"/>
    </row>
    <row r="15333" spans="14:14" x14ac:dyDescent="0.2">
      <c r="N15333" s="131"/>
    </row>
    <row r="15334" spans="14:14" x14ac:dyDescent="0.2">
      <c r="N15334" s="131"/>
    </row>
    <row r="15335" spans="14:14" x14ac:dyDescent="0.2">
      <c r="N15335" s="131"/>
    </row>
    <row r="15336" spans="14:14" x14ac:dyDescent="0.2">
      <c r="N15336" s="131"/>
    </row>
    <row r="15337" spans="14:14" x14ac:dyDescent="0.2">
      <c r="N15337" s="131"/>
    </row>
    <row r="15338" spans="14:14" x14ac:dyDescent="0.2">
      <c r="N15338" s="131"/>
    </row>
    <row r="15339" spans="14:14" x14ac:dyDescent="0.2">
      <c r="N15339" s="131"/>
    </row>
    <row r="15340" spans="14:14" x14ac:dyDescent="0.2">
      <c r="N15340" s="131"/>
    </row>
    <row r="15341" spans="14:14" x14ac:dyDescent="0.2">
      <c r="N15341" s="131"/>
    </row>
    <row r="15342" spans="14:14" x14ac:dyDescent="0.2">
      <c r="N15342" s="131"/>
    </row>
    <row r="15343" spans="14:14" x14ac:dyDescent="0.2">
      <c r="N15343" s="131"/>
    </row>
    <row r="15344" spans="14:14" x14ac:dyDescent="0.2">
      <c r="N15344" s="131"/>
    </row>
    <row r="15345" spans="14:14" x14ac:dyDescent="0.2">
      <c r="N15345" s="131"/>
    </row>
    <row r="15346" spans="14:14" x14ac:dyDescent="0.2">
      <c r="N15346" s="131"/>
    </row>
    <row r="15347" spans="14:14" x14ac:dyDescent="0.2">
      <c r="N15347" s="131"/>
    </row>
    <row r="15348" spans="14:14" x14ac:dyDescent="0.2">
      <c r="N15348" s="131"/>
    </row>
    <row r="15349" spans="14:14" x14ac:dyDescent="0.2">
      <c r="N15349" s="131"/>
    </row>
    <row r="15350" spans="14:14" x14ac:dyDescent="0.2">
      <c r="N15350" s="131"/>
    </row>
    <row r="15351" spans="14:14" x14ac:dyDescent="0.2">
      <c r="N15351" s="131"/>
    </row>
    <row r="15352" spans="14:14" x14ac:dyDescent="0.2">
      <c r="N15352" s="131"/>
    </row>
    <row r="15353" spans="14:14" x14ac:dyDescent="0.2">
      <c r="N15353" s="131"/>
    </row>
    <row r="15354" spans="14:14" x14ac:dyDescent="0.2">
      <c r="N15354" s="131"/>
    </row>
    <row r="15355" spans="14:14" x14ac:dyDescent="0.2">
      <c r="N15355" s="131"/>
    </row>
    <row r="15356" spans="14:14" x14ac:dyDescent="0.2">
      <c r="N15356" s="131"/>
    </row>
    <row r="15357" spans="14:14" x14ac:dyDescent="0.2">
      <c r="N15357" s="131"/>
    </row>
    <row r="15358" spans="14:14" x14ac:dyDescent="0.2">
      <c r="N15358" s="131"/>
    </row>
    <row r="15359" spans="14:14" x14ac:dyDescent="0.2">
      <c r="N15359" s="131"/>
    </row>
    <row r="15360" spans="14:14" x14ac:dyDescent="0.2">
      <c r="N15360" s="131"/>
    </row>
    <row r="15361" spans="14:14" x14ac:dyDescent="0.2">
      <c r="N15361" s="131"/>
    </row>
    <row r="15362" spans="14:14" x14ac:dyDescent="0.2">
      <c r="N15362" s="131"/>
    </row>
    <row r="15363" spans="14:14" x14ac:dyDescent="0.2">
      <c r="N15363" s="131"/>
    </row>
    <row r="15364" spans="14:14" x14ac:dyDescent="0.2">
      <c r="N15364" s="131"/>
    </row>
    <row r="15365" spans="14:14" x14ac:dyDescent="0.2">
      <c r="N15365" s="131"/>
    </row>
    <row r="15366" spans="14:14" x14ac:dyDescent="0.2">
      <c r="N15366" s="131"/>
    </row>
    <row r="15367" spans="14:14" x14ac:dyDescent="0.2">
      <c r="N15367" s="131"/>
    </row>
    <row r="15368" spans="14:14" x14ac:dyDescent="0.2">
      <c r="N15368" s="131"/>
    </row>
    <row r="15369" spans="14:14" x14ac:dyDescent="0.2">
      <c r="N15369" s="131"/>
    </row>
    <row r="15370" spans="14:14" x14ac:dyDescent="0.2">
      <c r="N15370" s="131"/>
    </row>
    <row r="15371" spans="14:14" x14ac:dyDescent="0.2">
      <c r="N15371" s="131"/>
    </row>
    <row r="15372" spans="14:14" x14ac:dyDescent="0.2">
      <c r="N15372" s="131"/>
    </row>
    <row r="15373" spans="14:14" x14ac:dyDescent="0.2">
      <c r="N15373" s="131"/>
    </row>
    <row r="15374" spans="14:14" x14ac:dyDescent="0.2">
      <c r="N15374" s="131"/>
    </row>
    <row r="15375" spans="14:14" x14ac:dyDescent="0.2">
      <c r="N15375" s="131"/>
    </row>
    <row r="15376" spans="14:14" x14ac:dyDescent="0.2">
      <c r="N15376" s="131"/>
    </row>
    <row r="15377" spans="14:14" x14ac:dyDescent="0.2">
      <c r="N15377" s="131"/>
    </row>
    <row r="15378" spans="14:14" x14ac:dyDescent="0.2">
      <c r="N15378" s="131"/>
    </row>
    <row r="15379" spans="14:14" x14ac:dyDescent="0.2">
      <c r="N15379" s="131"/>
    </row>
    <row r="15380" spans="14:14" x14ac:dyDescent="0.2">
      <c r="N15380" s="131"/>
    </row>
    <row r="15381" spans="14:14" x14ac:dyDescent="0.2">
      <c r="N15381" s="131"/>
    </row>
    <row r="15382" spans="14:14" x14ac:dyDescent="0.2">
      <c r="N15382" s="131"/>
    </row>
    <row r="15383" spans="14:14" x14ac:dyDescent="0.2">
      <c r="N15383" s="131"/>
    </row>
    <row r="15384" spans="14:14" x14ac:dyDescent="0.2">
      <c r="N15384" s="131"/>
    </row>
    <row r="15385" spans="14:14" x14ac:dyDescent="0.2">
      <c r="N15385" s="131"/>
    </row>
    <row r="15386" spans="14:14" x14ac:dyDescent="0.2">
      <c r="N15386" s="131"/>
    </row>
    <row r="15387" spans="14:14" x14ac:dyDescent="0.2">
      <c r="N15387" s="131"/>
    </row>
    <row r="15388" spans="14:14" x14ac:dyDescent="0.2">
      <c r="N15388" s="131"/>
    </row>
    <row r="15389" spans="14:14" x14ac:dyDescent="0.2">
      <c r="N15389" s="131"/>
    </row>
    <row r="15390" spans="14:14" x14ac:dyDescent="0.2">
      <c r="N15390" s="131"/>
    </row>
    <row r="15391" spans="14:14" x14ac:dyDescent="0.2">
      <c r="N15391" s="131"/>
    </row>
    <row r="15392" spans="14:14" x14ac:dyDescent="0.2">
      <c r="N15392" s="131"/>
    </row>
    <row r="15393" spans="14:14" x14ac:dyDescent="0.2">
      <c r="N15393" s="131"/>
    </row>
    <row r="15394" spans="14:14" x14ac:dyDescent="0.2">
      <c r="N15394" s="131"/>
    </row>
    <row r="15395" spans="14:14" x14ac:dyDescent="0.2">
      <c r="N15395" s="131"/>
    </row>
    <row r="15396" spans="14:14" x14ac:dyDescent="0.2">
      <c r="N15396" s="131"/>
    </row>
    <row r="15397" spans="14:14" x14ac:dyDescent="0.2">
      <c r="N15397" s="131"/>
    </row>
    <row r="15398" spans="14:14" x14ac:dyDescent="0.2">
      <c r="N15398" s="131"/>
    </row>
    <row r="15399" spans="14:14" x14ac:dyDescent="0.2">
      <c r="N15399" s="131"/>
    </row>
    <row r="15400" spans="14:14" x14ac:dyDescent="0.2">
      <c r="N15400" s="131"/>
    </row>
    <row r="15401" spans="14:14" x14ac:dyDescent="0.2">
      <c r="N15401" s="131"/>
    </row>
    <row r="15402" spans="14:14" x14ac:dyDescent="0.2">
      <c r="N15402" s="131"/>
    </row>
    <row r="15403" spans="14:14" x14ac:dyDescent="0.2">
      <c r="N15403" s="131"/>
    </row>
    <row r="15404" spans="14:14" x14ac:dyDescent="0.2">
      <c r="N15404" s="131"/>
    </row>
    <row r="15405" spans="14:14" x14ac:dyDescent="0.2">
      <c r="N15405" s="131"/>
    </row>
    <row r="15406" spans="14:14" x14ac:dyDescent="0.2">
      <c r="N15406" s="131"/>
    </row>
    <row r="15407" spans="14:14" x14ac:dyDescent="0.2">
      <c r="N15407" s="131"/>
    </row>
    <row r="15408" spans="14:14" x14ac:dyDescent="0.2">
      <c r="N15408" s="131"/>
    </row>
    <row r="15409" spans="14:14" x14ac:dyDescent="0.2">
      <c r="N15409" s="131"/>
    </row>
    <row r="15410" spans="14:14" x14ac:dyDescent="0.2">
      <c r="N15410" s="131"/>
    </row>
    <row r="15411" spans="14:14" x14ac:dyDescent="0.2">
      <c r="N15411" s="131"/>
    </row>
    <row r="15412" spans="14:14" x14ac:dyDescent="0.2">
      <c r="N15412" s="131"/>
    </row>
    <row r="15413" spans="14:14" x14ac:dyDescent="0.2">
      <c r="N15413" s="131"/>
    </row>
    <row r="15414" spans="14:14" x14ac:dyDescent="0.2">
      <c r="N15414" s="131"/>
    </row>
    <row r="15415" spans="14:14" x14ac:dyDescent="0.2">
      <c r="N15415" s="131"/>
    </row>
    <row r="15416" spans="14:14" x14ac:dyDescent="0.2">
      <c r="N15416" s="131"/>
    </row>
    <row r="15417" spans="14:14" x14ac:dyDescent="0.2">
      <c r="N15417" s="131"/>
    </row>
    <row r="15418" spans="14:14" x14ac:dyDescent="0.2">
      <c r="N15418" s="131"/>
    </row>
    <row r="15419" spans="14:14" x14ac:dyDescent="0.2">
      <c r="N15419" s="131"/>
    </row>
    <row r="15420" spans="14:14" x14ac:dyDescent="0.2">
      <c r="N15420" s="131"/>
    </row>
    <row r="15421" spans="14:14" x14ac:dyDescent="0.2">
      <c r="N15421" s="131"/>
    </row>
    <row r="15422" spans="14:14" x14ac:dyDescent="0.2">
      <c r="N15422" s="131"/>
    </row>
    <row r="15423" spans="14:14" x14ac:dyDescent="0.2">
      <c r="N15423" s="131"/>
    </row>
    <row r="15424" spans="14:14" x14ac:dyDescent="0.2">
      <c r="N15424" s="131"/>
    </row>
    <row r="15425" spans="14:14" x14ac:dyDescent="0.2">
      <c r="N15425" s="131"/>
    </row>
    <row r="15426" spans="14:14" x14ac:dyDescent="0.2">
      <c r="N15426" s="131"/>
    </row>
    <row r="15427" spans="14:14" x14ac:dyDescent="0.2">
      <c r="N15427" s="131"/>
    </row>
    <row r="15428" spans="14:14" x14ac:dyDescent="0.2">
      <c r="N15428" s="131"/>
    </row>
    <row r="15429" spans="14:14" x14ac:dyDescent="0.2">
      <c r="N15429" s="131"/>
    </row>
    <row r="15430" spans="14:14" x14ac:dyDescent="0.2">
      <c r="N15430" s="131"/>
    </row>
    <row r="15431" spans="14:14" x14ac:dyDescent="0.2">
      <c r="N15431" s="131"/>
    </row>
    <row r="15432" spans="14:14" x14ac:dyDescent="0.2">
      <c r="N15432" s="131"/>
    </row>
    <row r="15433" spans="14:14" x14ac:dyDescent="0.2">
      <c r="N15433" s="131"/>
    </row>
    <row r="15434" spans="14:14" x14ac:dyDescent="0.2">
      <c r="N15434" s="131"/>
    </row>
    <row r="15435" spans="14:14" x14ac:dyDescent="0.2">
      <c r="N15435" s="131"/>
    </row>
    <row r="15436" spans="14:14" x14ac:dyDescent="0.2">
      <c r="N15436" s="131"/>
    </row>
    <row r="15437" spans="14:14" x14ac:dyDescent="0.2">
      <c r="N15437" s="131"/>
    </row>
    <row r="15438" spans="14:14" x14ac:dyDescent="0.2">
      <c r="N15438" s="131"/>
    </row>
    <row r="15439" spans="14:14" x14ac:dyDescent="0.2">
      <c r="N15439" s="131"/>
    </row>
    <row r="15440" spans="14:14" x14ac:dyDescent="0.2">
      <c r="N15440" s="131"/>
    </row>
    <row r="15441" spans="14:14" x14ac:dyDescent="0.2">
      <c r="N15441" s="131"/>
    </row>
    <row r="15442" spans="14:14" x14ac:dyDescent="0.2">
      <c r="N15442" s="131"/>
    </row>
    <row r="15443" spans="14:14" x14ac:dyDescent="0.2">
      <c r="N15443" s="131"/>
    </row>
    <row r="15444" spans="14:14" x14ac:dyDescent="0.2">
      <c r="N15444" s="131"/>
    </row>
    <row r="15445" spans="14:14" x14ac:dyDescent="0.2">
      <c r="N15445" s="131"/>
    </row>
    <row r="15446" spans="14:14" x14ac:dyDescent="0.2">
      <c r="N15446" s="131"/>
    </row>
    <row r="15447" spans="14:14" x14ac:dyDescent="0.2">
      <c r="N15447" s="131"/>
    </row>
    <row r="15448" spans="14:14" x14ac:dyDescent="0.2">
      <c r="N15448" s="131"/>
    </row>
    <row r="15449" spans="14:14" x14ac:dyDescent="0.2">
      <c r="N15449" s="131"/>
    </row>
    <row r="15450" spans="14:14" x14ac:dyDescent="0.2">
      <c r="N15450" s="131"/>
    </row>
    <row r="15451" spans="14:14" x14ac:dyDescent="0.2">
      <c r="N15451" s="131"/>
    </row>
    <row r="15452" spans="14:14" x14ac:dyDescent="0.2">
      <c r="N15452" s="131"/>
    </row>
    <row r="15453" spans="14:14" x14ac:dyDescent="0.2">
      <c r="N15453" s="131"/>
    </row>
    <row r="15454" spans="14:14" x14ac:dyDescent="0.2">
      <c r="N15454" s="131"/>
    </row>
    <row r="15455" spans="14:14" x14ac:dyDescent="0.2">
      <c r="N15455" s="131"/>
    </row>
    <row r="15456" spans="14:14" x14ac:dyDescent="0.2">
      <c r="N15456" s="131"/>
    </row>
    <row r="15457" spans="14:14" x14ac:dyDescent="0.2">
      <c r="N15457" s="131"/>
    </row>
    <row r="15458" spans="14:14" x14ac:dyDescent="0.2">
      <c r="N15458" s="131"/>
    </row>
    <row r="15459" spans="14:14" x14ac:dyDescent="0.2">
      <c r="N15459" s="131"/>
    </row>
    <row r="15460" spans="14:14" x14ac:dyDescent="0.2">
      <c r="N15460" s="131"/>
    </row>
    <row r="15461" spans="14:14" x14ac:dyDescent="0.2">
      <c r="N15461" s="131"/>
    </row>
    <row r="15462" spans="14:14" x14ac:dyDescent="0.2">
      <c r="N15462" s="131"/>
    </row>
    <row r="15463" spans="14:14" x14ac:dyDescent="0.2">
      <c r="N15463" s="131"/>
    </row>
    <row r="15464" spans="14:14" x14ac:dyDescent="0.2">
      <c r="N15464" s="131"/>
    </row>
    <row r="15465" spans="14:14" x14ac:dyDescent="0.2">
      <c r="N15465" s="131"/>
    </row>
    <row r="15466" spans="14:14" x14ac:dyDescent="0.2">
      <c r="N15466" s="131"/>
    </row>
    <row r="15467" spans="14:14" x14ac:dyDescent="0.2">
      <c r="N15467" s="131"/>
    </row>
    <row r="15468" spans="14:14" x14ac:dyDescent="0.2">
      <c r="N15468" s="131"/>
    </row>
    <row r="15469" spans="14:14" x14ac:dyDescent="0.2">
      <c r="N15469" s="131"/>
    </row>
    <row r="15470" spans="14:14" x14ac:dyDescent="0.2">
      <c r="N15470" s="131"/>
    </row>
    <row r="15471" spans="14:14" x14ac:dyDescent="0.2">
      <c r="N15471" s="131"/>
    </row>
    <row r="15472" spans="14:14" x14ac:dyDescent="0.2">
      <c r="N15472" s="131"/>
    </row>
    <row r="15473" spans="14:14" x14ac:dyDescent="0.2">
      <c r="N15473" s="131"/>
    </row>
    <row r="15474" spans="14:14" x14ac:dyDescent="0.2">
      <c r="N15474" s="131"/>
    </row>
    <row r="15475" spans="14:14" x14ac:dyDescent="0.2">
      <c r="N15475" s="131"/>
    </row>
    <row r="15476" spans="14:14" x14ac:dyDescent="0.2">
      <c r="N15476" s="131"/>
    </row>
    <row r="15477" spans="14:14" x14ac:dyDescent="0.2">
      <c r="N15477" s="131"/>
    </row>
    <row r="15478" spans="14:14" x14ac:dyDescent="0.2">
      <c r="N15478" s="131"/>
    </row>
    <row r="15479" spans="14:14" x14ac:dyDescent="0.2">
      <c r="N15479" s="131"/>
    </row>
    <row r="15480" spans="14:14" x14ac:dyDescent="0.2">
      <c r="N15480" s="131"/>
    </row>
    <row r="15481" spans="14:14" x14ac:dyDescent="0.2">
      <c r="N15481" s="131"/>
    </row>
    <row r="15482" spans="14:14" x14ac:dyDescent="0.2">
      <c r="N15482" s="131"/>
    </row>
    <row r="15483" spans="14:14" x14ac:dyDescent="0.2">
      <c r="N15483" s="131"/>
    </row>
    <row r="15484" spans="14:14" x14ac:dyDescent="0.2">
      <c r="N15484" s="131"/>
    </row>
    <row r="15485" spans="14:14" x14ac:dyDescent="0.2">
      <c r="N15485" s="131"/>
    </row>
    <row r="15486" spans="14:14" x14ac:dyDescent="0.2">
      <c r="N15486" s="131"/>
    </row>
    <row r="15487" spans="14:14" x14ac:dyDescent="0.2">
      <c r="N15487" s="131"/>
    </row>
    <row r="15488" spans="14:14" x14ac:dyDescent="0.2">
      <c r="N15488" s="131"/>
    </row>
    <row r="15489" spans="14:14" x14ac:dyDescent="0.2">
      <c r="N15489" s="131"/>
    </row>
    <row r="15490" spans="14:14" x14ac:dyDescent="0.2">
      <c r="N15490" s="131"/>
    </row>
    <row r="15491" spans="14:14" x14ac:dyDescent="0.2">
      <c r="N15491" s="131"/>
    </row>
    <row r="15492" spans="14:14" x14ac:dyDescent="0.2">
      <c r="N15492" s="131"/>
    </row>
    <row r="15493" spans="14:14" x14ac:dyDescent="0.2">
      <c r="N15493" s="131"/>
    </row>
    <row r="15494" spans="14:14" x14ac:dyDescent="0.2">
      <c r="N15494" s="131"/>
    </row>
    <row r="15495" spans="14:14" x14ac:dyDescent="0.2">
      <c r="N15495" s="131"/>
    </row>
    <row r="15496" spans="14:14" x14ac:dyDescent="0.2">
      <c r="N15496" s="131"/>
    </row>
    <row r="15497" spans="14:14" x14ac:dyDescent="0.2">
      <c r="N15497" s="131"/>
    </row>
    <row r="15498" spans="14:14" x14ac:dyDescent="0.2">
      <c r="N15498" s="131"/>
    </row>
    <row r="15499" spans="14:14" x14ac:dyDescent="0.2">
      <c r="N15499" s="131"/>
    </row>
    <row r="15500" spans="14:14" x14ac:dyDescent="0.2">
      <c r="N15500" s="131"/>
    </row>
    <row r="15501" spans="14:14" x14ac:dyDescent="0.2">
      <c r="N15501" s="131"/>
    </row>
    <row r="15502" spans="14:14" x14ac:dyDescent="0.2">
      <c r="N15502" s="131"/>
    </row>
    <row r="15503" spans="14:14" x14ac:dyDescent="0.2">
      <c r="N15503" s="131"/>
    </row>
    <row r="15504" spans="14:14" x14ac:dyDescent="0.2">
      <c r="N15504" s="131"/>
    </row>
    <row r="15505" spans="14:14" x14ac:dyDescent="0.2">
      <c r="N15505" s="131"/>
    </row>
    <row r="15506" spans="14:14" x14ac:dyDescent="0.2">
      <c r="N15506" s="131"/>
    </row>
    <row r="15507" spans="14:14" x14ac:dyDescent="0.2">
      <c r="N15507" s="131"/>
    </row>
    <row r="15508" spans="14:14" x14ac:dyDescent="0.2">
      <c r="N15508" s="131"/>
    </row>
    <row r="15509" spans="14:14" x14ac:dyDescent="0.2">
      <c r="N15509" s="131"/>
    </row>
    <row r="15510" spans="14:14" x14ac:dyDescent="0.2">
      <c r="N15510" s="131"/>
    </row>
    <row r="15511" spans="14:14" x14ac:dyDescent="0.2">
      <c r="N15511" s="131"/>
    </row>
    <row r="15512" spans="14:14" x14ac:dyDescent="0.2">
      <c r="N15512" s="131"/>
    </row>
    <row r="15513" spans="14:14" x14ac:dyDescent="0.2">
      <c r="N15513" s="131"/>
    </row>
    <row r="15514" spans="14:14" x14ac:dyDescent="0.2">
      <c r="N15514" s="131"/>
    </row>
    <row r="15515" spans="14:14" x14ac:dyDescent="0.2">
      <c r="N15515" s="131"/>
    </row>
    <row r="15516" spans="14:14" x14ac:dyDescent="0.2">
      <c r="N15516" s="131"/>
    </row>
    <row r="15517" spans="14:14" x14ac:dyDescent="0.2">
      <c r="N15517" s="131"/>
    </row>
    <row r="15518" spans="14:14" x14ac:dyDescent="0.2">
      <c r="N15518" s="131"/>
    </row>
    <row r="15519" spans="14:14" x14ac:dyDescent="0.2">
      <c r="N15519" s="131"/>
    </row>
    <row r="15520" spans="14:14" x14ac:dyDescent="0.2">
      <c r="N15520" s="131"/>
    </row>
    <row r="15521" spans="14:14" x14ac:dyDescent="0.2">
      <c r="N15521" s="131"/>
    </row>
    <row r="15522" spans="14:14" x14ac:dyDescent="0.2">
      <c r="N15522" s="131"/>
    </row>
    <row r="15523" spans="14:14" x14ac:dyDescent="0.2">
      <c r="N15523" s="131"/>
    </row>
    <row r="15524" spans="14:14" x14ac:dyDescent="0.2">
      <c r="N15524" s="131"/>
    </row>
    <row r="15525" spans="14:14" x14ac:dyDescent="0.2">
      <c r="N15525" s="131"/>
    </row>
    <row r="15526" spans="14:14" x14ac:dyDescent="0.2">
      <c r="N15526" s="131"/>
    </row>
    <row r="15527" spans="14:14" x14ac:dyDescent="0.2">
      <c r="N15527" s="131"/>
    </row>
    <row r="15528" spans="14:14" x14ac:dyDescent="0.2">
      <c r="N15528" s="131"/>
    </row>
    <row r="15529" spans="14:14" x14ac:dyDescent="0.2">
      <c r="N15529" s="131"/>
    </row>
    <row r="15530" spans="14:14" x14ac:dyDescent="0.2">
      <c r="N15530" s="131"/>
    </row>
    <row r="15531" spans="14:14" x14ac:dyDescent="0.2">
      <c r="N15531" s="131"/>
    </row>
    <row r="15532" spans="14:14" x14ac:dyDescent="0.2">
      <c r="N15532" s="131"/>
    </row>
    <row r="15533" spans="14:14" x14ac:dyDescent="0.2">
      <c r="N15533" s="131"/>
    </row>
    <row r="15534" spans="14:14" x14ac:dyDescent="0.2">
      <c r="N15534" s="131"/>
    </row>
    <row r="15535" spans="14:14" x14ac:dyDescent="0.2">
      <c r="N15535" s="131"/>
    </row>
    <row r="15536" spans="14:14" x14ac:dyDescent="0.2">
      <c r="N15536" s="131"/>
    </row>
    <row r="15537" spans="14:14" x14ac:dyDescent="0.2">
      <c r="N15537" s="131"/>
    </row>
    <row r="15538" spans="14:14" x14ac:dyDescent="0.2">
      <c r="N15538" s="131"/>
    </row>
    <row r="15539" spans="14:14" x14ac:dyDescent="0.2">
      <c r="N15539" s="131"/>
    </row>
    <row r="15540" spans="14:14" x14ac:dyDescent="0.2">
      <c r="N15540" s="131"/>
    </row>
    <row r="15541" spans="14:14" x14ac:dyDescent="0.2">
      <c r="N15541" s="131"/>
    </row>
    <row r="15542" spans="14:14" x14ac:dyDescent="0.2">
      <c r="N15542" s="131"/>
    </row>
    <row r="15543" spans="14:14" x14ac:dyDescent="0.2">
      <c r="N15543" s="131"/>
    </row>
    <row r="15544" spans="14:14" x14ac:dyDescent="0.2">
      <c r="N15544" s="131"/>
    </row>
    <row r="15545" spans="14:14" x14ac:dyDescent="0.2">
      <c r="N15545" s="131"/>
    </row>
    <row r="15546" spans="14:14" x14ac:dyDescent="0.2">
      <c r="N15546" s="131"/>
    </row>
    <row r="15547" spans="14:14" x14ac:dyDescent="0.2">
      <c r="N15547" s="131"/>
    </row>
    <row r="15548" spans="14:14" x14ac:dyDescent="0.2">
      <c r="N15548" s="131"/>
    </row>
    <row r="15549" spans="14:14" x14ac:dyDescent="0.2">
      <c r="N15549" s="131"/>
    </row>
    <row r="15550" spans="14:14" x14ac:dyDescent="0.2">
      <c r="N15550" s="131"/>
    </row>
    <row r="15551" spans="14:14" x14ac:dyDescent="0.2">
      <c r="N15551" s="131"/>
    </row>
    <row r="15552" spans="14:14" x14ac:dyDescent="0.2">
      <c r="N15552" s="131"/>
    </row>
    <row r="15553" spans="14:14" x14ac:dyDescent="0.2">
      <c r="N15553" s="131"/>
    </row>
    <row r="15554" spans="14:14" x14ac:dyDescent="0.2">
      <c r="N15554" s="131"/>
    </row>
    <row r="15555" spans="14:14" x14ac:dyDescent="0.2">
      <c r="N15555" s="131"/>
    </row>
    <row r="15556" spans="14:14" x14ac:dyDescent="0.2">
      <c r="N15556" s="131"/>
    </row>
    <row r="15557" spans="14:14" x14ac:dyDescent="0.2">
      <c r="N15557" s="131"/>
    </row>
    <row r="15558" spans="14:14" x14ac:dyDescent="0.2">
      <c r="N15558" s="131"/>
    </row>
    <row r="15559" spans="14:14" x14ac:dyDescent="0.2">
      <c r="N15559" s="131"/>
    </row>
    <row r="15560" spans="14:14" x14ac:dyDescent="0.2">
      <c r="N15560" s="131"/>
    </row>
    <row r="15561" spans="14:14" x14ac:dyDescent="0.2">
      <c r="N15561" s="131"/>
    </row>
    <row r="15562" spans="14:14" x14ac:dyDescent="0.2">
      <c r="N15562" s="131"/>
    </row>
    <row r="15563" spans="14:14" x14ac:dyDescent="0.2">
      <c r="N15563" s="131"/>
    </row>
    <row r="15564" spans="14:14" x14ac:dyDescent="0.2">
      <c r="N15564" s="131"/>
    </row>
    <row r="15565" spans="14:14" x14ac:dyDescent="0.2">
      <c r="N15565" s="131"/>
    </row>
    <row r="15566" spans="14:14" x14ac:dyDescent="0.2">
      <c r="N15566" s="131"/>
    </row>
    <row r="15567" spans="14:14" x14ac:dyDescent="0.2">
      <c r="N15567" s="131"/>
    </row>
    <row r="15568" spans="14:14" x14ac:dyDescent="0.2">
      <c r="N15568" s="131"/>
    </row>
    <row r="15569" spans="14:14" x14ac:dyDescent="0.2">
      <c r="N15569" s="131"/>
    </row>
    <row r="15570" spans="14:14" x14ac:dyDescent="0.2">
      <c r="N15570" s="131"/>
    </row>
    <row r="15571" spans="14:14" x14ac:dyDescent="0.2">
      <c r="N15571" s="131"/>
    </row>
    <row r="15572" spans="14:14" x14ac:dyDescent="0.2">
      <c r="N15572" s="131"/>
    </row>
    <row r="15573" spans="14:14" x14ac:dyDescent="0.2">
      <c r="N15573" s="131"/>
    </row>
    <row r="15574" spans="14:14" x14ac:dyDescent="0.2">
      <c r="N15574" s="131"/>
    </row>
    <row r="15575" spans="14:14" x14ac:dyDescent="0.2">
      <c r="N15575" s="131"/>
    </row>
    <row r="15576" spans="14:14" x14ac:dyDescent="0.2">
      <c r="N15576" s="131"/>
    </row>
    <row r="15577" spans="14:14" x14ac:dyDescent="0.2">
      <c r="N15577" s="131"/>
    </row>
    <row r="15578" spans="14:14" x14ac:dyDescent="0.2">
      <c r="N15578" s="131"/>
    </row>
    <row r="15579" spans="14:14" x14ac:dyDescent="0.2">
      <c r="N15579" s="131"/>
    </row>
    <row r="15580" spans="14:14" x14ac:dyDescent="0.2">
      <c r="N15580" s="131"/>
    </row>
    <row r="15581" spans="14:14" x14ac:dyDescent="0.2">
      <c r="N15581" s="131"/>
    </row>
    <row r="15582" spans="14:14" x14ac:dyDescent="0.2">
      <c r="N15582" s="131"/>
    </row>
    <row r="15583" spans="14:14" x14ac:dyDescent="0.2">
      <c r="N15583" s="131"/>
    </row>
    <row r="15584" spans="14:14" x14ac:dyDescent="0.2">
      <c r="N15584" s="131"/>
    </row>
    <row r="15585" spans="14:14" x14ac:dyDescent="0.2">
      <c r="N15585" s="131"/>
    </row>
    <row r="15586" spans="14:14" x14ac:dyDescent="0.2">
      <c r="N15586" s="131"/>
    </row>
    <row r="15587" spans="14:14" x14ac:dyDescent="0.2">
      <c r="N15587" s="131"/>
    </row>
    <row r="15588" spans="14:14" x14ac:dyDescent="0.2">
      <c r="N15588" s="131"/>
    </row>
    <row r="15589" spans="14:14" x14ac:dyDescent="0.2">
      <c r="N15589" s="131"/>
    </row>
    <row r="15590" spans="14:14" x14ac:dyDescent="0.2">
      <c r="N15590" s="131"/>
    </row>
    <row r="15591" spans="14:14" x14ac:dyDescent="0.2">
      <c r="N15591" s="131"/>
    </row>
    <row r="15592" spans="14:14" x14ac:dyDescent="0.2">
      <c r="N15592" s="131"/>
    </row>
    <row r="15593" spans="14:14" x14ac:dyDescent="0.2">
      <c r="N15593" s="131"/>
    </row>
    <row r="15594" spans="14:14" x14ac:dyDescent="0.2">
      <c r="N15594" s="131"/>
    </row>
    <row r="15595" spans="14:14" x14ac:dyDescent="0.2">
      <c r="N15595" s="131"/>
    </row>
    <row r="15596" spans="14:14" x14ac:dyDescent="0.2">
      <c r="N15596" s="131"/>
    </row>
    <row r="15597" spans="14:14" x14ac:dyDescent="0.2">
      <c r="N15597" s="131"/>
    </row>
    <row r="15598" spans="14:14" x14ac:dyDescent="0.2">
      <c r="N15598" s="131"/>
    </row>
    <row r="15599" spans="14:14" x14ac:dyDescent="0.2">
      <c r="N15599" s="131"/>
    </row>
    <row r="15600" spans="14:14" x14ac:dyDescent="0.2">
      <c r="N15600" s="131"/>
    </row>
    <row r="15601" spans="14:14" x14ac:dyDescent="0.2">
      <c r="N15601" s="131"/>
    </row>
    <row r="15602" spans="14:14" x14ac:dyDescent="0.2">
      <c r="N15602" s="131"/>
    </row>
    <row r="15603" spans="14:14" x14ac:dyDescent="0.2">
      <c r="N15603" s="131"/>
    </row>
    <row r="15604" spans="14:14" x14ac:dyDescent="0.2">
      <c r="N15604" s="131"/>
    </row>
    <row r="15605" spans="14:14" x14ac:dyDescent="0.2">
      <c r="N15605" s="131"/>
    </row>
    <row r="15606" spans="14:14" x14ac:dyDescent="0.2">
      <c r="N15606" s="131"/>
    </row>
    <row r="15607" spans="14:14" x14ac:dyDescent="0.2">
      <c r="N15607" s="131"/>
    </row>
    <row r="15608" spans="14:14" x14ac:dyDescent="0.2">
      <c r="N15608" s="131"/>
    </row>
    <row r="15609" spans="14:14" x14ac:dyDescent="0.2">
      <c r="N15609" s="131"/>
    </row>
    <row r="15610" spans="14:14" x14ac:dyDescent="0.2">
      <c r="N15610" s="131"/>
    </row>
    <row r="15611" spans="14:14" x14ac:dyDescent="0.2">
      <c r="N15611" s="131"/>
    </row>
    <row r="15612" spans="14:14" x14ac:dyDescent="0.2">
      <c r="N15612" s="131"/>
    </row>
    <row r="15613" spans="14:14" x14ac:dyDescent="0.2">
      <c r="N15613" s="131"/>
    </row>
    <row r="15614" spans="14:14" x14ac:dyDescent="0.2">
      <c r="N15614" s="131"/>
    </row>
    <row r="15615" spans="14:14" x14ac:dyDescent="0.2">
      <c r="N15615" s="131"/>
    </row>
    <row r="15616" spans="14:14" x14ac:dyDescent="0.2">
      <c r="N15616" s="131"/>
    </row>
    <row r="15617" spans="14:14" x14ac:dyDescent="0.2">
      <c r="N15617" s="131"/>
    </row>
    <row r="15618" spans="14:14" x14ac:dyDescent="0.2">
      <c r="N15618" s="131"/>
    </row>
    <row r="15619" spans="14:14" x14ac:dyDescent="0.2">
      <c r="N15619" s="131"/>
    </row>
    <row r="15620" spans="14:14" x14ac:dyDescent="0.2">
      <c r="N15620" s="131"/>
    </row>
    <row r="15621" spans="14:14" x14ac:dyDescent="0.2">
      <c r="N15621" s="131"/>
    </row>
    <row r="15622" spans="14:14" x14ac:dyDescent="0.2">
      <c r="N15622" s="131"/>
    </row>
    <row r="15623" spans="14:14" x14ac:dyDescent="0.2">
      <c r="N15623" s="131"/>
    </row>
    <row r="15624" spans="14:14" x14ac:dyDescent="0.2">
      <c r="N15624" s="131"/>
    </row>
    <row r="15625" spans="14:14" x14ac:dyDescent="0.2">
      <c r="N15625" s="131"/>
    </row>
    <row r="15626" spans="14:14" x14ac:dyDescent="0.2">
      <c r="N15626" s="131"/>
    </row>
    <row r="15627" spans="14:14" x14ac:dyDescent="0.2">
      <c r="N15627" s="131"/>
    </row>
    <row r="15628" spans="14:14" x14ac:dyDescent="0.2">
      <c r="N15628" s="131"/>
    </row>
    <row r="15629" spans="14:14" x14ac:dyDescent="0.2">
      <c r="N15629" s="131"/>
    </row>
    <row r="15630" spans="14:14" x14ac:dyDescent="0.2">
      <c r="N15630" s="131"/>
    </row>
    <row r="15631" spans="14:14" x14ac:dyDescent="0.2">
      <c r="N15631" s="131"/>
    </row>
    <row r="15632" spans="14:14" x14ac:dyDescent="0.2">
      <c r="N15632" s="131"/>
    </row>
    <row r="15633" spans="14:14" x14ac:dyDescent="0.2">
      <c r="N15633" s="131"/>
    </row>
    <row r="15634" spans="14:14" x14ac:dyDescent="0.2">
      <c r="N15634" s="131"/>
    </row>
    <row r="15635" spans="14:14" x14ac:dyDescent="0.2">
      <c r="N15635" s="131"/>
    </row>
    <row r="15636" spans="14:14" x14ac:dyDescent="0.2">
      <c r="N15636" s="131"/>
    </row>
    <row r="15637" spans="14:14" x14ac:dyDescent="0.2">
      <c r="N15637" s="131"/>
    </row>
    <row r="15638" spans="14:14" x14ac:dyDescent="0.2">
      <c r="N15638" s="131"/>
    </row>
    <row r="15639" spans="14:14" x14ac:dyDescent="0.2">
      <c r="N15639" s="131"/>
    </row>
    <row r="15640" spans="14:14" x14ac:dyDescent="0.2">
      <c r="N15640" s="131"/>
    </row>
    <row r="15641" spans="14:14" x14ac:dyDescent="0.2">
      <c r="N15641" s="131"/>
    </row>
    <row r="15642" spans="14:14" x14ac:dyDescent="0.2">
      <c r="N15642" s="131"/>
    </row>
    <row r="15643" spans="14:14" x14ac:dyDescent="0.2">
      <c r="N15643" s="131"/>
    </row>
    <row r="15644" spans="14:14" x14ac:dyDescent="0.2">
      <c r="N15644" s="131"/>
    </row>
    <row r="15645" spans="14:14" x14ac:dyDescent="0.2">
      <c r="N15645" s="131"/>
    </row>
    <row r="15646" spans="14:14" x14ac:dyDescent="0.2">
      <c r="N15646" s="131"/>
    </row>
    <row r="15647" spans="14:14" x14ac:dyDescent="0.2">
      <c r="N15647" s="131"/>
    </row>
    <row r="15648" spans="14:14" x14ac:dyDescent="0.2">
      <c r="N15648" s="131"/>
    </row>
    <row r="15649" spans="14:14" x14ac:dyDescent="0.2">
      <c r="N15649" s="131"/>
    </row>
    <row r="15650" spans="14:14" x14ac:dyDescent="0.2">
      <c r="N15650" s="131"/>
    </row>
    <row r="15651" spans="14:14" x14ac:dyDescent="0.2">
      <c r="N15651" s="131"/>
    </row>
    <row r="15652" spans="14:14" x14ac:dyDescent="0.2">
      <c r="N15652" s="131"/>
    </row>
    <row r="15653" spans="14:14" x14ac:dyDescent="0.2">
      <c r="N15653" s="131"/>
    </row>
    <row r="15654" spans="14:14" x14ac:dyDescent="0.2">
      <c r="N15654" s="131"/>
    </row>
    <row r="15655" spans="14:14" x14ac:dyDescent="0.2">
      <c r="N15655" s="131"/>
    </row>
    <row r="15656" spans="14:14" x14ac:dyDescent="0.2">
      <c r="N15656" s="131"/>
    </row>
    <row r="15657" spans="14:14" x14ac:dyDescent="0.2">
      <c r="N15657" s="131"/>
    </row>
    <row r="15658" spans="14:14" x14ac:dyDescent="0.2">
      <c r="N15658" s="131"/>
    </row>
    <row r="15659" spans="14:14" x14ac:dyDescent="0.2">
      <c r="N15659" s="131"/>
    </row>
    <row r="15660" spans="14:14" x14ac:dyDescent="0.2">
      <c r="N15660" s="131"/>
    </row>
    <row r="15661" spans="14:14" x14ac:dyDescent="0.2">
      <c r="N15661" s="131"/>
    </row>
    <row r="15662" spans="14:14" x14ac:dyDescent="0.2">
      <c r="N15662" s="131"/>
    </row>
    <row r="15663" spans="14:14" x14ac:dyDescent="0.2">
      <c r="N15663" s="131"/>
    </row>
    <row r="15664" spans="14:14" x14ac:dyDescent="0.2">
      <c r="N15664" s="131"/>
    </row>
    <row r="15665" spans="14:14" x14ac:dyDescent="0.2">
      <c r="N15665" s="131"/>
    </row>
    <row r="15666" spans="14:14" x14ac:dyDescent="0.2">
      <c r="N15666" s="131"/>
    </row>
    <row r="15667" spans="14:14" x14ac:dyDescent="0.2">
      <c r="N15667" s="131"/>
    </row>
    <row r="15668" spans="14:14" x14ac:dyDescent="0.2">
      <c r="N15668" s="131"/>
    </row>
    <row r="15669" spans="14:14" x14ac:dyDescent="0.2">
      <c r="N15669" s="131"/>
    </row>
    <row r="15670" spans="14:14" x14ac:dyDescent="0.2">
      <c r="N15670" s="131"/>
    </row>
    <row r="15671" spans="14:14" x14ac:dyDescent="0.2">
      <c r="N15671" s="131"/>
    </row>
    <row r="15672" spans="14:14" x14ac:dyDescent="0.2">
      <c r="N15672" s="131"/>
    </row>
    <row r="15673" spans="14:14" x14ac:dyDescent="0.2">
      <c r="N15673" s="131"/>
    </row>
    <row r="15674" spans="14:14" x14ac:dyDescent="0.2">
      <c r="N15674" s="131"/>
    </row>
    <row r="15675" spans="14:14" x14ac:dyDescent="0.2">
      <c r="N15675" s="131"/>
    </row>
    <row r="15676" spans="14:14" x14ac:dyDescent="0.2">
      <c r="N15676" s="131"/>
    </row>
    <row r="15677" spans="14:14" x14ac:dyDescent="0.2">
      <c r="N15677" s="131"/>
    </row>
    <row r="15678" spans="14:14" x14ac:dyDescent="0.2">
      <c r="N15678" s="131"/>
    </row>
    <row r="15679" spans="14:14" x14ac:dyDescent="0.2">
      <c r="N15679" s="131"/>
    </row>
    <row r="15680" spans="14:14" x14ac:dyDescent="0.2">
      <c r="N15680" s="131"/>
    </row>
    <row r="15681" spans="14:14" x14ac:dyDescent="0.2">
      <c r="N15681" s="131"/>
    </row>
    <row r="15682" spans="14:14" x14ac:dyDescent="0.2">
      <c r="N15682" s="131"/>
    </row>
    <row r="15683" spans="14:14" x14ac:dyDescent="0.2">
      <c r="N15683" s="131"/>
    </row>
    <row r="15684" spans="14:14" x14ac:dyDescent="0.2">
      <c r="N15684" s="131"/>
    </row>
    <row r="15685" spans="14:14" x14ac:dyDescent="0.2">
      <c r="N15685" s="131"/>
    </row>
    <row r="15686" spans="14:14" x14ac:dyDescent="0.2">
      <c r="N15686" s="131"/>
    </row>
    <row r="15687" spans="14:14" x14ac:dyDescent="0.2">
      <c r="N15687" s="131"/>
    </row>
    <row r="15688" spans="14:14" x14ac:dyDescent="0.2">
      <c r="N15688" s="131"/>
    </row>
    <row r="15689" spans="14:14" x14ac:dyDescent="0.2">
      <c r="N15689" s="131"/>
    </row>
    <row r="15690" spans="14:14" x14ac:dyDescent="0.2">
      <c r="N15690" s="131"/>
    </row>
    <row r="15691" spans="14:14" x14ac:dyDescent="0.2">
      <c r="N15691" s="131"/>
    </row>
    <row r="15692" spans="14:14" x14ac:dyDescent="0.2">
      <c r="N15692" s="131"/>
    </row>
    <row r="15693" spans="14:14" x14ac:dyDescent="0.2">
      <c r="N15693" s="131"/>
    </row>
    <row r="15694" spans="14:14" x14ac:dyDescent="0.2">
      <c r="N15694" s="131"/>
    </row>
    <row r="15695" spans="14:14" x14ac:dyDescent="0.2">
      <c r="N15695" s="131"/>
    </row>
    <row r="15696" spans="14:14" x14ac:dyDescent="0.2">
      <c r="N15696" s="131"/>
    </row>
    <row r="15697" spans="14:14" x14ac:dyDescent="0.2">
      <c r="N15697" s="131"/>
    </row>
    <row r="15698" spans="14:14" x14ac:dyDescent="0.2">
      <c r="N15698" s="131"/>
    </row>
    <row r="15699" spans="14:14" x14ac:dyDescent="0.2">
      <c r="N15699" s="131"/>
    </row>
    <row r="15700" spans="14:14" x14ac:dyDescent="0.2">
      <c r="N15700" s="131"/>
    </row>
    <row r="15701" spans="14:14" x14ac:dyDescent="0.2">
      <c r="N15701" s="131"/>
    </row>
    <row r="15702" spans="14:14" x14ac:dyDescent="0.2">
      <c r="N15702" s="131"/>
    </row>
    <row r="15703" spans="14:14" x14ac:dyDescent="0.2">
      <c r="N15703" s="131"/>
    </row>
    <row r="15704" spans="14:14" x14ac:dyDescent="0.2">
      <c r="N15704" s="131"/>
    </row>
    <row r="15705" spans="14:14" x14ac:dyDescent="0.2">
      <c r="N15705" s="131"/>
    </row>
    <row r="15706" spans="14:14" x14ac:dyDescent="0.2">
      <c r="N15706" s="131"/>
    </row>
    <row r="15707" spans="14:14" x14ac:dyDescent="0.2">
      <c r="N15707" s="131"/>
    </row>
    <row r="15708" spans="14:14" x14ac:dyDescent="0.2">
      <c r="N15708" s="131"/>
    </row>
    <row r="15709" spans="14:14" x14ac:dyDescent="0.2">
      <c r="N15709" s="131"/>
    </row>
    <row r="15710" spans="14:14" x14ac:dyDescent="0.2">
      <c r="N15710" s="131"/>
    </row>
    <row r="15711" spans="14:14" x14ac:dyDescent="0.2">
      <c r="N15711" s="131"/>
    </row>
    <row r="15712" spans="14:14" x14ac:dyDescent="0.2">
      <c r="N15712" s="131"/>
    </row>
    <row r="15713" spans="14:14" x14ac:dyDescent="0.2">
      <c r="N15713" s="131"/>
    </row>
    <row r="15714" spans="14:14" x14ac:dyDescent="0.2">
      <c r="N15714" s="131"/>
    </row>
    <row r="15715" spans="14:14" x14ac:dyDescent="0.2">
      <c r="N15715" s="131"/>
    </row>
    <row r="15716" spans="14:14" x14ac:dyDescent="0.2">
      <c r="N15716" s="131"/>
    </row>
    <row r="15717" spans="14:14" x14ac:dyDescent="0.2">
      <c r="N15717" s="131"/>
    </row>
    <row r="15718" spans="14:14" x14ac:dyDescent="0.2">
      <c r="N15718" s="131"/>
    </row>
    <row r="15719" spans="14:14" x14ac:dyDescent="0.2">
      <c r="N15719" s="131"/>
    </row>
    <row r="15720" spans="14:14" x14ac:dyDescent="0.2">
      <c r="N15720" s="131"/>
    </row>
    <row r="15721" spans="14:14" x14ac:dyDescent="0.2">
      <c r="N15721" s="131"/>
    </row>
    <row r="15722" spans="14:14" x14ac:dyDescent="0.2">
      <c r="N15722" s="131"/>
    </row>
    <row r="15723" spans="14:14" x14ac:dyDescent="0.2">
      <c r="N15723" s="131"/>
    </row>
    <row r="15724" spans="14:14" x14ac:dyDescent="0.2">
      <c r="N15724" s="131"/>
    </row>
    <row r="15725" spans="14:14" x14ac:dyDescent="0.2">
      <c r="N15725" s="131"/>
    </row>
    <row r="15726" spans="14:14" x14ac:dyDescent="0.2">
      <c r="N15726" s="131"/>
    </row>
    <row r="15727" spans="14:14" x14ac:dyDescent="0.2">
      <c r="N15727" s="131"/>
    </row>
    <row r="15728" spans="14:14" x14ac:dyDescent="0.2">
      <c r="N15728" s="131"/>
    </row>
    <row r="15729" spans="14:14" x14ac:dyDescent="0.2">
      <c r="N15729" s="131"/>
    </row>
    <row r="15730" spans="14:14" x14ac:dyDescent="0.2">
      <c r="N15730" s="131"/>
    </row>
    <row r="15731" spans="14:14" x14ac:dyDescent="0.2">
      <c r="N15731" s="131"/>
    </row>
    <row r="15732" spans="14:14" x14ac:dyDescent="0.2">
      <c r="N15732" s="131"/>
    </row>
    <row r="15733" spans="14:14" x14ac:dyDescent="0.2">
      <c r="N15733" s="131"/>
    </row>
    <row r="15734" spans="14:14" x14ac:dyDescent="0.2">
      <c r="N15734" s="131"/>
    </row>
    <row r="15735" spans="14:14" x14ac:dyDescent="0.2">
      <c r="N15735" s="131"/>
    </row>
    <row r="15736" spans="14:14" x14ac:dyDescent="0.2">
      <c r="N15736" s="131"/>
    </row>
    <row r="15737" spans="14:14" x14ac:dyDescent="0.2">
      <c r="N15737" s="131"/>
    </row>
    <row r="15738" spans="14:14" x14ac:dyDescent="0.2">
      <c r="N15738" s="131"/>
    </row>
    <row r="15739" spans="14:14" x14ac:dyDescent="0.2">
      <c r="N15739" s="131"/>
    </row>
    <row r="15740" spans="14:14" x14ac:dyDescent="0.2">
      <c r="N15740" s="131"/>
    </row>
    <row r="15741" spans="14:14" x14ac:dyDescent="0.2">
      <c r="N15741" s="131"/>
    </row>
    <row r="15742" spans="14:14" x14ac:dyDescent="0.2">
      <c r="N15742" s="131"/>
    </row>
    <row r="15743" spans="14:14" x14ac:dyDescent="0.2">
      <c r="N15743" s="131"/>
    </row>
    <row r="15744" spans="14:14" x14ac:dyDescent="0.2">
      <c r="N15744" s="131"/>
    </row>
    <row r="15745" spans="14:14" x14ac:dyDescent="0.2">
      <c r="N15745" s="131"/>
    </row>
    <row r="15746" spans="14:14" x14ac:dyDescent="0.2">
      <c r="N15746" s="131"/>
    </row>
    <row r="15747" spans="14:14" x14ac:dyDescent="0.2">
      <c r="N15747" s="131"/>
    </row>
    <row r="15748" spans="14:14" x14ac:dyDescent="0.2">
      <c r="N15748" s="131"/>
    </row>
    <row r="15749" spans="14:14" x14ac:dyDescent="0.2">
      <c r="N15749" s="131"/>
    </row>
    <row r="15750" spans="14:14" x14ac:dyDescent="0.2">
      <c r="N15750" s="131"/>
    </row>
    <row r="15751" spans="14:14" x14ac:dyDescent="0.2">
      <c r="N15751" s="131"/>
    </row>
    <row r="15752" spans="14:14" x14ac:dyDescent="0.2">
      <c r="N15752" s="131"/>
    </row>
    <row r="15753" spans="14:14" x14ac:dyDescent="0.2">
      <c r="N15753" s="131"/>
    </row>
    <row r="15754" spans="14:14" x14ac:dyDescent="0.2">
      <c r="N15754" s="131"/>
    </row>
    <row r="15755" spans="14:14" x14ac:dyDescent="0.2">
      <c r="N15755" s="131"/>
    </row>
    <row r="15756" spans="14:14" x14ac:dyDescent="0.2">
      <c r="N15756" s="131"/>
    </row>
    <row r="15757" spans="14:14" x14ac:dyDescent="0.2">
      <c r="N15757" s="131"/>
    </row>
    <row r="15758" spans="14:14" x14ac:dyDescent="0.2">
      <c r="N15758" s="131"/>
    </row>
    <row r="15759" spans="14:14" x14ac:dyDescent="0.2">
      <c r="N15759" s="131"/>
    </row>
    <row r="15760" spans="14:14" x14ac:dyDescent="0.2">
      <c r="N15760" s="131"/>
    </row>
    <row r="15761" spans="14:14" x14ac:dyDescent="0.2">
      <c r="N15761" s="131"/>
    </row>
    <row r="15762" spans="14:14" x14ac:dyDescent="0.2">
      <c r="N15762" s="131"/>
    </row>
    <row r="15763" spans="14:14" x14ac:dyDescent="0.2">
      <c r="N15763" s="131"/>
    </row>
    <row r="15764" spans="14:14" x14ac:dyDescent="0.2">
      <c r="N15764" s="131"/>
    </row>
    <row r="15765" spans="14:14" x14ac:dyDescent="0.2">
      <c r="N15765" s="131"/>
    </row>
    <row r="15766" spans="14:14" x14ac:dyDescent="0.2">
      <c r="N15766" s="131"/>
    </row>
    <row r="15767" spans="14:14" x14ac:dyDescent="0.2">
      <c r="N15767" s="131"/>
    </row>
    <row r="15768" spans="14:14" x14ac:dyDescent="0.2">
      <c r="N15768" s="131"/>
    </row>
    <row r="15769" spans="14:14" x14ac:dyDescent="0.2">
      <c r="N15769" s="131"/>
    </row>
    <row r="15770" spans="14:14" x14ac:dyDescent="0.2">
      <c r="N15770" s="131"/>
    </row>
    <row r="15771" spans="14:14" x14ac:dyDescent="0.2">
      <c r="N15771" s="131"/>
    </row>
    <row r="15772" spans="14:14" x14ac:dyDescent="0.2">
      <c r="N15772" s="131"/>
    </row>
    <row r="15773" spans="14:14" x14ac:dyDescent="0.2">
      <c r="N15773" s="131"/>
    </row>
    <row r="15774" spans="14:14" x14ac:dyDescent="0.2">
      <c r="N15774" s="131"/>
    </row>
    <row r="15775" spans="14:14" x14ac:dyDescent="0.2">
      <c r="N15775" s="131"/>
    </row>
    <row r="15776" spans="14:14" x14ac:dyDescent="0.2">
      <c r="N15776" s="131"/>
    </row>
    <row r="15777" spans="14:14" x14ac:dyDescent="0.2">
      <c r="N15777" s="131"/>
    </row>
    <row r="15778" spans="14:14" x14ac:dyDescent="0.2">
      <c r="N15778" s="131"/>
    </row>
    <row r="15779" spans="14:14" x14ac:dyDescent="0.2">
      <c r="N15779" s="131"/>
    </row>
    <row r="15780" spans="14:14" x14ac:dyDescent="0.2">
      <c r="N15780" s="131"/>
    </row>
    <row r="15781" spans="14:14" x14ac:dyDescent="0.2">
      <c r="N15781" s="131"/>
    </row>
    <row r="15782" spans="14:14" x14ac:dyDescent="0.2">
      <c r="N15782" s="131"/>
    </row>
    <row r="15783" spans="14:14" x14ac:dyDescent="0.2">
      <c r="N15783" s="131"/>
    </row>
    <row r="15784" spans="14:14" x14ac:dyDescent="0.2">
      <c r="N15784" s="131"/>
    </row>
    <row r="15785" spans="14:14" x14ac:dyDescent="0.2">
      <c r="N15785" s="131"/>
    </row>
    <row r="15786" spans="14:14" x14ac:dyDescent="0.2">
      <c r="N15786" s="131"/>
    </row>
    <row r="15787" spans="14:14" x14ac:dyDescent="0.2">
      <c r="N15787" s="131"/>
    </row>
    <row r="15788" spans="14:14" x14ac:dyDescent="0.2">
      <c r="N15788" s="131"/>
    </row>
    <row r="15789" spans="14:14" x14ac:dyDescent="0.2">
      <c r="N15789" s="131"/>
    </row>
    <row r="15790" spans="14:14" x14ac:dyDescent="0.2">
      <c r="N15790" s="131"/>
    </row>
    <row r="15791" spans="14:14" x14ac:dyDescent="0.2">
      <c r="N15791" s="131"/>
    </row>
    <row r="15792" spans="14:14" x14ac:dyDescent="0.2">
      <c r="N15792" s="131"/>
    </row>
    <row r="15793" spans="14:14" x14ac:dyDescent="0.2">
      <c r="N15793" s="131"/>
    </row>
    <row r="15794" spans="14:14" x14ac:dyDescent="0.2">
      <c r="N15794" s="131"/>
    </row>
    <row r="15795" spans="14:14" x14ac:dyDescent="0.2">
      <c r="N15795" s="131"/>
    </row>
    <row r="15796" spans="14:14" x14ac:dyDescent="0.2">
      <c r="N15796" s="131"/>
    </row>
    <row r="15797" spans="14:14" x14ac:dyDescent="0.2">
      <c r="N15797" s="131"/>
    </row>
    <row r="15798" spans="14:14" x14ac:dyDescent="0.2">
      <c r="N15798" s="131"/>
    </row>
    <row r="15799" spans="14:14" x14ac:dyDescent="0.2">
      <c r="N15799" s="131"/>
    </row>
    <row r="15800" spans="14:14" x14ac:dyDescent="0.2">
      <c r="N15800" s="131"/>
    </row>
    <row r="15801" spans="14:14" x14ac:dyDescent="0.2">
      <c r="N15801" s="131"/>
    </row>
    <row r="15802" spans="14:14" x14ac:dyDescent="0.2">
      <c r="N15802" s="131"/>
    </row>
    <row r="15803" spans="14:14" x14ac:dyDescent="0.2">
      <c r="N15803" s="131"/>
    </row>
    <row r="15804" spans="14:14" x14ac:dyDescent="0.2">
      <c r="N15804" s="131"/>
    </row>
    <row r="15805" spans="14:14" x14ac:dyDescent="0.2">
      <c r="N15805" s="131"/>
    </row>
    <row r="15806" spans="14:14" x14ac:dyDescent="0.2">
      <c r="N15806" s="131"/>
    </row>
    <row r="15807" spans="14:14" x14ac:dyDescent="0.2">
      <c r="N15807" s="131"/>
    </row>
    <row r="15808" spans="14:14" x14ac:dyDescent="0.2">
      <c r="N15808" s="131"/>
    </row>
    <row r="15809" spans="14:14" x14ac:dyDescent="0.2">
      <c r="N15809" s="131"/>
    </row>
    <row r="15810" spans="14:14" x14ac:dyDescent="0.2">
      <c r="N15810" s="131"/>
    </row>
    <row r="15811" spans="14:14" x14ac:dyDescent="0.2">
      <c r="N15811" s="131"/>
    </row>
    <row r="15812" spans="14:14" x14ac:dyDescent="0.2">
      <c r="N15812" s="131"/>
    </row>
    <row r="15813" spans="14:14" x14ac:dyDescent="0.2">
      <c r="N15813" s="131"/>
    </row>
    <row r="15814" spans="14:14" x14ac:dyDescent="0.2">
      <c r="N15814" s="131"/>
    </row>
    <row r="15815" spans="14:14" x14ac:dyDescent="0.2">
      <c r="N15815" s="131"/>
    </row>
    <row r="15816" spans="14:14" x14ac:dyDescent="0.2">
      <c r="N15816" s="131"/>
    </row>
    <row r="15817" spans="14:14" x14ac:dyDescent="0.2">
      <c r="N15817" s="131"/>
    </row>
    <row r="15818" spans="14:14" x14ac:dyDescent="0.2">
      <c r="N15818" s="131"/>
    </row>
    <row r="15819" spans="14:14" x14ac:dyDescent="0.2">
      <c r="N15819" s="131"/>
    </row>
    <row r="15820" spans="14:14" x14ac:dyDescent="0.2">
      <c r="N15820" s="131"/>
    </row>
    <row r="15821" spans="14:14" x14ac:dyDescent="0.2">
      <c r="N15821" s="131"/>
    </row>
    <row r="15822" spans="14:14" x14ac:dyDescent="0.2">
      <c r="N15822" s="131"/>
    </row>
    <row r="15823" spans="14:14" x14ac:dyDescent="0.2">
      <c r="N15823" s="131"/>
    </row>
    <row r="15824" spans="14:14" x14ac:dyDescent="0.2">
      <c r="N15824" s="131"/>
    </row>
    <row r="15825" spans="14:14" x14ac:dyDescent="0.2">
      <c r="N15825" s="131"/>
    </row>
    <row r="15826" spans="14:14" x14ac:dyDescent="0.2">
      <c r="N15826" s="131"/>
    </row>
    <row r="15827" spans="14:14" x14ac:dyDescent="0.2">
      <c r="N15827" s="131"/>
    </row>
    <row r="15828" spans="14:14" x14ac:dyDescent="0.2">
      <c r="N15828" s="131"/>
    </row>
    <row r="15829" spans="14:14" x14ac:dyDescent="0.2">
      <c r="N15829" s="131"/>
    </row>
    <row r="15830" spans="14:14" x14ac:dyDescent="0.2">
      <c r="N15830" s="131"/>
    </row>
    <row r="15831" spans="14:14" x14ac:dyDescent="0.2">
      <c r="N15831" s="131"/>
    </row>
    <row r="15832" spans="14:14" x14ac:dyDescent="0.2">
      <c r="N15832" s="131"/>
    </row>
    <row r="15833" spans="14:14" x14ac:dyDescent="0.2">
      <c r="N15833" s="131"/>
    </row>
    <row r="15834" spans="14:14" x14ac:dyDescent="0.2">
      <c r="N15834" s="131"/>
    </row>
    <row r="15835" spans="14:14" x14ac:dyDescent="0.2">
      <c r="N15835" s="131"/>
    </row>
    <row r="15836" spans="14:14" x14ac:dyDescent="0.2">
      <c r="N15836" s="131"/>
    </row>
    <row r="15837" spans="14:14" x14ac:dyDescent="0.2">
      <c r="N15837" s="131"/>
    </row>
    <row r="15838" spans="14:14" x14ac:dyDescent="0.2">
      <c r="N15838" s="131"/>
    </row>
    <row r="15839" spans="14:14" x14ac:dyDescent="0.2">
      <c r="N15839" s="131"/>
    </row>
    <row r="15840" spans="14:14" x14ac:dyDescent="0.2">
      <c r="N15840" s="131"/>
    </row>
    <row r="15841" spans="14:14" x14ac:dyDescent="0.2">
      <c r="N15841" s="131"/>
    </row>
    <row r="15842" spans="14:14" x14ac:dyDescent="0.2">
      <c r="N15842" s="131"/>
    </row>
    <row r="15843" spans="14:14" x14ac:dyDescent="0.2">
      <c r="N15843" s="131"/>
    </row>
    <row r="15844" spans="14:14" x14ac:dyDescent="0.2">
      <c r="N15844" s="131"/>
    </row>
    <row r="15845" spans="14:14" x14ac:dyDescent="0.2">
      <c r="N15845" s="131"/>
    </row>
    <row r="15846" spans="14:14" x14ac:dyDescent="0.2">
      <c r="N15846" s="131"/>
    </row>
    <row r="15847" spans="14:14" x14ac:dyDescent="0.2">
      <c r="N15847" s="131"/>
    </row>
    <row r="15848" spans="14:14" x14ac:dyDescent="0.2">
      <c r="N15848" s="131"/>
    </row>
    <row r="15849" spans="14:14" x14ac:dyDescent="0.2">
      <c r="N15849" s="131"/>
    </row>
    <row r="15850" spans="14:14" x14ac:dyDescent="0.2">
      <c r="N15850" s="131"/>
    </row>
    <row r="15851" spans="14:14" x14ac:dyDescent="0.2">
      <c r="N15851" s="131"/>
    </row>
    <row r="15852" spans="14:14" x14ac:dyDescent="0.2">
      <c r="N15852" s="131"/>
    </row>
    <row r="15853" spans="14:14" x14ac:dyDescent="0.2">
      <c r="N15853" s="131"/>
    </row>
    <row r="15854" spans="14:14" x14ac:dyDescent="0.2">
      <c r="N15854" s="131"/>
    </row>
    <row r="15855" spans="14:14" x14ac:dyDescent="0.2">
      <c r="N15855" s="131"/>
    </row>
    <row r="15856" spans="14:14" x14ac:dyDescent="0.2">
      <c r="N15856" s="131"/>
    </row>
    <row r="15857" spans="14:14" x14ac:dyDescent="0.2">
      <c r="N15857" s="131"/>
    </row>
    <row r="15858" spans="14:14" x14ac:dyDescent="0.2">
      <c r="N15858" s="131"/>
    </row>
    <row r="15859" spans="14:14" x14ac:dyDescent="0.2">
      <c r="N15859" s="131"/>
    </row>
    <row r="15860" spans="14:14" x14ac:dyDescent="0.2">
      <c r="N15860" s="131"/>
    </row>
    <row r="15861" spans="14:14" x14ac:dyDescent="0.2">
      <c r="N15861" s="131"/>
    </row>
    <row r="15862" spans="14:14" x14ac:dyDescent="0.2">
      <c r="N15862" s="131"/>
    </row>
    <row r="15863" spans="14:14" x14ac:dyDescent="0.2">
      <c r="N15863" s="131"/>
    </row>
    <row r="15864" spans="14:14" x14ac:dyDescent="0.2">
      <c r="N15864" s="131"/>
    </row>
    <row r="15865" spans="14:14" x14ac:dyDescent="0.2">
      <c r="N15865" s="131"/>
    </row>
    <row r="15866" spans="14:14" x14ac:dyDescent="0.2">
      <c r="N15866" s="131"/>
    </row>
    <row r="15867" spans="14:14" x14ac:dyDescent="0.2">
      <c r="N15867" s="131"/>
    </row>
    <row r="15868" spans="14:14" x14ac:dyDescent="0.2">
      <c r="N15868" s="131"/>
    </row>
    <row r="15869" spans="14:14" x14ac:dyDescent="0.2">
      <c r="N15869" s="131"/>
    </row>
    <row r="15870" spans="14:14" x14ac:dyDescent="0.2">
      <c r="N15870" s="131"/>
    </row>
    <row r="15871" spans="14:14" x14ac:dyDescent="0.2">
      <c r="N15871" s="131"/>
    </row>
    <row r="15872" spans="14:14" x14ac:dyDescent="0.2">
      <c r="N15872" s="131"/>
    </row>
    <row r="15873" spans="14:14" x14ac:dyDescent="0.2">
      <c r="N15873" s="131"/>
    </row>
    <row r="15874" spans="14:14" x14ac:dyDescent="0.2">
      <c r="N15874" s="131"/>
    </row>
    <row r="15875" spans="14:14" x14ac:dyDescent="0.2">
      <c r="N15875" s="131"/>
    </row>
    <row r="15876" spans="14:14" x14ac:dyDescent="0.2">
      <c r="N15876" s="131"/>
    </row>
    <row r="15877" spans="14:14" x14ac:dyDescent="0.2">
      <c r="N15877" s="131"/>
    </row>
    <row r="15878" spans="14:14" x14ac:dyDescent="0.2">
      <c r="N15878" s="131"/>
    </row>
    <row r="15879" spans="14:14" x14ac:dyDescent="0.2">
      <c r="N15879" s="131"/>
    </row>
    <row r="15880" spans="14:14" x14ac:dyDescent="0.2">
      <c r="N15880" s="131"/>
    </row>
    <row r="15881" spans="14:14" x14ac:dyDescent="0.2">
      <c r="N15881" s="131"/>
    </row>
    <row r="15882" spans="14:14" x14ac:dyDescent="0.2">
      <c r="N15882" s="131"/>
    </row>
    <row r="15883" spans="14:14" x14ac:dyDescent="0.2">
      <c r="N15883" s="131"/>
    </row>
    <row r="15884" spans="14:14" x14ac:dyDescent="0.2">
      <c r="N15884" s="131"/>
    </row>
    <row r="15885" spans="14:14" x14ac:dyDescent="0.2">
      <c r="N15885" s="131"/>
    </row>
    <row r="15886" spans="14:14" x14ac:dyDescent="0.2">
      <c r="N15886" s="131"/>
    </row>
    <row r="15887" spans="14:14" x14ac:dyDescent="0.2">
      <c r="N15887" s="131"/>
    </row>
    <row r="15888" spans="14:14" x14ac:dyDescent="0.2">
      <c r="N15888" s="131"/>
    </row>
    <row r="15889" spans="14:14" x14ac:dyDescent="0.2">
      <c r="N15889" s="131"/>
    </row>
    <row r="15890" spans="14:14" x14ac:dyDescent="0.2">
      <c r="N15890" s="131"/>
    </row>
    <row r="15891" spans="14:14" x14ac:dyDescent="0.2">
      <c r="N15891" s="131"/>
    </row>
    <row r="15892" spans="14:14" x14ac:dyDescent="0.2">
      <c r="N15892" s="131"/>
    </row>
    <row r="15893" spans="14:14" x14ac:dyDescent="0.2">
      <c r="N15893" s="131"/>
    </row>
    <row r="15894" spans="14:14" x14ac:dyDescent="0.2">
      <c r="N15894" s="131"/>
    </row>
    <row r="15895" spans="14:14" x14ac:dyDescent="0.2">
      <c r="N15895" s="131"/>
    </row>
    <row r="15896" spans="14:14" x14ac:dyDescent="0.2">
      <c r="N15896" s="131"/>
    </row>
    <row r="15897" spans="14:14" x14ac:dyDescent="0.2">
      <c r="N15897" s="131"/>
    </row>
    <row r="15898" spans="14:14" x14ac:dyDescent="0.2">
      <c r="N15898" s="131"/>
    </row>
    <row r="15899" spans="14:14" x14ac:dyDescent="0.2">
      <c r="N15899" s="131"/>
    </row>
    <row r="15900" spans="14:14" x14ac:dyDescent="0.2">
      <c r="N15900" s="131"/>
    </row>
    <row r="15901" spans="14:14" x14ac:dyDescent="0.2">
      <c r="N15901" s="131"/>
    </row>
    <row r="15902" spans="14:14" x14ac:dyDescent="0.2">
      <c r="N15902" s="131"/>
    </row>
    <row r="15903" spans="14:14" x14ac:dyDescent="0.2">
      <c r="N15903" s="131"/>
    </row>
    <row r="15904" spans="14:14" x14ac:dyDescent="0.2">
      <c r="N15904" s="131"/>
    </row>
    <row r="15905" spans="14:14" x14ac:dyDescent="0.2">
      <c r="N15905" s="131"/>
    </row>
    <row r="15906" spans="14:14" x14ac:dyDescent="0.2">
      <c r="N15906" s="131"/>
    </row>
    <row r="15907" spans="14:14" x14ac:dyDescent="0.2">
      <c r="N15907" s="131"/>
    </row>
    <row r="15908" spans="14:14" x14ac:dyDescent="0.2">
      <c r="N15908" s="131"/>
    </row>
    <row r="15909" spans="14:14" x14ac:dyDescent="0.2">
      <c r="N15909" s="131"/>
    </row>
    <row r="15910" spans="14:14" x14ac:dyDescent="0.2">
      <c r="N15910" s="131"/>
    </row>
    <row r="15911" spans="14:14" x14ac:dyDescent="0.2">
      <c r="N15911" s="131"/>
    </row>
    <row r="15912" spans="14:14" x14ac:dyDescent="0.2">
      <c r="N15912" s="131"/>
    </row>
    <row r="15913" spans="14:14" x14ac:dyDescent="0.2">
      <c r="N15913" s="131"/>
    </row>
    <row r="15914" spans="14:14" x14ac:dyDescent="0.2">
      <c r="N15914" s="131"/>
    </row>
    <row r="15915" spans="14:14" x14ac:dyDescent="0.2">
      <c r="N15915" s="131"/>
    </row>
    <row r="15916" spans="14:14" x14ac:dyDescent="0.2">
      <c r="N15916" s="131"/>
    </row>
    <row r="15917" spans="14:14" x14ac:dyDescent="0.2">
      <c r="N15917" s="131"/>
    </row>
    <row r="15918" spans="14:14" x14ac:dyDescent="0.2">
      <c r="N15918" s="131"/>
    </row>
    <row r="15919" spans="14:14" x14ac:dyDescent="0.2">
      <c r="N15919" s="131"/>
    </row>
    <row r="15920" spans="14:14" x14ac:dyDescent="0.2">
      <c r="N15920" s="131"/>
    </row>
    <row r="15921" spans="14:14" x14ac:dyDescent="0.2">
      <c r="N15921" s="131"/>
    </row>
    <row r="15922" spans="14:14" x14ac:dyDescent="0.2">
      <c r="N15922" s="131"/>
    </row>
    <row r="15923" spans="14:14" x14ac:dyDescent="0.2">
      <c r="N15923" s="131"/>
    </row>
    <row r="15924" spans="14:14" x14ac:dyDescent="0.2">
      <c r="N15924" s="131"/>
    </row>
    <row r="15925" spans="14:14" x14ac:dyDescent="0.2">
      <c r="N15925" s="131"/>
    </row>
    <row r="15926" spans="14:14" x14ac:dyDescent="0.2">
      <c r="N15926" s="131"/>
    </row>
    <row r="15927" spans="14:14" x14ac:dyDescent="0.2">
      <c r="N15927" s="131"/>
    </row>
    <row r="15928" spans="14:14" x14ac:dyDescent="0.2">
      <c r="N15928" s="131"/>
    </row>
    <row r="15929" spans="14:14" x14ac:dyDescent="0.2">
      <c r="N15929" s="131"/>
    </row>
    <row r="15930" spans="14:14" x14ac:dyDescent="0.2">
      <c r="N15930" s="131"/>
    </row>
    <row r="15931" spans="14:14" x14ac:dyDescent="0.2">
      <c r="N15931" s="131"/>
    </row>
    <row r="15932" spans="14:14" x14ac:dyDescent="0.2">
      <c r="N15932" s="131"/>
    </row>
    <row r="15933" spans="14:14" x14ac:dyDescent="0.2">
      <c r="N15933" s="131"/>
    </row>
    <row r="15934" spans="14:14" x14ac:dyDescent="0.2">
      <c r="N15934" s="131"/>
    </row>
    <row r="15935" spans="14:14" x14ac:dyDescent="0.2">
      <c r="N15935" s="131"/>
    </row>
    <row r="15936" spans="14:14" x14ac:dyDescent="0.2">
      <c r="N15936" s="131"/>
    </row>
    <row r="15937" spans="14:14" x14ac:dyDescent="0.2">
      <c r="N15937" s="131"/>
    </row>
    <row r="15938" spans="14:14" x14ac:dyDescent="0.2">
      <c r="N15938" s="131"/>
    </row>
    <row r="15939" spans="14:14" x14ac:dyDescent="0.2">
      <c r="N15939" s="131"/>
    </row>
    <row r="15940" spans="14:14" x14ac:dyDescent="0.2">
      <c r="N15940" s="131"/>
    </row>
    <row r="15941" spans="14:14" x14ac:dyDescent="0.2">
      <c r="N15941" s="131"/>
    </row>
    <row r="15942" spans="14:14" x14ac:dyDescent="0.2">
      <c r="N15942" s="131"/>
    </row>
    <row r="15943" spans="14:14" x14ac:dyDescent="0.2">
      <c r="N15943" s="131"/>
    </row>
    <row r="15944" spans="14:14" x14ac:dyDescent="0.2">
      <c r="N15944" s="131"/>
    </row>
    <row r="15945" spans="14:14" x14ac:dyDescent="0.2">
      <c r="N15945" s="131"/>
    </row>
    <row r="15946" spans="14:14" x14ac:dyDescent="0.2">
      <c r="N15946" s="131"/>
    </row>
    <row r="15947" spans="14:14" x14ac:dyDescent="0.2">
      <c r="N15947" s="131"/>
    </row>
    <row r="15948" spans="14:14" x14ac:dyDescent="0.2">
      <c r="N15948" s="131"/>
    </row>
    <row r="15949" spans="14:14" x14ac:dyDescent="0.2">
      <c r="N15949" s="131"/>
    </row>
    <row r="15950" spans="14:14" x14ac:dyDescent="0.2">
      <c r="N15950" s="131"/>
    </row>
    <row r="15951" spans="14:14" x14ac:dyDescent="0.2">
      <c r="N15951" s="131"/>
    </row>
    <row r="15952" spans="14:14" x14ac:dyDescent="0.2">
      <c r="N15952" s="131"/>
    </row>
    <row r="15953" spans="14:14" x14ac:dyDescent="0.2">
      <c r="N15953" s="131"/>
    </row>
    <row r="15954" spans="14:14" x14ac:dyDescent="0.2">
      <c r="N15954" s="131"/>
    </row>
    <row r="15955" spans="14:14" x14ac:dyDescent="0.2">
      <c r="N15955" s="131"/>
    </row>
    <row r="15956" spans="14:14" x14ac:dyDescent="0.2">
      <c r="N15956" s="131"/>
    </row>
    <row r="15957" spans="14:14" x14ac:dyDescent="0.2">
      <c r="N15957" s="131"/>
    </row>
    <row r="15958" spans="14:14" x14ac:dyDescent="0.2">
      <c r="N15958" s="131"/>
    </row>
    <row r="15959" spans="14:14" x14ac:dyDescent="0.2">
      <c r="N15959" s="131"/>
    </row>
    <row r="15960" spans="14:14" x14ac:dyDescent="0.2">
      <c r="N15960" s="131"/>
    </row>
    <row r="15961" spans="14:14" x14ac:dyDescent="0.2">
      <c r="N15961" s="131"/>
    </row>
    <row r="15962" spans="14:14" x14ac:dyDescent="0.2">
      <c r="N15962" s="131"/>
    </row>
    <row r="15963" spans="14:14" x14ac:dyDescent="0.2">
      <c r="N15963" s="131"/>
    </row>
    <row r="15964" spans="14:14" x14ac:dyDescent="0.2">
      <c r="N15964" s="131"/>
    </row>
    <row r="15965" spans="14:14" x14ac:dyDescent="0.2">
      <c r="N15965" s="131"/>
    </row>
    <row r="15966" spans="14:14" x14ac:dyDescent="0.2">
      <c r="N15966" s="131"/>
    </row>
    <row r="15967" spans="14:14" x14ac:dyDescent="0.2">
      <c r="N15967" s="131"/>
    </row>
    <row r="15968" spans="14:14" x14ac:dyDescent="0.2">
      <c r="N15968" s="131"/>
    </row>
    <row r="15969" spans="14:14" x14ac:dyDescent="0.2">
      <c r="N15969" s="131"/>
    </row>
    <row r="15970" spans="14:14" x14ac:dyDescent="0.2">
      <c r="N15970" s="131"/>
    </row>
    <row r="15971" spans="14:14" x14ac:dyDescent="0.2">
      <c r="N15971" s="131"/>
    </row>
    <row r="15972" spans="14:14" x14ac:dyDescent="0.2">
      <c r="N15972" s="131"/>
    </row>
    <row r="15973" spans="14:14" x14ac:dyDescent="0.2">
      <c r="N15973" s="131"/>
    </row>
    <row r="15974" spans="14:14" x14ac:dyDescent="0.2">
      <c r="N15974" s="131"/>
    </row>
    <row r="15975" spans="14:14" x14ac:dyDescent="0.2">
      <c r="N15975" s="131"/>
    </row>
    <row r="15976" spans="14:14" x14ac:dyDescent="0.2">
      <c r="N15976" s="131"/>
    </row>
    <row r="15977" spans="14:14" x14ac:dyDescent="0.2">
      <c r="N15977" s="131"/>
    </row>
    <row r="15978" spans="14:14" x14ac:dyDescent="0.2">
      <c r="N15978" s="131"/>
    </row>
    <row r="15979" spans="14:14" x14ac:dyDescent="0.2">
      <c r="N15979" s="131"/>
    </row>
    <row r="15980" spans="14:14" x14ac:dyDescent="0.2">
      <c r="N15980" s="131"/>
    </row>
    <row r="15981" spans="14:14" x14ac:dyDescent="0.2">
      <c r="N15981" s="131"/>
    </row>
    <row r="15982" spans="14:14" x14ac:dyDescent="0.2">
      <c r="N15982" s="131"/>
    </row>
    <row r="15983" spans="14:14" x14ac:dyDescent="0.2">
      <c r="N15983" s="131"/>
    </row>
    <row r="15984" spans="14:14" x14ac:dyDescent="0.2">
      <c r="N15984" s="131"/>
    </row>
    <row r="15985" spans="14:14" x14ac:dyDescent="0.2">
      <c r="N15985" s="131"/>
    </row>
    <row r="15986" spans="14:14" x14ac:dyDescent="0.2">
      <c r="N15986" s="131"/>
    </row>
    <row r="15987" spans="14:14" x14ac:dyDescent="0.2">
      <c r="N15987" s="131"/>
    </row>
    <row r="15988" spans="14:14" x14ac:dyDescent="0.2">
      <c r="N15988" s="131"/>
    </row>
    <row r="15989" spans="14:14" x14ac:dyDescent="0.2">
      <c r="N15989" s="131"/>
    </row>
    <row r="15990" spans="14:14" x14ac:dyDescent="0.2">
      <c r="N15990" s="131"/>
    </row>
    <row r="15991" spans="14:14" x14ac:dyDescent="0.2">
      <c r="N15991" s="131"/>
    </row>
    <row r="15992" spans="14:14" x14ac:dyDescent="0.2">
      <c r="N15992" s="131"/>
    </row>
    <row r="15993" spans="14:14" x14ac:dyDescent="0.2">
      <c r="N15993" s="131"/>
    </row>
    <row r="15994" spans="14:14" x14ac:dyDescent="0.2">
      <c r="N15994" s="131"/>
    </row>
    <row r="15995" spans="14:14" x14ac:dyDescent="0.2">
      <c r="N15995" s="131"/>
    </row>
    <row r="15996" spans="14:14" x14ac:dyDescent="0.2">
      <c r="N15996" s="131"/>
    </row>
    <row r="15997" spans="14:14" x14ac:dyDescent="0.2">
      <c r="N15997" s="131"/>
    </row>
    <row r="15998" spans="14:14" x14ac:dyDescent="0.2">
      <c r="N15998" s="131"/>
    </row>
    <row r="15999" spans="14:14" x14ac:dyDescent="0.2">
      <c r="N15999" s="131"/>
    </row>
    <row r="16000" spans="14:14" x14ac:dyDescent="0.2">
      <c r="N16000" s="131"/>
    </row>
    <row r="16001" spans="14:14" x14ac:dyDescent="0.2">
      <c r="N16001" s="131"/>
    </row>
    <row r="16002" spans="14:14" x14ac:dyDescent="0.2">
      <c r="N16002" s="131"/>
    </row>
    <row r="16003" spans="14:14" x14ac:dyDescent="0.2">
      <c r="N16003" s="131"/>
    </row>
    <row r="16004" spans="14:14" x14ac:dyDescent="0.2">
      <c r="N16004" s="131"/>
    </row>
    <row r="16005" spans="14:14" x14ac:dyDescent="0.2">
      <c r="N16005" s="131"/>
    </row>
    <row r="16006" spans="14:14" x14ac:dyDescent="0.2">
      <c r="N16006" s="131"/>
    </row>
    <row r="16007" spans="14:14" x14ac:dyDescent="0.2">
      <c r="N16007" s="131"/>
    </row>
    <row r="16008" spans="14:14" x14ac:dyDescent="0.2">
      <c r="N16008" s="131"/>
    </row>
    <row r="16009" spans="14:14" x14ac:dyDescent="0.2">
      <c r="N16009" s="131"/>
    </row>
    <row r="16010" spans="14:14" x14ac:dyDescent="0.2">
      <c r="N16010" s="131"/>
    </row>
    <row r="16011" spans="14:14" x14ac:dyDescent="0.2">
      <c r="N16011" s="131"/>
    </row>
    <row r="16012" spans="14:14" x14ac:dyDescent="0.2">
      <c r="N16012" s="131"/>
    </row>
    <row r="16013" spans="14:14" x14ac:dyDescent="0.2">
      <c r="N16013" s="131"/>
    </row>
    <row r="16014" spans="14:14" x14ac:dyDescent="0.2">
      <c r="N16014" s="131"/>
    </row>
    <row r="16015" spans="14:14" x14ac:dyDescent="0.2">
      <c r="N16015" s="131"/>
    </row>
    <row r="16016" spans="14:14" x14ac:dyDescent="0.2">
      <c r="N16016" s="131"/>
    </row>
    <row r="16017" spans="14:14" x14ac:dyDescent="0.2">
      <c r="N16017" s="131"/>
    </row>
    <row r="16018" spans="14:14" x14ac:dyDescent="0.2">
      <c r="N16018" s="131"/>
    </row>
    <row r="16019" spans="14:14" x14ac:dyDescent="0.2">
      <c r="N16019" s="131"/>
    </row>
    <row r="16020" spans="14:14" x14ac:dyDescent="0.2">
      <c r="N16020" s="131"/>
    </row>
    <row r="16021" spans="14:14" x14ac:dyDescent="0.2">
      <c r="N16021" s="131"/>
    </row>
    <row r="16022" spans="14:14" x14ac:dyDescent="0.2">
      <c r="N16022" s="131"/>
    </row>
    <row r="16023" spans="14:14" x14ac:dyDescent="0.2">
      <c r="N16023" s="131"/>
    </row>
    <row r="16024" spans="14:14" x14ac:dyDescent="0.2">
      <c r="N16024" s="131"/>
    </row>
    <row r="16025" spans="14:14" x14ac:dyDescent="0.2">
      <c r="N16025" s="131"/>
    </row>
    <row r="16026" spans="14:14" x14ac:dyDescent="0.2">
      <c r="N16026" s="131"/>
    </row>
    <row r="16027" spans="14:14" x14ac:dyDescent="0.2">
      <c r="N16027" s="131"/>
    </row>
    <row r="16028" spans="14:14" x14ac:dyDescent="0.2">
      <c r="N16028" s="131"/>
    </row>
    <row r="16029" spans="14:14" x14ac:dyDescent="0.2">
      <c r="N16029" s="131"/>
    </row>
    <row r="16030" spans="14:14" x14ac:dyDescent="0.2">
      <c r="N16030" s="131"/>
    </row>
    <row r="16031" spans="14:14" x14ac:dyDescent="0.2">
      <c r="N16031" s="131"/>
    </row>
    <row r="16032" spans="14:14" x14ac:dyDescent="0.2">
      <c r="N16032" s="131"/>
    </row>
    <row r="16033" spans="14:14" x14ac:dyDescent="0.2">
      <c r="N16033" s="131"/>
    </row>
    <row r="16034" spans="14:14" x14ac:dyDescent="0.2">
      <c r="N16034" s="131"/>
    </row>
    <row r="16035" spans="14:14" x14ac:dyDescent="0.2">
      <c r="N16035" s="131"/>
    </row>
    <row r="16036" spans="14:14" x14ac:dyDescent="0.2">
      <c r="N16036" s="131"/>
    </row>
    <row r="16037" spans="14:14" x14ac:dyDescent="0.2">
      <c r="N16037" s="131"/>
    </row>
    <row r="16038" spans="14:14" x14ac:dyDescent="0.2">
      <c r="N16038" s="131"/>
    </row>
    <row r="16039" spans="14:14" x14ac:dyDescent="0.2">
      <c r="N16039" s="131"/>
    </row>
    <row r="16040" spans="14:14" x14ac:dyDescent="0.2">
      <c r="N16040" s="131"/>
    </row>
    <row r="16041" spans="14:14" x14ac:dyDescent="0.2">
      <c r="N16041" s="131"/>
    </row>
    <row r="16042" spans="14:14" x14ac:dyDescent="0.2">
      <c r="N16042" s="131"/>
    </row>
    <row r="16043" spans="14:14" x14ac:dyDescent="0.2">
      <c r="N16043" s="131"/>
    </row>
    <row r="16044" spans="14:14" x14ac:dyDescent="0.2">
      <c r="N16044" s="131"/>
    </row>
    <row r="16045" spans="14:14" x14ac:dyDescent="0.2">
      <c r="N16045" s="131"/>
    </row>
    <row r="16046" spans="14:14" x14ac:dyDescent="0.2">
      <c r="N16046" s="131"/>
    </row>
    <row r="16047" spans="14:14" x14ac:dyDescent="0.2">
      <c r="N16047" s="131"/>
    </row>
    <row r="16048" spans="14:14" x14ac:dyDescent="0.2">
      <c r="N16048" s="131"/>
    </row>
    <row r="16049" spans="14:14" x14ac:dyDescent="0.2">
      <c r="N16049" s="131"/>
    </row>
    <row r="16050" spans="14:14" x14ac:dyDescent="0.2">
      <c r="N16050" s="131"/>
    </row>
    <row r="16051" spans="14:14" x14ac:dyDescent="0.2">
      <c r="N16051" s="131"/>
    </row>
    <row r="16052" spans="14:14" x14ac:dyDescent="0.2">
      <c r="N16052" s="131"/>
    </row>
    <row r="16053" spans="14:14" x14ac:dyDescent="0.2">
      <c r="N16053" s="131"/>
    </row>
    <row r="16054" spans="14:14" x14ac:dyDescent="0.2">
      <c r="N16054" s="131"/>
    </row>
    <row r="16055" spans="14:14" x14ac:dyDescent="0.2">
      <c r="N16055" s="131"/>
    </row>
    <row r="16056" spans="14:14" x14ac:dyDescent="0.2">
      <c r="N16056" s="131"/>
    </row>
    <row r="16057" spans="14:14" x14ac:dyDescent="0.2">
      <c r="N16057" s="131"/>
    </row>
    <row r="16058" spans="14:14" x14ac:dyDescent="0.2">
      <c r="N16058" s="131"/>
    </row>
    <row r="16059" spans="14:14" x14ac:dyDescent="0.2">
      <c r="N16059" s="131"/>
    </row>
    <row r="16060" spans="14:14" x14ac:dyDescent="0.2">
      <c r="N16060" s="131"/>
    </row>
    <row r="16061" spans="14:14" x14ac:dyDescent="0.2">
      <c r="N16061" s="131"/>
    </row>
    <row r="16062" spans="14:14" x14ac:dyDescent="0.2">
      <c r="N16062" s="131"/>
    </row>
    <row r="16063" spans="14:14" x14ac:dyDescent="0.2">
      <c r="N16063" s="131"/>
    </row>
    <row r="16064" spans="14:14" x14ac:dyDescent="0.2">
      <c r="N16064" s="131"/>
    </row>
    <row r="16065" spans="14:14" x14ac:dyDescent="0.2">
      <c r="N16065" s="131"/>
    </row>
    <row r="16066" spans="14:14" x14ac:dyDescent="0.2">
      <c r="N16066" s="131"/>
    </row>
    <row r="16067" spans="14:14" x14ac:dyDescent="0.2">
      <c r="N16067" s="131"/>
    </row>
    <row r="16068" spans="14:14" x14ac:dyDescent="0.2">
      <c r="N16068" s="131"/>
    </row>
    <row r="16069" spans="14:14" x14ac:dyDescent="0.2">
      <c r="N16069" s="131"/>
    </row>
    <row r="16070" spans="14:14" x14ac:dyDescent="0.2">
      <c r="N16070" s="131"/>
    </row>
    <row r="16071" spans="14:14" x14ac:dyDescent="0.2">
      <c r="N16071" s="131"/>
    </row>
    <row r="16072" spans="14:14" x14ac:dyDescent="0.2">
      <c r="N16072" s="131"/>
    </row>
    <row r="16073" spans="14:14" x14ac:dyDescent="0.2">
      <c r="N16073" s="131"/>
    </row>
    <row r="16074" spans="14:14" x14ac:dyDescent="0.2">
      <c r="N16074" s="131"/>
    </row>
    <row r="16075" spans="14:14" x14ac:dyDescent="0.2">
      <c r="N16075" s="131"/>
    </row>
    <row r="16076" spans="14:14" x14ac:dyDescent="0.2">
      <c r="N16076" s="131"/>
    </row>
    <row r="16077" spans="14:14" x14ac:dyDescent="0.2">
      <c r="N16077" s="131"/>
    </row>
    <row r="16078" spans="14:14" x14ac:dyDescent="0.2">
      <c r="N16078" s="131"/>
    </row>
    <row r="16079" spans="14:14" x14ac:dyDescent="0.2">
      <c r="N16079" s="131"/>
    </row>
    <row r="16080" spans="14:14" x14ac:dyDescent="0.2">
      <c r="N16080" s="131"/>
    </row>
    <row r="16081" spans="14:14" x14ac:dyDescent="0.2">
      <c r="N16081" s="131"/>
    </row>
    <row r="16082" spans="14:14" x14ac:dyDescent="0.2">
      <c r="N16082" s="131"/>
    </row>
    <row r="16083" spans="14:14" x14ac:dyDescent="0.2">
      <c r="N16083" s="131"/>
    </row>
    <row r="16084" spans="14:14" x14ac:dyDescent="0.2">
      <c r="N16084" s="131"/>
    </row>
    <row r="16085" spans="14:14" x14ac:dyDescent="0.2">
      <c r="N16085" s="131"/>
    </row>
    <row r="16086" spans="14:14" x14ac:dyDescent="0.2">
      <c r="N16086" s="131"/>
    </row>
    <row r="16087" spans="14:14" x14ac:dyDescent="0.2">
      <c r="N16087" s="131"/>
    </row>
    <row r="16088" spans="14:14" x14ac:dyDescent="0.2">
      <c r="N16088" s="131"/>
    </row>
    <row r="16089" spans="14:14" x14ac:dyDescent="0.2">
      <c r="N16089" s="131"/>
    </row>
    <row r="16090" spans="14:14" x14ac:dyDescent="0.2">
      <c r="N16090" s="131"/>
    </row>
    <row r="16091" spans="14:14" x14ac:dyDescent="0.2">
      <c r="N16091" s="131"/>
    </row>
    <row r="16092" spans="14:14" x14ac:dyDescent="0.2">
      <c r="N16092" s="131"/>
    </row>
    <row r="16093" spans="14:14" x14ac:dyDescent="0.2">
      <c r="N16093" s="131"/>
    </row>
    <row r="16094" spans="14:14" x14ac:dyDescent="0.2">
      <c r="N16094" s="131"/>
    </row>
    <row r="16095" spans="14:14" x14ac:dyDescent="0.2">
      <c r="N16095" s="131"/>
    </row>
    <row r="16096" spans="14:14" x14ac:dyDescent="0.2">
      <c r="N16096" s="131"/>
    </row>
    <row r="16097" spans="14:14" x14ac:dyDescent="0.2">
      <c r="N16097" s="131"/>
    </row>
    <row r="16098" spans="14:14" x14ac:dyDescent="0.2">
      <c r="N16098" s="131"/>
    </row>
    <row r="16099" spans="14:14" x14ac:dyDescent="0.2">
      <c r="N16099" s="131"/>
    </row>
    <row r="16100" spans="14:14" x14ac:dyDescent="0.2">
      <c r="N16100" s="131"/>
    </row>
    <row r="16101" spans="14:14" x14ac:dyDescent="0.2">
      <c r="N16101" s="131"/>
    </row>
    <row r="16102" spans="14:14" x14ac:dyDescent="0.2">
      <c r="N16102" s="131"/>
    </row>
    <row r="16103" spans="14:14" x14ac:dyDescent="0.2">
      <c r="N16103" s="131"/>
    </row>
    <row r="16104" spans="14:14" x14ac:dyDescent="0.2">
      <c r="N16104" s="131"/>
    </row>
    <row r="16105" spans="14:14" x14ac:dyDescent="0.2">
      <c r="N16105" s="131"/>
    </row>
    <row r="16106" spans="14:14" x14ac:dyDescent="0.2">
      <c r="N16106" s="131"/>
    </row>
    <row r="16107" spans="14:14" x14ac:dyDescent="0.2">
      <c r="N16107" s="131"/>
    </row>
    <row r="16108" spans="14:14" x14ac:dyDescent="0.2">
      <c r="N16108" s="131"/>
    </row>
    <row r="16109" spans="14:14" x14ac:dyDescent="0.2">
      <c r="N16109" s="131"/>
    </row>
    <row r="16110" spans="14:14" x14ac:dyDescent="0.2">
      <c r="N16110" s="131"/>
    </row>
    <row r="16111" spans="14:14" x14ac:dyDescent="0.2">
      <c r="N16111" s="131"/>
    </row>
    <row r="16112" spans="14:14" x14ac:dyDescent="0.2">
      <c r="N16112" s="131"/>
    </row>
    <row r="16113" spans="14:14" x14ac:dyDescent="0.2">
      <c r="N16113" s="131"/>
    </row>
    <row r="16114" spans="14:14" x14ac:dyDescent="0.2">
      <c r="N16114" s="131"/>
    </row>
    <row r="16115" spans="14:14" x14ac:dyDescent="0.2">
      <c r="N16115" s="131"/>
    </row>
    <row r="16116" spans="14:14" x14ac:dyDescent="0.2">
      <c r="N16116" s="131"/>
    </row>
    <row r="16117" spans="14:14" x14ac:dyDescent="0.2">
      <c r="N16117" s="131"/>
    </row>
    <row r="16118" spans="14:14" x14ac:dyDescent="0.2">
      <c r="N16118" s="131"/>
    </row>
    <row r="16119" spans="14:14" x14ac:dyDescent="0.2">
      <c r="N16119" s="131"/>
    </row>
    <row r="16120" spans="14:14" x14ac:dyDescent="0.2">
      <c r="N16120" s="131"/>
    </row>
    <row r="16121" spans="14:14" x14ac:dyDescent="0.2">
      <c r="N16121" s="131"/>
    </row>
    <row r="16122" spans="14:14" x14ac:dyDescent="0.2">
      <c r="N16122" s="131"/>
    </row>
    <row r="16123" spans="14:14" x14ac:dyDescent="0.2">
      <c r="N16123" s="131"/>
    </row>
    <row r="16124" spans="14:14" x14ac:dyDescent="0.2">
      <c r="N16124" s="131"/>
    </row>
    <row r="16125" spans="14:14" x14ac:dyDescent="0.2">
      <c r="N16125" s="131"/>
    </row>
    <row r="16126" spans="14:14" x14ac:dyDescent="0.2">
      <c r="N16126" s="131"/>
    </row>
    <row r="16127" spans="14:14" x14ac:dyDescent="0.2">
      <c r="N16127" s="131"/>
    </row>
    <row r="16128" spans="14:14" x14ac:dyDescent="0.2">
      <c r="N16128" s="131"/>
    </row>
    <row r="16129" spans="14:14" x14ac:dyDescent="0.2">
      <c r="N16129" s="131"/>
    </row>
    <row r="16130" spans="14:14" x14ac:dyDescent="0.2">
      <c r="N16130" s="131"/>
    </row>
    <row r="16131" spans="14:14" x14ac:dyDescent="0.2">
      <c r="N16131" s="131"/>
    </row>
    <row r="16132" spans="14:14" x14ac:dyDescent="0.2">
      <c r="N16132" s="131"/>
    </row>
    <row r="16133" spans="14:14" x14ac:dyDescent="0.2">
      <c r="N16133" s="131"/>
    </row>
    <row r="16134" spans="14:14" x14ac:dyDescent="0.2">
      <c r="N16134" s="131"/>
    </row>
    <row r="16135" spans="14:14" x14ac:dyDescent="0.2">
      <c r="N16135" s="131"/>
    </row>
    <row r="16136" spans="14:14" x14ac:dyDescent="0.2">
      <c r="N16136" s="131"/>
    </row>
    <row r="16137" spans="14:14" x14ac:dyDescent="0.2">
      <c r="N16137" s="131"/>
    </row>
    <row r="16138" spans="14:14" x14ac:dyDescent="0.2">
      <c r="N16138" s="131"/>
    </row>
    <row r="16139" spans="14:14" x14ac:dyDescent="0.2">
      <c r="N16139" s="131"/>
    </row>
    <row r="16140" spans="14:14" x14ac:dyDescent="0.2">
      <c r="N16140" s="131"/>
    </row>
    <row r="16141" spans="14:14" x14ac:dyDescent="0.2">
      <c r="N16141" s="131"/>
    </row>
    <row r="16142" spans="14:14" x14ac:dyDescent="0.2">
      <c r="N16142" s="131"/>
    </row>
    <row r="16143" spans="14:14" x14ac:dyDescent="0.2">
      <c r="N16143" s="131"/>
    </row>
    <row r="16144" spans="14:14" x14ac:dyDescent="0.2">
      <c r="N16144" s="131"/>
    </row>
    <row r="16145" spans="14:14" x14ac:dyDescent="0.2">
      <c r="N16145" s="131"/>
    </row>
    <row r="16146" spans="14:14" x14ac:dyDescent="0.2">
      <c r="N16146" s="131"/>
    </row>
    <row r="16147" spans="14:14" x14ac:dyDescent="0.2">
      <c r="N16147" s="131"/>
    </row>
    <row r="16148" spans="14:14" x14ac:dyDescent="0.2">
      <c r="N16148" s="131"/>
    </row>
    <row r="16149" spans="14:14" x14ac:dyDescent="0.2">
      <c r="N16149" s="131"/>
    </row>
    <row r="16150" spans="14:14" x14ac:dyDescent="0.2">
      <c r="N16150" s="131"/>
    </row>
    <row r="16151" spans="14:14" x14ac:dyDescent="0.2">
      <c r="N16151" s="131"/>
    </row>
    <row r="16152" spans="14:14" x14ac:dyDescent="0.2">
      <c r="N16152" s="131"/>
    </row>
    <row r="16153" spans="14:14" x14ac:dyDescent="0.2">
      <c r="N16153" s="131"/>
    </row>
    <row r="16154" spans="14:14" x14ac:dyDescent="0.2">
      <c r="N16154" s="131"/>
    </row>
    <row r="16155" spans="14:14" x14ac:dyDescent="0.2">
      <c r="N16155" s="131"/>
    </row>
    <row r="16156" spans="14:14" x14ac:dyDescent="0.2">
      <c r="N16156" s="131"/>
    </row>
    <row r="16157" spans="14:14" x14ac:dyDescent="0.2">
      <c r="N16157" s="131"/>
    </row>
    <row r="16158" spans="14:14" x14ac:dyDescent="0.2">
      <c r="N16158" s="131"/>
    </row>
    <row r="16159" spans="14:14" x14ac:dyDescent="0.2">
      <c r="N16159" s="131"/>
    </row>
    <row r="16160" spans="14:14" x14ac:dyDescent="0.2">
      <c r="N16160" s="131"/>
    </row>
    <row r="16161" spans="14:14" x14ac:dyDescent="0.2">
      <c r="N16161" s="131"/>
    </row>
    <row r="16162" spans="14:14" x14ac:dyDescent="0.2">
      <c r="N16162" s="131"/>
    </row>
    <row r="16163" spans="14:14" x14ac:dyDescent="0.2">
      <c r="N16163" s="131"/>
    </row>
    <row r="16164" spans="14:14" x14ac:dyDescent="0.2">
      <c r="N16164" s="131"/>
    </row>
    <row r="16165" spans="14:14" x14ac:dyDescent="0.2">
      <c r="N16165" s="131"/>
    </row>
    <row r="16166" spans="14:14" x14ac:dyDescent="0.2">
      <c r="N16166" s="131"/>
    </row>
    <row r="16167" spans="14:14" x14ac:dyDescent="0.2">
      <c r="N16167" s="131"/>
    </row>
    <row r="16168" spans="14:14" x14ac:dyDescent="0.2">
      <c r="N16168" s="131"/>
    </row>
    <row r="16169" spans="14:14" x14ac:dyDescent="0.2">
      <c r="N16169" s="131"/>
    </row>
    <row r="16170" spans="14:14" x14ac:dyDescent="0.2">
      <c r="N16170" s="131"/>
    </row>
    <row r="16171" spans="14:14" x14ac:dyDescent="0.2">
      <c r="N16171" s="131"/>
    </row>
    <row r="16172" spans="14:14" x14ac:dyDescent="0.2">
      <c r="N16172" s="131"/>
    </row>
    <row r="16173" spans="14:14" x14ac:dyDescent="0.2">
      <c r="N16173" s="131"/>
    </row>
    <row r="16174" spans="14:14" x14ac:dyDescent="0.2">
      <c r="N16174" s="131"/>
    </row>
    <row r="16175" spans="14:14" x14ac:dyDescent="0.2">
      <c r="N16175" s="131"/>
    </row>
    <row r="16176" spans="14:14" x14ac:dyDescent="0.2">
      <c r="N16176" s="131"/>
    </row>
    <row r="16177" spans="14:14" x14ac:dyDescent="0.2">
      <c r="N16177" s="131"/>
    </row>
    <row r="16178" spans="14:14" x14ac:dyDescent="0.2">
      <c r="N16178" s="131"/>
    </row>
    <row r="16179" spans="14:14" x14ac:dyDescent="0.2">
      <c r="N16179" s="131"/>
    </row>
    <row r="16180" spans="14:14" x14ac:dyDescent="0.2">
      <c r="N16180" s="131"/>
    </row>
    <row r="16181" spans="14:14" x14ac:dyDescent="0.2">
      <c r="N16181" s="131"/>
    </row>
    <row r="16182" spans="14:14" x14ac:dyDescent="0.2">
      <c r="N16182" s="131"/>
    </row>
    <row r="16183" spans="14:14" x14ac:dyDescent="0.2">
      <c r="N16183" s="131"/>
    </row>
    <row r="16184" spans="14:14" x14ac:dyDescent="0.2">
      <c r="N16184" s="131"/>
    </row>
    <row r="16185" spans="14:14" x14ac:dyDescent="0.2">
      <c r="N16185" s="131"/>
    </row>
    <row r="16186" spans="14:14" x14ac:dyDescent="0.2">
      <c r="N16186" s="131"/>
    </row>
    <row r="16187" spans="14:14" x14ac:dyDescent="0.2">
      <c r="N16187" s="131"/>
    </row>
    <row r="16188" spans="14:14" x14ac:dyDescent="0.2">
      <c r="N16188" s="131"/>
    </row>
    <row r="16189" spans="14:14" x14ac:dyDescent="0.2">
      <c r="N16189" s="131"/>
    </row>
    <row r="16190" spans="14:14" x14ac:dyDescent="0.2">
      <c r="N16190" s="131"/>
    </row>
    <row r="16191" spans="14:14" x14ac:dyDescent="0.2">
      <c r="N16191" s="131"/>
    </row>
    <row r="16192" spans="14:14" x14ac:dyDescent="0.2">
      <c r="N16192" s="131"/>
    </row>
    <row r="16193" spans="14:14" x14ac:dyDescent="0.2">
      <c r="N16193" s="131"/>
    </row>
    <row r="16194" spans="14:14" x14ac:dyDescent="0.2">
      <c r="N16194" s="131"/>
    </row>
    <row r="16195" spans="14:14" x14ac:dyDescent="0.2">
      <c r="N16195" s="131"/>
    </row>
    <row r="16196" spans="14:14" x14ac:dyDescent="0.2">
      <c r="N16196" s="131"/>
    </row>
    <row r="16197" spans="14:14" x14ac:dyDescent="0.2">
      <c r="N16197" s="131"/>
    </row>
    <row r="16198" spans="14:14" x14ac:dyDescent="0.2">
      <c r="N16198" s="131"/>
    </row>
    <row r="16199" spans="14:14" x14ac:dyDescent="0.2">
      <c r="N16199" s="131"/>
    </row>
    <row r="16200" spans="14:14" x14ac:dyDescent="0.2">
      <c r="N16200" s="131"/>
    </row>
    <row r="16201" spans="14:14" x14ac:dyDescent="0.2">
      <c r="N16201" s="131"/>
    </row>
    <row r="16202" spans="14:14" x14ac:dyDescent="0.2">
      <c r="N16202" s="131"/>
    </row>
    <row r="16203" spans="14:14" x14ac:dyDescent="0.2">
      <c r="N16203" s="131"/>
    </row>
    <row r="16204" spans="14:14" x14ac:dyDescent="0.2">
      <c r="N16204" s="131"/>
    </row>
    <row r="16205" spans="14:14" x14ac:dyDescent="0.2">
      <c r="N16205" s="131"/>
    </row>
    <row r="16206" spans="14:14" x14ac:dyDescent="0.2">
      <c r="N16206" s="131"/>
    </row>
    <row r="16207" spans="14:14" x14ac:dyDescent="0.2">
      <c r="N16207" s="131"/>
    </row>
    <row r="16208" spans="14:14" x14ac:dyDescent="0.2">
      <c r="N16208" s="131"/>
    </row>
    <row r="16209" spans="14:14" x14ac:dyDescent="0.2">
      <c r="N16209" s="131"/>
    </row>
    <row r="16210" spans="14:14" x14ac:dyDescent="0.2">
      <c r="N16210" s="131"/>
    </row>
    <row r="16211" spans="14:14" x14ac:dyDescent="0.2">
      <c r="N16211" s="131"/>
    </row>
    <row r="16212" spans="14:14" x14ac:dyDescent="0.2">
      <c r="N16212" s="131"/>
    </row>
    <row r="16213" spans="14:14" x14ac:dyDescent="0.2">
      <c r="N16213" s="131"/>
    </row>
    <row r="16214" spans="14:14" x14ac:dyDescent="0.2">
      <c r="N16214" s="131"/>
    </row>
    <row r="16215" spans="14:14" x14ac:dyDescent="0.2">
      <c r="N16215" s="131"/>
    </row>
    <row r="16216" spans="14:14" x14ac:dyDescent="0.2">
      <c r="N16216" s="131"/>
    </row>
    <row r="16217" spans="14:14" x14ac:dyDescent="0.2">
      <c r="N16217" s="131"/>
    </row>
    <row r="16218" spans="14:14" x14ac:dyDescent="0.2">
      <c r="N16218" s="131"/>
    </row>
    <row r="16219" spans="14:14" x14ac:dyDescent="0.2">
      <c r="N16219" s="131"/>
    </row>
    <row r="16220" spans="14:14" x14ac:dyDescent="0.2">
      <c r="N16220" s="131"/>
    </row>
    <row r="16221" spans="14:14" x14ac:dyDescent="0.2">
      <c r="N16221" s="131"/>
    </row>
    <row r="16222" spans="14:14" x14ac:dyDescent="0.2">
      <c r="N16222" s="131"/>
    </row>
    <row r="16223" spans="14:14" x14ac:dyDescent="0.2">
      <c r="N16223" s="131"/>
    </row>
    <row r="16224" spans="14:14" x14ac:dyDescent="0.2">
      <c r="N16224" s="131"/>
    </row>
    <row r="16225" spans="14:14" x14ac:dyDescent="0.2">
      <c r="N16225" s="131"/>
    </row>
    <row r="16226" spans="14:14" x14ac:dyDescent="0.2">
      <c r="N16226" s="131"/>
    </row>
    <row r="16227" spans="14:14" x14ac:dyDescent="0.2">
      <c r="N16227" s="131"/>
    </row>
    <row r="16228" spans="14:14" x14ac:dyDescent="0.2">
      <c r="N16228" s="131"/>
    </row>
    <row r="16229" spans="14:14" x14ac:dyDescent="0.2">
      <c r="N16229" s="131"/>
    </row>
    <row r="16230" spans="14:14" x14ac:dyDescent="0.2">
      <c r="N16230" s="131"/>
    </row>
    <row r="16231" spans="14:14" x14ac:dyDescent="0.2">
      <c r="N16231" s="131"/>
    </row>
    <row r="16232" spans="14:14" x14ac:dyDescent="0.2">
      <c r="N16232" s="131"/>
    </row>
    <row r="16233" spans="14:14" x14ac:dyDescent="0.2">
      <c r="N16233" s="131"/>
    </row>
    <row r="16234" spans="14:14" x14ac:dyDescent="0.2">
      <c r="N16234" s="131"/>
    </row>
    <row r="16235" spans="14:14" x14ac:dyDescent="0.2">
      <c r="N16235" s="131"/>
    </row>
    <row r="16236" spans="14:14" x14ac:dyDescent="0.2">
      <c r="N16236" s="131"/>
    </row>
    <row r="16237" spans="14:14" x14ac:dyDescent="0.2">
      <c r="N16237" s="131"/>
    </row>
    <row r="16238" spans="14:14" x14ac:dyDescent="0.2">
      <c r="N16238" s="131"/>
    </row>
    <row r="16239" spans="14:14" x14ac:dyDescent="0.2">
      <c r="N16239" s="131"/>
    </row>
    <row r="16240" spans="14:14" x14ac:dyDescent="0.2">
      <c r="N16240" s="131"/>
    </row>
    <row r="16241" spans="14:14" x14ac:dyDescent="0.2">
      <c r="N16241" s="131"/>
    </row>
    <row r="16242" spans="14:14" x14ac:dyDescent="0.2">
      <c r="N16242" s="131"/>
    </row>
    <row r="16243" spans="14:14" x14ac:dyDescent="0.2">
      <c r="N16243" s="131"/>
    </row>
    <row r="16244" spans="14:14" x14ac:dyDescent="0.2">
      <c r="N16244" s="131"/>
    </row>
    <row r="16245" spans="14:14" x14ac:dyDescent="0.2">
      <c r="N16245" s="131"/>
    </row>
    <row r="16246" spans="14:14" x14ac:dyDescent="0.2">
      <c r="N16246" s="131"/>
    </row>
    <row r="16247" spans="14:14" x14ac:dyDescent="0.2">
      <c r="N16247" s="131"/>
    </row>
    <row r="16248" spans="14:14" x14ac:dyDescent="0.2">
      <c r="N16248" s="131"/>
    </row>
    <row r="16249" spans="14:14" x14ac:dyDescent="0.2">
      <c r="N16249" s="131"/>
    </row>
    <row r="16250" spans="14:14" x14ac:dyDescent="0.2">
      <c r="N16250" s="131"/>
    </row>
    <row r="16251" spans="14:14" x14ac:dyDescent="0.2">
      <c r="N16251" s="131"/>
    </row>
    <row r="16252" spans="14:14" x14ac:dyDescent="0.2">
      <c r="N16252" s="131"/>
    </row>
    <row r="16253" spans="14:14" x14ac:dyDescent="0.2">
      <c r="N16253" s="131"/>
    </row>
    <row r="16254" spans="14:14" x14ac:dyDescent="0.2">
      <c r="N16254" s="131"/>
    </row>
    <row r="16255" spans="14:14" x14ac:dyDescent="0.2">
      <c r="N16255" s="131"/>
    </row>
    <row r="16256" spans="14:14" x14ac:dyDescent="0.2">
      <c r="N16256" s="131"/>
    </row>
    <row r="16257" spans="14:14" x14ac:dyDescent="0.2">
      <c r="N16257" s="131"/>
    </row>
    <row r="16258" spans="14:14" x14ac:dyDescent="0.2">
      <c r="N16258" s="131"/>
    </row>
    <row r="16259" spans="14:14" x14ac:dyDescent="0.2">
      <c r="N16259" s="131"/>
    </row>
    <row r="16260" spans="14:14" x14ac:dyDescent="0.2">
      <c r="N16260" s="131"/>
    </row>
    <row r="16261" spans="14:14" x14ac:dyDescent="0.2">
      <c r="N16261" s="131"/>
    </row>
    <row r="16262" spans="14:14" x14ac:dyDescent="0.2">
      <c r="N16262" s="131"/>
    </row>
    <row r="16263" spans="14:14" x14ac:dyDescent="0.2">
      <c r="N16263" s="131"/>
    </row>
    <row r="16264" spans="14:14" x14ac:dyDescent="0.2">
      <c r="N16264" s="131"/>
    </row>
    <row r="16265" spans="14:14" x14ac:dyDescent="0.2">
      <c r="N16265" s="131"/>
    </row>
    <row r="16266" spans="14:14" x14ac:dyDescent="0.2">
      <c r="N16266" s="131"/>
    </row>
    <row r="16267" spans="14:14" x14ac:dyDescent="0.2">
      <c r="N16267" s="131"/>
    </row>
    <row r="16268" spans="14:14" x14ac:dyDescent="0.2">
      <c r="N16268" s="131"/>
    </row>
    <row r="16269" spans="14:14" x14ac:dyDescent="0.2">
      <c r="N16269" s="131"/>
    </row>
    <row r="16270" spans="14:14" x14ac:dyDescent="0.2">
      <c r="N16270" s="131"/>
    </row>
    <row r="16271" spans="14:14" x14ac:dyDescent="0.2">
      <c r="N16271" s="131"/>
    </row>
    <row r="16272" spans="14:14" x14ac:dyDescent="0.2">
      <c r="N16272" s="131"/>
    </row>
    <row r="16273" spans="14:14" x14ac:dyDescent="0.2">
      <c r="N16273" s="131"/>
    </row>
    <row r="16274" spans="14:14" x14ac:dyDescent="0.2">
      <c r="N16274" s="131"/>
    </row>
    <row r="16275" spans="14:14" x14ac:dyDescent="0.2">
      <c r="N16275" s="131"/>
    </row>
    <row r="16276" spans="14:14" x14ac:dyDescent="0.2">
      <c r="N16276" s="131"/>
    </row>
    <row r="16277" spans="14:14" x14ac:dyDescent="0.2">
      <c r="N16277" s="131"/>
    </row>
    <row r="16278" spans="14:14" x14ac:dyDescent="0.2">
      <c r="N16278" s="131"/>
    </row>
    <row r="16279" spans="14:14" x14ac:dyDescent="0.2">
      <c r="N16279" s="131"/>
    </row>
    <row r="16280" spans="14:14" x14ac:dyDescent="0.2">
      <c r="N16280" s="131"/>
    </row>
    <row r="16281" spans="14:14" x14ac:dyDescent="0.2">
      <c r="N16281" s="131"/>
    </row>
    <row r="16282" spans="14:14" x14ac:dyDescent="0.2">
      <c r="N16282" s="131"/>
    </row>
    <row r="16283" spans="14:14" x14ac:dyDescent="0.2">
      <c r="N16283" s="131"/>
    </row>
    <row r="16284" spans="14:14" x14ac:dyDescent="0.2">
      <c r="N16284" s="131"/>
    </row>
    <row r="16285" spans="14:14" x14ac:dyDescent="0.2">
      <c r="N16285" s="131"/>
    </row>
    <row r="16286" spans="14:14" x14ac:dyDescent="0.2">
      <c r="N16286" s="131"/>
    </row>
    <row r="16287" spans="14:14" x14ac:dyDescent="0.2">
      <c r="N16287" s="131"/>
    </row>
    <row r="16288" spans="14:14" x14ac:dyDescent="0.2">
      <c r="N16288" s="131"/>
    </row>
    <row r="16289" spans="14:14" x14ac:dyDescent="0.2">
      <c r="N16289" s="131"/>
    </row>
    <row r="16290" spans="14:14" x14ac:dyDescent="0.2">
      <c r="N16290" s="131"/>
    </row>
    <row r="16291" spans="14:14" x14ac:dyDescent="0.2">
      <c r="N16291" s="131"/>
    </row>
    <row r="16292" spans="14:14" x14ac:dyDescent="0.2">
      <c r="N16292" s="131"/>
    </row>
    <row r="16293" spans="14:14" x14ac:dyDescent="0.2">
      <c r="N16293" s="131"/>
    </row>
    <row r="16294" spans="14:14" x14ac:dyDescent="0.2">
      <c r="N16294" s="131"/>
    </row>
    <row r="16295" spans="14:14" x14ac:dyDescent="0.2">
      <c r="N16295" s="131"/>
    </row>
    <row r="16296" spans="14:14" x14ac:dyDescent="0.2">
      <c r="N16296" s="131"/>
    </row>
    <row r="16297" spans="14:14" x14ac:dyDescent="0.2">
      <c r="N16297" s="131"/>
    </row>
    <row r="16298" spans="14:14" x14ac:dyDescent="0.2">
      <c r="N16298" s="131"/>
    </row>
    <row r="16299" spans="14:14" x14ac:dyDescent="0.2">
      <c r="N16299" s="131"/>
    </row>
    <row r="16300" spans="14:14" x14ac:dyDescent="0.2">
      <c r="N16300" s="131"/>
    </row>
    <row r="16301" spans="14:14" x14ac:dyDescent="0.2">
      <c r="N16301" s="131"/>
    </row>
    <row r="16302" spans="14:14" x14ac:dyDescent="0.2">
      <c r="N16302" s="131"/>
    </row>
    <row r="16303" spans="14:14" x14ac:dyDescent="0.2">
      <c r="N16303" s="131"/>
    </row>
    <row r="16304" spans="14:14" x14ac:dyDescent="0.2">
      <c r="N16304" s="131"/>
    </row>
    <row r="16305" spans="14:14" x14ac:dyDescent="0.2">
      <c r="N16305" s="131"/>
    </row>
    <row r="16306" spans="14:14" x14ac:dyDescent="0.2">
      <c r="N16306" s="131"/>
    </row>
    <row r="16307" spans="14:14" x14ac:dyDescent="0.2">
      <c r="N16307" s="131"/>
    </row>
    <row r="16308" spans="14:14" x14ac:dyDescent="0.2">
      <c r="N16308" s="131"/>
    </row>
    <row r="16309" spans="14:14" x14ac:dyDescent="0.2">
      <c r="N16309" s="131"/>
    </row>
    <row r="16310" spans="14:14" x14ac:dyDescent="0.2">
      <c r="N16310" s="131"/>
    </row>
    <row r="16311" spans="14:14" x14ac:dyDescent="0.2">
      <c r="N16311" s="131"/>
    </row>
    <row r="16312" spans="14:14" x14ac:dyDescent="0.2">
      <c r="N16312" s="131"/>
    </row>
    <row r="16313" spans="14:14" x14ac:dyDescent="0.2">
      <c r="N16313" s="131"/>
    </row>
    <row r="16314" spans="14:14" x14ac:dyDescent="0.2">
      <c r="N16314" s="131"/>
    </row>
    <row r="16315" spans="14:14" x14ac:dyDescent="0.2">
      <c r="N16315" s="131"/>
    </row>
    <row r="16316" spans="14:14" x14ac:dyDescent="0.2">
      <c r="N16316" s="131"/>
    </row>
    <row r="16317" spans="14:14" x14ac:dyDescent="0.2">
      <c r="N16317" s="131"/>
    </row>
    <row r="16318" spans="14:14" x14ac:dyDescent="0.2">
      <c r="N16318" s="131"/>
    </row>
    <row r="16319" spans="14:14" x14ac:dyDescent="0.2">
      <c r="N16319" s="131"/>
    </row>
    <row r="16320" spans="14:14" x14ac:dyDescent="0.2">
      <c r="N16320" s="131"/>
    </row>
    <row r="16321" spans="14:14" x14ac:dyDescent="0.2">
      <c r="N16321" s="131"/>
    </row>
    <row r="16322" spans="14:14" x14ac:dyDescent="0.2">
      <c r="N16322" s="131"/>
    </row>
    <row r="16323" spans="14:14" x14ac:dyDescent="0.2">
      <c r="N16323" s="131"/>
    </row>
    <row r="16324" spans="14:14" x14ac:dyDescent="0.2">
      <c r="N16324" s="131"/>
    </row>
    <row r="16325" spans="14:14" x14ac:dyDescent="0.2">
      <c r="N16325" s="131"/>
    </row>
    <row r="16326" spans="14:14" x14ac:dyDescent="0.2">
      <c r="N16326" s="131"/>
    </row>
    <row r="16327" spans="14:14" x14ac:dyDescent="0.2">
      <c r="N16327" s="131"/>
    </row>
    <row r="16328" spans="14:14" x14ac:dyDescent="0.2">
      <c r="N16328" s="131"/>
    </row>
    <row r="16329" spans="14:14" x14ac:dyDescent="0.2">
      <c r="N16329" s="131"/>
    </row>
    <row r="16330" spans="14:14" x14ac:dyDescent="0.2">
      <c r="N16330" s="131"/>
    </row>
    <row r="16331" spans="14:14" x14ac:dyDescent="0.2">
      <c r="N16331" s="131"/>
    </row>
    <row r="16332" spans="14:14" x14ac:dyDescent="0.2">
      <c r="N16332" s="131"/>
    </row>
    <row r="16333" spans="14:14" x14ac:dyDescent="0.2">
      <c r="N16333" s="131"/>
    </row>
    <row r="16334" spans="14:14" x14ac:dyDescent="0.2">
      <c r="N16334" s="131"/>
    </row>
    <row r="16335" spans="14:14" x14ac:dyDescent="0.2">
      <c r="N16335" s="131"/>
    </row>
    <row r="16336" spans="14:14" x14ac:dyDescent="0.2">
      <c r="N16336" s="131"/>
    </row>
    <row r="16337" spans="14:14" x14ac:dyDescent="0.2">
      <c r="N16337" s="131"/>
    </row>
    <row r="16338" spans="14:14" x14ac:dyDescent="0.2">
      <c r="N16338" s="131"/>
    </row>
    <row r="16339" spans="14:14" x14ac:dyDescent="0.2">
      <c r="N16339" s="131"/>
    </row>
    <row r="16340" spans="14:14" x14ac:dyDescent="0.2">
      <c r="N16340" s="131"/>
    </row>
    <row r="16341" spans="14:14" x14ac:dyDescent="0.2">
      <c r="N16341" s="131"/>
    </row>
    <row r="16342" spans="14:14" x14ac:dyDescent="0.2">
      <c r="N16342" s="131"/>
    </row>
    <row r="16343" spans="14:14" x14ac:dyDescent="0.2">
      <c r="N16343" s="131"/>
    </row>
    <row r="16344" spans="14:14" x14ac:dyDescent="0.2">
      <c r="N16344" s="131"/>
    </row>
    <row r="16345" spans="14:14" x14ac:dyDescent="0.2">
      <c r="N16345" s="131"/>
    </row>
    <row r="16346" spans="14:14" x14ac:dyDescent="0.2">
      <c r="N16346" s="131"/>
    </row>
    <row r="16347" spans="14:14" x14ac:dyDescent="0.2">
      <c r="N16347" s="131"/>
    </row>
    <row r="16348" spans="14:14" x14ac:dyDescent="0.2">
      <c r="N16348" s="131"/>
    </row>
    <row r="16349" spans="14:14" x14ac:dyDescent="0.2">
      <c r="N16349" s="131"/>
    </row>
    <row r="16350" spans="14:14" x14ac:dyDescent="0.2">
      <c r="N16350" s="131"/>
    </row>
    <row r="16351" spans="14:14" x14ac:dyDescent="0.2">
      <c r="N16351" s="131"/>
    </row>
    <row r="16352" spans="14:14" x14ac:dyDescent="0.2">
      <c r="N16352" s="131"/>
    </row>
    <row r="16353" spans="14:14" x14ac:dyDescent="0.2">
      <c r="N16353" s="131"/>
    </row>
    <row r="16354" spans="14:14" x14ac:dyDescent="0.2">
      <c r="N16354" s="131"/>
    </row>
    <row r="16355" spans="14:14" x14ac:dyDescent="0.2">
      <c r="N16355" s="131"/>
    </row>
    <row r="16356" spans="14:14" x14ac:dyDescent="0.2">
      <c r="N16356" s="131"/>
    </row>
    <row r="16357" spans="14:14" x14ac:dyDescent="0.2">
      <c r="N16357" s="131"/>
    </row>
    <row r="16358" spans="14:14" x14ac:dyDescent="0.2">
      <c r="N16358" s="131"/>
    </row>
    <row r="16359" spans="14:14" x14ac:dyDescent="0.2">
      <c r="N16359" s="131"/>
    </row>
    <row r="16360" spans="14:14" x14ac:dyDescent="0.2">
      <c r="N16360" s="131"/>
    </row>
    <row r="16361" spans="14:14" x14ac:dyDescent="0.2">
      <c r="N16361" s="131"/>
    </row>
    <row r="16362" spans="14:14" x14ac:dyDescent="0.2">
      <c r="N16362" s="131"/>
    </row>
    <row r="16363" spans="14:14" x14ac:dyDescent="0.2">
      <c r="N16363" s="131"/>
    </row>
    <row r="16364" spans="14:14" x14ac:dyDescent="0.2">
      <c r="N16364" s="131"/>
    </row>
    <row r="16365" spans="14:14" x14ac:dyDescent="0.2">
      <c r="N16365" s="131"/>
    </row>
    <row r="16366" spans="14:14" x14ac:dyDescent="0.2">
      <c r="N16366" s="131"/>
    </row>
    <row r="16367" spans="14:14" x14ac:dyDescent="0.2">
      <c r="N16367" s="131"/>
    </row>
    <row r="16368" spans="14:14" x14ac:dyDescent="0.2">
      <c r="N16368" s="131"/>
    </row>
    <row r="16369" spans="14:14" x14ac:dyDescent="0.2">
      <c r="N16369" s="131"/>
    </row>
    <row r="16370" spans="14:14" x14ac:dyDescent="0.2">
      <c r="N16370" s="131"/>
    </row>
    <row r="16371" spans="14:14" x14ac:dyDescent="0.2">
      <c r="N16371" s="131"/>
    </row>
    <row r="16372" spans="14:14" x14ac:dyDescent="0.2">
      <c r="N16372" s="131"/>
    </row>
    <row r="16373" spans="14:14" x14ac:dyDescent="0.2">
      <c r="N16373" s="131"/>
    </row>
    <row r="16374" spans="14:14" x14ac:dyDescent="0.2">
      <c r="N16374" s="131"/>
    </row>
    <row r="16375" spans="14:14" x14ac:dyDescent="0.2">
      <c r="N16375" s="131"/>
    </row>
    <row r="16376" spans="14:14" x14ac:dyDescent="0.2">
      <c r="N16376" s="131"/>
    </row>
    <row r="16377" spans="14:14" x14ac:dyDescent="0.2">
      <c r="N16377" s="131"/>
    </row>
    <row r="16378" spans="14:14" x14ac:dyDescent="0.2">
      <c r="N16378" s="131"/>
    </row>
    <row r="16379" spans="14:14" x14ac:dyDescent="0.2">
      <c r="N16379" s="131"/>
    </row>
    <row r="16380" spans="14:14" x14ac:dyDescent="0.2">
      <c r="N16380" s="131"/>
    </row>
    <row r="16381" spans="14:14" x14ac:dyDescent="0.2">
      <c r="N16381" s="131"/>
    </row>
    <row r="16382" spans="14:14" x14ac:dyDescent="0.2">
      <c r="N16382" s="131"/>
    </row>
    <row r="16383" spans="14:14" x14ac:dyDescent="0.2">
      <c r="N16383" s="131"/>
    </row>
    <row r="16384" spans="14:14" x14ac:dyDescent="0.2">
      <c r="N16384" s="131"/>
    </row>
    <row r="16385" spans="14:14" x14ac:dyDescent="0.2">
      <c r="N16385" s="131"/>
    </row>
    <row r="16386" spans="14:14" x14ac:dyDescent="0.2">
      <c r="N16386" s="131"/>
    </row>
    <row r="16387" spans="14:14" x14ac:dyDescent="0.2">
      <c r="N16387" s="131"/>
    </row>
    <row r="16388" spans="14:14" x14ac:dyDescent="0.2">
      <c r="N16388" s="131"/>
    </row>
    <row r="16389" spans="14:14" x14ac:dyDescent="0.2">
      <c r="N16389" s="131"/>
    </row>
    <row r="16390" spans="14:14" x14ac:dyDescent="0.2">
      <c r="N16390" s="131"/>
    </row>
    <row r="16391" spans="14:14" x14ac:dyDescent="0.2">
      <c r="N16391" s="131"/>
    </row>
    <row r="16392" spans="14:14" x14ac:dyDescent="0.2">
      <c r="N16392" s="131"/>
    </row>
    <row r="16393" spans="14:14" x14ac:dyDescent="0.2">
      <c r="N16393" s="131"/>
    </row>
    <row r="16394" spans="14:14" x14ac:dyDescent="0.2">
      <c r="N16394" s="131"/>
    </row>
    <row r="16395" spans="14:14" x14ac:dyDescent="0.2">
      <c r="N16395" s="131"/>
    </row>
    <row r="16396" spans="14:14" x14ac:dyDescent="0.2">
      <c r="N16396" s="131"/>
    </row>
    <row r="16397" spans="14:14" x14ac:dyDescent="0.2">
      <c r="N16397" s="131"/>
    </row>
    <row r="16398" spans="14:14" x14ac:dyDescent="0.2">
      <c r="N16398" s="131"/>
    </row>
    <row r="16399" spans="14:14" x14ac:dyDescent="0.2">
      <c r="N16399" s="131"/>
    </row>
    <row r="16400" spans="14:14" x14ac:dyDescent="0.2">
      <c r="N16400" s="131"/>
    </row>
    <row r="16401" spans="14:14" x14ac:dyDescent="0.2">
      <c r="N16401" s="131"/>
    </row>
    <row r="16402" spans="14:14" x14ac:dyDescent="0.2">
      <c r="N16402" s="131"/>
    </row>
    <row r="16403" spans="14:14" x14ac:dyDescent="0.2">
      <c r="N16403" s="131"/>
    </row>
    <row r="16404" spans="14:14" x14ac:dyDescent="0.2">
      <c r="N16404" s="131"/>
    </row>
    <row r="16405" spans="14:14" x14ac:dyDescent="0.2">
      <c r="N16405" s="131"/>
    </row>
    <row r="16406" spans="14:14" x14ac:dyDescent="0.2">
      <c r="N16406" s="131"/>
    </row>
    <row r="16407" spans="14:14" x14ac:dyDescent="0.2">
      <c r="N16407" s="131"/>
    </row>
    <row r="16408" spans="14:14" x14ac:dyDescent="0.2">
      <c r="N16408" s="131"/>
    </row>
    <row r="16409" spans="14:14" x14ac:dyDescent="0.2">
      <c r="N16409" s="131"/>
    </row>
    <row r="16410" spans="14:14" x14ac:dyDescent="0.2">
      <c r="N16410" s="131"/>
    </row>
    <row r="16411" spans="14:14" x14ac:dyDescent="0.2">
      <c r="N16411" s="131"/>
    </row>
    <row r="16412" spans="14:14" x14ac:dyDescent="0.2">
      <c r="N16412" s="131"/>
    </row>
    <row r="16413" spans="14:14" x14ac:dyDescent="0.2">
      <c r="N16413" s="131"/>
    </row>
    <row r="16414" spans="14:14" x14ac:dyDescent="0.2">
      <c r="N16414" s="131"/>
    </row>
    <row r="16415" spans="14:14" x14ac:dyDescent="0.2">
      <c r="N16415" s="131"/>
    </row>
    <row r="16416" spans="14:14" x14ac:dyDescent="0.2">
      <c r="N16416" s="131"/>
    </row>
    <row r="16417" spans="14:14" x14ac:dyDescent="0.2">
      <c r="N16417" s="131"/>
    </row>
    <row r="16418" spans="14:14" x14ac:dyDescent="0.2">
      <c r="N16418" s="131"/>
    </row>
    <row r="16419" spans="14:14" x14ac:dyDescent="0.2">
      <c r="N16419" s="131"/>
    </row>
    <row r="16420" spans="14:14" x14ac:dyDescent="0.2">
      <c r="N16420" s="131"/>
    </row>
    <row r="16421" spans="14:14" x14ac:dyDescent="0.2">
      <c r="N16421" s="131"/>
    </row>
    <row r="16422" spans="14:14" x14ac:dyDescent="0.2">
      <c r="N16422" s="131"/>
    </row>
    <row r="16423" spans="14:14" x14ac:dyDescent="0.2">
      <c r="N16423" s="131"/>
    </row>
    <row r="16424" spans="14:14" x14ac:dyDescent="0.2">
      <c r="N16424" s="131"/>
    </row>
  </sheetData>
  <mergeCells count="2">
    <mergeCell ref="A6:A60"/>
    <mergeCell ref="A61:A1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A114-B3FD-AC41-B9AC-F1AF443A2E5D}">
  <sheetPr>
    <tabColor theme="9" tint="0.79998168889431442"/>
  </sheetPr>
  <dimension ref="A1:Y51"/>
  <sheetViews>
    <sheetView topLeftCell="A13" zoomScale="96" workbookViewId="0">
      <selection activeCell="F35" sqref="F35"/>
    </sheetView>
  </sheetViews>
  <sheetFormatPr baseColWidth="10" defaultRowHeight="16" x14ac:dyDescent="0.2"/>
  <cols>
    <col min="1" max="1" width="17.5" style="150" bestFit="1" customWidth="1"/>
    <col min="2" max="2" width="18.6640625" style="150" customWidth="1"/>
    <col min="3" max="3" width="10.83203125" style="150"/>
    <col min="4" max="4" width="11.83203125" style="150" bestFit="1" customWidth="1"/>
    <col min="5" max="19" width="10.83203125" style="150"/>
    <col min="20" max="20" width="12.1640625" style="150" bestFit="1" customWidth="1"/>
    <col min="21" max="16384" width="10.83203125" style="150"/>
  </cols>
  <sheetData>
    <row r="1" spans="1:25" x14ac:dyDescent="0.2">
      <c r="A1" s="150" t="s">
        <v>135</v>
      </c>
      <c r="B1" s="150" t="s">
        <v>109</v>
      </c>
      <c r="C1" s="150" t="s">
        <v>5</v>
      </c>
      <c r="D1" s="150" t="s">
        <v>0</v>
      </c>
      <c r="E1" s="150" t="s">
        <v>1</v>
      </c>
      <c r="F1" s="150" t="s">
        <v>13</v>
      </c>
      <c r="G1" s="150" t="s">
        <v>2</v>
      </c>
      <c r="H1" s="150" t="s">
        <v>3</v>
      </c>
      <c r="I1" s="150" t="s">
        <v>23</v>
      </c>
      <c r="J1" s="150" t="s">
        <v>4</v>
      </c>
      <c r="K1" s="150" t="s">
        <v>165</v>
      </c>
      <c r="L1" s="150" t="s">
        <v>10</v>
      </c>
      <c r="M1" s="150" t="s">
        <v>6</v>
      </c>
      <c r="N1" s="150" t="s">
        <v>7</v>
      </c>
      <c r="O1" s="150" t="s">
        <v>20</v>
      </c>
      <c r="P1" s="150" t="s">
        <v>166</v>
      </c>
      <c r="Q1" s="150" t="s">
        <v>167</v>
      </c>
      <c r="R1" s="150" t="s">
        <v>15</v>
      </c>
      <c r="S1" s="150" t="s">
        <v>9</v>
      </c>
      <c r="T1" s="275" t="s">
        <v>145</v>
      </c>
      <c r="U1" s="275" t="s">
        <v>146</v>
      </c>
      <c r="V1" s="275" t="s">
        <v>147</v>
      </c>
      <c r="W1" s="275" t="s">
        <v>148</v>
      </c>
      <c r="X1" s="275" t="s">
        <v>149</v>
      </c>
      <c r="Y1" s="275" t="s">
        <v>150</v>
      </c>
    </row>
    <row r="2" spans="1:25" x14ac:dyDescent="0.2">
      <c r="A2" s="150" t="s">
        <v>129</v>
      </c>
      <c r="C2" s="150">
        <v>36.5</v>
      </c>
      <c r="D2" s="150">
        <v>955</v>
      </c>
      <c r="E2" s="150">
        <v>925</v>
      </c>
      <c r="F2" s="150">
        <v>1240</v>
      </c>
      <c r="G2" s="150">
        <v>1350</v>
      </c>
      <c r="H2" s="150">
        <v>885</v>
      </c>
      <c r="I2" s="150">
        <v>1040</v>
      </c>
      <c r="J2" s="150">
        <v>1380</v>
      </c>
      <c r="K2" s="150">
        <v>1200</v>
      </c>
      <c r="L2" s="150">
        <v>1184</v>
      </c>
      <c r="M2" s="150">
        <v>1800</v>
      </c>
      <c r="N2" s="150">
        <v>1220</v>
      </c>
      <c r="O2" s="150">
        <v>1240</v>
      </c>
      <c r="P2" s="150">
        <v>1150</v>
      </c>
      <c r="Q2" s="150">
        <v>1240</v>
      </c>
      <c r="R2" s="150">
        <v>1250</v>
      </c>
      <c r="S2" s="150">
        <v>1260</v>
      </c>
      <c r="T2" s="150">
        <v>1540</v>
      </c>
      <c r="U2" s="150">
        <v>1500</v>
      </c>
      <c r="V2" s="150">
        <v>1520</v>
      </c>
      <c r="W2" s="150">
        <v>1520</v>
      </c>
      <c r="X2" s="150">
        <v>1500</v>
      </c>
      <c r="Y2" s="150">
        <v>1520</v>
      </c>
    </row>
    <row r="3" spans="1:25" x14ac:dyDescent="0.2">
      <c r="A3" s="150" t="s">
        <v>136</v>
      </c>
      <c r="B3" s="150" t="s">
        <v>140</v>
      </c>
      <c r="C3" s="276">
        <v>9.5100000000000007E-16</v>
      </c>
      <c r="D3" s="276">
        <v>3.1699999999999998E-15</v>
      </c>
      <c r="E3" s="276">
        <v>6.3399999999999997E-15</v>
      </c>
      <c r="F3" s="276">
        <v>1.01E-13</v>
      </c>
      <c r="G3" s="276">
        <v>9.5100000000000003E-15</v>
      </c>
      <c r="H3" s="276">
        <v>3.8999999999999998E-14</v>
      </c>
      <c r="I3" s="276">
        <v>9.5100000000000007E-16</v>
      </c>
      <c r="J3" s="276">
        <v>3.1700000000000002E-16</v>
      </c>
      <c r="K3" s="276">
        <v>8.0063300183616196E-15</v>
      </c>
      <c r="L3" s="276">
        <v>3.1700000000000002E-17</v>
      </c>
      <c r="M3" s="276">
        <v>3.3300000000000001E-15</v>
      </c>
      <c r="N3" s="276">
        <v>3.5699999999999999E-12</v>
      </c>
      <c r="O3" s="276">
        <v>2.8500000000000002E-15</v>
      </c>
      <c r="P3" s="276">
        <v>4.705702440682101E-13</v>
      </c>
      <c r="Q3" s="150">
        <v>4.9642264221135824E-14</v>
      </c>
      <c r="R3" s="276">
        <v>3.2099999999999999E-12</v>
      </c>
      <c r="S3" s="276">
        <v>3.7299999999999998E-13</v>
      </c>
      <c r="T3" s="150">
        <v>5.8031411026021516E-13</v>
      </c>
      <c r="U3" s="150">
        <v>1.2270739599921661E-12</v>
      </c>
      <c r="V3" s="150">
        <v>7.787712798271349E-13</v>
      </c>
      <c r="W3" s="150">
        <v>7.787712798271349E-13</v>
      </c>
      <c r="X3" s="150">
        <v>1.2652134353545296E-12</v>
      </c>
      <c r="Y3" s="150">
        <v>1.6460494187547352E-12</v>
      </c>
    </row>
    <row r="4" spans="1:25" x14ac:dyDescent="0.2">
      <c r="A4" s="150" t="s">
        <v>136</v>
      </c>
      <c r="B4" s="150" t="s">
        <v>115</v>
      </c>
      <c r="C4" s="276">
        <v>9.5100000000000007E-16</v>
      </c>
      <c r="D4" s="276">
        <v>3.1699999999999998E-15</v>
      </c>
      <c r="E4" s="276">
        <v>6.3399999999999997E-15</v>
      </c>
      <c r="F4" s="276">
        <v>1.01E-13</v>
      </c>
      <c r="G4" s="276">
        <v>9.5100000000000003E-15</v>
      </c>
      <c r="H4" s="276">
        <v>3.8999999999999998E-14</v>
      </c>
      <c r="I4" s="276">
        <v>9.5100000000000007E-16</v>
      </c>
      <c r="J4" s="276">
        <v>3.1700000000000002E-16</v>
      </c>
      <c r="K4" s="276">
        <v>8.0063300183616196E-15</v>
      </c>
      <c r="L4" s="276">
        <v>3.1700000000000002E-17</v>
      </c>
      <c r="M4" s="276">
        <v>3.3300000000000001E-15</v>
      </c>
      <c r="N4" s="276">
        <v>3.5699999999999999E-12</v>
      </c>
      <c r="O4" s="276">
        <v>2.8500000000000002E-15</v>
      </c>
      <c r="P4" s="276">
        <v>4.705702440682101E-13</v>
      </c>
      <c r="Q4" s="150">
        <v>4.9642264221135824E-14</v>
      </c>
      <c r="R4" s="276">
        <v>3.2099999999999999E-12</v>
      </c>
      <c r="S4" s="276">
        <v>3.7299999999999998E-13</v>
      </c>
      <c r="T4" s="150">
        <v>5.8031411026021516E-13</v>
      </c>
      <c r="U4" s="150">
        <v>1.2270739599921661E-12</v>
      </c>
      <c r="V4" s="150">
        <v>7.787712798271349E-13</v>
      </c>
      <c r="W4" s="150">
        <v>7.787712798271349E-13</v>
      </c>
      <c r="X4" s="150">
        <v>1.2652134353545296E-12</v>
      </c>
      <c r="Y4" s="150">
        <v>1.6460494187547352E-12</v>
      </c>
    </row>
    <row r="5" spans="1:25" x14ac:dyDescent="0.2">
      <c r="A5" s="150" t="s">
        <v>136</v>
      </c>
      <c r="B5" s="150" t="s">
        <v>124</v>
      </c>
      <c r="C5" s="276">
        <v>9.5100000000000007E-16</v>
      </c>
      <c r="D5" s="276">
        <v>3.1699999999999998E-15</v>
      </c>
      <c r="E5" s="276">
        <v>6.3399999999999997E-15</v>
      </c>
      <c r="F5" s="276">
        <v>1.01E-13</v>
      </c>
      <c r="G5" s="276">
        <v>9.5100000000000003E-15</v>
      </c>
      <c r="H5" s="276">
        <v>3.8999999999999998E-14</v>
      </c>
      <c r="I5" s="276">
        <v>9.5100000000000007E-16</v>
      </c>
      <c r="J5" s="276">
        <v>3.1700000000000002E-16</v>
      </c>
      <c r="K5" s="276">
        <v>8.0063300183616196E-15</v>
      </c>
      <c r="L5" s="276">
        <v>3.1700000000000002E-17</v>
      </c>
      <c r="M5" s="276">
        <v>3.3300000000000001E-15</v>
      </c>
      <c r="N5" s="276">
        <v>3.5699999999999999E-12</v>
      </c>
      <c r="O5" s="276">
        <v>2.8500000000000002E-15</v>
      </c>
      <c r="P5" s="276">
        <v>4.705702440682101E-13</v>
      </c>
      <c r="Q5" s="150">
        <v>4.9642264221135824E-14</v>
      </c>
      <c r="R5" s="276">
        <v>3.2099999999999999E-12</v>
      </c>
      <c r="S5" s="276">
        <v>3.7299999999999998E-13</v>
      </c>
      <c r="T5" s="150">
        <v>5.8031411026021516E-13</v>
      </c>
      <c r="U5" s="150">
        <v>1.2270739599921661E-12</v>
      </c>
      <c r="V5" s="150">
        <v>7.787712798271349E-13</v>
      </c>
      <c r="W5" s="150">
        <v>7.787712798271349E-13</v>
      </c>
      <c r="X5" s="150">
        <v>1.2652134353545296E-12</v>
      </c>
      <c r="Y5" s="150">
        <v>1.6460494187547352E-12</v>
      </c>
    </row>
    <row r="6" spans="1:25" x14ac:dyDescent="0.2">
      <c r="A6" s="150" t="s">
        <v>136</v>
      </c>
      <c r="B6" s="150" t="s">
        <v>116</v>
      </c>
      <c r="C6" s="276">
        <v>9.5100000000000007E-16</v>
      </c>
      <c r="D6" s="276">
        <v>3.1699999999999998E-15</v>
      </c>
      <c r="E6" s="276">
        <v>6.3399999999999997E-15</v>
      </c>
      <c r="F6" s="276">
        <v>1.01E-13</v>
      </c>
      <c r="G6" s="276">
        <v>9.5100000000000003E-15</v>
      </c>
      <c r="H6" s="276">
        <v>3.8999999999999998E-14</v>
      </c>
      <c r="I6" s="276">
        <v>9.5100000000000007E-16</v>
      </c>
      <c r="J6" s="276">
        <v>3.1700000000000002E-16</v>
      </c>
      <c r="K6" s="276">
        <v>8.0063300183616196E-15</v>
      </c>
      <c r="L6" s="276">
        <v>3.1700000000000002E-17</v>
      </c>
      <c r="M6" s="276">
        <v>3.3300000000000001E-15</v>
      </c>
      <c r="N6" s="276">
        <v>3.5699999999999999E-12</v>
      </c>
      <c r="O6" s="276">
        <v>2.8500000000000002E-15</v>
      </c>
      <c r="P6" s="276">
        <v>4.705702440682101E-13</v>
      </c>
      <c r="Q6" s="150">
        <v>4.9642264221135824E-14</v>
      </c>
      <c r="R6" s="276">
        <v>3.2099999999999999E-12</v>
      </c>
      <c r="S6" s="276">
        <v>3.7299999999999998E-13</v>
      </c>
      <c r="T6" s="150">
        <v>5.8031411026021516E-13</v>
      </c>
      <c r="U6" s="150">
        <v>1.2270739599921661E-12</v>
      </c>
      <c r="V6" s="150">
        <v>7.787712798271349E-13</v>
      </c>
      <c r="W6" s="150">
        <v>7.787712798271349E-13</v>
      </c>
      <c r="X6" s="150">
        <v>1.2652134353545296E-12</v>
      </c>
      <c r="Y6" s="150">
        <v>1.6460494187547352E-12</v>
      </c>
    </row>
    <row r="7" spans="1:25" x14ac:dyDescent="0.2">
      <c r="A7" s="150" t="s">
        <v>136</v>
      </c>
      <c r="B7" s="150" t="s">
        <v>137</v>
      </c>
      <c r="C7" s="276">
        <v>9.5100000000000007E-16</v>
      </c>
      <c r="D7" s="276">
        <v>3.1699999999999998E-15</v>
      </c>
      <c r="E7" s="276">
        <v>2.23E-14</v>
      </c>
      <c r="F7" s="276">
        <v>1.01E-13</v>
      </c>
      <c r="G7" s="276">
        <v>9.5100000000000003E-15</v>
      </c>
      <c r="H7" s="276">
        <v>2.8500000000000002E-15</v>
      </c>
      <c r="I7" s="276">
        <v>9.5100000000000007E-16</v>
      </c>
      <c r="J7" s="276">
        <v>3.1700000000000002E-16</v>
      </c>
      <c r="K7" s="276">
        <v>8.0063300183616196E-15</v>
      </c>
      <c r="L7" s="276">
        <v>3.1700000000000002E-17</v>
      </c>
      <c r="M7" s="276">
        <v>3.3300000000000001E-15</v>
      </c>
      <c r="N7" s="276">
        <v>1.96E-13</v>
      </c>
      <c r="O7" s="276">
        <v>3.4899999999999998E-17</v>
      </c>
      <c r="P7" s="276">
        <v>4.705702440682101E-13</v>
      </c>
      <c r="Q7" s="150">
        <v>4.9642264221135824E-14</v>
      </c>
      <c r="R7" s="276">
        <v>3.2099999999999999E-12</v>
      </c>
      <c r="S7" s="276">
        <v>3.7299999999999998E-13</v>
      </c>
      <c r="T7" s="150">
        <v>5.8031411026021516E-13</v>
      </c>
      <c r="U7" s="150">
        <v>1.2270739599921661E-12</v>
      </c>
      <c r="V7" s="150">
        <v>7.787712798271349E-13</v>
      </c>
      <c r="W7" s="150">
        <v>7.787712798271349E-13</v>
      </c>
      <c r="X7" s="150">
        <v>1.2652134353545296E-12</v>
      </c>
      <c r="Y7" s="150">
        <v>1.6460494187547352E-12</v>
      </c>
    </row>
    <row r="8" spans="1:25" x14ac:dyDescent="0.2">
      <c r="A8" s="150" t="s">
        <v>136</v>
      </c>
      <c r="B8" s="150" t="s">
        <v>138</v>
      </c>
      <c r="C8" s="276">
        <v>9.5100000000000007E-16</v>
      </c>
      <c r="D8" s="276">
        <v>3.1699999999999998E-15</v>
      </c>
      <c r="E8" s="276">
        <v>2.23E-14</v>
      </c>
      <c r="F8" s="276">
        <v>1.01E-13</v>
      </c>
      <c r="G8" s="276">
        <v>9.5100000000000003E-15</v>
      </c>
      <c r="H8" s="276">
        <v>2.8500000000000002E-15</v>
      </c>
      <c r="I8" s="276">
        <v>9.5100000000000007E-16</v>
      </c>
      <c r="J8" s="276">
        <v>3.1700000000000002E-16</v>
      </c>
      <c r="K8" s="276">
        <v>8.0063300183616196E-15</v>
      </c>
      <c r="L8" s="276">
        <v>3.1700000000000002E-17</v>
      </c>
      <c r="M8" s="276">
        <v>3.3300000000000001E-15</v>
      </c>
      <c r="N8" s="276">
        <v>1.96E-13</v>
      </c>
      <c r="O8" s="276">
        <v>3.4899999999999998E-17</v>
      </c>
      <c r="P8" s="276">
        <v>4.705702440682101E-13</v>
      </c>
      <c r="Q8" s="150">
        <v>4.9642264221135824E-14</v>
      </c>
      <c r="R8" s="276">
        <v>3.2099999999999999E-12</v>
      </c>
      <c r="S8" s="276">
        <v>3.7299999999999998E-13</v>
      </c>
      <c r="T8" s="150">
        <v>5.8031411026021516E-13</v>
      </c>
      <c r="U8" s="150">
        <v>1.2270739599921661E-12</v>
      </c>
      <c r="V8" s="150">
        <v>7.787712798271349E-13</v>
      </c>
      <c r="W8" s="150">
        <v>7.787712798271349E-13</v>
      </c>
      <c r="X8" s="150">
        <v>1.2652134353545296E-12</v>
      </c>
      <c r="Y8" s="150">
        <v>1.6460494187547352E-12</v>
      </c>
    </row>
    <row r="9" spans="1:25" x14ac:dyDescent="0.2">
      <c r="A9" s="150" t="s">
        <v>136</v>
      </c>
      <c r="B9" s="150" t="s">
        <v>139</v>
      </c>
      <c r="C9" s="276">
        <v>9.5100000000000007E-16</v>
      </c>
      <c r="D9" s="276">
        <v>3.1699999999999998E-15</v>
      </c>
      <c r="E9" s="276">
        <v>2.23E-14</v>
      </c>
      <c r="F9" s="276">
        <v>1.01E-13</v>
      </c>
      <c r="G9" s="276">
        <v>9.5100000000000003E-15</v>
      </c>
      <c r="H9" s="276">
        <v>2.8500000000000002E-15</v>
      </c>
      <c r="I9" s="276">
        <v>9.5100000000000007E-16</v>
      </c>
      <c r="J9" s="276">
        <v>3.1700000000000002E-16</v>
      </c>
      <c r="K9" s="276">
        <v>8.0063300183616196E-15</v>
      </c>
      <c r="L9" s="276">
        <v>3.1700000000000002E-17</v>
      </c>
      <c r="M9" s="276">
        <v>3.3300000000000001E-15</v>
      </c>
      <c r="N9" s="276">
        <v>1.96E-13</v>
      </c>
      <c r="O9" s="276">
        <v>3.4899999999999998E-17</v>
      </c>
      <c r="P9" s="276">
        <v>4.705702440682101E-13</v>
      </c>
      <c r="Q9" s="150">
        <v>4.9642264221135824E-14</v>
      </c>
      <c r="R9" s="276">
        <v>3.2099999999999999E-12</v>
      </c>
      <c r="S9" s="276">
        <v>3.7299999999999998E-13</v>
      </c>
      <c r="T9" s="150">
        <v>5.8031411026021516E-13</v>
      </c>
      <c r="U9" s="150">
        <v>1.2270739599921661E-12</v>
      </c>
      <c r="V9" s="150">
        <v>7.787712798271349E-13</v>
      </c>
      <c r="W9" s="150">
        <v>7.787712798271349E-13</v>
      </c>
      <c r="X9" s="150">
        <v>1.2652134353545296E-12</v>
      </c>
      <c r="Y9" s="150">
        <v>1.6460494187547352E-12</v>
      </c>
    </row>
    <row r="10" spans="1:25" x14ac:dyDescent="0.2">
      <c r="A10" s="150" t="s">
        <v>136</v>
      </c>
      <c r="B10" s="150" t="s">
        <v>117</v>
      </c>
      <c r="C10" s="276">
        <v>9.5100000000000007E-16</v>
      </c>
      <c r="D10" s="276">
        <v>3.62E-14</v>
      </c>
      <c r="E10" s="276">
        <v>4.9300000000000002E-13</v>
      </c>
      <c r="F10" s="276">
        <v>1.01E-13</v>
      </c>
      <c r="G10" s="276">
        <v>1.8799999999999999E-14</v>
      </c>
      <c r="H10" s="276">
        <v>2.2000000000000001E-14</v>
      </c>
      <c r="I10" s="276">
        <v>9.5100000000000007E-16</v>
      </c>
      <c r="J10" s="276">
        <v>3.1700000000000002E-16</v>
      </c>
      <c r="K10" s="276">
        <v>8.0063300183616196E-15</v>
      </c>
      <c r="L10" s="276">
        <v>3.1700000000000002E-17</v>
      </c>
      <c r="M10" s="276">
        <v>2.6700000000000002E-13</v>
      </c>
      <c r="N10" s="276">
        <v>3.79E-11</v>
      </c>
      <c r="O10" s="276">
        <v>3.8399999999999998E-12</v>
      </c>
      <c r="P10" s="276">
        <v>4.705702440682101E-13</v>
      </c>
      <c r="Q10" s="150">
        <v>4.9642264221135824E-14</v>
      </c>
      <c r="R10" s="276">
        <v>1.0499999999999999E-11</v>
      </c>
      <c r="S10" s="276">
        <v>1.72E-13</v>
      </c>
      <c r="T10" s="150">
        <v>1.2567358529037943E-13</v>
      </c>
      <c r="U10" s="150">
        <v>1.2567358529037943E-13</v>
      </c>
      <c r="V10" s="150">
        <v>1.2567358529037943E-13</v>
      </c>
      <c r="W10" s="150">
        <v>1.2567358529037943E-13</v>
      </c>
      <c r="X10" s="150">
        <v>1.2567358529037943E-13</v>
      </c>
      <c r="Y10" s="150">
        <v>1.2567358529037943E-13</v>
      </c>
    </row>
    <row r="11" spans="1:25" x14ac:dyDescent="0.2">
      <c r="A11" s="150" t="s">
        <v>136</v>
      </c>
      <c r="B11" s="150" t="s">
        <v>127</v>
      </c>
      <c r="C11" s="276">
        <v>9.5100000000000007E-16</v>
      </c>
      <c r="D11" s="276">
        <v>3.62E-14</v>
      </c>
      <c r="E11" s="276">
        <v>4.9300000000000002E-13</v>
      </c>
      <c r="F11" s="276">
        <v>1.01E-13</v>
      </c>
      <c r="G11" s="276">
        <v>1.8799999999999999E-14</v>
      </c>
      <c r="H11" s="276">
        <v>2.2000000000000001E-14</v>
      </c>
      <c r="I11" s="276">
        <v>9.5100000000000007E-16</v>
      </c>
      <c r="J11" s="276">
        <v>3.1700000000000002E-16</v>
      </c>
      <c r="K11" s="276">
        <v>8.0063300183616196E-15</v>
      </c>
      <c r="L11" s="276">
        <v>3.1700000000000002E-17</v>
      </c>
      <c r="M11" s="276">
        <v>2.6700000000000002E-13</v>
      </c>
      <c r="N11" s="276">
        <v>3.79E-11</v>
      </c>
      <c r="O11" s="276">
        <v>3.8399999999999998E-12</v>
      </c>
      <c r="P11" s="276">
        <v>4.705702440682101E-13</v>
      </c>
      <c r="Q11" s="150">
        <v>4.9642264221135824E-14</v>
      </c>
      <c r="R11" s="276">
        <v>1.0499999999999999E-11</v>
      </c>
      <c r="S11" s="276">
        <v>1.72E-13</v>
      </c>
      <c r="T11" s="150">
        <v>1.2567358529037943E-13</v>
      </c>
      <c r="U11" s="150">
        <v>1.2567358529037943E-13</v>
      </c>
      <c r="V11" s="150">
        <v>1.2567358529037943E-13</v>
      </c>
      <c r="W11" s="150">
        <v>1.2567358529037943E-13</v>
      </c>
      <c r="X11" s="150">
        <v>1.2567358529037943E-13</v>
      </c>
      <c r="Y11" s="150">
        <v>1.2567358529037943E-13</v>
      </c>
    </row>
    <row r="12" spans="1:25" x14ac:dyDescent="0.2">
      <c r="A12" s="150" t="s">
        <v>136</v>
      </c>
      <c r="B12" s="150" t="s">
        <v>118</v>
      </c>
      <c r="C12" s="276">
        <v>9.5100000000000007E-16</v>
      </c>
      <c r="D12" s="276">
        <v>3.62E-14</v>
      </c>
      <c r="E12" s="276">
        <v>4.9300000000000002E-13</v>
      </c>
      <c r="F12" s="276">
        <v>1.01E-13</v>
      </c>
      <c r="G12" s="276">
        <v>1.8799999999999999E-14</v>
      </c>
      <c r="H12" s="276">
        <v>2.2000000000000001E-14</v>
      </c>
      <c r="I12" s="276">
        <v>9.5100000000000007E-16</v>
      </c>
      <c r="J12" s="276">
        <v>3.1700000000000002E-16</v>
      </c>
      <c r="K12" s="276">
        <v>8.0063300183616196E-15</v>
      </c>
      <c r="L12" s="276">
        <v>3.1700000000000002E-17</v>
      </c>
      <c r="M12" s="276">
        <v>2.6700000000000002E-13</v>
      </c>
      <c r="N12" s="276">
        <v>3.79E-11</v>
      </c>
      <c r="O12" s="276">
        <v>3.8399999999999998E-12</v>
      </c>
      <c r="P12" s="276">
        <v>4.705702440682101E-13</v>
      </c>
      <c r="Q12" s="150">
        <v>4.9642264221135824E-14</v>
      </c>
      <c r="R12" s="276">
        <v>1.0499999999999999E-11</v>
      </c>
      <c r="S12" s="276">
        <v>1.72E-13</v>
      </c>
      <c r="T12" s="150">
        <v>1.2567358529037943E-13</v>
      </c>
      <c r="U12" s="150">
        <v>1.2567358529037943E-13</v>
      </c>
      <c r="V12" s="150">
        <v>1.2567358529037943E-13</v>
      </c>
      <c r="W12" s="150">
        <v>1.2567358529037943E-13</v>
      </c>
      <c r="X12" s="150">
        <v>1.2567358529037943E-13</v>
      </c>
      <c r="Y12" s="150">
        <v>1.2567358529037943E-13</v>
      </c>
    </row>
    <row r="13" spans="1:25" x14ac:dyDescent="0.2">
      <c r="A13" s="150" t="s">
        <v>130</v>
      </c>
      <c r="C13" s="150">
        <v>13</v>
      </c>
      <c r="D13" s="150">
        <v>1</v>
      </c>
      <c r="E13" s="150">
        <v>1</v>
      </c>
      <c r="F13" s="150">
        <v>1</v>
      </c>
      <c r="G13" s="150">
        <v>1</v>
      </c>
      <c r="H13" s="150">
        <v>1</v>
      </c>
      <c r="I13" s="150">
        <v>1</v>
      </c>
      <c r="J13" s="150">
        <v>1</v>
      </c>
      <c r="K13" s="150">
        <v>1</v>
      </c>
      <c r="L13" s="150">
        <v>1</v>
      </c>
      <c r="M13" s="150">
        <v>1</v>
      </c>
      <c r="N13" s="150">
        <v>1</v>
      </c>
      <c r="O13" s="150">
        <v>1</v>
      </c>
      <c r="P13" s="150">
        <v>1</v>
      </c>
      <c r="Q13" s="150">
        <v>1</v>
      </c>
      <c r="R13" s="150">
        <v>1</v>
      </c>
      <c r="S13" s="150">
        <v>1</v>
      </c>
      <c r="T13" s="150">
        <v>1</v>
      </c>
      <c r="U13" s="150">
        <v>1</v>
      </c>
      <c r="V13" s="150">
        <v>1</v>
      </c>
      <c r="W13" s="150">
        <v>1</v>
      </c>
      <c r="X13" s="150">
        <v>1</v>
      </c>
      <c r="Y13" s="150">
        <v>1</v>
      </c>
    </row>
    <row r="14" spans="1:25" x14ac:dyDescent="0.2">
      <c r="A14" s="150" t="s">
        <v>134</v>
      </c>
      <c r="C14" s="276">
        <f>'2.1.sed_rates'!D7</f>
        <v>8.3499999999999996E-11</v>
      </c>
      <c r="D14" s="276">
        <f>'2.1.sed_rates'!D9</f>
        <v>5.6699999999999998E-8</v>
      </c>
      <c r="E14" s="276">
        <f>'2.1.sed_rates'!D10</f>
        <v>5.6699999999999998E-8</v>
      </c>
      <c r="F14" s="276"/>
      <c r="G14" s="276"/>
      <c r="H14" s="276">
        <f>'2.1.sed_rates'!D8</f>
        <v>5.6699999999999998E-8</v>
      </c>
      <c r="I14" s="276"/>
      <c r="J14" s="276"/>
      <c r="K14" s="276"/>
      <c r="M14" s="276"/>
      <c r="N14" s="276"/>
      <c r="O14" s="276"/>
      <c r="P14" s="276"/>
      <c r="Q14" s="276"/>
    </row>
    <row r="15" spans="1:25" x14ac:dyDescent="0.2">
      <c r="A15" s="150" t="s">
        <v>196</v>
      </c>
      <c r="C15" s="276" t="s">
        <v>136</v>
      </c>
      <c r="D15" s="276" t="s">
        <v>197</v>
      </c>
      <c r="E15" s="276" t="s">
        <v>197</v>
      </c>
      <c r="F15" s="276" t="s">
        <v>136</v>
      </c>
      <c r="G15" s="276" t="s">
        <v>197</v>
      </c>
      <c r="H15" s="276" t="s">
        <v>197</v>
      </c>
      <c r="I15" s="276" t="s">
        <v>197</v>
      </c>
      <c r="J15" s="276" t="s">
        <v>136</v>
      </c>
      <c r="K15" s="276" t="s">
        <v>136</v>
      </c>
      <c r="L15" s="276" t="s">
        <v>136</v>
      </c>
      <c r="M15" s="276" t="s">
        <v>136</v>
      </c>
      <c r="N15" s="276" t="s">
        <v>136</v>
      </c>
      <c r="O15" s="276" t="s">
        <v>136</v>
      </c>
      <c r="P15" s="276" t="s">
        <v>136</v>
      </c>
      <c r="Q15" s="276" t="s">
        <v>136</v>
      </c>
      <c r="R15" s="276" t="s">
        <v>136</v>
      </c>
      <c r="S15" s="276" t="s">
        <v>136</v>
      </c>
      <c r="T15" s="276" t="s">
        <v>136</v>
      </c>
      <c r="U15" s="276" t="s">
        <v>136</v>
      </c>
      <c r="V15" s="276" t="s">
        <v>136</v>
      </c>
      <c r="W15" s="276" t="s">
        <v>136</v>
      </c>
      <c r="X15" s="276" t="s">
        <v>136</v>
      </c>
      <c r="Y15" s="276" t="s">
        <v>136</v>
      </c>
    </row>
    <row r="16" spans="1:25" x14ac:dyDescent="0.2">
      <c r="A16" s="150" t="s">
        <v>285</v>
      </c>
      <c r="C16" s="150" t="s">
        <v>164</v>
      </c>
      <c r="D16" s="277">
        <v>1.03E-2</v>
      </c>
      <c r="E16" s="277">
        <v>1.11E-2</v>
      </c>
      <c r="F16" s="150" t="s">
        <v>164</v>
      </c>
      <c r="G16" s="277">
        <v>2.43E-4</v>
      </c>
      <c r="H16" s="277">
        <v>5.4999999999999997E-3</v>
      </c>
      <c r="I16" s="277">
        <v>2.7300000000000002E-4</v>
      </c>
      <c r="J16" s="150" t="s">
        <v>164</v>
      </c>
      <c r="K16" s="150" t="s">
        <v>164</v>
      </c>
      <c r="L16" s="150" t="s">
        <v>164</v>
      </c>
      <c r="M16" s="150" t="s">
        <v>164</v>
      </c>
      <c r="N16" s="150" t="s">
        <v>164</v>
      </c>
      <c r="O16" s="150" t="s">
        <v>164</v>
      </c>
      <c r="P16" s="150" t="s">
        <v>164</v>
      </c>
      <c r="Q16" s="150" t="s">
        <v>164</v>
      </c>
      <c r="R16" s="150" t="s">
        <v>164</v>
      </c>
      <c r="S16" s="150" t="s">
        <v>164</v>
      </c>
      <c r="T16" s="150" t="s">
        <v>164</v>
      </c>
      <c r="U16" s="150" t="s">
        <v>164</v>
      </c>
      <c r="V16" s="150" t="s">
        <v>164</v>
      </c>
      <c r="W16" s="150" t="s">
        <v>164</v>
      </c>
      <c r="X16" s="150" t="s">
        <v>164</v>
      </c>
      <c r="Y16" s="150" t="s">
        <v>164</v>
      </c>
    </row>
    <row r="17" spans="1:25" x14ac:dyDescent="0.2">
      <c r="A17" s="150" t="s">
        <v>286</v>
      </c>
      <c r="C17" s="150" t="s">
        <v>164</v>
      </c>
      <c r="D17" s="277">
        <v>3.3599999999999999E-11</v>
      </c>
      <c r="E17" s="277">
        <v>4.9999999999999999E-13</v>
      </c>
      <c r="F17" s="150" t="s">
        <v>164</v>
      </c>
      <c r="G17" s="277">
        <v>0.79100000000000004</v>
      </c>
      <c r="H17" s="277">
        <v>1.37E-2</v>
      </c>
      <c r="I17" s="277">
        <v>0.24299999999999999</v>
      </c>
      <c r="J17" s="150" t="s">
        <v>164</v>
      </c>
      <c r="K17" s="150" t="s">
        <v>164</v>
      </c>
      <c r="L17" s="150" t="s">
        <v>164</v>
      </c>
      <c r="M17" s="150" t="s">
        <v>164</v>
      </c>
      <c r="N17" s="150" t="s">
        <v>164</v>
      </c>
      <c r="O17" s="150" t="s">
        <v>164</v>
      </c>
      <c r="P17" s="150" t="s">
        <v>164</v>
      </c>
      <c r="Q17" s="150" t="s">
        <v>164</v>
      </c>
      <c r="R17" s="150" t="s">
        <v>164</v>
      </c>
      <c r="S17" s="150" t="s">
        <v>164</v>
      </c>
      <c r="T17" s="150" t="s">
        <v>164</v>
      </c>
      <c r="U17" s="150" t="s">
        <v>164</v>
      </c>
      <c r="V17" s="150" t="s">
        <v>164</v>
      </c>
      <c r="W17" s="150" t="s">
        <v>164</v>
      </c>
      <c r="X17" s="150" t="s">
        <v>164</v>
      </c>
      <c r="Y17" s="150" t="s">
        <v>164</v>
      </c>
    </row>
    <row r="18" spans="1:25" x14ac:dyDescent="0.2">
      <c r="A18" s="150" t="s">
        <v>287</v>
      </c>
      <c r="C18" s="150" t="s">
        <v>164</v>
      </c>
      <c r="D18" s="277">
        <v>2.1800000000000001E-3</v>
      </c>
      <c r="E18" s="277">
        <v>1.03E-2</v>
      </c>
      <c r="F18" s="150" t="s">
        <v>164</v>
      </c>
      <c r="G18" s="277">
        <v>1.33E-5</v>
      </c>
      <c r="H18" s="277">
        <v>1.72E-2</v>
      </c>
      <c r="I18" s="277">
        <v>1.44E-2</v>
      </c>
      <c r="J18" s="150" t="s">
        <v>164</v>
      </c>
      <c r="K18" s="150" t="s">
        <v>164</v>
      </c>
      <c r="L18" s="150" t="s">
        <v>164</v>
      </c>
      <c r="M18" s="150" t="s">
        <v>164</v>
      </c>
      <c r="N18" s="150" t="s">
        <v>164</v>
      </c>
      <c r="O18" s="150" t="s">
        <v>164</v>
      </c>
      <c r="P18" s="150" t="s">
        <v>164</v>
      </c>
      <c r="Q18" s="150" t="s">
        <v>164</v>
      </c>
      <c r="R18" s="150" t="s">
        <v>164</v>
      </c>
      <c r="S18" s="150" t="s">
        <v>164</v>
      </c>
      <c r="T18" s="150" t="s">
        <v>164</v>
      </c>
      <c r="U18" s="150" t="s">
        <v>164</v>
      </c>
      <c r="V18" s="150" t="s">
        <v>164</v>
      </c>
      <c r="W18" s="150" t="s">
        <v>164</v>
      </c>
      <c r="X18" s="150" t="s">
        <v>164</v>
      </c>
      <c r="Y18" s="150" t="s">
        <v>164</v>
      </c>
    </row>
    <row r="19" spans="1:25" x14ac:dyDescent="0.2">
      <c r="A19" s="150" t="s">
        <v>288</v>
      </c>
      <c r="C19" s="150" t="s">
        <v>164</v>
      </c>
      <c r="D19" s="277">
        <v>0.29899999999999999</v>
      </c>
      <c r="E19" s="277">
        <v>4.3600000000000002E-3</v>
      </c>
      <c r="F19" s="150" t="s">
        <v>164</v>
      </c>
      <c r="G19" s="277">
        <v>1.88</v>
      </c>
      <c r="H19" s="277">
        <v>0.70499999999999996</v>
      </c>
      <c r="I19" s="277">
        <v>1.01</v>
      </c>
      <c r="J19" s="150" t="s">
        <v>164</v>
      </c>
      <c r="K19" s="150" t="s">
        <v>164</v>
      </c>
      <c r="L19" s="150" t="s">
        <v>164</v>
      </c>
      <c r="M19" s="150" t="s">
        <v>164</v>
      </c>
      <c r="N19" s="150" t="s">
        <v>164</v>
      </c>
      <c r="O19" s="150" t="s">
        <v>164</v>
      </c>
      <c r="P19" s="150" t="s">
        <v>164</v>
      </c>
      <c r="Q19" s="150" t="s">
        <v>164</v>
      </c>
      <c r="R19" s="150" t="s">
        <v>164</v>
      </c>
      <c r="S19" s="150" t="s">
        <v>164</v>
      </c>
      <c r="T19" s="150" t="s">
        <v>164</v>
      </c>
      <c r="U19" s="150" t="s">
        <v>164</v>
      </c>
      <c r="V19" s="150" t="s">
        <v>164</v>
      </c>
      <c r="W19" s="150" t="s">
        <v>164</v>
      </c>
      <c r="X19" s="150" t="s">
        <v>164</v>
      </c>
      <c r="Y19" s="150" t="s">
        <v>164</v>
      </c>
    </row>
    <row r="20" spans="1:25" x14ac:dyDescent="0.2">
      <c r="A20" s="150" t="s">
        <v>289</v>
      </c>
      <c r="C20" s="150" t="s">
        <v>164</v>
      </c>
      <c r="D20" s="277">
        <v>3.7800000000000003E-4</v>
      </c>
      <c r="E20" s="277">
        <v>1.05E-4</v>
      </c>
      <c r="F20" s="150" t="s">
        <v>164</v>
      </c>
      <c r="G20" s="277">
        <v>1.52E-2</v>
      </c>
      <c r="H20" s="277">
        <v>1.6200000000000001E-5</v>
      </c>
      <c r="I20" s="277">
        <v>6.2299999999999996E-5</v>
      </c>
      <c r="J20" s="150" t="s">
        <v>164</v>
      </c>
      <c r="K20" s="150" t="s">
        <v>164</v>
      </c>
      <c r="L20" s="150" t="s">
        <v>164</v>
      </c>
      <c r="M20" s="150" t="s">
        <v>164</v>
      </c>
      <c r="N20" s="150" t="s">
        <v>164</v>
      </c>
      <c r="O20" s="150" t="s">
        <v>164</v>
      </c>
      <c r="P20" s="150" t="s">
        <v>164</v>
      </c>
      <c r="Q20" s="150" t="s">
        <v>164</v>
      </c>
      <c r="R20" s="150" t="s">
        <v>164</v>
      </c>
      <c r="S20" s="150" t="s">
        <v>164</v>
      </c>
      <c r="T20" s="150" t="s">
        <v>164</v>
      </c>
      <c r="U20" s="150" t="s">
        <v>164</v>
      </c>
      <c r="V20" s="150" t="s">
        <v>164</v>
      </c>
      <c r="W20" s="150" t="s">
        <v>164</v>
      </c>
      <c r="X20" s="150" t="s">
        <v>164</v>
      </c>
      <c r="Y20" s="150" t="s">
        <v>164</v>
      </c>
    </row>
    <row r="21" spans="1:25" x14ac:dyDescent="0.2">
      <c r="A21" s="150" t="s">
        <v>290</v>
      </c>
      <c r="C21" s="150" t="s">
        <v>164</v>
      </c>
      <c r="D21" s="277">
        <v>0.216</v>
      </c>
      <c r="E21" s="277">
        <v>0.32400000000000001</v>
      </c>
      <c r="F21" s="150" t="s">
        <v>164</v>
      </c>
      <c r="G21" s="277">
        <v>7.85E-2</v>
      </c>
      <c r="H21" s="277">
        <v>0.442</v>
      </c>
      <c r="I21" s="277">
        <v>0.496</v>
      </c>
      <c r="J21" s="150" t="s">
        <v>164</v>
      </c>
      <c r="K21" s="150" t="s">
        <v>164</v>
      </c>
      <c r="L21" s="150" t="s">
        <v>164</v>
      </c>
      <c r="M21" s="150" t="s">
        <v>164</v>
      </c>
      <c r="N21" s="150" t="s">
        <v>164</v>
      </c>
      <c r="O21" s="150" t="s">
        <v>164</v>
      </c>
      <c r="P21" s="150" t="s">
        <v>164</v>
      </c>
      <c r="Q21" s="150" t="s">
        <v>164</v>
      </c>
      <c r="R21" s="150" t="s">
        <v>164</v>
      </c>
      <c r="S21" s="150" t="s">
        <v>164</v>
      </c>
      <c r="T21" s="150" t="s">
        <v>164</v>
      </c>
      <c r="U21" s="150" t="s">
        <v>164</v>
      </c>
      <c r="V21" s="150" t="s">
        <v>164</v>
      </c>
      <c r="W21" s="150" t="s">
        <v>164</v>
      </c>
      <c r="X21" s="150" t="s">
        <v>164</v>
      </c>
      <c r="Y21" s="150" t="s">
        <v>164</v>
      </c>
    </row>
    <row r="22" spans="1:25" x14ac:dyDescent="0.2">
      <c r="A22" s="150" t="s">
        <v>168</v>
      </c>
      <c r="C22" s="150" t="b">
        <v>0</v>
      </c>
      <c r="D22" s="150" t="b">
        <v>0</v>
      </c>
      <c r="E22" s="150" t="b">
        <v>0</v>
      </c>
      <c r="F22" s="150" t="b">
        <v>1</v>
      </c>
      <c r="G22" s="150" t="b">
        <v>1</v>
      </c>
      <c r="H22" s="150" t="b">
        <v>0</v>
      </c>
      <c r="I22" s="150" t="b">
        <v>0</v>
      </c>
      <c r="J22" s="150" t="b">
        <v>0</v>
      </c>
      <c r="K22" s="150" t="b">
        <v>1</v>
      </c>
      <c r="L22" s="150" t="b">
        <v>1</v>
      </c>
      <c r="M22" s="150" t="b">
        <v>1</v>
      </c>
      <c r="N22" s="150" t="b">
        <v>1</v>
      </c>
      <c r="O22" s="150" t="b">
        <v>1</v>
      </c>
      <c r="P22" s="150" t="b">
        <v>1</v>
      </c>
      <c r="Q22" s="150" t="b">
        <v>1</v>
      </c>
      <c r="R22" s="150" t="b">
        <v>1</v>
      </c>
      <c r="S22" s="150" t="b">
        <v>1</v>
      </c>
      <c r="T22" s="150" t="b">
        <v>1</v>
      </c>
      <c r="U22" s="150" t="b">
        <v>1</v>
      </c>
      <c r="V22" s="150" t="b">
        <v>1</v>
      </c>
      <c r="W22" s="150" t="b">
        <v>1</v>
      </c>
      <c r="X22" s="150" t="b">
        <v>1</v>
      </c>
      <c r="Y22" s="150" t="b">
        <v>1</v>
      </c>
    </row>
    <row r="23" spans="1:25" x14ac:dyDescent="0.2">
      <c r="A23" s="150" t="s">
        <v>10372</v>
      </c>
      <c r="C23" s="150" t="s">
        <v>10373</v>
      </c>
      <c r="D23" s="150" t="s">
        <v>10374</v>
      </c>
      <c r="E23" s="150" t="s">
        <v>10375</v>
      </c>
      <c r="F23" s="150" t="s">
        <v>10376</v>
      </c>
      <c r="G23" s="150" t="s">
        <v>10377</v>
      </c>
      <c r="H23" s="150" t="s">
        <v>10380</v>
      </c>
      <c r="I23" s="150" t="s">
        <v>10373</v>
      </c>
      <c r="J23" s="150" t="s">
        <v>10381</v>
      </c>
      <c r="K23" s="150" t="s">
        <v>10382</v>
      </c>
      <c r="L23" s="150" t="s">
        <v>10383</v>
      </c>
      <c r="M23" s="150" t="s">
        <v>164</v>
      </c>
      <c r="N23" s="150" t="s">
        <v>10378</v>
      </c>
      <c r="O23" s="150" t="s">
        <v>10379</v>
      </c>
      <c r="P23" s="150" t="s">
        <v>10384</v>
      </c>
      <c r="Q23" s="150" t="s">
        <v>164</v>
      </c>
      <c r="R23" s="150" t="s">
        <v>164</v>
      </c>
      <c r="S23" s="150" t="s">
        <v>164</v>
      </c>
      <c r="T23" s="150" t="s">
        <v>10385</v>
      </c>
      <c r="U23" s="150" t="s">
        <v>10385</v>
      </c>
      <c r="V23" s="150" t="s">
        <v>10386</v>
      </c>
      <c r="W23" s="150" t="s">
        <v>10386</v>
      </c>
      <c r="X23" s="150" t="s">
        <v>10386</v>
      </c>
      <c r="Y23" s="150" t="s">
        <v>10386</v>
      </c>
    </row>
    <row r="25" spans="1:25" x14ac:dyDescent="0.2">
      <c r="F25" s="277"/>
      <c r="G25" s="277"/>
      <c r="H25" s="277"/>
      <c r="I25" s="277"/>
      <c r="N25" s="277"/>
      <c r="O25" s="277"/>
    </row>
    <row r="30" spans="1:25" x14ac:dyDescent="0.2">
      <c r="F30" s="277"/>
      <c r="G30" s="277"/>
      <c r="H30" s="277"/>
      <c r="I30" s="277"/>
      <c r="N30" s="277"/>
      <c r="O30" s="277"/>
    </row>
    <row r="31" spans="1:25" x14ac:dyDescent="0.2">
      <c r="F31" s="277"/>
      <c r="G31" s="277"/>
      <c r="H31" s="277"/>
      <c r="I31" s="277"/>
      <c r="N31" s="277"/>
      <c r="O31" s="277"/>
    </row>
    <row r="34" spans="9:17" x14ac:dyDescent="0.2">
      <c r="Q34" s="278"/>
    </row>
    <row r="47" spans="9:17" ht="20" x14ac:dyDescent="0.2">
      <c r="I47" s="174"/>
      <c r="J47" s="174"/>
      <c r="K47" s="174"/>
    </row>
    <row r="48" spans="9:17" ht="20" x14ac:dyDescent="0.2">
      <c r="I48" s="174"/>
      <c r="J48" s="174"/>
      <c r="K48" s="174"/>
    </row>
    <row r="49" spans="9:11" ht="20" x14ac:dyDescent="0.2">
      <c r="I49" s="174"/>
      <c r="J49" s="174"/>
      <c r="K49" s="174"/>
    </row>
    <row r="50" spans="9:11" ht="20" x14ac:dyDescent="0.2">
      <c r="I50" s="174"/>
      <c r="J50" s="174"/>
      <c r="K50" s="174"/>
    </row>
    <row r="51" spans="9:11" ht="20" x14ac:dyDescent="0.2">
      <c r="I51" s="174"/>
      <c r="J51" s="174"/>
      <c r="K51" s="17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9FC3-E16C-D845-844D-A1F21B3B2571}">
  <sheetPr>
    <tabColor theme="9" tint="0.79998168889431442"/>
  </sheetPr>
  <dimension ref="A1:V211"/>
  <sheetViews>
    <sheetView topLeftCell="A142" workbookViewId="0">
      <selection activeCell="N175" sqref="N175"/>
    </sheetView>
  </sheetViews>
  <sheetFormatPr baseColWidth="10" defaultRowHeight="15" x14ac:dyDescent="0.2"/>
  <cols>
    <col min="1" max="1" width="10.83203125" style="79"/>
    <col min="2" max="9" width="10.83203125" style="14"/>
    <col min="10" max="10" width="13.6640625" style="14" customWidth="1"/>
    <col min="11" max="14" width="10.83203125" style="14"/>
    <col min="15" max="15" width="36.6640625" style="14" bestFit="1" customWidth="1"/>
    <col min="16" max="16384" width="10.83203125" style="14"/>
  </cols>
  <sheetData>
    <row r="1" spans="1:22" ht="16" x14ac:dyDescent="0.2">
      <c r="A1" s="151" t="s">
        <v>284</v>
      </c>
      <c r="B1" s="156" t="s">
        <v>135</v>
      </c>
      <c r="C1" s="157" t="s">
        <v>108</v>
      </c>
      <c r="D1" s="151" t="s">
        <v>109</v>
      </c>
      <c r="E1" s="151" t="s">
        <v>208</v>
      </c>
      <c r="F1" s="152" t="s">
        <v>209</v>
      </c>
      <c r="G1" s="151" t="s">
        <v>97</v>
      </c>
      <c r="H1" s="151" t="s">
        <v>210</v>
      </c>
      <c r="I1" s="151" t="s">
        <v>211</v>
      </c>
      <c r="J1" s="158" t="s">
        <v>212</v>
      </c>
      <c r="K1" s="159"/>
      <c r="L1" s="12" t="s">
        <v>222</v>
      </c>
      <c r="M1" s="159"/>
      <c r="N1" s="159"/>
      <c r="O1" s="160"/>
      <c r="P1" s="159"/>
      <c r="Q1" s="159"/>
      <c r="R1" s="159"/>
      <c r="S1" s="161"/>
      <c r="T1" s="34"/>
      <c r="U1" s="34"/>
      <c r="V1" s="34"/>
    </row>
    <row r="2" spans="1:22" ht="16" x14ac:dyDescent="0.2">
      <c r="A2" s="102" t="s">
        <v>5</v>
      </c>
      <c r="B2" s="102" t="s">
        <v>136</v>
      </c>
      <c r="C2" s="162"/>
      <c r="D2" s="163" t="s">
        <v>140</v>
      </c>
      <c r="E2" s="162"/>
      <c r="F2" s="162" t="s">
        <v>213</v>
      </c>
      <c r="G2" s="162">
        <v>0</v>
      </c>
      <c r="H2" s="162">
        <f>_xlfn.XLOOKUP($A2,'1.1.SSDR_water'!$B$7:$B$29,'1.1.SSDR_water'!$J$7:$J$29)</f>
        <v>1.3407910091192035</v>
      </c>
      <c r="I2" s="162">
        <f>_xlfn.XLOOKUP($A2,'1.1.SSDR_water'!$B$7:$B$29,'1.1.SSDR_water'!$I$7:$I$29)</f>
        <v>-34.536028505829982</v>
      </c>
      <c r="J2" s="164"/>
      <c r="K2" s="34"/>
      <c r="L2" s="12" t="s">
        <v>223</v>
      </c>
      <c r="M2" s="150"/>
      <c r="N2" s="34"/>
      <c r="O2" s="34"/>
      <c r="P2" s="34"/>
      <c r="Q2" s="34"/>
      <c r="R2" s="34"/>
      <c r="S2" s="34"/>
      <c r="T2" s="34"/>
      <c r="U2" s="34"/>
      <c r="V2" s="34"/>
    </row>
    <row r="3" spans="1:22" ht="16" x14ac:dyDescent="0.2">
      <c r="A3" s="79" t="s">
        <v>5</v>
      </c>
      <c r="B3" s="79" t="s">
        <v>136</v>
      </c>
      <c r="C3" s="18"/>
      <c r="D3" s="150" t="s">
        <v>115</v>
      </c>
      <c r="E3" s="18"/>
      <c r="F3" s="18" t="s">
        <v>213</v>
      </c>
      <c r="G3" s="18">
        <v>0</v>
      </c>
      <c r="H3" s="18">
        <f>_xlfn.XLOOKUP($A3,'1.1.SSDR_water'!$B$7:$B$29,'1.1.SSDR_water'!$J$7:$J$29)</f>
        <v>1.3407910091192035</v>
      </c>
      <c r="I3" s="18">
        <f>_xlfn.XLOOKUP($A3,'1.1.SSDR_water'!$B$7:$B$29,'1.1.SSDR_water'!$I$7:$I$29)</f>
        <v>-34.536028505829982</v>
      </c>
      <c r="J3" s="30"/>
      <c r="K3" s="34"/>
      <c r="L3" s="12" t="s">
        <v>224</v>
      </c>
      <c r="M3" s="150"/>
      <c r="N3" s="34"/>
      <c r="O3" s="34"/>
      <c r="P3" s="34"/>
      <c r="Q3" s="34"/>
      <c r="R3" s="34"/>
      <c r="S3" s="34"/>
      <c r="T3" s="34"/>
      <c r="U3" s="34"/>
      <c r="V3" s="34"/>
    </row>
    <row r="4" spans="1:22" ht="16" x14ac:dyDescent="0.2">
      <c r="A4" s="79" t="s">
        <v>5</v>
      </c>
      <c r="B4" s="79" t="s">
        <v>136</v>
      </c>
      <c r="C4" s="18"/>
      <c r="D4" s="150" t="s">
        <v>124</v>
      </c>
      <c r="E4" s="18"/>
      <c r="F4" s="18" t="s">
        <v>213</v>
      </c>
      <c r="G4" s="18">
        <v>0</v>
      </c>
      <c r="H4" s="18">
        <f>_xlfn.XLOOKUP($A4,'1.1.SSDR_water'!$B$7:$B$29,'1.1.SSDR_water'!$J$7:$J$29)</f>
        <v>1.3407910091192035</v>
      </c>
      <c r="I4" s="18">
        <f>_xlfn.XLOOKUP($A4,'1.1.SSDR_water'!$B$7:$B$29,'1.1.SSDR_water'!$I$7:$I$29)</f>
        <v>-34.536028505829982</v>
      </c>
      <c r="J4" s="30"/>
      <c r="M4" s="150"/>
    </row>
    <row r="5" spans="1:22" ht="16" x14ac:dyDescent="0.2">
      <c r="A5" s="79" t="s">
        <v>5</v>
      </c>
      <c r="B5" s="79" t="s">
        <v>136</v>
      </c>
      <c r="C5" s="18"/>
      <c r="D5" s="150" t="s">
        <v>116</v>
      </c>
      <c r="E5" s="18"/>
      <c r="F5" s="18" t="s">
        <v>213</v>
      </c>
      <c r="G5" s="18">
        <v>0</v>
      </c>
      <c r="H5" s="18">
        <f>_xlfn.XLOOKUP($A5,'1.1.SSDR_water'!$B$7:$B$29,'1.1.SSDR_water'!$J$7:$J$29)</f>
        <v>1.3407910091192035</v>
      </c>
      <c r="I5" s="18">
        <f>_xlfn.XLOOKUP($A5,'1.1.SSDR_water'!$B$7:$B$29,'1.1.SSDR_water'!$I$7:$I$29)</f>
        <v>-34.536028505829982</v>
      </c>
      <c r="J5" s="30"/>
      <c r="L5" s="12" t="s">
        <v>291</v>
      </c>
      <c r="M5" s="150"/>
    </row>
    <row r="6" spans="1:22" ht="16" x14ac:dyDescent="0.2">
      <c r="A6" s="79" t="s">
        <v>5</v>
      </c>
      <c r="B6" s="79" t="s">
        <v>136</v>
      </c>
      <c r="C6" s="18"/>
      <c r="D6" s="150" t="s">
        <v>137</v>
      </c>
      <c r="E6" s="18"/>
      <c r="F6" s="18" t="s">
        <v>213</v>
      </c>
      <c r="G6" s="18">
        <v>0</v>
      </c>
      <c r="H6" s="18">
        <f>_xlfn.XLOOKUP($A6,'1.2.SSDR_sediment'!$B$7:$B$29,'1.2.SSDR_sediment'!$J$7:$J$29)</f>
        <v>1.3407910091192035</v>
      </c>
      <c r="I6" s="18">
        <f>_xlfn.XLOOKUP($A6,'1.2.SSDR_sediment'!$B$7:$B$29,'1.2.SSDR_sediment'!$I$7:$I$29)</f>
        <v>-34.536028505829982</v>
      </c>
      <c r="J6" s="30"/>
      <c r="M6" s="150"/>
    </row>
    <row r="7" spans="1:22" ht="16" x14ac:dyDescent="0.2">
      <c r="A7" s="79" t="s">
        <v>5</v>
      </c>
      <c r="B7" s="79" t="s">
        <v>136</v>
      </c>
      <c r="C7" s="18"/>
      <c r="D7" s="150" t="s">
        <v>138</v>
      </c>
      <c r="E7" s="18"/>
      <c r="F7" s="18" t="s">
        <v>213</v>
      </c>
      <c r="G7" s="18">
        <v>0</v>
      </c>
      <c r="H7" s="18">
        <f>_xlfn.XLOOKUP($A7,'1.2.SSDR_sediment'!$B$7:$B$29,'1.2.SSDR_sediment'!$J$7:$J$29)</f>
        <v>1.3407910091192035</v>
      </c>
      <c r="I7" s="18">
        <f>_xlfn.XLOOKUP($A7,'1.2.SSDR_sediment'!$B$7:$B$29,'1.2.SSDR_sediment'!$I$7:$I$29)</f>
        <v>-34.536028505829982</v>
      </c>
      <c r="J7" s="30"/>
      <c r="M7" s="150"/>
    </row>
    <row r="8" spans="1:22" ht="16" x14ac:dyDescent="0.2">
      <c r="A8" s="79" t="s">
        <v>5</v>
      </c>
      <c r="B8" s="79" t="s">
        <v>136</v>
      </c>
      <c r="C8" s="18"/>
      <c r="D8" s="150" t="s">
        <v>139</v>
      </c>
      <c r="E8" s="18"/>
      <c r="F8" s="18" t="s">
        <v>213</v>
      </c>
      <c r="G8" s="18">
        <v>0</v>
      </c>
      <c r="H8" s="18">
        <f>_xlfn.XLOOKUP($A8,'1.2.SSDR_sediment'!$B$7:$B$29,'1.2.SSDR_sediment'!$J$7:$J$29)</f>
        <v>1.3407910091192035</v>
      </c>
      <c r="I8" s="18">
        <f>_xlfn.XLOOKUP($A8,'1.2.SSDR_sediment'!$B$7:$B$29,'1.2.SSDR_sediment'!$I$7:$I$29)</f>
        <v>-34.536028505829982</v>
      </c>
      <c r="J8" s="30"/>
      <c r="M8" s="150"/>
    </row>
    <row r="9" spans="1:22" ht="16" x14ac:dyDescent="0.2">
      <c r="A9" s="79" t="s">
        <v>5</v>
      </c>
      <c r="B9" s="79" t="s">
        <v>136</v>
      </c>
      <c r="C9" s="18"/>
      <c r="D9" s="150" t="s">
        <v>117</v>
      </c>
      <c r="E9" s="18"/>
      <c r="F9" s="18" t="s">
        <v>213</v>
      </c>
      <c r="G9" s="18">
        <v>0</v>
      </c>
      <c r="H9" s="18">
        <f>_xlfn.XLOOKUP($A9,'1.3.SSDR_soil'!$B$7:$B$29,'1.3.SSDR_soil'!$J$7:$J$29)</f>
        <v>1.3407910091192035</v>
      </c>
      <c r="I9" s="18">
        <f>_xlfn.XLOOKUP($A9,'1.3.SSDR_soil'!$B$7:$B$29,'1.3.SSDR_soil'!$I$7:$I$29)</f>
        <v>-34.536028505829982</v>
      </c>
      <c r="J9" s="30"/>
      <c r="M9" s="150"/>
    </row>
    <row r="10" spans="1:22" ht="16" x14ac:dyDescent="0.2">
      <c r="A10" s="79" t="s">
        <v>5</v>
      </c>
      <c r="B10" s="79" t="s">
        <v>136</v>
      </c>
      <c r="C10" s="18"/>
      <c r="D10" s="150" t="s">
        <v>127</v>
      </c>
      <c r="E10" s="18"/>
      <c r="F10" s="18" t="s">
        <v>213</v>
      </c>
      <c r="G10" s="18">
        <v>0</v>
      </c>
      <c r="H10" s="18">
        <f>_xlfn.XLOOKUP($A10,'1.3.SSDR_soil'!$B$7:$B$29,'1.3.SSDR_soil'!$J$7:$J$29)</f>
        <v>1.3407910091192035</v>
      </c>
      <c r="I10" s="18">
        <f>_xlfn.XLOOKUP($A10,'1.3.SSDR_soil'!$B$7:$B$29,'1.3.SSDR_soil'!$I$7:$I$29)</f>
        <v>-34.536028505829982</v>
      </c>
      <c r="J10" s="30"/>
      <c r="M10" s="150"/>
    </row>
    <row r="11" spans="1:22" ht="16" x14ac:dyDescent="0.2">
      <c r="A11" s="165" t="s">
        <v>5</v>
      </c>
      <c r="B11" s="165" t="s">
        <v>136</v>
      </c>
      <c r="C11" s="166"/>
      <c r="D11" s="167" t="s">
        <v>118</v>
      </c>
      <c r="E11" s="166"/>
      <c r="F11" s="166" t="s">
        <v>213</v>
      </c>
      <c r="G11" s="166">
        <v>0</v>
      </c>
      <c r="H11" s="166">
        <f>_xlfn.XLOOKUP($A11,'1.3.SSDR_soil'!$B$7:$B$29,'1.3.SSDR_soil'!$J$7:$J$29)</f>
        <v>1.3407910091192035</v>
      </c>
      <c r="I11" s="18">
        <f>_xlfn.XLOOKUP($A11,'1.3.SSDR_soil'!$B$7:$B$29,'1.3.SSDR_soil'!$I$7:$I$29)</f>
        <v>-34.536028505829982</v>
      </c>
      <c r="J11" s="168"/>
      <c r="M11" s="150"/>
    </row>
    <row r="12" spans="1:22" ht="16" x14ac:dyDescent="0.2">
      <c r="A12" s="102" t="s">
        <v>0</v>
      </c>
      <c r="B12" s="169" t="s">
        <v>285</v>
      </c>
      <c r="C12" s="162"/>
      <c r="D12" s="163"/>
      <c r="E12" s="162"/>
      <c r="F12" s="162" t="s">
        <v>213</v>
      </c>
      <c r="G12" s="162">
        <v>0</v>
      </c>
      <c r="H12" s="162">
        <f>_xlfn.XLOOKUP($B12,'1.4.plasticFADE constants'!$B$8:$B$13,'1.4.plasticFADE constants'!$F$8:$F$13)</f>
        <v>8.8522568518694625E-4</v>
      </c>
      <c r="I12" s="162">
        <f>_xlfn.XLOOKUP($B12,'1.4.plasticFADE constants'!$B$8:$B$13,'1.4.plasticFADE constants'!$E$8:$E$13)</f>
        <v>-4.5792341493151865</v>
      </c>
      <c r="J12" s="164"/>
    </row>
    <row r="13" spans="1:22" ht="16" x14ac:dyDescent="0.2">
      <c r="A13" s="79" t="s">
        <v>0</v>
      </c>
      <c r="B13" s="170" t="s">
        <v>286</v>
      </c>
      <c r="C13" s="18"/>
      <c r="D13" s="150"/>
      <c r="E13" s="18"/>
      <c r="F13" s="18" t="s">
        <v>213</v>
      </c>
      <c r="G13" s="18">
        <v>0</v>
      </c>
      <c r="H13" s="18">
        <f>_xlfn.XLOOKUP($B13,'1.4.plasticFADE constants'!$B$8:$B$13,'1.4.plasticFADE constants'!$F$8:$F$13)</f>
        <v>0.18031551631660608</v>
      </c>
      <c r="I13" s="18">
        <f>_xlfn.XLOOKUP($B13,'1.4.plasticFADE constants'!$B$8:$B$13,'1.4.plasticFADE constants'!$E$8:$E$13)</f>
        <v>-24.116968942715502</v>
      </c>
      <c r="J13" s="30"/>
    </row>
    <row r="14" spans="1:22" ht="16" x14ac:dyDescent="0.2">
      <c r="A14" s="79" t="s">
        <v>0</v>
      </c>
      <c r="B14" s="170" t="s">
        <v>287</v>
      </c>
      <c r="C14" s="18"/>
      <c r="D14" s="150"/>
      <c r="E14" s="18"/>
      <c r="F14" s="18" t="s">
        <v>213</v>
      </c>
      <c r="G14" s="18">
        <v>0</v>
      </c>
      <c r="H14" s="18">
        <f>_xlfn.XLOOKUP($B14,'1.4.plasticFADE constants'!$B$8:$B$13,'1.4.plasticFADE constants'!$F$8:$F$13)</f>
        <v>4.2838610360828892E-3</v>
      </c>
      <c r="I14" s="18">
        <f>_xlfn.XLOOKUP($B14,'1.4.plasticFADE constants'!$B$8:$B$13,'1.4.plasticFADE constants'!$E$8:$E$13)</f>
        <v>-6.1272712628280415</v>
      </c>
      <c r="J14" s="30"/>
    </row>
    <row r="15" spans="1:22" ht="16" x14ac:dyDescent="0.2">
      <c r="A15" s="79" t="s">
        <v>0</v>
      </c>
      <c r="B15" s="170" t="s">
        <v>288</v>
      </c>
      <c r="C15" s="18"/>
      <c r="D15" s="150"/>
      <c r="E15" s="18"/>
      <c r="F15" s="18" t="s">
        <v>213</v>
      </c>
      <c r="G15" s="18">
        <v>0</v>
      </c>
      <c r="H15" s="18">
        <f>_xlfn.XLOOKUP($B15,'1.4.plasticFADE constants'!$B$8:$B$13,'1.4.plasticFADE constants'!$F$8:$F$13)</f>
        <v>0.56576349322207697</v>
      </c>
      <c r="I15" s="18">
        <f>_xlfn.XLOOKUP($B15,'1.4.plasticFADE constants'!$B$8:$B$13,'1.4.plasticFADE constants'!$E$8:$E$13)</f>
        <v>-1.2071490700077065</v>
      </c>
      <c r="J15" s="30"/>
    </row>
    <row r="16" spans="1:22" ht="16" x14ac:dyDescent="0.2">
      <c r="A16" s="79" t="s">
        <v>0</v>
      </c>
      <c r="B16" s="170" t="s">
        <v>289</v>
      </c>
      <c r="C16" s="18"/>
      <c r="D16" s="150"/>
      <c r="E16" s="18"/>
      <c r="F16" s="18" t="s">
        <v>213</v>
      </c>
      <c r="G16" s="18">
        <v>0</v>
      </c>
      <c r="H16" s="18">
        <f>_xlfn.XLOOKUP($B16,'1.4.plasticFADE constants'!$B$8:$B$13,'1.4.plasticFADE constants'!$F$8:$F$13)</f>
        <v>1.0821863165152337E-3</v>
      </c>
      <c r="I16" s="18">
        <f>_xlfn.XLOOKUP($B16,'1.4.plasticFADE constants'!$B$8:$B$13,'1.4.plasticFADE constants'!$E$8:$E$13)</f>
        <v>-7.8805315500541058</v>
      </c>
      <c r="J16" s="30"/>
    </row>
    <row r="17" spans="1:10" ht="16" x14ac:dyDescent="0.2">
      <c r="A17" s="165" t="s">
        <v>0</v>
      </c>
      <c r="B17" s="171" t="s">
        <v>290</v>
      </c>
      <c r="C17" s="166"/>
      <c r="D17" s="167"/>
      <c r="E17" s="166"/>
      <c r="F17" s="166" t="s">
        <v>213</v>
      </c>
      <c r="G17" s="166">
        <v>0</v>
      </c>
      <c r="H17" s="166">
        <f>_xlfn.XLOOKUP($B17,'1.4.plasticFADE constants'!$B$8:$B$13,'1.4.plasticFADE constants'!$F$8:$F$13)</f>
        <v>0.17415973531339507</v>
      </c>
      <c r="I17" s="166">
        <f>_xlfn.XLOOKUP($B17,'1.4.plasticFADE constants'!$B$8:$B$13,'1.4.plasticFADE constants'!$E$8:$E$13)</f>
        <v>-1.5302212244476034</v>
      </c>
      <c r="J17" s="168"/>
    </row>
    <row r="18" spans="1:10" ht="16" x14ac:dyDescent="0.2">
      <c r="A18" s="102" t="s">
        <v>1</v>
      </c>
      <c r="B18" s="169" t="s">
        <v>285</v>
      </c>
      <c r="C18" s="162"/>
      <c r="D18" s="163"/>
      <c r="E18" s="162"/>
      <c r="F18" s="162" t="s">
        <v>213</v>
      </c>
      <c r="G18" s="162">
        <v>0</v>
      </c>
      <c r="H18" s="162">
        <f>_xlfn.XLOOKUP($B18,'1.4.plasticFADE constants'!$B$8:$B$13,'1.4.plasticFADE constants'!$J$8:$J$13)</f>
        <v>5.7046216926572363E-3</v>
      </c>
      <c r="I18" s="162">
        <f>_xlfn.XLOOKUP($B18,'1.4.plasticFADE constants'!$B$8:$B$13,'1.4.plasticFADE constants'!$I$8:$I$13)</f>
        <v>-4.5052714656577013</v>
      </c>
      <c r="J18" s="164"/>
    </row>
    <row r="19" spans="1:10" ht="16" x14ac:dyDescent="0.2">
      <c r="A19" s="79" t="s">
        <v>1</v>
      </c>
      <c r="B19" s="170" t="s">
        <v>286</v>
      </c>
      <c r="C19" s="18"/>
      <c r="D19" s="150"/>
      <c r="E19" s="18"/>
      <c r="F19" s="18" t="s">
        <v>213</v>
      </c>
      <c r="G19" s="18">
        <v>0</v>
      </c>
      <c r="H19" s="18">
        <f>_xlfn.XLOOKUP($B19,'1.4.plasticFADE constants'!$B$8:$B$13,'1.4.plasticFADE constants'!$J$8:$J$13)</f>
        <v>0.10974721132064617</v>
      </c>
      <c r="I19" s="18">
        <f>_xlfn.XLOOKUP($B19,'1.4.plasticFADE constants'!$B$8:$B$13,'1.4.plasticFADE constants'!$I$8:$I$13)</f>
        <v>-28.324168296488498</v>
      </c>
      <c r="J19" s="30"/>
    </row>
    <row r="20" spans="1:10" ht="16" x14ac:dyDescent="0.2">
      <c r="A20" s="79" t="s">
        <v>1</v>
      </c>
      <c r="B20" s="170" t="s">
        <v>287</v>
      </c>
      <c r="C20" s="18"/>
      <c r="D20" s="150"/>
      <c r="E20" s="18"/>
      <c r="F20" s="18" t="s">
        <v>213</v>
      </c>
      <c r="G20" s="18">
        <v>0</v>
      </c>
      <c r="H20" s="18">
        <f>_xlfn.XLOOKUP($B20,'1.4.plasticFADE constants'!$B$8:$B$13,'1.4.plasticFADE constants'!$J$8:$J$13)</f>
        <v>6.1122893201501606E-3</v>
      </c>
      <c r="I20" s="18">
        <f>_xlfn.XLOOKUP($B20,'1.4.plasticFADE constants'!$B$8:$B$13,'1.4.plasticFADE constants'!$I$8:$I$13)</f>
        <v>-4.5741987776363207</v>
      </c>
      <c r="J20" s="30"/>
    </row>
    <row r="21" spans="1:10" ht="16" x14ac:dyDescent="0.2">
      <c r="A21" s="79" t="s">
        <v>1</v>
      </c>
      <c r="B21" s="170" t="s">
        <v>288</v>
      </c>
      <c r="C21" s="18"/>
      <c r="D21" s="150"/>
      <c r="E21" s="18"/>
      <c r="F21" s="18" t="s">
        <v>213</v>
      </c>
      <c r="G21" s="18">
        <v>0</v>
      </c>
      <c r="H21" s="18">
        <f>_xlfn.XLOOKUP($B21,'1.4.plasticFADE constants'!$B$8:$B$13,'1.4.plasticFADE constants'!$J$8:$J$13)</f>
        <v>3.6211086630142278E-5</v>
      </c>
      <c r="I21" s="18">
        <f>_xlfn.XLOOKUP($B21,'1.4.plasticFADE constants'!$B$8:$B$13,'1.4.plasticFADE constants'!$I$8:$I$13)</f>
        <v>-5.4348195062780258</v>
      </c>
      <c r="J21" s="30"/>
    </row>
    <row r="22" spans="1:10" ht="16" x14ac:dyDescent="0.2">
      <c r="A22" s="79" t="s">
        <v>1</v>
      </c>
      <c r="B22" s="170" t="s">
        <v>289</v>
      </c>
      <c r="C22" s="18"/>
      <c r="D22" s="18"/>
      <c r="E22" s="18"/>
      <c r="F22" s="18" t="s">
        <v>213</v>
      </c>
      <c r="G22" s="18">
        <v>0</v>
      </c>
      <c r="H22" s="18">
        <f>_xlfn.XLOOKUP($B22,'1.4.plasticFADE constants'!$B$8:$B$13,'1.4.plasticFADE constants'!$J$8:$J$13)</f>
        <v>4.4412819089122309E-4</v>
      </c>
      <c r="I22" s="18">
        <f>_xlfn.XLOOKUP($B22,'1.4.plasticFADE constants'!$B$8:$B$13,'1.4.plasticFADE constants'!$I$8:$I$13)</f>
        <v>-9.1638821866653597</v>
      </c>
      <c r="J22" s="30"/>
    </row>
    <row r="23" spans="1:10" ht="16" x14ac:dyDescent="0.2">
      <c r="A23" s="165" t="s">
        <v>1</v>
      </c>
      <c r="B23" s="171" t="s">
        <v>290</v>
      </c>
      <c r="C23" s="166"/>
      <c r="D23" s="166"/>
      <c r="E23" s="166"/>
      <c r="F23" s="166" t="s">
        <v>213</v>
      </c>
      <c r="G23" s="166">
        <v>0</v>
      </c>
      <c r="H23" s="166">
        <f>_xlfn.XLOOKUP($B23,'1.4.plasticFADE constants'!$B$8:$B$13,'1.4.plasticFADE constants'!$J$8:$J$13)</f>
        <v>0.19223313230112987</v>
      </c>
      <c r="I23" s="166">
        <f>_xlfn.XLOOKUP($B23,'1.4.plasticFADE constants'!$B$8:$B$13,'1.4.plasticFADE constants'!$I$8:$I$13)</f>
        <v>-1.1268274552867941</v>
      </c>
      <c r="J23" s="168"/>
    </row>
    <row r="24" spans="1:10" ht="16" x14ac:dyDescent="0.2">
      <c r="A24" s="79" t="s">
        <v>13</v>
      </c>
      <c r="B24" s="102" t="s">
        <v>136</v>
      </c>
      <c r="C24" s="18"/>
      <c r="D24" s="150" t="s">
        <v>140</v>
      </c>
      <c r="E24" s="18"/>
      <c r="F24" s="18" t="s">
        <v>213</v>
      </c>
      <c r="G24" s="18">
        <v>0</v>
      </c>
      <c r="H24" s="162">
        <f>_xlfn.XLOOKUP($A24,'1.1.SSDR_water'!$B$7:$B$29,'1.1.SSDR_water'!$J$7:$J$29)</f>
        <v>1.7877213454922709</v>
      </c>
      <c r="I24" s="162">
        <f>_xlfn.XLOOKUP($A24,'1.1.SSDR_water'!$B$7:$B$29,'1.1.SSDR_water'!$I$7:$I$29)</f>
        <v>-29.919000056533232</v>
      </c>
      <c r="J24" s="30"/>
    </row>
    <row r="25" spans="1:10" ht="16" x14ac:dyDescent="0.2">
      <c r="A25" s="79" t="s">
        <v>13</v>
      </c>
      <c r="B25" s="79" t="s">
        <v>136</v>
      </c>
      <c r="C25" s="18"/>
      <c r="D25" s="150" t="s">
        <v>115</v>
      </c>
      <c r="E25" s="18"/>
      <c r="F25" s="18" t="s">
        <v>213</v>
      </c>
      <c r="G25" s="18">
        <v>0</v>
      </c>
      <c r="H25" s="18">
        <f>_xlfn.XLOOKUP($A25,'1.1.SSDR_water'!$B$7:$B$29,'1.1.SSDR_water'!$J$7:$J$29)</f>
        <v>1.7877213454922709</v>
      </c>
      <c r="I25" s="18">
        <f>_xlfn.XLOOKUP($A25,'1.1.SSDR_water'!$B$7:$B$29,'1.1.SSDR_water'!$I$7:$I$29)</f>
        <v>-29.919000056533232</v>
      </c>
      <c r="J25" s="30"/>
    </row>
    <row r="26" spans="1:10" ht="16" x14ac:dyDescent="0.2">
      <c r="A26" s="79" t="s">
        <v>13</v>
      </c>
      <c r="B26" s="79" t="s">
        <v>136</v>
      </c>
      <c r="C26" s="18"/>
      <c r="D26" s="150" t="s">
        <v>124</v>
      </c>
      <c r="E26" s="18"/>
      <c r="F26" s="18" t="s">
        <v>213</v>
      </c>
      <c r="G26" s="18">
        <v>0</v>
      </c>
      <c r="H26" s="18">
        <f>_xlfn.XLOOKUP($A26,'1.1.SSDR_water'!$B$7:$B$29,'1.1.SSDR_water'!$J$7:$J$29)</f>
        <v>1.7877213454922709</v>
      </c>
      <c r="I26" s="18">
        <f>_xlfn.XLOOKUP($A26,'1.1.SSDR_water'!$B$7:$B$29,'1.1.SSDR_water'!$I$7:$I$29)</f>
        <v>-29.919000056533232</v>
      </c>
      <c r="J26" s="30"/>
    </row>
    <row r="27" spans="1:10" ht="16" x14ac:dyDescent="0.2">
      <c r="A27" s="79" t="s">
        <v>13</v>
      </c>
      <c r="B27" s="79" t="s">
        <v>136</v>
      </c>
      <c r="C27" s="18"/>
      <c r="D27" s="150" t="s">
        <v>116</v>
      </c>
      <c r="E27" s="18"/>
      <c r="F27" s="18" t="s">
        <v>213</v>
      </c>
      <c r="G27" s="18">
        <v>0</v>
      </c>
      <c r="H27" s="18">
        <f>_xlfn.XLOOKUP($A27,'1.1.SSDR_water'!$B$7:$B$29,'1.1.SSDR_water'!$J$7:$J$29)</f>
        <v>1.7877213454922709</v>
      </c>
      <c r="I27" s="18">
        <f>_xlfn.XLOOKUP($A27,'1.1.SSDR_water'!$B$7:$B$29,'1.1.SSDR_water'!$I$7:$I$29)</f>
        <v>-29.919000056533232</v>
      </c>
      <c r="J27" s="30"/>
    </row>
    <row r="28" spans="1:10" ht="16" x14ac:dyDescent="0.2">
      <c r="A28" s="79" t="s">
        <v>13</v>
      </c>
      <c r="B28" s="79" t="s">
        <v>136</v>
      </c>
      <c r="C28" s="18"/>
      <c r="D28" s="150" t="s">
        <v>137</v>
      </c>
      <c r="E28" s="18"/>
      <c r="F28" s="18" t="s">
        <v>213</v>
      </c>
      <c r="G28" s="18">
        <v>0</v>
      </c>
      <c r="H28" s="18">
        <f>_xlfn.XLOOKUP($A28,'1.2.SSDR_sediment'!$B$7:$B$29,'1.2.SSDR_sediment'!$J$7:$J$29)</f>
        <v>1.7877213454922709</v>
      </c>
      <c r="I28" s="18">
        <f>_xlfn.XLOOKUP($A28,'1.2.SSDR_sediment'!$B$7:$B$29,'1.2.SSDR_sediment'!$I$7:$I$29)</f>
        <v>-29.919000056533232</v>
      </c>
      <c r="J28" s="30"/>
    </row>
    <row r="29" spans="1:10" ht="16" x14ac:dyDescent="0.2">
      <c r="A29" s="79" t="s">
        <v>13</v>
      </c>
      <c r="B29" s="79" t="s">
        <v>136</v>
      </c>
      <c r="C29" s="18"/>
      <c r="D29" s="150" t="s">
        <v>138</v>
      </c>
      <c r="E29" s="18"/>
      <c r="F29" s="18" t="s">
        <v>213</v>
      </c>
      <c r="G29" s="18">
        <v>0</v>
      </c>
      <c r="H29" s="18">
        <f>_xlfn.XLOOKUP($A29,'1.2.SSDR_sediment'!$B$7:$B$29,'1.2.SSDR_sediment'!$J$7:$J$29)</f>
        <v>1.7877213454922709</v>
      </c>
      <c r="I29" s="18">
        <f>_xlfn.XLOOKUP($A29,'1.2.SSDR_sediment'!$B$7:$B$29,'1.2.SSDR_sediment'!$I$7:$I$29)</f>
        <v>-29.919000056533232</v>
      </c>
      <c r="J29" s="30"/>
    </row>
    <row r="30" spans="1:10" ht="16" x14ac:dyDescent="0.2">
      <c r="A30" s="79" t="s">
        <v>13</v>
      </c>
      <c r="B30" s="79" t="s">
        <v>136</v>
      </c>
      <c r="C30" s="18"/>
      <c r="D30" s="150" t="s">
        <v>139</v>
      </c>
      <c r="E30" s="18"/>
      <c r="F30" s="18" t="s">
        <v>213</v>
      </c>
      <c r="G30" s="18">
        <v>0</v>
      </c>
      <c r="H30" s="18">
        <f>_xlfn.XLOOKUP($A30,'1.2.SSDR_sediment'!$B$7:$B$29,'1.2.SSDR_sediment'!$J$7:$J$29)</f>
        <v>1.7877213454922709</v>
      </c>
      <c r="I30" s="18">
        <f>_xlfn.XLOOKUP($A30,'1.2.SSDR_sediment'!$B$7:$B$29,'1.2.SSDR_sediment'!$I$7:$I$29)</f>
        <v>-29.919000056533232</v>
      </c>
      <c r="J30" s="30"/>
    </row>
    <row r="31" spans="1:10" ht="16" x14ac:dyDescent="0.2">
      <c r="A31" s="79" t="s">
        <v>13</v>
      </c>
      <c r="B31" s="79" t="s">
        <v>136</v>
      </c>
      <c r="C31" s="18"/>
      <c r="D31" s="150" t="s">
        <v>117</v>
      </c>
      <c r="E31" s="18"/>
      <c r="F31" s="18" t="s">
        <v>213</v>
      </c>
      <c r="G31" s="18">
        <v>0</v>
      </c>
      <c r="H31" s="18">
        <f>_xlfn.XLOOKUP($A31,'1.3.SSDR_soil'!$B$7:$B$29,'1.3.SSDR_soil'!$J$7:$J$29)</f>
        <v>1.7877213454922709</v>
      </c>
      <c r="I31" s="18">
        <f>_xlfn.XLOOKUP($A31,'1.3.SSDR_soil'!$B$7:$B$29,'1.3.SSDR_soil'!$I$7:$I$29)</f>
        <v>-29.919000056533232</v>
      </c>
      <c r="J31" s="30"/>
    </row>
    <row r="32" spans="1:10" ht="16" x14ac:dyDescent="0.2">
      <c r="A32" s="79" t="s">
        <v>13</v>
      </c>
      <c r="B32" s="79" t="s">
        <v>136</v>
      </c>
      <c r="C32" s="18"/>
      <c r="D32" s="150" t="s">
        <v>127</v>
      </c>
      <c r="E32" s="18"/>
      <c r="F32" s="18" t="s">
        <v>213</v>
      </c>
      <c r="G32" s="18">
        <v>0</v>
      </c>
      <c r="H32" s="18">
        <f>_xlfn.XLOOKUP($A32,'1.3.SSDR_soil'!$B$7:$B$29,'1.3.SSDR_soil'!$J$7:$J$29)</f>
        <v>1.7877213454922709</v>
      </c>
      <c r="I32" s="18">
        <f>_xlfn.XLOOKUP($A32,'1.3.SSDR_soil'!$B$7:$B$29,'1.3.SSDR_soil'!$I$7:$I$29)</f>
        <v>-29.919000056533232</v>
      </c>
      <c r="J32" s="30"/>
    </row>
    <row r="33" spans="1:10" ht="16" x14ac:dyDescent="0.2">
      <c r="A33" s="79" t="s">
        <v>13</v>
      </c>
      <c r="B33" s="165" t="s">
        <v>136</v>
      </c>
      <c r="C33" s="18"/>
      <c r="D33" s="150" t="s">
        <v>118</v>
      </c>
      <c r="E33" s="18"/>
      <c r="F33" s="18" t="s">
        <v>213</v>
      </c>
      <c r="G33" s="18">
        <v>0</v>
      </c>
      <c r="H33" s="166">
        <f>_xlfn.XLOOKUP($A33,'1.3.SSDR_soil'!$B$7:$B$29,'1.3.SSDR_soil'!$J$7:$J$29)</f>
        <v>1.7877213454922709</v>
      </c>
      <c r="I33" s="18">
        <f>_xlfn.XLOOKUP($A33,'1.3.SSDR_soil'!$B$7:$B$29,'1.3.SSDR_soil'!$I$7:$I$29)</f>
        <v>-29.919000056533232</v>
      </c>
      <c r="J33" s="30"/>
    </row>
    <row r="34" spans="1:10" ht="16" x14ac:dyDescent="0.2">
      <c r="A34" s="102" t="s">
        <v>2</v>
      </c>
      <c r="B34" s="169" t="s">
        <v>285</v>
      </c>
      <c r="C34" s="162"/>
      <c r="D34" s="163"/>
      <c r="E34" s="162"/>
      <c r="F34" s="162" t="s">
        <v>213</v>
      </c>
      <c r="G34" s="162">
        <v>0</v>
      </c>
      <c r="H34" s="162">
        <f>_xlfn.XLOOKUP($B34,'1.4.plasticFADE constants'!$B$8:$B$13,'1.4.plasticFADE constants'!$N$8:$N$13)</f>
        <v>2.9524825547148014E-4</v>
      </c>
      <c r="I34" s="162">
        <f>_xlfn.XLOOKUP($B34,'1.4.plasticFADE constants'!$B$8:$B$13,'1.4.plasticFADE constants'!$M$8:$M$13)</f>
        <v>-8.3213128615646177</v>
      </c>
      <c r="J34" s="164"/>
    </row>
    <row r="35" spans="1:10" ht="16" x14ac:dyDescent="0.2">
      <c r="A35" s="79" t="s">
        <v>2</v>
      </c>
      <c r="B35" s="170" t="s">
        <v>286</v>
      </c>
      <c r="C35" s="18"/>
      <c r="D35" s="150"/>
      <c r="E35" s="18"/>
      <c r="F35" s="18" t="s">
        <v>213</v>
      </c>
      <c r="G35" s="18">
        <v>0</v>
      </c>
      <c r="H35" s="162">
        <f>_xlfn.XLOOKUP($B35,'1.4.plasticFADE constants'!$B$8:$B$13,'1.4.plasticFADE constants'!$N$8:$N$13)</f>
        <v>0.19332889713928206</v>
      </c>
      <c r="I35" s="162">
        <f>_xlfn.XLOOKUP($B35,'1.4.plasticFADE constants'!$B$8:$B$13,'1.4.plasticFADE constants'!$M$8:$M$13)</f>
        <v>-0.23448794254115907</v>
      </c>
      <c r="J35" s="30"/>
    </row>
    <row r="36" spans="1:10" ht="16" x14ac:dyDescent="0.2">
      <c r="A36" s="79" t="s">
        <v>2</v>
      </c>
      <c r="B36" s="170" t="s">
        <v>287</v>
      </c>
      <c r="C36" s="18"/>
      <c r="D36" s="150"/>
      <c r="E36" s="18"/>
      <c r="F36" s="18" t="s">
        <v>213</v>
      </c>
      <c r="G36" s="18">
        <v>0</v>
      </c>
      <c r="H36" s="162">
        <f>_xlfn.XLOOKUP($B36,'1.4.plasticFADE constants'!$B$8:$B$13,'1.4.plasticFADE constants'!$N$8:$N$13)</f>
        <v>2.1960388534196288E-5</v>
      </c>
      <c r="I36" s="162">
        <f>_xlfn.XLOOKUP($B36,'1.4.plasticFADE constants'!$B$8:$B$13,'1.4.plasticFADE constants'!$M$8:$M$13)</f>
        <v>-11.230611090275636</v>
      </c>
      <c r="J36" s="30"/>
    </row>
    <row r="37" spans="1:10" ht="16" x14ac:dyDescent="0.2">
      <c r="A37" s="79" t="s">
        <v>2</v>
      </c>
      <c r="B37" s="170" t="s">
        <v>288</v>
      </c>
      <c r="C37" s="18"/>
      <c r="D37" s="150"/>
      <c r="E37" s="18"/>
      <c r="F37" s="18" t="s">
        <v>213</v>
      </c>
      <c r="G37" s="18">
        <v>0</v>
      </c>
      <c r="H37" s="162">
        <f>_xlfn.XLOOKUP($B37,'1.4.plasticFADE constants'!$B$8:$B$13,'1.4.plasticFADE constants'!$N$8:$N$13)</f>
        <v>0.22318783126059411</v>
      </c>
      <c r="I37" s="162">
        <f>_xlfn.XLOOKUP($B37,'1.4.plasticFADE constants'!$B$8:$B$13,'1.4.plasticFADE constants'!$M$8:$M$13)</f>
        <v>0.62930292908874985</v>
      </c>
      <c r="J37" s="30"/>
    </row>
    <row r="38" spans="1:10" ht="16" x14ac:dyDescent="0.2">
      <c r="A38" s="79" t="s">
        <v>2</v>
      </c>
      <c r="B38" s="170" t="s">
        <v>289</v>
      </c>
      <c r="C38" s="18"/>
      <c r="D38" s="150"/>
      <c r="E38" s="18"/>
      <c r="F38" s="18" t="s">
        <v>213</v>
      </c>
      <c r="G38" s="18">
        <v>0</v>
      </c>
      <c r="H38" s="162">
        <f>_xlfn.XLOOKUP($B38,'1.4.plasticFADE constants'!$B$8:$B$13,'1.4.plasticFADE constants'!$N$8:$N$13)</f>
        <v>4.4013893320794464E-6</v>
      </c>
      <c r="I38" s="162">
        <f>_xlfn.XLOOKUP($B38,'1.4.plasticFADE constants'!$B$8:$B$13,'1.4.plasticFADE constants'!$M$8:$M$13)</f>
        <v>-4.1852835055615794</v>
      </c>
      <c r="J38" s="30"/>
    </row>
    <row r="39" spans="1:10" ht="16" x14ac:dyDescent="0.2">
      <c r="A39" s="165" t="s">
        <v>2</v>
      </c>
      <c r="B39" s="171" t="s">
        <v>290</v>
      </c>
      <c r="C39" s="166"/>
      <c r="D39" s="167"/>
      <c r="E39" s="166"/>
      <c r="F39" s="166" t="s">
        <v>213</v>
      </c>
      <c r="G39" s="166">
        <v>0</v>
      </c>
      <c r="H39" s="162">
        <f>_xlfn.XLOOKUP($B39,'1.4.plasticFADE constants'!$B$8:$B$13,'1.4.plasticFADE constants'!$N$8:$N$13)</f>
        <v>4.5684842445671371E-2</v>
      </c>
      <c r="I39" s="162">
        <f>_xlfn.XLOOKUP($B39,'1.4.plasticFADE constants'!$B$8:$B$13,'1.4.plasticFADE constants'!$M$8:$M$13)</f>
        <v>-2.5451414914347712</v>
      </c>
      <c r="J39" s="168"/>
    </row>
    <row r="40" spans="1:10" ht="16" x14ac:dyDescent="0.2">
      <c r="A40" s="102" t="s">
        <v>3</v>
      </c>
      <c r="B40" s="169" t="s">
        <v>285</v>
      </c>
      <c r="C40" s="162"/>
      <c r="D40" s="163"/>
      <c r="E40" s="162"/>
      <c r="F40" s="162" t="s">
        <v>213</v>
      </c>
      <c r="G40" s="162">
        <v>0</v>
      </c>
      <c r="H40" s="162">
        <f>_xlfn.XLOOKUP($B40,'1.4.plasticFADE constants'!$B$8:$B$13,'1.4.plasticFADE constants'!$R$8:$R$13)</f>
        <v>5.095161679579672E-3</v>
      </c>
      <c r="I40" s="162">
        <f>_xlfn.XLOOKUP($B40,'1.4.plasticFADE constants'!$B$8:$B$13,'1.4.plasticFADE constants'!$Q$8:$Q$13)</f>
        <v>-5.2033360606110612</v>
      </c>
      <c r="J40" s="164"/>
    </row>
    <row r="41" spans="1:10" ht="16" x14ac:dyDescent="0.2">
      <c r="A41" s="79" t="s">
        <v>3</v>
      </c>
      <c r="B41" s="170" t="s">
        <v>286</v>
      </c>
      <c r="C41" s="18"/>
      <c r="D41" s="150"/>
      <c r="E41" s="18"/>
      <c r="F41" s="18" t="s">
        <v>213</v>
      </c>
      <c r="G41" s="18">
        <v>0</v>
      </c>
      <c r="H41" s="162">
        <f>_xlfn.XLOOKUP($B41,'1.4.plasticFADE constants'!$B$8:$B$13,'1.4.plasticFADE constants'!$R$8:$R$13)</f>
        <v>0.11216725202724696</v>
      </c>
      <c r="I41" s="162">
        <f>_xlfn.XLOOKUP($B41,'1.4.plasticFADE constants'!$B$8:$B$13,'1.4.plasticFADE constants'!$Q$8:$Q$13)</f>
        <v>-4.2888430197046334</v>
      </c>
      <c r="J41" s="30"/>
    </row>
    <row r="42" spans="1:10" ht="16" x14ac:dyDescent="0.2">
      <c r="A42" s="79" t="s">
        <v>3</v>
      </c>
      <c r="B42" s="170" t="s">
        <v>287</v>
      </c>
      <c r="C42" s="18"/>
      <c r="D42" s="150"/>
      <c r="E42" s="18"/>
      <c r="F42" s="18" t="s">
        <v>213</v>
      </c>
      <c r="G42" s="18">
        <v>0</v>
      </c>
      <c r="H42" s="162">
        <f>_xlfn.XLOOKUP($B42,'1.4.plasticFADE constants'!$B$8:$B$13,'1.4.plasticFADE constants'!$R$8:$R$13)</f>
        <v>1.6245854917083305E-3</v>
      </c>
      <c r="I42" s="162">
        <f>_xlfn.XLOOKUP($B42,'1.4.plasticFADE constants'!$B$8:$B$13,'1.4.plasticFADE constants'!$Q$8:$Q$13)</f>
        <v>-4.0602197220386582</v>
      </c>
      <c r="J42" s="30"/>
    </row>
    <row r="43" spans="1:10" ht="16" x14ac:dyDescent="0.2">
      <c r="A43" s="79" t="s">
        <v>3</v>
      </c>
      <c r="B43" s="170" t="s">
        <v>288</v>
      </c>
      <c r="C43" s="18"/>
      <c r="D43" s="150"/>
      <c r="E43" s="18"/>
      <c r="F43" s="18" t="s">
        <v>213</v>
      </c>
      <c r="G43" s="18">
        <v>0</v>
      </c>
      <c r="H43" s="162">
        <f>_xlfn.XLOOKUP($B43,'1.4.plasticFADE constants'!$B$8:$B$13,'1.4.plasticFADE constants'!$R$8:$R$13)</f>
        <v>0.38047219974999136</v>
      </c>
      <c r="I43" s="162">
        <f>_xlfn.XLOOKUP($B43,'1.4.plasticFADE constants'!$B$8:$B$13,'1.4.plasticFADE constants'!$Q$8:$Q$13)</f>
        <v>-0.3488586863441826</v>
      </c>
      <c r="J43" s="30"/>
    </row>
    <row r="44" spans="1:10" ht="16" x14ac:dyDescent="0.2">
      <c r="A44" s="79" t="s">
        <v>3</v>
      </c>
      <c r="B44" s="170" t="s">
        <v>289</v>
      </c>
      <c r="C44" s="18"/>
      <c r="D44" s="150"/>
      <c r="E44" s="18"/>
      <c r="F44" s="18" t="s">
        <v>213</v>
      </c>
      <c r="G44" s="18">
        <v>0</v>
      </c>
      <c r="H44" s="162">
        <f>_xlfn.XLOOKUP($B44,'1.4.plasticFADE constants'!$B$8:$B$13,'1.4.plasticFADE constants'!$R$8:$R$13)</f>
        <v>3.8147496202113584E-5</v>
      </c>
      <c r="I44" s="162">
        <f>_xlfn.XLOOKUP($B44,'1.4.plasticFADE constants'!$B$8:$B$13,'1.4.plasticFADE constants'!$Q$8:$Q$13)</f>
        <v>-11.033061618954534</v>
      </c>
      <c r="J44" s="30"/>
    </row>
    <row r="45" spans="1:10" ht="16" x14ac:dyDescent="0.2">
      <c r="A45" s="165" t="s">
        <v>3</v>
      </c>
      <c r="B45" s="171" t="s">
        <v>290</v>
      </c>
      <c r="C45" s="18"/>
      <c r="D45" s="150"/>
      <c r="E45" s="18"/>
      <c r="F45" s="18" t="s">
        <v>213</v>
      </c>
      <c r="G45" s="18">
        <v>0</v>
      </c>
      <c r="H45" s="162">
        <f>_xlfn.XLOOKUP($B45,'1.4.plasticFADE constants'!$B$8:$B$13,'1.4.plasticFADE constants'!$R$8:$R$13)</f>
        <v>0.11138573469379663</v>
      </c>
      <c r="I45" s="162">
        <f>_xlfn.XLOOKUP($B45,'1.4.plasticFADE constants'!$B$8:$B$13,'1.4.plasticFADE constants'!$Q$8:$Q$13)</f>
        <v>-0.81619839913685255</v>
      </c>
      <c r="J45" s="30"/>
    </row>
    <row r="46" spans="1:10" ht="16" x14ac:dyDescent="0.2">
      <c r="A46" s="79" t="s">
        <v>23</v>
      </c>
      <c r="B46" s="234" t="s">
        <v>285</v>
      </c>
      <c r="C46" s="172"/>
      <c r="D46" s="163"/>
      <c r="E46" s="162"/>
      <c r="F46" s="162" t="s">
        <v>213</v>
      </c>
      <c r="G46" s="162">
        <v>0</v>
      </c>
      <c r="H46" s="162">
        <f>_xlfn.XLOOKUP($B46,'1.4.plasticFADE constants'!$B$8:$B$13,'1.4.plasticFADE constants'!$V$8:$V$13)</f>
        <v>2.0039698122812592E-4</v>
      </c>
      <c r="I46" s="162">
        <f>_xlfn.XLOOKUP($B46,'1.4.plasticFADE constants'!$B$8:$B$13,'1.4.plasticFADE constants'!$U$8:$U$13)</f>
        <v>-8.2051082449468797</v>
      </c>
      <c r="J46" s="164"/>
    </row>
    <row r="47" spans="1:10" ht="16" x14ac:dyDescent="0.2">
      <c r="A47" s="79" t="s">
        <v>23</v>
      </c>
      <c r="B47" s="235" t="s">
        <v>286</v>
      </c>
      <c r="C47" s="83"/>
      <c r="D47" s="150"/>
      <c r="E47" s="18"/>
      <c r="F47" s="18" t="s">
        <v>213</v>
      </c>
      <c r="G47" s="18">
        <v>0</v>
      </c>
      <c r="H47" s="18">
        <f>_xlfn.XLOOKUP($B47,'1.4.plasticFADE constants'!$B$8:$B$13,'1.4.plasticFADE constants'!$V$8:$V$13)</f>
        <v>6.755047266342272E-2</v>
      </c>
      <c r="I47" s="18">
        <f>_xlfn.XLOOKUP($B47,'1.4.plasticFADE constants'!$B$8:$B$13,'1.4.plasticFADE constants'!$U$8:$U$13)</f>
        <v>-1.4134913064196912</v>
      </c>
      <c r="J47" s="30"/>
    </row>
    <row r="48" spans="1:10" ht="16" x14ac:dyDescent="0.2">
      <c r="A48" s="79" t="s">
        <v>23</v>
      </c>
      <c r="B48" s="235" t="s">
        <v>287</v>
      </c>
      <c r="C48" s="83"/>
      <c r="D48" s="150"/>
      <c r="E48" s="18"/>
      <c r="F48" s="18" t="s">
        <v>213</v>
      </c>
      <c r="G48" s="18">
        <v>0</v>
      </c>
      <c r="H48" s="18">
        <f>_xlfn.XLOOKUP($B48,'1.4.plasticFADE constants'!$B$8:$B$13,'1.4.plasticFADE constants'!$V$8:$V$13)</f>
        <v>4.3872181235929018E-6</v>
      </c>
      <c r="I48" s="18">
        <f>_xlfn.XLOOKUP($B48,'1.4.plasticFADE constants'!$B$8:$B$13,'1.4.plasticFADE constants'!$U$8:$U$13)</f>
        <v>-4.2372718068092583</v>
      </c>
      <c r="J48" s="30"/>
    </row>
    <row r="49" spans="1:10" ht="16" x14ac:dyDescent="0.2">
      <c r="A49" s="79" t="s">
        <v>23</v>
      </c>
      <c r="B49" s="235" t="s">
        <v>288</v>
      </c>
      <c r="C49" s="83"/>
      <c r="D49" s="150"/>
      <c r="E49" s="18"/>
      <c r="F49" s="18" t="s">
        <v>213</v>
      </c>
      <c r="G49" s="18">
        <v>0</v>
      </c>
      <c r="H49" s="18">
        <f>_xlfn.XLOOKUP($B49,'1.4.plasticFADE constants'!$B$8:$B$13,'1.4.plasticFADE constants'!$V$8:$V$13)</f>
        <v>0.16004412598369772</v>
      </c>
      <c r="I49" s="18">
        <f>_xlfn.XLOOKUP($B49,'1.4.plasticFADE constants'!$B$8:$B$13,'1.4.plasticFADE constants'!$U$8:$U$13)</f>
        <v>9.0322631995621971E-3</v>
      </c>
      <c r="J49" s="30"/>
    </row>
    <row r="50" spans="1:10" ht="16" x14ac:dyDescent="0.2">
      <c r="A50" s="79" t="s">
        <v>23</v>
      </c>
      <c r="B50" s="235" t="s">
        <v>289</v>
      </c>
      <c r="C50" s="83"/>
      <c r="D50" s="18"/>
      <c r="E50" s="18"/>
      <c r="F50" s="18" t="s">
        <v>213</v>
      </c>
      <c r="G50" s="18">
        <v>0</v>
      </c>
      <c r="H50" s="18">
        <f>_xlfn.XLOOKUP($B50,'1.4.plasticFADE constants'!$B$8:$B$13,'1.4.plasticFADE constants'!$V$8:$V$13)</f>
        <v>1.7657693967440435E-4</v>
      </c>
      <c r="I50" s="18">
        <f>_xlfn.XLOOKUP($B50,'1.4.plasticFADE constants'!$B$8:$B$13,'1.4.plasticFADE constants'!$U$8:$U$13)</f>
        <v>-9.6830593400787937</v>
      </c>
      <c r="J50" s="30"/>
    </row>
    <row r="51" spans="1:10" ht="16" x14ac:dyDescent="0.2">
      <c r="A51" s="165" t="s">
        <v>23</v>
      </c>
      <c r="B51" s="236" t="s">
        <v>290</v>
      </c>
      <c r="C51" s="99"/>
      <c r="D51" s="166"/>
      <c r="E51" s="166"/>
      <c r="F51" s="166" t="s">
        <v>213</v>
      </c>
      <c r="G51" s="166">
        <v>0</v>
      </c>
      <c r="H51" s="166">
        <f>_xlfn.XLOOKUP($B51,'1.4.plasticFADE constants'!$B$8:$B$13,'1.4.plasticFADE constants'!$V$8:$V$13)</f>
        <v>0.12211789796236601</v>
      </c>
      <c r="I51" s="166">
        <f>_xlfn.XLOOKUP($B51,'1.4.plasticFADE constants'!$B$8:$B$13,'1.4.plasticFADE constants'!$U$8:$U$13)</f>
        <v>-0.70110518344601891</v>
      </c>
      <c r="J51" s="168"/>
    </row>
    <row r="52" spans="1:10" ht="16" x14ac:dyDescent="0.2">
      <c r="A52" s="79" t="s">
        <v>4</v>
      </c>
      <c r="B52" s="30" t="s">
        <v>136</v>
      </c>
      <c r="C52" s="18"/>
      <c r="D52" s="150" t="s">
        <v>140</v>
      </c>
      <c r="E52" s="18"/>
      <c r="F52" s="18" t="s">
        <v>213</v>
      </c>
      <c r="G52" s="18">
        <v>0</v>
      </c>
      <c r="H52" s="18">
        <f>_xlfn.XLOOKUP($A52,'1.1.SSDR_water'!$B$7:$B$29,'1.1.SSDR_water'!$J$7:$J$29)</f>
        <v>0.89386067274613612</v>
      </c>
      <c r="I52" s="18">
        <f>_xlfn.XLOOKUP($A52,'1.1.SSDR_water'!$B$7:$B$29,'1.1.SSDR_water'!$I$7:$I$29)</f>
        <v>-35.687321052327007</v>
      </c>
      <c r="J52" s="30"/>
    </row>
    <row r="53" spans="1:10" ht="16" x14ac:dyDescent="0.2">
      <c r="A53" s="79" t="s">
        <v>4</v>
      </c>
      <c r="B53" s="30" t="s">
        <v>136</v>
      </c>
      <c r="C53" s="18"/>
      <c r="D53" s="150" t="s">
        <v>115</v>
      </c>
      <c r="E53" s="18"/>
      <c r="F53" s="18" t="s">
        <v>213</v>
      </c>
      <c r="G53" s="18">
        <v>0</v>
      </c>
      <c r="H53" s="18">
        <f>_xlfn.XLOOKUP($A53,'1.1.SSDR_water'!$B$7:$B$29,'1.1.SSDR_water'!$J$7:$J$29)</f>
        <v>0.89386067274613612</v>
      </c>
      <c r="I53" s="18">
        <f>_xlfn.XLOOKUP($A53,'1.1.SSDR_water'!$B$7:$B$29,'1.1.SSDR_water'!$I$7:$I$29)</f>
        <v>-35.687321052327007</v>
      </c>
      <c r="J53" s="30"/>
    </row>
    <row r="54" spans="1:10" ht="16" x14ac:dyDescent="0.2">
      <c r="A54" s="79" t="s">
        <v>4</v>
      </c>
      <c r="B54" s="30" t="s">
        <v>136</v>
      </c>
      <c r="C54" s="18"/>
      <c r="D54" s="150" t="s">
        <v>124</v>
      </c>
      <c r="E54" s="18"/>
      <c r="F54" s="18" t="s">
        <v>213</v>
      </c>
      <c r="G54" s="18">
        <v>0</v>
      </c>
      <c r="H54" s="18">
        <f>_xlfn.XLOOKUP($A54,'1.1.SSDR_water'!$B$7:$B$29,'1.1.SSDR_water'!$J$7:$J$29)</f>
        <v>0.89386067274613612</v>
      </c>
      <c r="I54" s="18">
        <f>_xlfn.XLOOKUP($A54,'1.1.SSDR_water'!$B$7:$B$29,'1.1.SSDR_water'!$I$7:$I$29)</f>
        <v>-35.687321052327007</v>
      </c>
      <c r="J54" s="30"/>
    </row>
    <row r="55" spans="1:10" ht="16" x14ac:dyDescent="0.2">
      <c r="A55" s="79" t="s">
        <v>4</v>
      </c>
      <c r="B55" s="30" t="s">
        <v>136</v>
      </c>
      <c r="C55" s="18"/>
      <c r="D55" s="150" t="s">
        <v>116</v>
      </c>
      <c r="E55" s="18"/>
      <c r="F55" s="18" t="s">
        <v>213</v>
      </c>
      <c r="G55" s="18">
        <v>0</v>
      </c>
      <c r="H55" s="18">
        <f>_xlfn.XLOOKUP($A55,'1.1.SSDR_water'!$B$7:$B$29,'1.1.SSDR_water'!$J$7:$J$29)</f>
        <v>0.89386067274613612</v>
      </c>
      <c r="I55" s="18">
        <f>_xlfn.XLOOKUP($A55,'1.1.SSDR_water'!$B$7:$B$29,'1.1.SSDR_water'!$I$7:$I$29)</f>
        <v>-35.687321052327007</v>
      </c>
      <c r="J55" s="30"/>
    </row>
    <row r="56" spans="1:10" ht="16" x14ac:dyDescent="0.2">
      <c r="A56" s="79" t="s">
        <v>4</v>
      </c>
      <c r="B56" s="30" t="s">
        <v>136</v>
      </c>
      <c r="C56" s="18"/>
      <c r="D56" s="150" t="s">
        <v>137</v>
      </c>
      <c r="E56" s="18"/>
      <c r="F56" s="18" t="s">
        <v>213</v>
      </c>
      <c r="G56" s="18">
        <v>0</v>
      </c>
      <c r="H56" s="18">
        <f>_xlfn.XLOOKUP($A56,'1.2.SSDR_sediment'!$B$7:$B$29,'1.2.SSDR_sediment'!$J$7:$J$29)</f>
        <v>0.89386067274613612</v>
      </c>
      <c r="I56" s="18">
        <f>_xlfn.XLOOKUP($A56,'1.2.SSDR_sediment'!$B$7:$B$29,'1.2.SSDR_sediment'!$I$7:$I$29)</f>
        <v>-35.687321052327007</v>
      </c>
      <c r="J56" s="30"/>
    </row>
    <row r="57" spans="1:10" ht="16" x14ac:dyDescent="0.2">
      <c r="A57" s="79" t="s">
        <v>4</v>
      </c>
      <c r="B57" s="30" t="s">
        <v>136</v>
      </c>
      <c r="C57" s="18"/>
      <c r="D57" s="150" t="s">
        <v>138</v>
      </c>
      <c r="E57" s="18"/>
      <c r="F57" s="18" t="s">
        <v>213</v>
      </c>
      <c r="G57" s="18">
        <v>0</v>
      </c>
      <c r="H57" s="18">
        <f>_xlfn.XLOOKUP($A57,'1.2.SSDR_sediment'!$B$7:$B$29,'1.2.SSDR_sediment'!$J$7:$J$29)</f>
        <v>0.89386067274613612</v>
      </c>
      <c r="I57" s="18">
        <f>_xlfn.XLOOKUP($A57,'1.2.SSDR_sediment'!$B$7:$B$29,'1.2.SSDR_sediment'!$I$7:$I$29)</f>
        <v>-35.687321052327007</v>
      </c>
      <c r="J57" s="30"/>
    </row>
    <row r="58" spans="1:10" ht="16" x14ac:dyDescent="0.2">
      <c r="A58" s="79" t="s">
        <v>4</v>
      </c>
      <c r="B58" s="30" t="s">
        <v>136</v>
      </c>
      <c r="C58" s="18"/>
      <c r="D58" s="150" t="s">
        <v>139</v>
      </c>
      <c r="E58" s="18"/>
      <c r="F58" s="18" t="s">
        <v>213</v>
      </c>
      <c r="G58" s="18">
        <v>0</v>
      </c>
      <c r="H58" s="18">
        <f>_xlfn.XLOOKUP($A58,'1.2.SSDR_sediment'!$B$7:$B$29,'1.2.SSDR_sediment'!$J$7:$J$29)</f>
        <v>0.89386067274613612</v>
      </c>
      <c r="I58" s="18">
        <f>_xlfn.XLOOKUP($A58,'1.2.SSDR_sediment'!$B$7:$B$29,'1.2.SSDR_sediment'!$I$7:$I$29)</f>
        <v>-35.687321052327007</v>
      </c>
      <c r="J58" s="30"/>
    </row>
    <row r="59" spans="1:10" ht="16" x14ac:dyDescent="0.2">
      <c r="A59" s="79" t="s">
        <v>4</v>
      </c>
      <c r="B59" s="30" t="s">
        <v>136</v>
      </c>
      <c r="C59" s="18"/>
      <c r="D59" s="150" t="s">
        <v>117</v>
      </c>
      <c r="E59" s="18"/>
      <c r="F59" s="18" t="s">
        <v>213</v>
      </c>
      <c r="G59" s="18">
        <v>0</v>
      </c>
      <c r="H59" s="18">
        <f>_xlfn.XLOOKUP($A59,'1.3.SSDR_soil'!$B$7:$B$29,'1.3.SSDR_soil'!$J$7:$J$29)</f>
        <v>0.89386067274613612</v>
      </c>
      <c r="I59" s="18">
        <f>_xlfn.XLOOKUP($A59,'1.3.SSDR_soil'!$B$7:$B$29,'1.3.SSDR_soil'!$I$7:$I$29)</f>
        <v>-35.687321052327007</v>
      </c>
      <c r="J59" s="30"/>
    </row>
    <row r="60" spans="1:10" ht="16" x14ac:dyDescent="0.2">
      <c r="A60" s="79" t="s">
        <v>4</v>
      </c>
      <c r="B60" s="30" t="s">
        <v>136</v>
      </c>
      <c r="C60" s="18"/>
      <c r="D60" s="150" t="s">
        <v>127</v>
      </c>
      <c r="E60" s="18"/>
      <c r="F60" s="18" t="s">
        <v>213</v>
      </c>
      <c r="G60" s="18">
        <v>0</v>
      </c>
      <c r="H60" s="18">
        <f>_xlfn.XLOOKUP($A60,'1.3.SSDR_soil'!$B$7:$B$29,'1.3.SSDR_soil'!$J$7:$J$29)</f>
        <v>0.89386067274613612</v>
      </c>
      <c r="I60" s="18">
        <f>_xlfn.XLOOKUP($A60,'1.3.SSDR_soil'!$B$7:$B$29,'1.3.SSDR_soil'!$I$7:$I$29)</f>
        <v>-35.687321052327007</v>
      </c>
      <c r="J60" s="30"/>
    </row>
    <row r="61" spans="1:10" ht="16" x14ac:dyDescent="0.2">
      <c r="A61" s="165" t="s">
        <v>4</v>
      </c>
      <c r="B61" s="168" t="s">
        <v>136</v>
      </c>
      <c r="C61" s="166"/>
      <c r="D61" s="167" t="s">
        <v>118</v>
      </c>
      <c r="E61" s="166"/>
      <c r="F61" s="166" t="s">
        <v>213</v>
      </c>
      <c r="G61" s="166">
        <v>0</v>
      </c>
      <c r="H61" s="166">
        <f>_xlfn.XLOOKUP($A61,'1.3.SSDR_soil'!$B$7:$B$29,'1.3.SSDR_soil'!$J$7:$J$29)</f>
        <v>0.89386067274613612</v>
      </c>
      <c r="I61" s="18">
        <f>_xlfn.XLOOKUP($A61,'1.3.SSDR_soil'!$B$7:$B$29,'1.3.SSDR_soil'!$I$7:$I$29)</f>
        <v>-35.687321052327007</v>
      </c>
      <c r="J61" s="168"/>
    </row>
    <row r="62" spans="1:10" ht="16" x14ac:dyDescent="0.2">
      <c r="A62" s="79" t="s">
        <v>165</v>
      </c>
      <c r="B62" s="164" t="s">
        <v>136</v>
      </c>
      <c r="C62" s="162"/>
      <c r="D62" s="163" t="s">
        <v>140</v>
      </c>
      <c r="E62" s="162"/>
      <c r="F62" s="162" t="s">
        <v>213</v>
      </c>
      <c r="G62" s="162">
        <v>0</v>
      </c>
      <c r="H62" s="162">
        <f>_xlfn.XLOOKUP($A62,'1.1.SSDR_water'!$B$7:$B$29,'1.1.SSDR_water'!$J$7:$J$29)</f>
        <v>2.1472679470148819</v>
      </c>
      <c r="I62" s="162">
        <f>_xlfn.XLOOKUP($A62,'1.1.SSDR_water'!$B$7:$B$29,'1.1.SSDR_water'!$I$7:$I$29)</f>
        <v>-32.458543913810715</v>
      </c>
      <c r="J62" s="164"/>
    </row>
    <row r="63" spans="1:10" ht="16" x14ac:dyDescent="0.2">
      <c r="A63" s="79" t="s">
        <v>165</v>
      </c>
      <c r="B63" s="30" t="s">
        <v>136</v>
      </c>
      <c r="C63" s="18"/>
      <c r="D63" s="150" t="s">
        <v>115</v>
      </c>
      <c r="E63" s="18"/>
      <c r="F63" s="18" t="s">
        <v>213</v>
      </c>
      <c r="G63" s="18">
        <v>0</v>
      </c>
      <c r="H63" s="18">
        <f>_xlfn.XLOOKUP($A63,'1.1.SSDR_water'!$B$7:$B$29,'1.1.SSDR_water'!$J$7:$J$29)</f>
        <v>2.1472679470148819</v>
      </c>
      <c r="I63" s="18">
        <f>_xlfn.XLOOKUP($A63,'1.1.SSDR_water'!$B$7:$B$29,'1.1.SSDR_water'!$I$7:$I$29)</f>
        <v>-32.458543913810715</v>
      </c>
      <c r="J63" s="30"/>
    </row>
    <row r="64" spans="1:10" ht="16" x14ac:dyDescent="0.2">
      <c r="A64" s="79" t="s">
        <v>165</v>
      </c>
      <c r="B64" s="30" t="s">
        <v>136</v>
      </c>
      <c r="C64" s="18"/>
      <c r="D64" s="150" t="s">
        <v>124</v>
      </c>
      <c r="E64" s="18"/>
      <c r="F64" s="18" t="s">
        <v>213</v>
      </c>
      <c r="G64" s="18">
        <v>0</v>
      </c>
      <c r="H64" s="18">
        <f>_xlfn.XLOOKUP($A64,'1.1.SSDR_water'!$B$7:$B$29,'1.1.SSDR_water'!$J$7:$J$29)</f>
        <v>2.1472679470148819</v>
      </c>
      <c r="I64" s="18">
        <f>_xlfn.XLOOKUP($A64,'1.1.SSDR_water'!$B$7:$B$29,'1.1.SSDR_water'!$I$7:$I$29)</f>
        <v>-32.458543913810715</v>
      </c>
      <c r="J64" s="30"/>
    </row>
    <row r="65" spans="1:10" ht="16" x14ac:dyDescent="0.2">
      <c r="A65" s="79" t="s">
        <v>165</v>
      </c>
      <c r="B65" s="30" t="s">
        <v>136</v>
      </c>
      <c r="C65" s="18"/>
      <c r="D65" s="150" t="s">
        <v>116</v>
      </c>
      <c r="E65" s="18"/>
      <c r="F65" s="18" t="s">
        <v>213</v>
      </c>
      <c r="G65" s="18">
        <v>0</v>
      </c>
      <c r="H65" s="18">
        <f>_xlfn.XLOOKUP($A65,'1.1.SSDR_water'!$B$7:$B$29,'1.1.SSDR_water'!$J$7:$J$29)</f>
        <v>2.1472679470148819</v>
      </c>
      <c r="I65" s="18">
        <f>_xlfn.XLOOKUP($A65,'1.1.SSDR_water'!$B$7:$B$29,'1.1.SSDR_water'!$I$7:$I$29)</f>
        <v>-32.458543913810715</v>
      </c>
      <c r="J65" s="30"/>
    </row>
    <row r="66" spans="1:10" ht="16" x14ac:dyDescent="0.2">
      <c r="A66" s="79" t="s">
        <v>165</v>
      </c>
      <c r="B66" s="30" t="s">
        <v>136</v>
      </c>
      <c r="C66" s="18"/>
      <c r="D66" s="150" t="s">
        <v>137</v>
      </c>
      <c r="E66" s="18"/>
      <c r="F66" s="18" t="s">
        <v>213</v>
      </c>
      <c r="G66" s="18">
        <v>0</v>
      </c>
      <c r="H66" s="18">
        <f>_xlfn.XLOOKUP($A66,'1.2.SSDR_sediment'!$B$7:$B$29,'1.2.SSDR_sediment'!$J$7:$J$29)</f>
        <v>2.1472679470148819</v>
      </c>
      <c r="I66" s="18">
        <f>_xlfn.XLOOKUP($A66,'1.2.SSDR_sediment'!$B$7:$B$29,'1.2.SSDR_sediment'!$I$7:$I$29)</f>
        <v>-32.458543913810715</v>
      </c>
      <c r="J66" s="30"/>
    </row>
    <row r="67" spans="1:10" ht="16" x14ac:dyDescent="0.2">
      <c r="A67" s="79" t="s">
        <v>165</v>
      </c>
      <c r="B67" s="30" t="s">
        <v>136</v>
      </c>
      <c r="C67" s="18"/>
      <c r="D67" s="150" t="s">
        <v>138</v>
      </c>
      <c r="E67" s="18"/>
      <c r="F67" s="18" t="s">
        <v>213</v>
      </c>
      <c r="G67" s="18">
        <v>0</v>
      </c>
      <c r="H67" s="18">
        <f>_xlfn.XLOOKUP($A67,'1.2.SSDR_sediment'!$B$7:$B$29,'1.2.SSDR_sediment'!$J$7:$J$29)</f>
        <v>2.1472679470148819</v>
      </c>
      <c r="I67" s="18">
        <f>_xlfn.XLOOKUP($A67,'1.2.SSDR_sediment'!$B$7:$B$29,'1.2.SSDR_sediment'!$I$7:$I$29)</f>
        <v>-32.458543913810715</v>
      </c>
      <c r="J67" s="30"/>
    </row>
    <row r="68" spans="1:10" ht="16" x14ac:dyDescent="0.2">
      <c r="A68" s="79" t="s">
        <v>165</v>
      </c>
      <c r="B68" s="30" t="s">
        <v>136</v>
      </c>
      <c r="C68" s="18"/>
      <c r="D68" s="150" t="s">
        <v>139</v>
      </c>
      <c r="E68" s="18"/>
      <c r="F68" s="18" t="s">
        <v>213</v>
      </c>
      <c r="G68" s="18">
        <v>0</v>
      </c>
      <c r="H68" s="18">
        <f>_xlfn.XLOOKUP($A68,'1.2.SSDR_sediment'!$B$7:$B$29,'1.2.SSDR_sediment'!$J$7:$J$29)</f>
        <v>2.1472679470148819</v>
      </c>
      <c r="I68" s="18">
        <f>_xlfn.XLOOKUP($A68,'1.2.SSDR_sediment'!$B$7:$B$29,'1.2.SSDR_sediment'!$I$7:$I$29)</f>
        <v>-32.458543913810715</v>
      </c>
      <c r="J68" s="30"/>
    </row>
    <row r="69" spans="1:10" ht="16" x14ac:dyDescent="0.2">
      <c r="A69" s="79" t="s">
        <v>165</v>
      </c>
      <c r="B69" s="30" t="s">
        <v>136</v>
      </c>
      <c r="C69" s="18"/>
      <c r="D69" s="150" t="s">
        <v>117</v>
      </c>
      <c r="E69" s="18"/>
      <c r="F69" s="18" t="s">
        <v>213</v>
      </c>
      <c r="G69" s="18">
        <v>0</v>
      </c>
      <c r="H69" s="18">
        <f>_xlfn.XLOOKUP($A69,'1.3.SSDR_soil'!$B$7:$B$29,'1.3.SSDR_soil'!$J$7:$J$29)</f>
        <v>2.1472679470148819</v>
      </c>
      <c r="I69" s="18">
        <f>_xlfn.XLOOKUP($A69,'1.3.SSDR_soil'!$B$7:$B$29,'1.3.SSDR_soil'!$I$7:$I$29)</f>
        <v>-32.458543913810715</v>
      </c>
      <c r="J69" s="30"/>
    </row>
    <row r="70" spans="1:10" ht="16" x14ac:dyDescent="0.2">
      <c r="A70" s="79" t="s">
        <v>165</v>
      </c>
      <c r="B70" s="30" t="s">
        <v>136</v>
      </c>
      <c r="C70" s="18"/>
      <c r="D70" s="150" t="s">
        <v>127</v>
      </c>
      <c r="E70" s="18"/>
      <c r="F70" s="18" t="s">
        <v>213</v>
      </c>
      <c r="G70" s="18">
        <v>0</v>
      </c>
      <c r="H70" s="18">
        <f>_xlfn.XLOOKUP($A70,'1.3.SSDR_soil'!$B$7:$B$29,'1.3.SSDR_soil'!$J$7:$J$29)</f>
        <v>2.1472679470148819</v>
      </c>
      <c r="I70" s="18">
        <f>_xlfn.XLOOKUP($A70,'1.3.SSDR_soil'!$B$7:$B$29,'1.3.SSDR_soil'!$I$7:$I$29)</f>
        <v>-32.458543913810715</v>
      </c>
      <c r="J70" s="30"/>
    </row>
    <row r="71" spans="1:10" ht="16" x14ac:dyDescent="0.2">
      <c r="A71" s="165" t="s">
        <v>165</v>
      </c>
      <c r="B71" s="168" t="s">
        <v>136</v>
      </c>
      <c r="C71" s="166"/>
      <c r="D71" s="167" t="s">
        <v>118</v>
      </c>
      <c r="E71" s="166"/>
      <c r="F71" s="166" t="s">
        <v>213</v>
      </c>
      <c r="G71" s="166">
        <v>0</v>
      </c>
      <c r="H71" s="166">
        <f>_xlfn.XLOOKUP($A71,'1.3.SSDR_soil'!$B$7:$B$29,'1.3.SSDR_soil'!$J$7:$J$29)</f>
        <v>2.1472679470148819</v>
      </c>
      <c r="I71" s="18">
        <f>_xlfn.XLOOKUP($A71,'1.3.SSDR_soil'!$B$7:$B$29,'1.3.SSDR_soil'!$I$7:$I$29)</f>
        <v>-32.458543913810715</v>
      </c>
      <c r="J71" s="168"/>
    </row>
    <row r="72" spans="1:10" ht="16" x14ac:dyDescent="0.2">
      <c r="A72" s="79" t="s">
        <v>10</v>
      </c>
      <c r="B72" s="164" t="s">
        <v>136</v>
      </c>
      <c r="C72" s="162"/>
      <c r="D72" s="163" t="s">
        <v>140</v>
      </c>
      <c r="E72" s="162"/>
      <c r="F72" s="162" t="s">
        <v>213</v>
      </c>
      <c r="G72" s="162">
        <v>0</v>
      </c>
      <c r="H72" s="162">
        <f>_xlfn.XLOOKUP($A72,'1.1.SSDR_water'!$B$7:$B$29,'1.1.SSDR_water'!$J$7:$J$29)</f>
        <v>0.89386067274613612</v>
      </c>
      <c r="I72" s="162">
        <f>_xlfn.XLOOKUP($A72,'1.1.SSDR_water'!$B$7:$B$29,'1.1.SSDR_water'!$I$7:$I$29)</f>
        <v>-35.687321052327007</v>
      </c>
      <c r="J72" s="164"/>
    </row>
    <row r="73" spans="1:10" ht="16" x14ac:dyDescent="0.2">
      <c r="A73" s="79" t="s">
        <v>10</v>
      </c>
      <c r="B73" s="30" t="s">
        <v>136</v>
      </c>
      <c r="C73" s="18"/>
      <c r="D73" s="150" t="s">
        <v>115</v>
      </c>
      <c r="E73" s="18"/>
      <c r="F73" s="18" t="s">
        <v>213</v>
      </c>
      <c r="G73" s="18">
        <v>0</v>
      </c>
      <c r="H73" s="18">
        <f>_xlfn.XLOOKUP($A73,'1.1.SSDR_water'!$B$7:$B$29,'1.1.SSDR_water'!$J$7:$J$29)</f>
        <v>0.89386067274613612</v>
      </c>
      <c r="I73" s="18">
        <f>_xlfn.XLOOKUP($A73,'1.1.SSDR_water'!$B$7:$B$29,'1.1.SSDR_water'!$I$7:$I$29)</f>
        <v>-35.687321052327007</v>
      </c>
      <c r="J73" s="30"/>
    </row>
    <row r="74" spans="1:10" ht="16" x14ac:dyDescent="0.2">
      <c r="A74" s="79" t="s">
        <v>10</v>
      </c>
      <c r="B74" s="30" t="s">
        <v>136</v>
      </c>
      <c r="C74" s="18"/>
      <c r="D74" s="150" t="s">
        <v>124</v>
      </c>
      <c r="E74" s="18"/>
      <c r="F74" s="18" t="s">
        <v>213</v>
      </c>
      <c r="G74" s="18">
        <v>0</v>
      </c>
      <c r="H74" s="18">
        <f>_xlfn.XLOOKUP($A74,'1.1.SSDR_water'!$B$7:$B$29,'1.1.SSDR_water'!$J$7:$J$29)</f>
        <v>0.89386067274613612</v>
      </c>
      <c r="I74" s="18">
        <f>_xlfn.XLOOKUP($A74,'1.1.SSDR_water'!$B$7:$B$29,'1.1.SSDR_water'!$I$7:$I$29)</f>
        <v>-35.687321052327007</v>
      </c>
      <c r="J74" s="30"/>
    </row>
    <row r="75" spans="1:10" ht="16" x14ac:dyDescent="0.2">
      <c r="A75" s="79" t="s">
        <v>10</v>
      </c>
      <c r="B75" s="30" t="s">
        <v>136</v>
      </c>
      <c r="C75" s="18"/>
      <c r="D75" s="150" t="s">
        <v>116</v>
      </c>
      <c r="E75" s="18"/>
      <c r="F75" s="18" t="s">
        <v>213</v>
      </c>
      <c r="G75" s="18">
        <v>0</v>
      </c>
      <c r="H75" s="18">
        <f>_xlfn.XLOOKUP($A75,'1.1.SSDR_water'!$B$7:$B$29,'1.1.SSDR_water'!$J$7:$J$29)</f>
        <v>0.89386067274613612</v>
      </c>
      <c r="I75" s="18">
        <f>_xlfn.XLOOKUP($A75,'1.1.SSDR_water'!$B$7:$B$29,'1.1.SSDR_water'!$I$7:$I$29)</f>
        <v>-35.687321052327007</v>
      </c>
      <c r="J75" s="30"/>
    </row>
    <row r="76" spans="1:10" ht="16" x14ac:dyDescent="0.2">
      <c r="A76" s="79" t="s">
        <v>10</v>
      </c>
      <c r="B76" s="30" t="s">
        <v>136</v>
      </c>
      <c r="C76" s="18"/>
      <c r="D76" s="150" t="s">
        <v>137</v>
      </c>
      <c r="E76" s="18"/>
      <c r="F76" s="18" t="s">
        <v>213</v>
      </c>
      <c r="G76" s="18">
        <v>0</v>
      </c>
      <c r="H76" s="18">
        <f>_xlfn.XLOOKUP($A76,'1.2.SSDR_sediment'!$B$7:$B$29,'1.2.SSDR_sediment'!$J$7:$J$29)</f>
        <v>0.89386067274613612</v>
      </c>
      <c r="I76" s="18">
        <f>_xlfn.XLOOKUP($A76,'1.2.SSDR_sediment'!$B$7:$B$29,'1.2.SSDR_sediment'!$I$7:$I$29)</f>
        <v>-35.687321052327007</v>
      </c>
      <c r="J76" s="30"/>
    </row>
    <row r="77" spans="1:10" ht="16" x14ac:dyDescent="0.2">
      <c r="A77" s="79" t="s">
        <v>10</v>
      </c>
      <c r="B77" s="30" t="s">
        <v>136</v>
      </c>
      <c r="C77" s="18"/>
      <c r="D77" s="150" t="s">
        <v>138</v>
      </c>
      <c r="E77" s="18"/>
      <c r="F77" s="18" t="s">
        <v>213</v>
      </c>
      <c r="G77" s="18">
        <v>0</v>
      </c>
      <c r="H77" s="18">
        <f>_xlfn.XLOOKUP($A77,'1.2.SSDR_sediment'!$B$7:$B$29,'1.2.SSDR_sediment'!$J$7:$J$29)</f>
        <v>0.89386067274613612</v>
      </c>
      <c r="I77" s="18">
        <f>_xlfn.XLOOKUP($A77,'1.2.SSDR_sediment'!$B$7:$B$29,'1.2.SSDR_sediment'!$I$7:$I$29)</f>
        <v>-35.687321052327007</v>
      </c>
      <c r="J77" s="30"/>
    </row>
    <row r="78" spans="1:10" ht="16" x14ac:dyDescent="0.2">
      <c r="A78" s="79" t="s">
        <v>10</v>
      </c>
      <c r="B78" s="30" t="s">
        <v>136</v>
      </c>
      <c r="C78" s="18"/>
      <c r="D78" s="150" t="s">
        <v>139</v>
      </c>
      <c r="E78" s="18"/>
      <c r="F78" s="18" t="s">
        <v>213</v>
      </c>
      <c r="G78" s="18">
        <v>0</v>
      </c>
      <c r="H78" s="18">
        <f>_xlfn.XLOOKUP($A78,'1.2.SSDR_sediment'!$B$7:$B$29,'1.2.SSDR_sediment'!$J$7:$J$29)</f>
        <v>0.89386067274613612</v>
      </c>
      <c r="I78" s="18">
        <f>_xlfn.XLOOKUP($A78,'1.2.SSDR_sediment'!$B$7:$B$29,'1.2.SSDR_sediment'!$I$7:$I$29)</f>
        <v>-35.687321052327007</v>
      </c>
      <c r="J78" s="30"/>
    </row>
    <row r="79" spans="1:10" ht="16" x14ac:dyDescent="0.2">
      <c r="A79" s="79" t="s">
        <v>10</v>
      </c>
      <c r="B79" s="30" t="s">
        <v>136</v>
      </c>
      <c r="C79" s="18"/>
      <c r="D79" s="150" t="s">
        <v>117</v>
      </c>
      <c r="E79" s="18"/>
      <c r="F79" s="18" t="s">
        <v>213</v>
      </c>
      <c r="G79" s="18">
        <v>0</v>
      </c>
      <c r="H79" s="18">
        <f>_xlfn.XLOOKUP($A79,'1.3.SSDR_soil'!$B$7:$B$29,'1.3.SSDR_soil'!$J$7:$J$29)</f>
        <v>0.89386067274613612</v>
      </c>
      <c r="I79" s="18">
        <f>_xlfn.XLOOKUP($A79,'1.3.SSDR_soil'!$B$7:$B$29,'1.3.SSDR_soil'!$I$7:$I$29)</f>
        <v>-35.687321052327007</v>
      </c>
      <c r="J79" s="30"/>
    </row>
    <row r="80" spans="1:10" ht="16" x14ac:dyDescent="0.2">
      <c r="A80" s="79" t="s">
        <v>10</v>
      </c>
      <c r="B80" s="30" t="s">
        <v>136</v>
      </c>
      <c r="C80" s="18"/>
      <c r="D80" s="150" t="s">
        <v>127</v>
      </c>
      <c r="E80" s="18"/>
      <c r="F80" s="18" t="s">
        <v>213</v>
      </c>
      <c r="G80" s="18">
        <v>0</v>
      </c>
      <c r="H80" s="18">
        <f>_xlfn.XLOOKUP($A80,'1.3.SSDR_soil'!$B$7:$B$29,'1.3.SSDR_soil'!$J$7:$J$29)</f>
        <v>0.89386067274613612</v>
      </c>
      <c r="I80" s="18">
        <f>_xlfn.XLOOKUP($A80,'1.3.SSDR_soil'!$B$7:$B$29,'1.3.SSDR_soil'!$I$7:$I$29)</f>
        <v>-35.687321052327007</v>
      </c>
      <c r="J80" s="30"/>
    </row>
    <row r="81" spans="1:10" ht="16" x14ac:dyDescent="0.2">
      <c r="A81" s="165" t="s">
        <v>10</v>
      </c>
      <c r="B81" s="168" t="s">
        <v>136</v>
      </c>
      <c r="C81" s="166"/>
      <c r="D81" s="167" t="s">
        <v>118</v>
      </c>
      <c r="E81" s="166"/>
      <c r="F81" s="166" t="s">
        <v>213</v>
      </c>
      <c r="G81" s="166">
        <v>0</v>
      </c>
      <c r="H81" s="166">
        <f>_xlfn.XLOOKUP($A81,'1.3.SSDR_soil'!$B$7:$B$29,'1.3.SSDR_soil'!$J$7:$J$29)</f>
        <v>0.89386067274613612</v>
      </c>
      <c r="I81" s="18">
        <f>_xlfn.XLOOKUP($A81,'1.3.SSDR_soil'!$B$7:$B$29,'1.3.SSDR_soil'!$I$7:$I$29)</f>
        <v>-35.687321052327007</v>
      </c>
      <c r="J81" s="168"/>
    </row>
    <row r="82" spans="1:10" ht="16" x14ac:dyDescent="0.2">
      <c r="A82" s="79" t="s">
        <v>6</v>
      </c>
      <c r="B82" s="164" t="s">
        <v>136</v>
      </c>
      <c r="C82" s="162"/>
      <c r="D82" s="163" t="s">
        <v>140</v>
      </c>
      <c r="E82" s="162"/>
      <c r="F82" s="162" t="s">
        <v>213</v>
      </c>
      <c r="G82" s="162">
        <v>0</v>
      </c>
      <c r="H82" s="162">
        <f>_xlfn.XLOOKUP($A82,'1.1.SSDR_water'!$B$7:$B$29,'1.1.SSDR_water'!$J$7:$J$29)</f>
        <v>1.8068413843437594</v>
      </c>
      <c r="I82" s="162">
        <f>_xlfn.XLOOKUP($A82,'1.1.SSDR_water'!$B$7:$B$29,'1.1.SSDR_water'!$I$7:$I$29)</f>
        <v>-33.336167051739913</v>
      </c>
      <c r="J82" s="164"/>
    </row>
    <row r="83" spans="1:10" ht="16" x14ac:dyDescent="0.2">
      <c r="A83" s="79" t="s">
        <v>6</v>
      </c>
      <c r="B83" s="30" t="s">
        <v>136</v>
      </c>
      <c r="C83" s="18"/>
      <c r="D83" s="150" t="s">
        <v>115</v>
      </c>
      <c r="E83" s="18"/>
      <c r="F83" s="18" t="s">
        <v>213</v>
      </c>
      <c r="G83" s="18">
        <v>0</v>
      </c>
      <c r="H83" s="18">
        <f>_xlfn.XLOOKUP($A83,'1.1.SSDR_water'!$B$7:$B$29,'1.1.SSDR_water'!$J$7:$J$29)</f>
        <v>1.8068413843437594</v>
      </c>
      <c r="I83" s="18">
        <f>_xlfn.XLOOKUP($A83,'1.1.SSDR_water'!$B$7:$B$29,'1.1.SSDR_water'!$I$7:$I$29)</f>
        <v>-33.336167051739913</v>
      </c>
      <c r="J83" s="30"/>
    </row>
    <row r="84" spans="1:10" ht="16" x14ac:dyDescent="0.2">
      <c r="A84" s="79" t="s">
        <v>6</v>
      </c>
      <c r="B84" s="30" t="s">
        <v>136</v>
      </c>
      <c r="C84" s="18"/>
      <c r="D84" s="150" t="s">
        <v>124</v>
      </c>
      <c r="E84" s="18"/>
      <c r="F84" s="18" t="s">
        <v>213</v>
      </c>
      <c r="G84" s="18">
        <v>0</v>
      </c>
      <c r="H84" s="18">
        <f>_xlfn.XLOOKUP($A84,'1.1.SSDR_water'!$B$7:$B$29,'1.1.SSDR_water'!$J$7:$J$29)</f>
        <v>1.8068413843437594</v>
      </c>
      <c r="I84" s="18">
        <f>_xlfn.XLOOKUP($A84,'1.1.SSDR_water'!$B$7:$B$29,'1.1.SSDR_water'!$I$7:$I$29)</f>
        <v>-33.336167051739913</v>
      </c>
      <c r="J84" s="30"/>
    </row>
    <row r="85" spans="1:10" ht="16" x14ac:dyDescent="0.2">
      <c r="A85" s="79" t="s">
        <v>6</v>
      </c>
      <c r="B85" s="30" t="s">
        <v>136</v>
      </c>
      <c r="C85" s="18"/>
      <c r="D85" s="150" t="s">
        <v>116</v>
      </c>
      <c r="E85" s="18"/>
      <c r="F85" s="18" t="s">
        <v>213</v>
      </c>
      <c r="G85" s="18">
        <v>0</v>
      </c>
      <c r="H85" s="18">
        <f>_xlfn.XLOOKUP($A85,'1.1.SSDR_water'!$B$7:$B$29,'1.1.SSDR_water'!$J$7:$J$29)</f>
        <v>1.8068413843437594</v>
      </c>
      <c r="I85" s="18">
        <f>_xlfn.XLOOKUP($A85,'1.1.SSDR_water'!$B$7:$B$29,'1.1.SSDR_water'!$I$7:$I$29)</f>
        <v>-33.336167051739913</v>
      </c>
      <c r="J85" s="30"/>
    </row>
    <row r="86" spans="1:10" ht="16" x14ac:dyDescent="0.2">
      <c r="A86" s="79" t="s">
        <v>6</v>
      </c>
      <c r="B86" s="30" t="s">
        <v>136</v>
      </c>
      <c r="C86" s="18"/>
      <c r="D86" s="150" t="s">
        <v>137</v>
      </c>
      <c r="E86" s="18"/>
      <c r="F86" s="18" t="s">
        <v>213</v>
      </c>
      <c r="G86" s="18">
        <v>0</v>
      </c>
      <c r="H86" s="18">
        <f>_xlfn.XLOOKUP($A86,'1.2.SSDR_sediment'!$B$7:$B$29,'1.2.SSDR_sediment'!$J$7:$J$29)</f>
        <v>1.8068413843437594</v>
      </c>
      <c r="I86" s="18">
        <f>_xlfn.XLOOKUP($A86,'1.2.SSDR_sediment'!$B$7:$B$29,'1.2.SSDR_sediment'!$I$7:$I$29)</f>
        <v>-33.336167051739913</v>
      </c>
      <c r="J86" s="30"/>
    </row>
    <row r="87" spans="1:10" ht="16" x14ac:dyDescent="0.2">
      <c r="A87" s="79" t="s">
        <v>6</v>
      </c>
      <c r="B87" s="30" t="s">
        <v>136</v>
      </c>
      <c r="C87" s="18"/>
      <c r="D87" s="150" t="s">
        <v>138</v>
      </c>
      <c r="E87" s="18"/>
      <c r="F87" s="18" t="s">
        <v>213</v>
      </c>
      <c r="G87" s="18">
        <v>0</v>
      </c>
      <c r="H87" s="18">
        <f>_xlfn.XLOOKUP($A87,'1.2.SSDR_sediment'!$B$7:$B$29,'1.2.SSDR_sediment'!$J$7:$J$29)</f>
        <v>1.8068413843437594</v>
      </c>
      <c r="I87" s="18">
        <f>_xlfn.XLOOKUP($A87,'1.2.SSDR_sediment'!$B$7:$B$29,'1.2.SSDR_sediment'!$I$7:$I$29)</f>
        <v>-33.336167051739913</v>
      </c>
      <c r="J87" s="30"/>
    </row>
    <row r="88" spans="1:10" ht="16" x14ac:dyDescent="0.2">
      <c r="A88" s="79" t="s">
        <v>6</v>
      </c>
      <c r="B88" s="30" t="s">
        <v>136</v>
      </c>
      <c r="C88" s="18"/>
      <c r="D88" s="150" t="s">
        <v>139</v>
      </c>
      <c r="E88" s="18"/>
      <c r="F88" s="18" t="s">
        <v>213</v>
      </c>
      <c r="G88" s="18">
        <v>0</v>
      </c>
      <c r="H88" s="18">
        <f>_xlfn.XLOOKUP($A88,'1.2.SSDR_sediment'!$B$7:$B$29,'1.2.SSDR_sediment'!$J$7:$J$29)</f>
        <v>1.8068413843437594</v>
      </c>
      <c r="I88" s="18">
        <f>_xlfn.XLOOKUP($A88,'1.2.SSDR_sediment'!$B$7:$B$29,'1.2.SSDR_sediment'!$I$7:$I$29)</f>
        <v>-33.336167051739913</v>
      </c>
      <c r="J88" s="30"/>
    </row>
    <row r="89" spans="1:10" ht="16" x14ac:dyDescent="0.2">
      <c r="A89" s="79" t="s">
        <v>6</v>
      </c>
      <c r="B89" s="30" t="s">
        <v>136</v>
      </c>
      <c r="C89" s="18"/>
      <c r="D89" s="150" t="s">
        <v>117</v>
      </c>
      <c r="E89" s="18"/>
      <c r="F89" s="18" t="s">
        <v>213</v>
      </c>
      <c r="G89" s="18">
        <v>0</v>
      </c>
      <c r="H89" s="18">
        <f>_xlfn.XLOOKUP($A89,'1.3.SSDR_soil'!$B$7:$B$29,'1.3.SSDR_soil'!$J$7:$J$29)</f>
        <v>0.57051140451199345</v>
      </c>
      <c r="I89" s="18">
        <f>_xlfn.XLOOKUP($A89,'1.3.SSDR_soil'!$B$7:$B$29,'1.3.SSDR_soil'!$I$7:$I$29)</f>
        <v>-28.95002542223116</v>
      </c>
      <c r="J89" s="30"/>
    </row>
    <row r="90" spans="1:10" ht="16" x14ac:dyDescent="0.2">
      <c r="A90" s="79" t="s">
        <v>6</v>
      </c>
      <c r="B90" s="30" t="s">
        <v>136</v>
      </c>
      <c r="C90" s="18"/>
      <c r="D90" s="150" t="s">
        <v>127</v>
      </c>
      <c r="E90" s="18"/>
      <c r="F90" s="18" t="s">
        <v>213</v>
      </c>
      <c r="G90" s="18">
        <v>0</v>
      </c>
      <c r="H90" s="18">
        <f>_xlfn.XLOOKUP($A90,'1.3.SSDR_soil'!$B$7:$B$29,'1.3.SSDR_soil'!$J$7:$J$29)</f>
        <v>0.57051140451199345</v>
      </c>
      <c r="I90" s="18">
        <f>_xlfn.XLOOKUP($A90,'1.3.SSDR_soil'!$B$7:$B$29,'1.3.SSDR_soil'!$I$7:$I$29)</f>
        <v>-28.95002542223116</v>
      </c>
      <c r="J90" s="30"/>
    </row>
    <row r="91" spans="1:10" ht="16" x14ac:dyDescent="0.2">
      <c r="A91" s="165" t="s">
        <v>6</v>
      </c>
      <c r="B91" s="168" t="s">
        <v>136</v>
      </c>
      <c r="C91" s="166"/>
      <c r="D91" s="167" t="s">
        <v>118</v>
      </c>
      <c r="E91" s="166"/>
      <c r="F91" s="166" t="s">
        <v>213</v>
      </c>
      <c r="G91" s="166">
        <v>0</v>
      </c>
      <c r="H91" s="166">
        <f>_xlfn.XLOOKUP($A91,'1.3.SSDR_soil'!$B$7:$B$29,'1.3.SSDR_soil'!$J$7:$J$29)</f>
        <v>0.57051140451199345</v>
      </c>
      <c r="I91" s="18">
        <f>_xlfn.XLOOKUP($A91,'1.3.SSDR_soil'!$B$7:$B$29,'1.3.SSDR_soil'!$I$7:$I$29)</f>
        <v>-28.95002542223116</v>
      </c>
      <c r="J91" s="168"/>
    </row>
    <row r="92" spans="1:10" ht="16" x14ac:dyDescent="0.2">
      <c r="A92" s="79" t="s">
        <v>7</v>
      </c>
      <c r="B92" s="164" t="s">
        <v>136</v>
      </c>
      <c r="C92" s="162"/>
      <c r="D92" s="163" t="s">
        <v>140</v>
      </c>
      <c r="E92" s="162"/>
      <c r="F92" s="162" t="s">
        <v>213</v>
      </c>
      <c r="G92" s="162">
        <v>0</v>
      </c>
      <c r="H92" s="162">
        <f>_xlfn.XLOOKUP($A92,'1.1.SSDR_water'!$B$7:$B$29,'1.1.SSDR_water'!$J$7:$J$29)</f>
        <v>1.0491074357795753</v>
      </c>
      <c r="I92" s="162">
        <f>_xlfn.XLOOKUP($A92,'1.1.SSDR_water'!$B$7:$B$29,'1.1.SSDR_water'!$I$7:$I$29)</f>
        <v>-26.358102548509795</v>
      </c>
      <c r="J92" s="164"/>
    </row>
    <row r="93" spans="1:10" ht="16" x14ac:dyDescent="0.2">
      <c r="A93" s="79" t="s">
        <v>7</v>
      </c>
      <c r="B93" s="30" t="s">
        <v>136</v>
      </c>
      <c r="C93" s="18"/>
      <c r="D93" s="150" t="s">
        <v>115</v>
      </c>
      <c r="E93" s="18"/>
      <c r="F93" s="18" t="s">
        <v>213</v>
      </c>
      <c r="G93" s="18">
        <v>0</v>
      </c>
      <c r="H93" s="18">
        <f>_xlfn.XLOOKUP($A93,'1.1.SSDR_water'!$B$7:$B$29,'1.1.SSDR_water'!$J$7:$J$29)</f>
        <v>1.0491074357795753</v>
      </c>
      <c r="I93" s="18">
        <f>_xlfn.XLOOKUP($A93,'1.1.SSDR_water'!$B$7:$B$29,'1.1.SSDR_water'!$I$7:$I$29)</f>
        <v>-26.358102548509795</v>
      </c>
      <c r="J93" s="30"/>
    </row>
    <row r="94" spans="1:10" ht="16" x14ac:dyDescent="0.2">
      <c r="A94" s="79" t="s">
        <v>7</v>
      </c>
      <c r="B94" s="30" t="s">
        <v>136</v>
      </c>
      <c r="C94" s="18"/>
      <c r="D94" s="150" t="s">
        <v>124</v>
      </c>
      <c r="E94" s="18"/>
      <c r="F94" s="18" t="s">
        <v>213</v>
      </c>
      <c r="G94" s="18">
        <v>0</v>
      </c>
      <c r="H94" s="18">
        <f>_xlfn.XLOOKUP($A94,'1.1.SSDR_water'!$B$7:$B$29,'1.1.SSDR_water'!$J$7:$J$29)</f>
        <v>1.0491074357795753</v>
      </c>
      <c r="I94" s="18">
        <f>_xlfn.XLOOKUP($A94,'1.1.SSDR_water'!$B$7:$B$29,'1.1.SSDR_water'!$I$7:$I$29)</f>
        <v>-26.358102548509795</v>
      </c>
      <c r="J94" s="30"/>
    </row>
    <row r="95" spans="1:10" ht="16" x14ac:dyDescent="0.2">
      <c r="A95" s="79" t="s">
        <v>7</v>
      </c>
      <c r="B95" s="30" t="s">
        <v>136</v>
      </c>
      <c r="C95" s="18"/>
      <c r="D95" s="150" t="s">
        <v>116</v>
      </c>
      <c r="E95" s="18"/>
      <c r="F95" s="18" t="s">
        <v>213</v>
      </c>
      <c r="G95" s="18">
        <v>0</v>
      </c>
      <c r="H95" s="18">
        <f>_xlfn.XLOOKUP($A95,'1.1.SSDR_water'!$B$7:$B$29,'1.1.SSDR_water'!$J$7:$J$29)</f>
        <v>1.0491074357795753</v>
      </c>
      <c r="I95" s="18">
        <f>_xlfn.XLOOKUP($A95,'1.1.SSDR_water'!$B$7:$B$29,'1.1.SSDR_water'!$I$7:$I$29)</f>
        <v>-26.358102548509795</v>
      </c>
      <c r="J95" s="30"/>
    </row>
    <row r="96" spans="1:10" ht="16" x14ac:dyDescent="0.2">
      <c r="A96" s="79" t="s">
        <v>7</v>
      </c>
      <c r="B96" s="30" t="s">
        <v>136</v>
      </c>
      <c r="C96" s="18"/>
      <c r="D96" s="150" t="s">
        <v>137</v>
      </c>
      <c r="E96" s="18"/>
      <c r="F96" s="18" t="s">
        <v>213</v>
      </c>
      <c r="G96" s="18">
        <v>0</v>
      </c>
      <c r="H96" s="18">
        <f>_xlfn.XLOOKUP($A96,'1.2.SSDR_sediment'!$B$7:$B$29,'1.2.SSDR_sediment'!$J$7:$J$29)</f>
        <v>1.2773915843777568</v>
      </c>
      <c r="I96" s="18">
        <f>_xlfn.XLOOKUP($A96,'1.2.SSDR_sediment'!$B$7:$B$29,'1.2.SSDR_sediment'!$I$7:$I$29)</f>
        <v>-29.261266115040751</v>
      </c>
      <c r="J96" s="30"/>
    </row>
    <row r="97" spans="1:10" ht="16" x14ac:dyDescent="0.2">
      <c r="A97" s="79" t="s">
        <v>7</v>
      </c>
      <c r="B97" s="30" t="s">
        <v>136</v>
      </c>
      <c r="C97" s="18"/>
      <c r="D97" s="150" t="s">
        <v>138</v>
      </c>
      <c r="E97" s="18"/>
      <c r="F97" s="18" t="s">
        <v>213</v>
      </c>
      <c r="G97" s="18">
        <v>0</v>
      </c>
      <c r="H97" s="18">
        <f>_xlfn.XLOOKUP($A97,'1.2.SSDR_sediment'!$B$7:$B$29,'1.2.SSDR_sediment'!$J$7:$J$29)</f>
        <v>1.2773915843777568</v>
      </c>
      <c r="I97" s="18">
        <f>_xlfn.XLOOKUP($A97,'1.2.SSDR_sediment'!$B$7:$B$29,'1.2.SSDR_sediment'!$I$7:$I$29)</f>
        <v>-29.261266115040751</v>
      </c>
      <c r="J97" s="30"/>
    </row>
    <row r="98" spans="1:10" ht="16" x14ac:dyDescent="0.2">
      <c r="A98" s="79" t="s">
        <v>7</v>
      </c>
      <c r="B98" s="30" t="s">
        <v>136</v>
      </c>
      <c r="C98" s="18"/>
      <c r="D98" s="150" t="s">
        <v>139</v>
      </c>
      <c r="E98" s="18"/>
      <c r="F98" s="18" t="s">
        <v>213</v>
      </c>
      <c r="G98" s="18">
        <v>0</v>
      </c>
      <c r="H98" s="18">
        <f>_xlfn.XLOOKUP($A98,'1.2.SSDR_sediment'!$B$7:$B$29,'1.2.SSDR_sediment'!$J$7:$J$29)</f>
        <v>1.2773915843777568</v>
      </c>
      <c r="I98" s="18">
        <f>_xlfn.XLOOKUP($A98,'1.2.SSDR_sediment'!$B$7:$B$29,'1.2.SSDR_sediment'!$I$7:$I$29)</f>
        <v>-29.261266115040751</v>
      </c>
      <c r="J98" s="30"/>
    </row>
    <row r="99" spans="1:10" ht="16" x14ac:dyDescent="0.2">
      <c r="A99" s="79" t="s">
        <v>7</v>
      </c>
      <c r="B99" s="30" t="s">
        <v>136</v>
      </c>
      <c r="C99" s="18"/>
      <c r="D99" s="150" t="s">
        <v>117</v>
      </c>
      <c r="E99" s="18"/>
      <c r="F99" s="18" t="s">
        <v>213</v>
      </c>
      <c r="G99" s="18">
        <v>0</v>
      </c>
      <c r="H99" s="18">
        <f>_xlfn.XLOOKUP($A99,'1.3.SSDR_soil'!$B$7:$B$29,'1.3.SSDR_soil'!$J$7:$J$29)</f>
        <v>0.10461941779017071</v>
      </c>
      <c r="I99" s="18">
        <f>_xlfn.XLOOKUP($A99,'1.3.SSDR_soil'!$B$7:$B$29,'1.3.SSDR_soil'!$I$7:$I$29)</f>
        <v>-23.996463160654784</v>
      </c>
      <c r="J99" s="30"/>
    </row>
    <row r="100" spans="1:10" ht="16" x14ac:dyDescent="0.2">
      <c r="A100" s="79" t="s">
        <v>7</v>
      </c>
      <c r="B100" s="30" t="s">
        <v>136</v>
      </c>
      <c r="C100" s="18"/>
      <c r="D100" s="150" t="s">
        <v>127</v>
      </c>
      <c r="E100" s="18"/>
      <c r="F100" s="18" t="s">
        <v>213</v>
      </c>
      <c r="G100" s="18">
        <v>0</v>
      </c>
      <c r="H100" s="18">
        <f>_xlfn.XLOOKUP($A100,'1.3.SSDR_soil'!$B$7:$B$29,'1.3.SSDR_soil'!$J$7:$J$29)</f>
        <v>0.10461941779017071</v>
      </c>
      <c r="I100" s="18">
        <f>_xlfn.XLOOKUP($A100,'1.3.SSDR_soil'!$B$7:$B$29,'1.3.SSDR_soil'!$I$7:$I$29)</f>
        <v>-23.996463160654784</v>
      </c>
      <c r="J100" s="30"/>
    </row>
    <row r="101" spans="1:10" ht="16" x14ac:dyDescent="0.2">
      <c r="A101" s="165" t="s">
        <v>7</v>
      </c>
      <c r="B101" s="168" t="s">
        <v>136</v>
      </c>
      <c r="C101" s="166"/>
      <c r="D101" s="167" t="s">
        <v>118</v>
      </c>
      <c r="E101" s="166"/>
      <c r="F101" s="166" t="s">
        <v>213</v>
      </c>
      <c r="G101" s="166">
        <v>0</v>
      </c>
      <c r="H101" s="166">
        <f>_xlfn.XLOOKUP($A101,'1.3.SSDR_soil'!$B$7:$B$29,'1.3.SSDR_soil'!$J$7:$J$29)</f>
        <v>0.10461941779017071</v>
      </c>
      <c r="I101" s="18">
        <f>_xlfn.XLOOKUP($A101,'1.3.SSDR_soil'!$B$7:$B$29,'1.3.SSDR_soil'!$I$7:$I$29)</f>
        <v>-23.996463160654784</v>
      </c>
      <c r="J101" s="168"/>
    </row>
    <row r="102" spans="1:10" ht="16" x14ac:dyDescent="0.2">
      <c r="A102" s="79" t="s">
        <v>20</v>
      </c>
      <c r="B102" s="164" t="s">
        <v>136</v>
      </c>
      <c r="C102" s="162"/>
      <c r="D102" s="163" t="s">
        <v>140</v>
      </c>
      <c r="E102" s="162"/>
      <c r="F102" s="162" t="s">
        <v>213</v>
      </c>
      <c r="G102" s="162">
        <v>0</v>
      </c>
      <c r="H102" s="162">
        <f>_xlfn.XLOOKUP($A102,'1.1.SSDR_water'!$B$7:$B$29,'1.1.SSDR_water'!$J$7:$J$29)</f>
        <v>1.7318824339138983</v>
      </c>
      <c r="I102" s="162">
        <f>_xlfn.XLOOKUP($A102,'1.1.SSDR_water'!$B$7:$B$29,'1.1.SSDR_water'!$I$7:$I$29)</f>
        <v>-33.528576995558851</v>
      </c>
      <c r="J102" s="164"/>
    </row>
    <row r="103" spans="1:10" ht="16" x14ac:dyDescent="0.2">
      <c r="A103" s="79" t="s">
        <v>20</v>
      </c>
      <c r="B103" s="30" t="s">
        <v>136</v>
      </c>
      <c r="C103" s="18"/>
      <c r="D103" s="150" t="s">
        <v>115</v>
      </c>
      <c r="E103" s="18"/>
      <c r="F103" s="18" t="s">
        <v>213</v>
      </c>
      <c r="G103" s="18">
        <v>0</v>
      </c>
      <c r="H103" s="18">
        <f>_xlfn.XLOOKUP($A103,'1.1.SSDR_water'!$B$7:$B$29,'1.1.SSDR_water'!$J$7:$J$29)</f>
        <v>1.7318824339138983</v>
      </c>
      <c r="I103" s="18">
        <f>_xlfn.XLOOKUP($A103,'1.1.SSDR_water'!$B$7:$B$29,'1.1.SSDR_water'!$I$7:$I$29)</f>
        <v>-33.528576995558851</v>
      </c>
      <c r="J103" s="30"/>
    </row>
    <row r="104" spans="1:10" ht="16" x14ac:dyDescent="0.2">
      <c r="A104" s="79" t="s">
        <v>20</v>
      </c>
      <c r="B104" s="30" t="s">
        <v>136</v>
      </c>
      <c r="C104" s="18"/>
      <c r="D104" s="150" t="s">
        <v>124</v>
      </c>
      <c r="E104" s="18"/>
      <c r="F104" s="18" t="s">
        <v>213</v>
      </c>
      <c r="G104" s="18">
        <v>0</v>
      </c>
      <c r="H104" s="18">
        <f>_xlfn.XLOOKUP($A104,'1.1.SSDR_water'!$B$7:$B$29,'1.1.SSDR_water'!$J$7:$J$29)</f>
        <v>1.7318824339138983</v>
      </c>
      <c r="I104" s="18">
        <f>_xlfn.XLOOKUP($A104,'1.1.SSDR_water'!$B$7:$B$29,'1.1.SSDR_water'!$I$7:$I$29)</f>
        <v>-33.528576995558851</v>
      </c>
      <c r="J104" s="30"/>
    </row>
    <row r="105" spans="1:10" ht="16" x14ac:dyDescent="0.2">
      <c r="A105" s="79" t="s">
        <v>20</v>
      </c>
      <c r="B105" s="30" t="s">
        <v>136</v>
      </c>
      <c r="C105" s="18"/>
      <c r="D105" s="150" t="s">
        <v>116</v>
      </c>
      <c r="E105" s="18"/>
      <c r="F105" s="18" t="s">
        <v>213</v>
      </c>
      <c r="G105" s="18">
        <v>0</v>
      </c>
      <c r="H105" s="18">
        <f>_xlfn.XLOOKUP($A105,'1.1.SSDR_water'!$B$7:$B$29,'1.1.SSDR_water'!$J$7:$J$29)</f>
        <v>1.7318824339138983</v>
      </c>
      <c r="I105" s="18">
        <f>_xlfn.XLOOKUP($A105,'1.1.SSDR_water'!$B$7:$B$29,'1.1.SSDR_water'!$I$7:$I$29)</f>
        <v>-33.528576995558851</v>
      </c>
      <c r="J105" s="30"/>
    </row>
    <row r="106" spans="1:10" ht="16" x14ac:dyDescent="0.2">
      <c r="A106" s="79" t="s">
        <v>20</v>
      </c>
      <c r="B106" s="30" t="s">
        <v>136</v>
      </c>
      <c r="C106" s="18"/>
      <c r="D106" s="150" t="s">
        <v>137</v>
      </c>
      <c r="E106" s="18"/>
      <c r="F106" s="18" t="s">
        <v>213</v>
      </c>
      <c r="G106" s="18">
        <v>0</v>
      </c>
      <c r="H106" s="18">
        <f>_xlfn.XLOOKUP($A106,'1.2.SSDR_sediment'!$B$7:$B$29,'1.2.SSDR_sediment'!$J$7:$J$29)</f>
        <v>1.7318824339138983</v>
      </c>
      <c r="I106" s="18">
        <f>_xlfn.XLOOKUP($A106,'1.2.SSDR_sediment'!$B$7:$B$29,'1.2.SSDR_sediment'!$I$7:$I$29)</f>
        <v>-33.528576995558851</v>
      </c>
      <c r="J106" s="30"/>
    </row>
    <row r="107" spans="1:10" ht="16" x14ac:dyDescent="0.2">
      <c r="A107" s="79" t="s">
        <v>20</v>
      </c>
      <c r="B107" s="30" t="s">
        <v>136</v>
      </c>
      <c r="C107" s="18"/>
      <c r="D107" s="150" t="s">
        <v>138</v>
      </c>
      <c r="E107" s="18"/>
      <c r="F107" s="18" t="s">
        <v>213</v>
      </c>
      <c r="G107" s="18">
        <v>0</v>
      </c>
      <c r="H107" s="18">
        <f>_xlfn.XLOOKUP($A107,'1.2.SSDR_sediment'!$B$7:$B$29,'1.2.SSDR_sediment'!$J$7:$J$29)</f>
        <v>1.7318824339138983</v>
      </c>
      <c r="I107" s="18">
        <f>_xlfn.XLOOKUP($A107,'1.2.SSDR_sediment'!$B$7:$B$29,'1.2.SSDR_sediment'!$I$7:$I$29)</f>
        <v>-33.528576995558851</v>
      </c>
      <c r="J107" s="30"/>
    </row>
    <row r="108" spans="1:10" ht="16" x14ac:dyDescent="0.2">
      <c r="A108" s="79" t="s">
        <v>20</v>
      </c>
      <c r="B108" s="30" t="s">
        <v>136</v>
      </c>
      <c r="C108" s="18"/>
      <c r="D108" s="150" t="s">
        <v>139</v>
      </c>
      <c r="E108" s="18"/>
      <c r="F108" s="18" t="s">
        <v>213</v>
      </c>
      <c r="G108" s="18">
        <v>0</v>
      </c>
      <c r="H108" s="18">
        <f>_xlfn.XLOOKUP($A108,'1.2.SSDR_sediment'!$B$7:$B$29,'1.2.SSDR_sediment'!$J$7:$J$29)</f>
        <v>1.7318824339138983</v>
      </c>
      <c r="I108" s="18">
        <f>_xlfn.XLOOKUP($A108,'1.2.SSDR_sediment'!$B$7:$B$29,'1.2.SSDR_sediment'!$I$7:$I$29)</f>
        <v>-33.528576995558851</v>
      </c>
      <c r="J108" s="30"/>
    </row>
    <row r="109" spans="1:10" ht="16" x14ac:dyDescent="0.2">
      <c r="A109" s="79" t="s">
        <v>20</v>
      </c>
      <c r="B109" s="30" t="s">
        <v>136</v>
      </c>
      <c r="C109" s="18"/>
      <c r="D109" s="150" t="s">
        <v>117</v>
      </c>
      <c r="E109" s="18"/>
      <c r="F109" s="18" t="s">
        <v>213</v>
      </c>
      <c r="G109" s="18">
        <v>0</v>
      </c>
      <c r="H109" s="18">
        <f>_xlfn.XLOOKUP($A109,'1.3.SSDR_soil'!$B$7:$B$29,'1.3.SSDR_soil'!$J$7:$J$29)</f>
        <v>0.16719966768507238</v>
      </c>
      <c r="I109" s="18">
        <f>_xlfn.XLOOKUP($A109,'1.3.SSDR_soil'!$B$7:$B$29,'1.3.SSDR_soil'!$I$7:$I$29)</f>
        <v>-26.285928439835274</v>
      </c>
      <c r="J109" s="30"/>
    </row>
    <row r="110" spans="1:10" ht="16" x14ac:dyDescent="0.2">
      <c r="A110" s="79" t="s">
        <v>20</v>
      </c>
      <c r="B110" s="30" t="s">
        <v>136</v>
      </c>
      <c r="C110" s="18"/>
      <c r="D110" s="150" t="s">
        <v>127</v>
      </c>
      <c r="E110" s="18"/>
      <c r="F110" s="18" t="s">
        <v>213</v>
      </c>
      <c r="G110" s="18">
        <v>0</v>
      </c>
      <c r="H110" s="18">
        <f>_xlfn.XLOOKUP($A110,'1.3.SSDR_soil'!$B$7:$B$29,'1.3.SSDR_soil'!$J$7:$J$29)</f>
        <v>0.16719966768507238</v>
      </c>
      <c r="I110" s="18">
        <f>_xlfn.XLOOKUP($A110,'1.3.SSDR_soil'!$B$7:$B$29,'1.3.SSDR_soil'!$I$7:$I$29)</f>
        <v>-26.285928439835274</v>
      </c>
      <c r="J110" s="30"/>
    </row>
    <row r="111" spans="1:10" ht="16" x14ac:dyDescent="0.2">
      <c r="A111" s="165" t="s">
        <v>20</v>
      </c>
      <c r="B111" s="168" t="s">
        <v>136</v>
      </c>
      <c r="C111" s="166"/>
      <c r="D111" s="167" t="s">
        <v>118</v>
      </c>
      <c r="E111" s="166"/>
      <c r="F111" s="166" t="s">
        <v>213</v>
      </c>
      <c r="G111" s="166">
        <v>0</v>
      </c>
      <c r="H111" s="166">
        <f>_xlfn.XLOOKUP($A111,'1.3.SSDR_soil'!$B$7:$B$29,'1.3.SSDR_soil'!$J$7:$J$29)</f>
        <v>0.16719966768507238</v>
      </c>
      <c r="I111" s="18">
        <f>_xlfn.XLOOKUP($A111,'1.3.SSDR_soil'!$B$7:$B$29,'1.3.SSDR_soil'!$I$7:$I$29)</f>
        <v>-26.285928439835274</v>
      </c>
      <c r="J111" s="168"/>
    </row>
    <row r="112" spans="1:10" ht="16" x14ac:dyDescent="0.2">
      <c r="A112" s="79" t="s">
        <v>166</v>
      </c>
      <c r="B112" s="164" t="s">
        <v>136</v>
      </c>
      <c r="C112" s="162"/>
      <c r="D112" s="163" t="s">
        <v>140</v>
      </c>
      <c r="E112" s="162"/>
      <c r="F112" s="162" t="s">
        <v>213</v>
      </c>
      <c r="G112" s="162">
        <v>0</v>
      </c>
      <c r="H112" s="162">
        <f>_xlfn.XLOOKUP($A112,'1.1.SSDR_water'!$B$7:$B$29,'1.1.SSDR_water'!$J$7:$J$29)</f>
        <v>0.94104116370236246</v>
      </c>
      <c r="I112" s="162">
        <f>_xlfn.XLOOKUP($A112,'1.1.SSDR_water'!$B$7:$B$29,'1.1.SSDR_water'!$I$7:$I$29)</f>
        <v>-28.38483115039082</v>
      </c>
      <c r="J112" s="164"/>
    </row>
    <row r="113" spans="1:10" ht="16" x14ac:dyDescent="0.2">
      <c r="A113" s="79" t="s">
        <v>166</v>
      </c>
      <c r="B113" s="30" t="s">
        <v>136</v>
      </c>
      <c r="C113" s="18"/>
      <c r="D113" s="150" t="s">
        <v>115</v>
      </c>
      <c r="E113" s="18"/>
      <c r="F113" s="18" t="s">
        <v>213</v>
      </c>
      <c r="G113" s="18">
        <v>0</v>
      </c>
      <c r="H113" s="18">
        <f>_xlfn.XLOOKUP($A113,'1.1.SSDR_water'!$B$7:$B$29,'1.1.SSDR_water'!$J$7:$J$29)</f>
        <v>0.94104116370236246</v>
      </c>
      <c r="I113" s="18">
        <f>_xlfn.XLOOKUP($A113,'1.1.SSDR_water'!$B$7:$B$29,'1.1.SSDR_water'!$I$7:$I$29)</f>
        <v>-28.38483115039082</v>
      </c>
      <c r="J113" s="30"/>
    </row>
    <row r="114" spans="1:10" ht="16" x14ac:dyDescent="0.2">
      <c r="A114" s="79" t="s">
        <v>166</v>
      </c>
      <c r="B114" s="30" t="s">
        <v>136</v>
      </c>
      <c r="C114" s="18"/>
      <c r="D114" s="150" t="s">
        <v>124</v>
      </c>
      <c r="E114" s="18"/>
      <c r="F114" s="18" t="s">
        <v>213</v>
      </c>
      <c r="G114" s="18">
        <v>0</v>
      </c>
      <c r="H114" s="18">
        <f>_xlfn.XLOOKUP($A114,'1.1.SSDR_water'!$B$7:$B$29,'1.1.SSDR_water'!$J$7:$J$29)</f>
        <v>0.94104116370236246</v>
      </c>
      <c r="I114" s="18">
        <f>_xlfn.XLOOKUP($A114,'1.1.SSDR_water'!$B$7:$B$29,'1.1.SSDR_water'!$I$7:$I$29)</f>
        <v>-28.38483115039082</v>
      </c>
      <c r="J114" s="30"/>
    </row>
    <row r="115" spans="1:10" ht="16" x14ac:dyDescent="0.2">
      <c r="A115" s="79" t="s">
        <v>166</v>
      </c>
      <c r="B115" s="30" t="s">
        <v>136</v>
      </c>
      <c r="C115" s="18"/>
      <c r="D115" s="150" t="s">
        <v>116</v>
      </c>
      <c r="E115" s="18"/>
      <c r="F115" s="18" t="s">
        <v>213</v>
      </c>
      <c r="G115" s="18">
        <v>0</v>
      </c>
      <c r="H115" s="18">
        <f>_xlfn.XLOOKUP($A115,'1.1.SSDR_water'!$B$7:$B$29,'1.1.SSDR_water'!$J$7:$J$29)</f>
        <v>0.94104116370236246</v>
      </c>
      <c r="I115" s="18">
        <f>_xlfn.XLOOKUP($A115,'1.1.SSDR_water'!$B$7:$B$29,'1.1.SSDR_water'!$I$7:$I$29)</f>
        <v>-28.38483115039082</v>
      </c>
      <c r="J115" s="30"/>
    </row>
    <row r="116" spans="1:10" ht="16" x14ac:dyDescent="0.2">
      <c r="A116" s="79" t="s">
        <v>166</v>
      </c>
      <c r="B116" s="30" t="s">
        <v>136</v>
      </c>
      <c r="C116" s="18"/>
      <c r="D116" s="150" t="s">
        <v>137</v>
      </c>
      <c r="E116" s="18"/>
      <c r="F116" s="18" t="s">
        <v>213</v>
      </c>
      <c r="G116" s="18">
        <v>0</v>
      </c>
      <c r="H116" s="18">
        <f>_xlfn.XLOOKUP($A116,'1.2.SSDR_sediment'!$B$7:$B$29,'1.2.SSDR_sediment'!$J$7:$J$29)</f>
        <v>0.94104116370236246</v>
      </c>
      <c r="I116" s="18">
        <f>_xlfn.XLOOKUP($A116,'1.2.SSDR_sediment'!$B$7:$B$29,'1.2.SSDR_sediment'!$I$7:$I$29)</f>
        <v>-28.38483115039082</v>
      </c>
      <c r="J116" s="30"/>
    </row>
    <row r="117" spans="1:10" ht="16" x14ac:dyDescent="0.2">
      <c r="A117" s="79" t="s">
        <v>166</v>
      </c>
      <c r="B117" s="30" t="s">
        <v>136</v>
      </c>
      <c r="C117" s="18"/>
      <c r="D117" s="150" t="s">
        <v>138</v>
      </c>
      <c r="E117" s="18"/>
      <c r="F117" s="18" t="s">
        <v>213</v>
      </c>
      <c r="G117" s="18">
        <v>0</v>
      </c>
      <c r="H117" s="18">
        <f>_xlfn.XLOOKUP($A117,'1.2.SSDR_sediment'!$B$7:$B$29,'1.2.SSDR_sediment'!$J$7:$J$29)</f>
        <v>0.94104116370236246</v>
      </c>
      <c r="I117" s="18">
        <f>_xlfn.XLOOKUP($A117,'1.2.SSDR_sediment'!$B$7:$B$29,'1.2.SSDR_sediment'!$I$7:$I$29)</f>
        <v>-28.38483115039082</v>
      </c>
      <c r="J117" s="30"/>
    </row>
    <row r="118" spans="1:10" ht="16" x14ac:dyDescent="0.2">
      <c r="A118" s="79" t="s">
        <v>166</v>
      </c>
      <c r="B118" s="30" t="s">
        <v>136</v>
      </c>
      <c r="C118" s="18"/>
      <c r="D118" s="150" t="s">
        <v>139</v>
      </c>
      <c r="E118" s="18"/>
      <c r="F118" s="18" t="s">
        <v>213</v>
      </c>
      <c r="G118" s="18">
        <v>0</v>
      </c>
      <c r="H118" s="18">
        <f>_xlfn.XLOOKUP($A118,'1.2.SSDR_sediment'!$B$7:$B$29,'1.2.SSDR_sediment'!$J$7:$J$29)</f>
        <v>0.94104116370236246</v>
      </c>
      <c r="I118" s="18">
        <f>_xlfn.XLOOKUP($A118,'1.2.SSDR_sediment'!$B$7:$B$29,'1.2.SSDR_sediment'!$I$7:$I$29)</f>
        <v>-28.38483115039082</v>
      </c>
      <c r="J118" s="30"/>
    </row>
    <row r="119" spans="1:10" ht="16" x14ac:dyDescent="0.2">
      <c r="A119" s="79" t="s">
        <v>166</v>
      </c>
      <c r="B119" s="30" t="s">
        <v>136</v>
      </c>
      <c r="C119" s="18"/>
      <c r="D119" s="150" t="s">
        <v>117</v>
      </c>
      <c r="E119" s="18"/>
      <c r="F119" s="18" t="s">
        <v>213</v>
      </c>
      <c r="G119" s="18">
        <v>0</v>
      </c>
      <c r="H119" s="18">
        <f>_xlfn.XLOOKUP($A119,'1.3.SSDR_soil'!$B$7:$B$29,'1.3.SSDR_soil'!$J$7:$J$29)</f>
        <v>0.94104116370236246</v>
      </c>
      <c r="I119" s="18">
        <f>_xlfn.XLOOKUP($A119,'1.3.SSDR_soil'!$B$7:$B$29,'1.3.SSDR_soil'!$I$7:$I$29)</f>
        <v>-28.38483115039082</v>
      </c>
      <c r="J119" s="30"/>
    </row>
    <row r="120" spans="1:10" ht="16" x14ac:dyDescent="0.2">
      <c r="A120" s="79" t="s">
        <v>166</v>
      </c>
      <c r="B120" s="30" t="s">
        <v>136</v>
      </c>
      <c r="C120" s="18"/>
      <c r="D120" s="150" t="s">
        <v>127</v>
      </c>
      <c r="E120" s="18"/>
      <c r="F120" s="18" t="s">
        <v>213</v>
      </c>
      <c r="G120" s="18">
        <v>0</v>
      </c>
      <c r="H120" s="18">
        <f>_xlfn.XLOOKUP($A120,'1.3.SSDR_soil'!$B$7:$B$29,'1.3.SSDR_soil'!$J$7:$J$29)</f>
        <v>0.94104116370236246</v>
      </c>
      <c r="I120" s="18">
        <f>_xlfn.XLOOKUP($A120,'1.3.SSDR_soil'!$B$7:$B$29,'1.3.SSDR_soil'!$I$7:$I$29)</f>
        <v>-28.38483115039082</v>
      </c>
      <c r="J120" s="30"/>
    </row>
    <row r="121" spans="1:10" ht="16" x14ac:dyDescent="0.2">
      <c r="A121" s="165" t="s">
        <v>166</v>
      </c>
      <c r="B121" s="168" t="s">
        <v>136</v>
      </c>
      <c r="C121" s="166"/>
      <c r="D121" s="167" t="s">
        <v>118</v>
      </c>
      <c r="E121" s="166"/>
      <c r="F121" s="166" t="s">
        <v>213</v>
      </c>
      <c r="G121" s="166">
        <v>0</v>
      </c>
      <c r="H121" s="166">
        <f>_xlfn.XLOOKUP($A121,'1.3.SSDR_soil'!$B$7:$B$29,'1.3.SSDR_soil'!$J$7:$J$29)</f>
        <v>0.94104116370236246</v>
      </c>
      <c r="I121" s="18">
        <f>_xlfn.XLOOKUP($A121,'1.3.SSDR_soil'!$B$7:$B$29,'1.3.SSDR_soil'!$I$7:$I$29)</f>
        <v>-28.38483115039082</v>
      </c>
      <c r="J121" s="168"/>
    </row>
    <row r="122" spans="1:10" ht="16" x14ac:dyDescent="0.2">
      <c r="A122" s="79" t="s">
        <v>167</v>
      </c>
      <c r="B122" s="164" t="s">
        <v>136</v>
      </c>
      <c r="C122" s="162"/>
      <c r="D122" s="163" t="s">
        <v>140</v>
      </c>
      <c r="E122" s="162"/>
      <c r="F122" s="162" t="s">
        <v>213</v>
      </c>
      <c r="G122" s="162">
        <v>0</v>
      </c>
      <c r="H122" s="162">
        <f>_xlfn.XLOOKUP($A122,'1.1.SSDR_water'!$B$7:$B$29,'1.1.SSDR_water'!$J$7:$J$29)</f>
        <v>0.36715739152775634</v>
      </c>
      <c r="I122" s="162">
        <f>_xlfn.XLOOKUP($A122,'1.1.SSDR_water'!$B$7:$B$29,'1.1.SSDR_water'!$I$7:$I$29)</f>
        <v>-30.633933822779383</v>
      </c>
      <c r="J122" s="164"/>
    </row>
    <row r="123" spans="1:10" ht="16" x14ac:dyDescent="0.2">
      <c r="A123" s="79" t="s">
        <v>167</v>
      </c>
      <c r="B123" s="30" t="s">
        <v>136</v>
      </c>
      <c r="C123" s="18"/>
      <c r="D123" s="150" t="s">
        <v>115</v>
      </c>
      <c r="E123" s="18"/>
      <c r="F123" s="18" t="s">
        <v>213</v>
      </c>
      <c r="G123" s="18">
        <v>0</v>
      </c>
      <c r="H123" s="18">
        <f>_xlfn.XLOOKUP($A123,'1.1.SSDR_water'!$B$7:$B$29,'1.1.SSDR_water'!$J$7:$J$29)</f>
        <v>0.36715739152775634</v>
      </c>
      <c r="I123" s="18">
        <f>_xlfn.XLOOKUP($A123,'1.1.SSDR_water'!$B$7:$B$29,'1.1.SSDR_water'!$I$7:$I$29)</f>
        <v>-30.633933822779383</v>
      </c>
      <c r="J123" s="30"/>
    </row>
    <row r="124" spans="1:10" ht="16" x14ac:dyDescent="0.2">
      <c r="A124" s="79" t="s">
        <v>167</v>
      </c>
      <c r="B124" s="30" t="s">
        <v>136</v>
      </c>
      <c r="C124" s="18"/>
      <c r="D124" s="150" t="s">
        <v>124</v>
      </c>
      <c r="E124" s="18"/>
      <c r="F124" s="18" t="s">
        <v>213</v>
      </c>
      <c r="G124" s="18">
        <v>0</v>
      </c>
      <c r="H124" s="18">
        <f>_xlfn.XLOOKUP($A124,'1.1.SSDR_water'!$B$7:$B$29,'1.1.SSDR_water'!$J$7:$J$29)</f>
        <v>0.36715739152775634</v>
      </c>
      <c r="I124" s="18">
        <f>_xlfn.XLOOKUP($A124,'1.1.SSDR_water'!$B$7:$B$29,'1.1.SSDR_water'!$I$7:$I$29)</f>
        <v>-30.633933822779383</v>
      </c>
      <c r="J124" s="30"/>
    </row>
    <row r="125" spans="1:10" ht="16" x14ac:dyDescent="0.2">
      <c r="A125" s="79" t="s">
        <v>167</v>
      </c>
      <c r="B125" s="30" t="s">
        <v>136</v>
      </c>
      <c r="C125" s="18"/>
      <c r="D125" s="150" t="s">
        <v>116</v>
      </c>
      <c r="E125" s="18"/>
      <c r="F125" s="18" t="s">
        <v>213</v>
      </c>
      <c r="G125" s="18">
        <v>0</v>
      </c>
      <c r="H125" s="18">
        <f>_xlfn.XLOOKUP($A125,'1.1.SSDR_water'!$B$7:$B$29,'1.1.SSDR_water'!$J$7:$J$29)</f>
        <v>0.36715739152775634</v>
      </c>
      <c r="I125" s="18">
        <f>_xlfn.XLOOKUP($A125,'1.1.SSDR_water'!$B$7:$B$29,'1.1.SSDR_water'!$I$7:$I$29)</f>
        <v>-30.633933822779383</v>
      </c>
      <c r="J125" s="30"/>
    </row>
    <row r="126" spans="1:10" ht="16" x14ac:dyDescent="0.2">
      <c r="A126" s="79" t="s">
        <v>167</v>
      </c>
      <c r="B126" s="30" t="s">
        <v>136</v>
      </c>
      <c r="C126" s="18"/>
      <c r="D126" s="150" t="s">
        <v>137</v>
      </c>
      <c r="E126" s="18"/>
      <c r="F126" s="18" t="s">
        <v>213</v>
      </c>
      <c r="G126" s="18">
        <v>0</v>
      </c>
      <c r="H126" s="18">
        <f>_xlfn.XLOOKUP($A126,'1.2.SSDR_sediment'!$B$7:$B$29,'1.2.SSDR_sediment'!$J$7:$J$29)</f>
        <v>0.36715739152775634</v>
      </c>
      <c r="I126" s="18">
        <f>_xlfn.XLOOKUP($A126,'1.2.SSDR_sediment'!$B$7:$B$29,'1.2.SSDR_sediment'!$I$7:$I$29)</f>
        <v>-30.633933822779383</v>
      </c>
      <c r="J126" s="30"/>
    </row>
    <row r="127" spans="1:10" ht="16" x14ac:dyDescent="0.2">
      <c r="A127" s="79" t="s">
        <v>167</v>
      </c>
      <c r="B127" s="30" t="s">
        <v>136</v>
      </c>
      <c r="C127" s="18"/>
      <c r="D127" s="150" t="s">
        <v>138</v>
      </c>
      <c r="E127" s="18"/>
      <c r="F127" s="18" t="s">
        <v>213</v>
      </c>
      <c r="G127" s="18">
        <v>0</v>
      </c>
      <c r="H127" s="18">
        <f>_xlfn.XLOOKUP($A127,'1.2.SSDR_sediment'!$B$7:$B$29,'1.2.SSDR_sediment'!$J$7:$J$29)</f>
        <v>0.36715739152775634</v>
      </c>
      <c r="I127" s="18">
        <f>_xlfn.XLOOKUP($A127,'1.2.SSDR_sediment'!$B$7:$B$29,'1.2.SSDR_sediment'!$I$7:$I$29)</f>
        <v>-30.633933822779383</v>
      </c>
      <c r="J127" s="30"/>
    </row>
    <row r="128" spans="1:10" ht="16" x14ac:dyDescent="0.2">
      <c r="A128" s="79" t="s">
        <v>167</v>
      </c>
      <c r="B128" s="30" t="s">
        <v>136</v>
      </c>
      <c r="C128" s="18"/>
      <c r="D128" s="150" t="s">
        <v>139</v>
      </c>
      <c r="E128" s="18"/>
      <c r="F128" s="18" t="s">
        <v>213</v>
      </c>
      <c r="G128" s="18">
        <v>0</v>
      </c>
      <c r="H128" s="18">
        <f>_xlfn.XLOOKUP($A128,'1.2.SSDR_sediment'!$B$7:$B$29,'1.2.SSDR_sediment'!$J$7:$J$29)</f>
        <v>0.36715739152775634</v>
      </c>
      <c r="I128" s="18">
        <f>_xlfn.XLOOKUP($A128,'1.2.SSDR_sediment'!$B$7:$B$29,'1.2.SSDR_sediment'!$I$7:$I$29)</f>
        <v>-30.633933822779383</v>
      </c>
      <c r="J128" s="30"/>
    </row>
    <row r="129" spans="1:10" ht="16" x14ac:dyDescent="0.2">
      <c r="A129" s="79" t="s">
        <v>167</v>
      </c>
      <c r="B129" s="30" t="s">
        <v>136</v>
      </c>
      <c r="C129" s="18"/>
      <c r="D129" s="150" t="s">
        <v>117</v>
      </c>
      <c r="E129" s="18"/>
      <c r="F129" s="18" t="s">
        <v>213</v>
      </c>
      <c r="G129" s="18">
        <v>0</v>
      </c>
      <c r="H129" s="18">
        <f>_xlfn.XLOOKUP($A129,'1.3.SSDR_soil'!$B$7:$B$29,'1.3.SSDR_soil'!$J$7:$J$29)</f>
        <v>4.6502771284427306E-2</v>
      </c>
      <c r="I129" s="18">
        <f>_xlfn.XLOOKUP($A129,'1.3.SSDR_soil'!$B$7:$B$29,'1.3.SSDR_soil'!$I$7:$I$29)</f>
        <v>-27.28166585798273</v>
      </c>
      <c r="J129" s="30"/>
    </row>
    <row r="130" spans="1:10" ht="16" x14ac:dyDescent="0.2">
      <c r="A130" s="79" t="s">
        <v>167</v>
      </c>
      <c r="B130" s="30" t="s">
        <v>136</v>
      </c>
      <c r="C130" s="18"/>
      <c r="D130" s="150" t="s">
        <v>127</v>
      </c>
      <c r="E130" s="18"/>
      <c r="F130" s="18" t="s">
        <v>213</v>
      </c>
      <c r="G130" s="18">
        <v>0</v>
      </c>
      <c r="H130" s="18">
        <f>_xlfn.XLOOKUP($A130,'1.3.SSDR_soil'!$B$7:$B$29,'1.3.SSDR_soil'!$J$7:$J$29)</f>
        <v>4.6502771284427306E-2</v>
      </c>
      <c r="I130" s="18">
        <f>_xlfn.XLOOKUP($A130,'1.3.SSDR_soil'!$B$7:$B$29,'1.3.SSDR_soil'!$I$7:$I$29)</f>
        <v>-27.28166585798273</v>
      </c>
      <c r="J130" s="30"/>
    </row>
    <row r="131" spans="1:10" ht="16" x14ac:dyDescent="0.2">
      <c r="A131" s="165" t="s">
        <v>167</v>
      </c>
      <c r="B131" s="168" t="s">
        <v>136</v>
      </c>
      <c r="C131" s="166"/>
      <c r="D131" s="167" t="s">
        <v>118</v>
      </c>
      <c r="E131" s="166"/>
      <c r="F131" s="166" t="s">
        <v>213</v>
      </c>
      <c r="G131" s="166">
        <v>0</v>
      </c>
      <c r="H131" s="166">
        <f>_xlfn.XLOOKUP($A131,'1.3.SSDR_soil'!$B$7:$B$29,'1.3.SSDR_soil'!$J$7:$J$29)</f>
        <v>4.6502771284427306E-2</v>
      </c>
      <c r="I131" s="18">
        <f>_xlfn.XLOOKUP($A131,'1.3.SSDR_soil'!$B$7:$B$29,'1.3.SSDR_soil'!$I$7:$I$29)</f>
        <v>-27.28166585798273</v>
      </c>
      <c r="J131" s="168"/>
    </row>
    <row r="132" spans="1:10" ht="16" x14ac:dyDescent="0.2">
      <c r="A132" s="79" t="s">
        <v>15</v>
      </c>
      <c r="B132" s="164" t="s">
        <v>136</v>
      </c>
      <c r="C132" s="162"/>
      <c r="D132" s="163" t="s">
        <v>140</v>
      </c>
      <c r="E132" s="162"/>
      <c r="F132" s="162" t="s">
        <v>213</v>
      </c>
      <c r="G132" s="162">
        <v>0</v>
      </c>
      <c r="H132" s="162">
        <f>_xlfn.XLOOKUP($A132,'1.1.SSDR_water'!$B$7:$B$29,'1.1.SSDR_water'!$J$7:$J$29)</f>
        <v>0.89386067274613545</v>
      </c>
      <c r="I132" s="162">
        <f>_xlfn.XLOOKUP($A132,'1.1.SSDR_water'!$B$7:$B$29,'1.1.SSDR_water'!$I$7:$I$29)</f>
        <v>-26.464163176640206</v>
      </c>
      <c r="J132" s="164"/>
    </row>
    <row r="133" spans="1:10" ht="16" x14ac:dyDescent="0.2">
      <c r="A133" s="79" t="s">
        <v>15</v>
      </c>
      <c r="B133" s="30" t="s">
        <v>136</v>
      </c>
      <c r="C133" s="18"/>
      <c r="D133" s="150" t="s">
        <v>115</v>
      </c>
      <c r="E133" s="18"/>
      <c r="F133" s="18" t="s">
        <v>213</v>
      </c>
      <c r="G133" s="18">
        <v>0</v>
      </c>
      <c r="H133" s="18">
        <f>_xlfn.XLOOKUP($A133,'1.1.SSDR_water'!$B$7:$B$29,'1.1.SSDR_water'!$J$7:$J$29)</f>
        <v>0.89386067274613545</v>
      </c>
      <c r="I133" s="18">
        <f>_xlfn.XLOOKUP($A133,'1.1.SSDR_water'!$B$7:$B$29,'1.1.SSDR_water'!$I$7:$I$29)</f>
        <v>-26.464163176640206</v>
      </c>
      <c r="J133" s="30"/>
    </row>
    <row r="134" spans="1:10" ht="16" x14ac:dyDescent="0.2">
      <c r="A134" s="79" t="s">
        <v>15</v>
      </c>
      <c r="B134" s="30" t="s">
        <v>136</v>
      </c>
      <c r="C134" s="18"/>
      <c r="D134" s="150" t="s">
        <v>124</v>
      </c>
      <c r="E134" s="18"/>
      <c r="F134" s="18" t="s">
        <v>213</v>
      </c>
      <c r="G134" s="18">
        <v>0</v>
      </c>
      <c r="H134" s="18">
        <f>_xlfn.XLOOKUP($A134,'1.1.SSDR_water'!$B$7:$B$29,'1.1.SSDR_water'!$J$7:$J$29)</f>
        <v>0.89386067274613545</v>
      </c>
      <c r="I134" s="18">
        <f>_xlfn.XLOOKUP($A134,'1.1.SSDR_water'!$B$7:$B$29,'1.1.SSDR_water'!$I$7:$I$29)</f>
        <v>-26.464163176640206</v>
      </c>
      <c r="J134" s="30"/>
    </row>
    <row r="135" spans="1:10" ht="16" x14ac:dyDescent="0.2">
      <c r="A135" s="79" t="s">
        <v>15</v>
      </c>
      <c r="B135" s="30" t="s">
        <v>136</v>
      </c>
      <c r="C135" s="18"/>
      <c r="D135" s="150" t="s">
        <v>116</v>
      </c>
      <c r="E135" s="18"/>
      <c r="F135" s="18" t="s">
        <v>213</v>
      </c>
      <c r="G135" s="18">
        <v>0</v>
      </c>
      <c r="H135" s="18">
        <f>_xlfn.XLOOKUP($A135,'1.1.SSDR_water'!$B$7:$B$29,'1.1.SSDR_water'!$J$7:$J$29)</f>
        <v>0.89386067274613545</v>
      </c>
      <c r="I135" s="18">
        <f>_xlfn.XLOOKUP($A135,'1.1.SSDR_water'!$B$7:$B$29,'1.1.SSDR_water'!$I$7:$I$29)</f>
        <v>-26.464163176640206</v>
      </c>
      <c r="J135" s="30"/>
    </row>
    <row r="136" spans="1:10" ht="16" x14ac:dyDescent="0.2">
      <c r="A136" s="79" t="s">
        <v>15</v>
      </c>
      <c r="B136" s="30" t="s">
        <v>136</v>
      </c>
      <c r="C136" s="18"/>
      <c r="D136" s="150" t="s">
        <v>137</v>
      </c>
      <c r="E136" s="18"/>
      <c r="F136" s="18" t="s">
        <v>213</v>
      </c>
      <c r="G136" s="18">
        <v>0</v>
      </c>
      <c r="H136" s="18">
        <f>_xlfn.XLOOKUP($A136,'1.2.SSDR_sediment'!$B$7:$B$29,'1.2.SSDR_sediment'!$J$7:$J$29)</f>
        <v>0.89386067274613545</v>
      </c>
      <c r="I136" s="18">
        <f>_xlfn.XLOOKUP($A136,'1.2.SSDR_sediment'!$B$7:$B$29,'1.2.SSDR_sediment'!$I$7:$I$29)</f>
        <v>-26.464163176640206</v>
      </c>
      <c r="J136" s="30"/>
    </row>
    <row r="137" spans="1:10" ht="16" x14ac:dyDescent="0.2">
      <c r="A137" s="79" t="s">
        <v>15</v>
      </c>
      <c r="B137" s="30" t="s">
        <v>136</v>
      </c>
      <c r="C137" s="18"/>
      <c r="D137" s="150" t="s">
        <v>138</v>
      </c>
      <c r="E137" s="18"/>
      <c r="F137" s="18" t="s">
        <v>213</v>
      </c>
      <c r="G137" s="18">
        <v>0</v>
      </c>
      <c r="H137" s="18">
        <f>_xlfn.XLOOKUP($A137,'1.2.SSDR_sediment'!$B$7:$B$29,'1.2.SSDR_sediment'!$J$7:$J$29)</f>
        <v>0.89386067274613545</v>
      </c>
      <c r="I137" s="18">
        <f>_xlfn.XLOOKUP($A137,'1.2.SSDR_sediment'!$B$7:$B$29,'1.2.SSDR_sediment'!$I$7:$I$29)</f>
        <v>-26.464163176640206</v>
      </c>
      <c r="J137" s="30"/>
    </row>
    <row r="138" spans="1:10" ht="16" x14ac:dyDescent="0.2">
      <c r="A138" s="79" t="s">
        <v>15</v>
      </c>
      <c r="B138" s="30" t="s">
        <v>136</v>
      </c>
      <c r="C138" s="18"/>
      <c r="D138" s="150" t="s">
        <v>139</v>
      </c>
      <c r="E138" s="18"/>
      <c r="F138" s="18" t="s">
        <v>213</v>
      </c>
      <c r="G138" s="18">
        <v>0</v>
      </c>
      <c r="H138" s="18">
        <f>_xlfn.XLOOKUP($A138,'1.2.SSDR_sediment'!$B$7:$B$29,'1.2.SSDR_sediment'!$J$7:$J$29)</f>
        <v>0.89386067274613545</v>
      </c>
      <c r="I138" s="18">
        <f>_xlfn.XLOOKUP($A138,'1.2.SSDR_sediment'!$B$7:$B$29,'1.2.SSDR_sediment'!$I$7:$I$29)</f>
        <v>-26.464163176640206</v>
      </c>
      <c r="J138" s="30"/>
    </row>
    <row r="139" spans="1:10" ht="16" x14ac:dyDescent="0.2">
      <c r="A139" s="79" t="s">
        <v>15</v>
      </c>
      <c r="B139" s="30" t="s">
        <v>136</v>
      </c>
      <c r="C139" s="18"/>
      <c r="D139" s="150" t="s">
        <v>117</v>
      </c>
      <c r="E139" s="18"/>
      <c r="F139" s="18" t="s">
        <v>213</v>
      </c>
      <c r="G139" s="18">
        <v>0</v>
      </c>
      <c r="H139" s="18">
        <f>_xlfn.XLOOKUP($A139,'1.3.SSDR_soil'!$B$7:$B$29,'1.3.SSDR_soil'!$J$7:$J$29)</f>
        <v>0.79414122987293512</v>
      </c>
      <c r="I139" s="18">
        <f>_xlfn.XLOOKUP($A139,'1.3.SSDR_soil'!$B$7:$B$29,'1.3.SSDR_soil'!$I$7:$I$29)</f>
        <v>-25.281307808295232</v>
      </c>
      <c r="J139" s="30"/>
    </row>
    <row r="140" spans="1:10" ht="16" x14ac:dyDescent="0.2">
      <c r="A140" s="79" t="s">
        <v>15</v>
      </c>
      <c r="B140" s="30" t="s">
        <v>136</v>
      </c>
      <c r="C140" s="18"/>
      <c r="D140" s="150" t="s">
        <v>127</v>
      </c>
      <c r="E140" s="18"/>
      <c r="F140" s="18" t="s">
        <v>213</v>
      </c>
      <c r="G140" s="18">
        <v>0</v>
      </c>
      <c r="H140" s="18">
        <f>_xlfn.XLOOKUP($A140,'1.3.SSDR_soil'!$B$7:$B$29,'1.3.SSDR_soil'!$J$7:$J$29)</f>
        <v>0.79414122987293512</v>
      </c>
      <c r="I140" s="18">
        <f>_xlfn.XLOOKUP($A140,'1.3.SSDR_soil'!$B$7:$B$29,'1.3.SSDR_soil'!$I$7:$I$29)</f>
        <v>-25.281307808295232</v>
      </c>
      <c r="J140" s="30"/>
    </row>
    <row r="141" spans="1:10" ht="16" x14ac:dyDescent="0.2">
      <c r="A141" s="165" t="s">
        <v>15</v>
      </c>
      <c r="B141" s="168" t="s">
        <v>136</v>
      </c>
      <c r="C141" s="166"/>
      <c r="D141" s="167" t="s">
        <v>118</v>
      </c>
      <c r="E141" s="166"/>
      <c r="F141" s="166" t="s">
        <v>213</v>
      </c>
      <c r="G141" s="166">
        <v>0</v>
      </c>
      <c r="H141" s="166">
        <f>_xlfn.XLOOKUP($A141,'1.3.SSDR_soil'!$B$7:$B$29,'1.3.SSDR_soil'!$J$7:$J$29)</f>
        <v>0.79414122987293512</v>
      </c>
      <c r="I141" s="18">
        <f>_xlfn.XLOOKUP($A141,'1.3.SSDR_soil'!$B$7:$B$29,'1.3.SSDR_soil'!$I$7:$I$29)</f>
        <v>-25.281307808295232</v>
      </c>
      <c r="J141" s="168"/>
    </row>
    <row r="142" spans="1:10" ht="16" x14ac:dyDescent="0.2">
      <c r="A142" s="79" t="s">
        <v>9</v>
      </c>
      <c r="B142" s="164" t="s">
        <v>136</v>
      </c>
      <c r="C142" s="162"/>
      <c r="D142" s="163" t="s">
        <v>140</v>
      </c>
      <c r="E142" s="162"/>
      <c r="F142" s="162" t="s">
        <v>213</v>
      </c>
      <c r="G142" s="162">
        <v>0</v>
      </c>
      <c r="H142" s="162">
        <f>_xlfn.XLOOKUP($A142,'1.1.SSDR_water'!$B$7:$B$29,'1.1.SSDR_water'!$J$7:$J$29)</f>
        <v>5.2358711589165545E-2</v>
      </c>
      <c r="I142" s="162">
        <f>_xlfn.XLOOKUP($A142,'1.1.SSDR_water'!$B$7:$B$29,'1.1.SSDR_water'!$I$7:$I$29)</f>
        <v>-28.618047801344755</v>
      </c>
      <c r="J142" s="164"/>
    </row>
    <row r="143" spans="1:10" ht="16" x14ac:dyDescent="0.2">
      <c r="A143" s="79" t="s">
        <v>9</v>
      </c>
      <c r="B143" s="30" t="s">
        <v>136</v>
      </c>
      <c r="C143" s="18"/>
      <c r="D143" s="150" t="s">
        <v>115</v>
      </c>
      <c r="E143" s="18"/>
      <c r="F143" s="18" t="s">
        <v>213</v>
      </c>
      <c r="G143" s="18">
        <v>0</v>
      </c>
      <c r="H143" s="18">
        <f>_xlfn.XLOOKUP($A143,'1.1.SSDR_water'!$B$7:$B$29,'1.1.SSDR_water'!$J$7:$J$29)</f>
        <v>5.2358711589165545E-2</v>
      </c>
      <c r="I143" s="18">
        <f>_xlfn.XLOOKUP($A143,'1.1.SSDR_water'!$B$7:$B$29,'1.1.SSDR_water'!$I$7:$I$29)</f>
        <v>-28.618047801344755</v>
      </c>
      <c r="J143" s="30"/>
    </row>
    <row r="144" spans="1:10" ht="16" x14ac:dyDescent="0.2">
      <c r="A144" s="79" t="s">
        <v>9</v>
      </c>
      <c r="B144" s="30" t="s">
        <v>136</v>
      </c>
      <c r="C144" s="18"/>
      <c r="D144" s="150" t="s">
        <v>124</v>
      </c>
      <c r="E144" s="18"/>
      <c r="F144" s="18" t="s">
        <v>213</v>
      </c>
      <c r="G144" s="18">
        <v>0</v>
      </c>
      <c r="H144" s="18">
        <f>_xlfn.XLOOKUP($A144,'1.1.SSDR_water'!$B$7:$B$29,'1.1.SSDR_water'!$J$7:$J$29)</f>
        <v>5.2358711589165545E-2</v>
      </c>
      <c r="I144" s="18">
        <f>_xlfn.XLOOKUP($A144,'1.1.SSDR_water'!$B$7:$B$29,'1.1.SSDR_water'!$I$7:$I$29)</f>
        <v>-28.618047801344755</v>
      </c>
      <c r="J144" s="30"/>
    </row>
    <row r="145" spans="1:10" ht="16" x14ac:dyDescent="0.2">
      <c r="A145" s="79" t="s">
        <v>9</v>
      </c>
      <c r="B145" s="30" t="s">
        <v>136</v>
      </c>
      <c r="C145" s="18"/>
      <c r="D145" s="150" t="s">
        <v>116</v>
      </c>
      <c r="E145" s="18"/>
      <c r="F145" s="18" t="s">
        <v>213</v>
      </c>
      <c r="G145" s="18">
        <v>0</v>
      </c>
      <c r="H145" s="18">
        <f>_xlfn.XLOOKUP($A145,'1.1.SSDR_water'!$B$7:$B$29,'1.1.SSDR_water'!$J$7:$J$29)</f>
        <v>5.2358711589165545E-2</v>
      </c>
      <c r="I145" s="18">
        <f>_xlfn.XLOOKUP($A145,'1.1.SSDR_water'!$B$7:$B$29,'1.1.SSDR_water'!$I$7:$I$29)</f>
        <v>-28.618047801344755</v>
      </c>
      <c r="J145" s="30"/>
    </row>
    <row r="146" spans="1:10" ht="16" x14ac:dyDescent="0.2">
      <c r="A146" s="79" t="s">
        <v>9</v>
      </c>
      <c r="B146" s="30" t="s">
        <v>136</v>
      </c>
      <c r="C146" s="18"/>
      <c r="D146" s="150" t="s">
        <v>137</v>
      </c>
      <c r="E146" s="18"/>
      <c r="F146" s="18" t="s">
        <v>213</v>
      </c>
      <c r="G146" s="18">
        <v>0</v>
      </c>
      <c r="H146" s="18">
        <f>_xlfn.XLOOKUP($A146,'1.2.SSDR_sediment'!$B$7:$B$29,'1.2.SSDR_sediment'!$J$7:$J$29)</f>
        <v>5.2358711589165545E-2</v>
      </c>
      <c r="I146" s="18">
        <f>_xlfn.XLOOKUP($A146,'1.2.SSDR_sediment'!$B$7:$B$29,'1.2.SSDR_sediment'!$I$7:$I$29)</f>
        <v>-28.618047801344755</v>
      </c>
      <c r="J146" s="30"/>
    </row>
    <row r="147" spans="1:10" ht="16" x14ac:dyDescent="0.2">
      <c r="A147" s="79" t="s">
        <v>9</v>
      </c>
      <c r="B147" s="30" t="s">
        <v>136</v>
      </c>
      <c r="C147" s="18"/>
      <c r="D147" s="150" t="s">
        <v>138</v>
      </c>
      <c r="E147" s="18"/>
      <c r="F147" s="18" t="s">
        <v>213</v>
      </c>
      <c r="G147" s="18">
        <v>0</v>
      </c>
      <c r="H147" s="18">
        <f>_xlfn.XLOOKUP($A147,'1.2.SSDR_sediment'!$B$7:$B$29,'1.2.SSDR_sediment'!$J$7:$J$29)</f>
        <v>5.2358711589165545E-2</v>
      </c>
      <c r="I147" s="18">
        <f>_xlfn.XLOOKUP($A147,'1.2.SSDR_sediment'!$B$7:$B$29,'1.2.SSDR_sediment'!$I$7:$I$29)</f>
        <v>-28.618047801344755</v>
      </c>
      <c r="J147" s="30"/>
    </row>
    <row r="148" spans="1:10" ht="16" x14ac:dyDescent="0.2">
      <c r="A148" s="79" t="s">
        <v>9</v>
      </c>
      <c r="B148" s="30" t="s">
        <v>136</v>
      </c>
      <c r="C148" s="18"/>
      <c r="D148" s="150" t="s">
        <v>139</v>
      </c>
      <c r="E148" s="18"/>
      <c r="F148" s="18" t="s">
        <v>213</v>
      </c>
      <c r="G148" s="18">
        <v>0</v>
      </c>
      <c r="H148" s="18">
        <f>_xlfn.XLOOKUP($A148,'1.2.SSDR_sediment'!$B$7:$B$29,'1.2.SSDR_sediment'!$J$7:$J$29)</f>
        <v>5.2358711589165545E-2</v>
      </c>
      <c r="I148" s="18">
        <f>_xlfn.XLOOKUP($A148,'1.2.SSDR_sediment'!$B$7:$B$29,'1.2.SSDR_sediment'!$I$7:$I$29)</f>
        <v>-28.618047801344755</v>
      </c>
      <c r="J148" s="30"/>
    </row>
    <row r="149" spans="1:10" ht="16" x14ac:dyDescent="0.2">
      <c r="A149" s="79" t="s">
        <v>9</v>
      </c>
      <c r="B149" s="30" t="s">
        <v>136</v>
      </c>
      <c r="C149" s="18"/>
      <c r="D149" s="150" t="s">
        <v>117</v>
      </c>
      <c r="E149" s="18"/>
      <c r="F149" s="18" t="s">
        <v>213</v>
      </c>
      <c r="G149" s="18">
        <v>0</v>
      </c>
      <c r="H149" s="18">
        <f>_xlfn.XLOOKUP($A149,'1.3.SSDR_soil'!$B$7:$B$29,'1.3.SSDR_soil'!$J$7:$J$29)</f>
        <v>0.39501275773675909</v>
      </c>
      <c r="I149" s="18">
        <f>_xlfn.XLOOKUP($A149,'1.3.SSDR_soil'!$B$7:$B$29,'1.3.SSDR_soil'!$I$7:$I$29)</f>
        <v>-29.391653529166593</v>
      </c>
      <c r="J149" s="30"/>
    </row>
    <row r="150" spans="1:10" ht="16" x14ac:dyDescent="0.2">
      <c r="A150" s="79" t="s">
        <v>9</v>
      </c>
      <c r="B150" s="30" t="s">
        <v>136</v>
      </c>
      <c r="C150" s="18"/>
      <c r="D150" s="150" t="s">
        <v>127</v>
      </c>
      <c r="E150" s="18"/>
      <c r="F150" s="18" t="s">
        <v>213</v>
      </c>
      <c r="G150" s="18">
        <v>0</v>
      </c>
      <c r="H150" s="18">
        <f>_xlfn.XLOOKUP($A150,'1.3.SSDR_soil'!$B$7:$B$29,'1.3.SSDR_soil'!$J$7:$J$29)</f>
        <v>0.39501275773675909</v>
      </c>
      <c r="I150" s="18">
        <f>_xlfn.XLOOKUP($A150,'1.3.SSDR_soil'!$B$7:$B$29,'1.3.SSDR_soil'!$I$7:$I$29)</f>
        <v>-29.391653529166593</v>
      </c>
      <c r="J150" s="30"/>
    </row>
    <row r="151" spans="1:10" ht="16" x14ac:dyDescent="0.2">
      <c r="A151" s="165" t="s">
        <v>9</v>
      </c>
      <c r="B151" s="168" t="s">
        <v>136</v>
      </c>
      <c r="C151" s="166"/>
      <c r="D151" s="167" t="s">
        <v>118</v>
      </c>
      <c r="E151" s="166"/>
      <c r="F151" s="166" t="s">
        <v>213</v>
      </c>
      <c r="G151" s="166">
        <v>0</v>
      </c>
      <c r="H151" s="166">
        <f>_xlfn.XLOOKUP($A151,'1.3.SSDR_soil'!$B$7:$B$29,'1.3.SSDR_soil'!$J$7:$J$29)</f>
        <v>0.39501275773675909</v>
      </c>
      <c r="I151" s="18">
        <f>_xlfn.XLOOKUP($A151,'1.3.SSDR_soil'!$B$7:$B$29,'1.3.SSDR_soil'!$I$7:$I$29)</f>
        <v>-29.391653529166593</v>
      </c>
      <c r="J151" s="168"/>
    </row>
    <row r="152" spans="1:10" ht="16" x14ac:dyDescent="0.2">
      <c r="A152" s="79" t="s">
        <v>145</v>
      </c>
      <c r="B152" s="164" t="s">
        <v>136</v>
      </c>
      <c r="C152" s="162"/>
      <c r="D152" s="163" t="s">
        <v>140</v>
      </c>
      <c r="E152" s="162"/>
      <c r="F152" s="162" t="s">
        <v>213</v>
      </c>
      <c r="G152" s="162">
        <v>0</v>
      </c>
      <c r="H152" s="162">
        <f>_xlfn.XLOOKUP($A152,'1.1.SSDR_water'!$B$7:$B$29,'1.1.SSDR_water'!$J$7:$J$29)</f>
        <v>0.58113135087607293</v>
      </c>
      <c r="I152" s="162">
        <f>_xlfn.XLOOKUP($A152,'1.1.SSDR_water'!$B$7:$B$29,'1.1.SSDR_water'!$I$7:$I$29)</f>
        <v>-27.793866364605698</v>
      </c>
      <c r="J152" s="164"/>
    </row>
    <row r="153" spans="1:10" ht="16" x14ac:dyDescent="0.2">
      <c r="A153" s="79" t="s">
        <v>145</v>
      </c>
      <c r="B153" s="30" t="s">
        <v>136</v>
      </c>
      <c r="C153" s="18"/>
      <c r="D153" s="150" t="s">
        <v>115</v>
      </c>
      <c r="E153" s="18"/>
      <c r="F153" s="18" t="s">
        <v>213</v>
      </c>
      <c r="G153" s="18">
        <v>0</v>
      </c>
      <c r="H153" s="18">
        <f>_xlfn.XLOOKUP($A153,'1.1.SSDR_water'!$B$7:$B$29,'1.1.SSDR_water'!$J$7:$J$29)</f>
        <v>0.58113135087607293</v>
      </c>
      <c r="I153" s="18">
        <f>_xlfn.XLOOKUP($A153,'1.1.SSDR_water'!$B$7:$B$29,'1.1.SSDR_water'!$I$7:$I$29)</f>
        <v>-27.793866364605698</v>
      </c>
      <c r="J153" s="30"/>
    </row>
    <row r="154" spans="1:10" ht="16" x14ac:dyDescent="0.2">
      <c r="A154" s="79" t="s">
        <v>145</v>
      </c>
      <c r="B154" s="30" t="s">
        <v>136</v>
      </c>
      <c r="C154" s="18"/>
      <c r="D154" s="150" t="s">
        <v>124</v>
      </c>
      <c r="E154" s="18"/>
      <c r="F154" s="18" t="s">
        <v>213</v>
      </c>
      <c r="G154" s="18">
        <v>0</v>
      </c>
      <c r="H154" s="18">
        <f>_xlfn.XLOOKUP($A154,'1.1.SSDR_water'!$B$7:$B$29,'1.1.SSDR_water'!$J$7:$J$29)</f>
        <v>0.58113135087607293</v>
      </c>
      <c r="I154" s="18">
        <f>_xlfn.XLOOKUP($A154,'1.1.SSDR_water'!$B$7:$B$29,'1.1.SSDR_water'!$I$7:$I$29)</f>
        <v>-27.793866364605698</v>
      </c>
      <c r="J154" s="30"/>
    </row>
    <row r="155" spans="1:10" ht="16" x14ac:dyDescent="0.2">
      <c r="A155" s="79" t="s">
        <v>145</v>
      </c>
      <c r="B155" s="30" t="s">
        <v>136</v>
      </c>
      <c r="C155" s="18"/>
      <c r="D155" s="150" t="s">
        <v>116</v>
      </c>
      <c r="E155" s="18"/>
      <c r="F155" s="18" t="s">
        <v>213</v>
      </c>
      <c r="G155" s="18">
        <v>0</v>
      </c>
      <c r="H155" s="18">
        <f>_xlfn.XLOOKUP($A155,'1.1.SSDR_water'!$B$7:$B$29,'1.1.SSDR_water'!$J$7:$J$29)</f>
        <v>0.58113135087607293</v>
      </c>
      <c r="I155" s="18">
        <f>_xlfn.XLOOKUP($A155,'1.1.SSDR_water'!$B$7:$B$29,'1.1.SSDR_water'!$I$7:$I$29)</f>
        <v>-27.793866364605698</v>
      </c>
      <c r="J155" s="30"/>
    </row>
    <row r="156" spans="1:10" ht="16" x14ac:dyDescent="0.2">
      <c r="A156" s="79" t="s">
        <v>145</v>
      </c>
      <c r="B156" s="30" t="s">
        <v>136</v>
      </c>
      <c r="C156" s="18"/>
      <c r="D156" s="150" t="s">
        <v>137</v>
      </c>
      <c r="E156" s="18"/>
      <c r="F156" s="18" t="s">
        <v>213</v>
      </c>
      <c r="G156" s="18">
        <v>0</v>
      </c>
      <c r="H156" s="18">
        <f>_xlfn.XLOOKUP($A156,'1.2.SSDR_sediment'!$B$7:$B$29,'1.2.SSDR_sediment'!$J$7:$J$29)</f>
        <v>0.58113135087607293</v>
      </c>
      <c r="I156" s="18">
        <f>_xlfn.XLOOKUP($A156,'1.2.SSDR_sediment'!$B$7:$B$29,'1.2.SSDR_sediment'!$I$7:$I$29)</f>
        <v>-27.793866364605698</v>
      </c>
      <c r="J156" s="30"/>
    </row>
    <row r="157" spans="1:10" ht="16" x14ac:dyDescent="0.2">
      <c r="A157" s="79" t="s">
        <v>145</v>
      </c>
      <c r="B157" s="30" t="s">
        <v>136</v>
      </c>
      <c r="C157" s="18"/>
      <c r="D157" s="150" t="s">
        <v>138</v>
      </c>
      <c r="E157" s="18"/>
      <c r="F157" s="18" t="s">
        <v>213</v>
      </c>
      <c r="G157" s="18">
        <v>0</v>
      </c>
      <c r="H157" s="18">
        <f>_xlfn.XLOOKUP($A157,'1.2.SSDR_sediment'!$B$7:$B$29,'1.2.SSDR_sediment'!$J$7:$J$29)</f>
        <v>0.58113135087607293</v>
      </c>
      <c r="I157" s="18">
        <f>_xlfn.XLOOKUP($A157,'1.2.SSDR_sediment'!$B$7:$B$29,'1.2.SSDR_sediment'!$I$7:$I$29)</f>
        <v>-27.793866364605698</v>
      </c>
      <c r="J157" s="30"/>
    </row>
    <row r="158" spans="1:10" ht="16" x14ac:dyDescent="0.2">
      <c r="A158" s="79" t="s">
        <v>145</v>
      </c>
      <c r="B158" s="30" t="s">
        <v>136</v>
      </c>
      <c r="C158" s="18"/>
      <c r="D158" s="150" t="s">
        <v>139</v>
      </c>
      <c r="E158" s="18"/>
      <c r="F158" s="18" t="s">
        <v>213</v>
      </c>
      <c r="G158" s="18">
        <v>0</v>
      </c>
      <c r="H158" s="18">
        <f>_xlfn.XLOOKUP($A158,'1.2.SSDR_sediment'!$B$7:$B$29,'1.2.SSDR_sediment'!$J$7:$J$29)</f>
        <v>0.58113135087607293</v>
      </c>
      <c r="I158" s="18">
        <f>_xlfn.XLOOKUP($A158,'1.2.SSDR_sediment'!$B$7:$B$29,'1.2.SSDR_sediment'!$I$7:$I$29)</f>
        <v>-27.793866364605698</v>
      </c>
      <c r="J158" s="30"/>
    </row>
    <row r="159" spans="1:10" ht="16" x14ac:dyDescent="0.2">
      <c r="A159" s="79" t="s">
        <v>145</v>
      </c>
      <c r="B159" s="30" t="s">
        <v>136</v>
      </c>
      <c r="C159" s="18"/>
      <c r="D159" s="150" t="s">
        <v>117</v>
      </c>
      <c r="E159" s="18"/>
      <c r="F159" s="18" t="s">
        <v>213</v>
      </c>
      <c r="G159" s="18">
        <v>0</v>
      </c>
      <c r="H159" s="18">
        <f>_xlfn.XLOOKUP($A159,'1.3.SSDR_soil'!$B$7:$B$29,'1.3.SSDR_soil'!$J$7:$J$29)</f>
        <v>0.29020538965003162</v>
      </c>
      <c r="I159" s="18">
        <f>_xlfn.XLOOKUP($A159,'1.3.SSDR_soil'!$B$7:$B$29,'1.3.SSDR_soil'!$I$7:$I$29)</f>
        <v>-29.705088442285167</v>
      </c>
      <c r="J159" s="30"/>
    </row>
    <row r="160" spans="1:10" ht="16" x14ac:dyDescent="0.2">
      <c r="A160" s="79" t="s">
        <v>145</v>
      </c>
      <c r="B160" s="30" t="s">
        <v>136</v>
      </c>
      <c r="C160" s="18"/>
      <c r="D160" s="150" t="s">
        <v>127</v>
      </c>
      <c r="E160" s="18"/>
      <c r="F160" s="18" t="s">
        <v>213</v>
      </c>
      <c r="G160" s="18">
        <v>0</v>
      </c>
      <c r="H160" s="18">
        <f>_xlfn.XLOOKUP($A160,'1.3.SSDR_soil'!$B$7:$B$29,'1.3.SSDR_soil'!$J$7:$J$29)</f>
        <v>0.29020538965003162</v>
      </c>
      <c r="I160" s="18">
        <f>_xlfn.XLOOKUP($A160,'1.3.SSDR_soil'!$B$7:$B$29,'1.3.SSDR_soil'!$I$7:$I$29)</f>
        <v>-29.705088442285167</v>
      </c>
      <c r="J160" s="30"/>
    </row>
    <row r="161" spans="1:10" ht="16" x14ac:dyDescent="0.2">
      <c r="A161" s="165" t="s">
        <v>145</v>
      </c>
      <c r="B161" s="168" t="s">
        <v>136</v>
      </c>
      <c r="C161" s="166"/>
      <c r="D161" s="167" t="s">
        <v>118</v>
      </c>
      <c r="E161" s="166"/>
      <c r="F161" s="166" t="s">
        <v>213</v>
      </c>
      <c r="G161" s="166">
        <v>0</v>
      </c>
      <c r="H161" s="166">
        <f>_xlfn.XLOOKUP($A161,'1.3.SSDR_soil'!$B$7:$B$29,'1.3.SSDR_soil'!$J$7:$J$29)</f>
        <v>0.29020538965003162</v>
      </c>
      <c r="I161" s="18">
        <f>_xlfn.XLOOKUP($A161,'1.3.SSDR_soil'!$B$7:$B$29,'1.3.SSDR_soil'!$I$7:$I$29)</f>
        <v>-29.705088442285167</v>
      </c>
      <c r="J161" s="168"/>
    </row>
    <row r="162" spans="1:10" ht="16" x14ac:dyDescent="0.2">
      <c r="A162" s="79" t="s">
        <v>146</v>
      </c>
      <c r="B162" s="164" t="s">
        <v>136</v>
      </c>
      <c r="C162" s="162"/>
      <c r="D162" s="163" t="s">
        <v>140</v>
      </c>
      <c r="E162" s="162"/>
      <c r="F162" s="162" t="s">
        <v>213</v>
      </c>
      <c r="G162" s="162">
        <v>0</v>
      </c>
      <c r="H162" s="162">
        <f>_xlfn.XLOOKUP($A162,'1.1.SSDR_water'!$B$7:$B$29,'1.1.SSDR_water'!$J$7:$J$29)</f>
        <v>0.1583510654359134</v>
      </c>
      <c r="I162" s="162">
        <f>_xlfn.XLOOKUP($A162,'1.1.SSDR_water'!$B$7:$B$29,'1.1.SSDR_water'!$I$7:$I$29)</f>
        <v>-27.595084640082938</v>
      </c>
      <c r="J162" s="164"/>
    </row>
    <row r="163" spans="1:10" ht="16" x14ac:dyDescent="0.2">
      <c r="A163" s="79" t="s">
        <v>146</v>
      </c>
      <c r="B163" s="30" t="s">
        <v>136</v>
      </c>
      <c r="C163" s="18"/>
      <c r="D163" s="150" t="s">
        <v>115</v>
      </c>
      <c r="E163" s="18"/>
      <c r="F163" s="18" t="s">
        <v>213</v>
      </c>
      <c r="G163" s="18">
        <v>0</v>
      </c>
      <c r="H163" s="18">
        <f>_xlfn.XLOOKUP($A163,'1.1.SSDR_water'!$B$7:$B$29,'1.1.SSDR_water'!$J$7:$J$29)</f>
        <v>0.1583510654359134</v>
      </c>
      <c r="I163" s="18">
        <f>_xlfn.XLOOKUP($A163,'1.1.SSDR_water'!$B$7:$B$29,'1.1.SSDR_water'!$I$7:$I$29)</f>
        <v>-27.595084640082938</v>
      </c>
      <c r="J163" s="30"/>
    </row>
    <row r="164" spans="1:10" ht="16" x14ac:dyDescent="0.2">
      <c r="A164" s="79" t="s">
        <v>146</v>
      </c>
      <c r="B164" s="30" t="s">
        <v>136</v>
      </c>
      <c r="C164" s="18"/>
      <c r="D164" s="150" t="s">
        <v>124</v>
      </c>
      <c r="E164" s="18"/>
      <c r="F164" s="18" t="s">
        <v>213</v>
      </c>
      <c r="G164" s="18">
        <v>0</v>
      </c>
      <c r="H164" s="18">
        <f>_xlfn.XLOOKUP($A164,'1.1.SSDR_water'!$B$7:$B$29,'1.1.SSDR_water'!$J$7:$J$29)</f>
        <v>0.1583510654359134</v>
      </c>
      <c r="I164" s="18">
        <f>_xlfn.XLOOKUP($A164,'1.1.SSDR_water'!$B$7:$B$29,'1.1.SSDR_water'!$I$7:$I$29)</f>
        <v>-27.595084640082938</v>
      </c>
      <c r="J164" s="30"/>
    </row>
    <row r="165" spans="1:10" ht="16" x14ac:dyDescent="0.2">
      <c r="A165" s="79" t="s">
        <v>146</v>
      </c>
      <c r="B165" s="30" t="s">
        <v>136</v>
      </c>
      <c r="C165" s="18"/>
      <c r="D165" s="150" t="s">
        <v>116</v>
      </c>
      <c r="E165" s="18"/>
      <c r="F165" s="18" t="s">
        <v>213</v>
      </c>
      <c r="G165" s="18">
        <v>0</v>
      </c>
      <c r="H165" s="18">
        <f>_xlfn.XLOOKUP($A165,'1.1.SSDR_water'!$B$7:$B$29,'1.1.SSDR_water'!$J$7:$J$29)</f>
        <v>0.1583510654359134</v>
      </c>
      <c r="I165" s="18">
        <f>_xlfn.XLOOKUP($A165,'1.1.SSDR_water'!$B$7:$B$29,'1.1.SSDR_water'!$I$7:$I$29)</f>
        <v>-27.595084640082938</v>
      </c>
      <c r="J165" s="30"/>
    </row>
    <row r="166" spans="1:10" ht="16" x14ac:dyDescent="0.2">
      <c r="A166" s="79" t="s">
        <v>146</v>
      </c>
      <c r="B166" s="30" t="s">
        <v>136</v>
      </c>
      <c r="C166" s="18"/>
      <c r="D166" s="150" t="s">
        <v>137</v>
      </c>
      <c r="E166" s="18"/>
      <c r="F166" s="18" t="s">
        <v>213</v>
      </c>
      <c r="G166" s="18">
        <v>0</v>
      </c>
      <c r="H166" s="18">
        <f>_xlfn.XLOOKUP($A166,'1.2.SSDR_sediment'!$B$7:$B$29,'1.2.SSDR_sediment'!$J$7:$J$29)</f>
        <v>0.1583510654359134</v>
      </c>
      <c r="I166" s="18">
        <f>_xlfn.XLOOKUP($A166,'1.2.SSDR_sediment'!$B$7:$B$29,'1.2.SSDR_sediment'!$I$7:$I$29)</f>
        <v>-27.595084640082938</v>
      </c>
      <c r="J166" s="30"/>
    </row>
    <row r="167" spans="1:10" ht="16" x14ac:dyDescent="0.2">
      <c r="A167" s="79" t="s">
        <v>146</v>
      </c>
      <c r="B167" s="30" t="s">
        <v>136</v>
      </c>
      <c r="C167" s="18"/>
      <c r="D167" s="150" t="s">
        <v>138</v>
      </c>
      <c r="E167" s="18"/>
      <c r="F167" s="18" t="s">
        <v>213</v>
      </c>
      <c r="G167" s="18">
        <v>0</v>
      </c>
      <c r="H167" s="18">
        <f>_xlfn.XLOOKUP($A167,'1.2.SSDR_sediment'!$B$7:$B$29,'1.2.SSDR_sediment'!$J$7:$J$29)</f>
        <v>0.1583510654359134</v>
      </c>
      <c r="I167" s="18">
        <f>_xlfn.XLOOKUP($A167,'1.2.SSDR_sediment'!$B$7:$B$29,'1.2.SSDR_sediment'!$I$7:$I$29)</f>
        <v>-27.595084640082938</v>
      </c>
      <c r="J167" s="30"/>
    </row>
    <row r="168" spans="1:10" ht="16" x14ac:dyDescent="0.2">
      <c r="A168" s="79" t="s">
        <v>146</v>
      </c>
      <c r="B168" s="30" t="s">
        <v>136</v>
      </c>
      <c r="C168" s="18"/>
      <c r="D168" s="150" t="s">
        <v>139</v>
      </c>
      <c r="E168" s="18"/>
      <c r="F168" s="18" t="s">
        <v>213</v>
      </c>
      <c r="G168" s="18">
        <v>0</v>
      </c>
      <c r="H168" s="18">
        <f>_xlfn.XLOOKUP($A168,'1.2.SSDR_sediment'!$B$7:$B$29,'1.2.SSDR_sediment'!$J$7:$J$29)</f>
        <v>0.1583510654359134</v>
      </c>
      <c r="I168" s="18">
        <f>_xlfn.XLOOKUP($A168,'1.2.SSDR_sediment'!$B$7:$B$29,'1.2.SSDR_sediment'!$I$7:$I$29)</f>
        <v>-27.595084640082938</v>
      </c>
      <c r="J168" s="30"/>
    </row>
    <row r="169" spans="1:10" ht="16" x14ac:dyDescent="0.2">
      <c r="A169" s="79" t="s">
        <v>146</v>
      </c>
      <c r="B169" s="30" t="s">
        <v>136</v>
      </c>
      <c r="C169" s="18"/>
      <c r="D169" s="150" t="s">
        <v>117</v>
      </c>
      <c r="E169" s="18"/>
      <c r="F169" s="18" t="s">
        <v>213</v>
      </c>
      <c r="G169" s="18">
        <v>0</v>
      </c>
      <c r="H169" s="18">
        <f>_xlfn.XLOOKUP($A169,'1.3.SSDR_soil'!$B$7:$B$29,'1.3.SSDR_soil'!$J$7:$J$29)</f>
        <v>8.8135249839585067E-2</v>
      </c>
      <c r="I169" s="18">
        <f>_xlfn.XLOOKUP($A169,'1.3.SSDR_soil'!$B$7:$B$29,'1.3.SSDR_soil'!$I$7:$I$29)</f>
        <v>-28.691791437091602</v>
      </c>
      <c r="J169" s="30"/>
    </row>
    <row r="170" spans="1:10" ht="16" x14ac:dyDescent="0.2">
      <c r="A170" s="79" t="s">
        <v>146</v>
      </c>
      <c r="B170" s="30" t="s">
        <v>136</v>
      </c>
      <c r="C170" s="18"/>
      <c r="D170" s="150" t="s">
        <v>127</v>
      </c>
      <c r="E170" s="18"/>
      <c r="F170" s="18" t="s">
        <v>213</v>
      </c>
      <c r="G170" s="18">
        <v>0</v>
      </c>
      <c r="H170" s="18">
        <f>_xlfn.XLOOKUP($A170,'1.3.SSDR_soil'!$B$7:$B$29,'1.3.SSDR_soil'!$J$7:$J$29)</f>
        <v>8.8135249839585067E-2</v>
      </c>
      <c r="I170" s="18">
        <f>_xlfn.XLOOKUP($A170,'1.3.SSDR_soil'!$B$7:$B$29,'1.3.SSDR_soil'!$I$7:$I$29)</f>
        <v>-28.691791437091602</v>
      </c>
      <c r="J170" s="30"/>
    </row>
    <row r="171" spans="1:10" ht="16" x14ac:dyDescent="0.2">
      <c r="A171" s="165" t="s">
        <v>146</v>
      </c>
      <c r="B171" s="168" t="s">
        <v>136</v>
      </c>
      <c r="C171" s="166"/>
      <c r="D171" s="167" t="s">
        <v>118</v>
      </c>
      <c r="E171" s="166"/>
      <c r="F171" s="166" t="s">
        <v>213</v>
      </c>
      <c r="G171" s="166">
        <v>0</v>
      </c>
      <c r="H171" s="166">
        <f>_xlfn.XLOOKUP($A171,'1.3.SSDR_soil'!$B$7:$B$29,'1.3.SSDR_soil'!$J$7:$J$29)</f>
        <v>8.8135249839585067E-2</v>
      </c>
      <c r="I171" s="18">
        <f>_xlfn.XLOOKUP($A171,'1.3.SSDR_soil'!$B$7:$B$29,'1.3.SSDR_soil'!$I$7:$I$29)</f>
        <v>-28.691791437091602</v>
      </c>
      <c r="J171" s="168"/>
    </row>
    <row r="172" spans="1:10" ht="16" x14ac:dyDescent="0.2">
      <c r="A172" s="79" t="s">
        <v>147</v>
      </c>
      <c r="B172" s="164" t="s">
        <v>136</v>
      </c>
      <c r="C172" s="162"/>
      <c r="D172" s="163" t="s">
        <v>140</v>
      </c>
      <c r="E172" s="162"/>
      <c r="F172" s="162" t="s">
        <v>213</v>
      </c>
      <c r="G172" s="162">
        <v>0</v>
      </c>
      <c r="H172" s="162">
        <f>_xlfn.XLOOKUP($A172,'1.1.SSDR_water'!$B$7:$B$29,'1.1.SSDR_water'!$J$7:$J$29)</f>
        <v>0.13902641579238051</v>
      </c>
      <c r="I172" s="162">
        <f>_xlfn.XLOOKUP($A172,'1.1.SSDR_water'!$B$7:$B$29,'1.1.SSDR_water'!$I$7:$I$29)</f>
        <v>-27.636513493432194</v>
      </c>
      <c r="J172" s="164"/>
    </row>
    <row r="173" spans="1:10" ht="16" x14ac:dyDescent="0.2">
      <c r="A173" s="79" t="s">
        <v>147</v>
      </c>
      <c r="B173" s="30" t="s">
        <v>136</v>
      </c>
      <c r="C173" s="18"/>
      <c r="D173" s="150" t="s">
        <v>115</v>
      </c>
      <c r="E173" s="18"/>
      <c r="F173" s="18" t="s">
        <v>213</v>
      </c>
      <c r="G173" s="18">
        <v>0</v>
      </c>
      <c r="H173" s="18">
        <f>_xlfn.XLOOKUP($A173,'1.1.SSDR_water'!$B$7:$B$29,'1.1.SSDR_water'!$J$7:$J$29)</f>
        <v>0.13902641579238051</v>
      </c>
      <c r="I173" s="18">
        <f>_xlfn.XLOOKUP($A173,'1.1.SSDR_water'!$B$7:$B$29,'1.1.SSDR_water'!$I$7:$I$29)</f>
        <v>-27.636513493432194</v>
      </c>
      <c r="J173" s="30"/>
    </row>
    <row r="174" spans="1:10" ht="16" x14ac:dyDescent="0.2">
      <c r="A174" s="79" t="s">
        <v>147</v>
      </c>
      <c r="B174" s="30" t="s">
        <v>136</v>
      </c>
      <c r="C174" s="18"/>
      <c r="D174" s="150" t="s">
        <v>124</v>
      </c>
      <c r="E174" s="18"/>
      <c r="F174" s="18" t="s">
        <v>213</v>
      </c>
      <c r="G174" s="18">
        <v>0</v>
      </c>
      <c r="H174" s="18">
        <f>_xlfn.XLOOKUP($A174,'1.1.SSDR_water'!$B$7:$B$29,'1.1.SSDR_water'!$J$7:$J$29)</f>
        <v>0.13902641579238051</v>
      </c>
      <c r="I174" s="18">
        <f>_xlfn.XLOOKUP($A174,'1.1.SSDR_water'!$B$7:$B$29,'1.1.SSDR_water'!$I$7:$I$29)</f>
        <v>-27.636513493432194</v>
      </c>
      <c r="J174" s="30"/>
    </row>
    <row r="175" spans="1:10" ht="16" x14ac:dyDescent="0.2">
      <c r="A175" s="79" t="s">
        <v>147</v>
      </c>
      <c r="B175" s="30" t="s">
        <v>136</v>
      </c>
      <c r="C175" s="18"/>
      <c r="D175" s="150" t="s">
        <v>116</v>
      </c>
      <c r="E175" s="18"/>
      <c r="F175" s="18" t="s">
        <v>213</v>
      </c>
      <c r="G175" s="18">
        <v>0</v>
      </c>
      <c r="H175" s="18">
        <f>_xlfn.XLOOKUP($A175,'1.1.SSDR_water'!$B$7:$B$29,'1.1.SSDR_water'!$J$7:$J$29)</f>
        <v>0.13902641579238051</v>
      </c>
      <c r="I175" s="18">
        <f>_xlfn.XLOOKUP($A175,'1.1.SSDR_water'!$B$7:$B$29,'1.1.SSDR_water'!$I$7:$I$29)</f>
        <v>-27.636513493432194</v>
      </c>
      <c r="J175" s="30"/>
    </row>
    <row r="176" spans="1:10" ht="16" x14ac:dyDescent="0.2">
      <c r="A176" s="79" t="s">
        <v>147</v>
      </c>
      <c r="B176" s="30" t="s">
        <v>136</v>
      </c>
      <c r="C176" s="18"/>
      <c r="D176" s="150" t="s">
        <v>137</v>
      </c>
      <c r="E176" s="18"/>
      <c r="F176" s="18" t="s">
        <v>213</v>
      </c>
      <c r="G176" s="18">
        <v>0</v>
      </c>
      <c r="H176" s="18">
        <f>_xlfn.XLOOKUP($A176,'1.2.SSDR_sediment'!$B$7:$B$29,'1.2.SSDR_sediment'!$J$7:$J$29)</f>
        <v>0.13902641579238051</v>
      </c>
      <c r="I176" s="18">
        <f>_xlfn.XLOOKUP($A176,'1.2.SSDR_sediment'!$B$7:$B$29,'1.2.SSDR_sediment'!$I$7:$I$29)</f>
        <v>-27.636513493432194</v>
      </c>
      <c r="J176" s="30"/>
    </row>
    <row r="177" spans="1:10" ht="16" x14ac:dyDescent="0.2">
      <c r="A177" s="79" t="s">
        <v>147</v>
      </c>
      <c r="B177" s="30" t="s">
        <v>136</v>
      </c>
      <c r="C177" s="18"/>
      <c r="D177" s="150" t="s">
        <v>138</v>
      </c>
      <c r="E177" s="18"/>
      <c r="F177" s="18" t="s">
        <v>213</v>
      </c>
      <c r="G177" s="18">
        <v>0</v>
      </c>
      <c r="H177" s="18">
        <f>_xlfn.XLOOKUP($A177,'1.2.SSDR_sediment'!$B$7:$B$29,'1.2.SSDR_sediment'!$J$7:$J$29)</f>
        <v>0.13902641579238051</v>
      </c>
      <c r="I177" s="18">
        <f>_xlfn.XLOOKUP($A177,'1.2.SSDR_sediment'!$B$7:$B$29,'1.2.SSDR_sediment'!$I$7:$I$29)</f>
        <v>-27.636513493432194</v>
      </c>
      <c r="J177" s="30"/>
    </row>
    <row r="178" spans="1:10" ht="16" x14ac:dyDescent="0.2">
      <c r="A178" s="79" t="s">
        <v>147</v>
      </c>
      <c r="B178" s="30" t="s">
        <v>136</v>
      </c>
      <c r="C178" s="18"/>
      <c r="D178" s="150" t="s">
        <v>139</v>
      </c>
      <c r="E178" s="18"/>
      <c r="F178" s="18" t="s">
        <v>213</v>
      </c>
      <c r="G178" s="18">
        <v>0</v>
      </c>
      <c r="H178" s="18">
        <f>_xlfn.XLOOKUP($A178,'1.2.SSDR_sediment'!$B$7:$B$29,'1.2.SSDR_sediment'!$J$7:$J$29)</f>
        <v>0.13902641579238051</v>
      </c>
      <c r="I178" s="18">
        <f>_xlfn.XLOOKUP($A178,'1.2.SSDR_sediment'!$B$7:$B$29,'1.2.SSDR_sediment'!$I$7:$I$29)</f>
        <v>-27.636513493432194</v>
      </c>
      <c r="J178" s="30"/>
    </row>
    <row r="179" spans="1:10" ht="16" x14ac:dyDescent="0.2">
      <c r="A179" s="79" t="s">
        <v>147</v>
      </c>
      <c r="B179" s="30" t="s">
        <v>136</v>
      </c>
      <c r="C179" s="18"/>
      <c r="D179" s="150" t="s">
        <v>117</v>
      </c>
      <c r="E179" s="18"/>
      <c r="F179" s="18" t="s">
        <v>213</v>
      </c>
      <c r="G179" s="18">
        <v>0</v>
      </c>
      <c r="H179" s="18">
        <f>_xlfn.XLOOKUP($A179,'1.3.SSDR_soil'!$B$7:$B$29,'1.3.SSDR_soil'!$J$7:$J$29)</f>
        <v>0.13781418710969495</v>
      </c>
      <c r="I179" s="18">
        <f>_xlfn.XLOOKUP($A179,'1.3.SSDR_soil'!$B$7:$B$29,'1.3.SSDR_soil'!$I$7:$I$29)</f>
        <v>-28.497996817830728</v>
      </c>
      <c r="J179" s="30"/>
    </row>
    <row r="180" spans="1:10" ht="16" x14ac:dyDescent="0.2">
      <c r="A180" s="79" t="s">
        <v>147</v>
      </c>
      <c r="B180" s="30" t="s">
        <v>136</v>
      </c>
      <c r="C180" s="18"/>
      <c r="D180" s="150" t="s">
        <v>127</v>
      </c>
      <c r="E180" s="18"/>
      <c r="F180" s="18" t="s">
        <v>213</v>
      </c>
      <c r="G180" s="18">
        <v>0</v>
      </c>
      <c r="H180" s="18">
        <f>_xlfn.XLOOKUP($A180,'1.3.SSDR_soil'!$B$7:$B$29,'1.3.SSDR_soil'!$J$7:$J$29)</f>
        <v>0.13781418710969495</v>
      </c>
      <c r="I180" s="18">
        <f>_xlfn.XLOOKUP($A180,'1.3.SSDR_soil'!$B$7:$B$29,'1.3.SSDR_soil'!$I$7:$I$29)</f>
        <v>-28.497996817830728</v>
      </c>
      <c r="J180" s="30"/>
    </row>
    <row r="181" spans="1:10" ht="16" x14ac:dyDescent="0.2">
      <c r="A181" s="165" t="s">
        <v>147</v>
      </c>
      <c r="B181" s="168" t="s">
        <v>136</v>
      </c>
      <c r="C181" s="166"/>
      <c r="D181" s="167" t="s">
        <v>118</v>
      </c>
      <c r="E181" s="166"/>
      <c r="F181" s="166" t="s">
        <v>213</v>
      </c>
      <c r="G181" s="166">
        <v>0</v>
      </c>
      <c r="H181" s="166">
        <f>_xlfn.XLOOKUP($A181,'1.3.SSDR_soil'!$B$7:$B$29,'1.3.SSDR_soil'!$J$7:$J$29)</f>
        <v>0.13781418710969495</v>
      </c>
      <c r="I181" s="18">
        <f>_xlfn.XLOOKUP($A181,'1.3.SSDR_soil'!$B$7:$B$29,'1.3.SSDR_soil'!$I$7:$I$29)</f>
        <v>-28.497996817830728</v>
      </c>
      <c r="J181" s="168"/>
    </row>
    <row r="182" spans="1:10" ht="16" x14ac:dyDescent="0.2">
      <c r="A182" s="79" t="s">
        <v>148</v>
      </c>
      <c r="B182" s="164" t="s">
        <v>136</v>
      </c>
      <c r="C182" s="162"/>
      <c r="D182" s="163" t="s">
        <v>140</v>
      </c>
      <c r="E182" s="162"/>
      <c r="F182" s="162" t="s">
        <v>213</v>
      </c>
      <c r="G182" s="162">
        <v>0</v>
      </c>
      <c r="H182" s="162">
        <f>_xlfn.XLOOKUP($A182,'1.1.SSDR_water'!$B$7:$B$29,'1.1.SSDR_water'!$J$7:$J$29)</f>
        <v>0.13902641579238051</v>
      </c>
      <c r="I182" s="162">
        <f>_xlfn.XLOOKUP($A182,'1.1.SSDR_water'!$B$7:$B$29,'1.1.SSDR_water'!$I$7:$I$29)</f>
        <v>-27.636513493432194</v>
      </c>
      <c r="J182" s="164"/>
    </row>
    <row r="183" spans="1:10" ht="16" x14ac:dyDescent="0.2">
      <c r="A183" s="79" t="s">
        <v>148</v>
      </c>
      <c r="B183" s="30" t="s">
        <v>136</v>
      </c>
      <c r="C183" s="18"/>
      <c r="D183" s="150" t="s">
        <v>115</v>
      </c>
      <c r="E183" s="18"/>
      <c r="F183" s="18" t="s">
        <v>213</v>
      </c>
      <c r="G183" s="18">
        <v>0</v>
      </c>
      <c r="H183" s="18">
        <f>_xlfn.XLOOKUP($A183,'1.1.SSDR_water'!$B$7:$B$29,'1.1.SSDR_water'!$J$7:$J$29)</f>
        <v>0.13902641579238051</v>
      </c>
      <c r="I183" s="18">
        <f>_xlfn.XLOOKUP($A183,'1.1.SSDR_water'!$B$7:$B$29,'1.1.SSDR_water'!$I$7:$I$29)</f>
        <v>-27.636513493432194</v>
      </c>
      <c r="J183" s="30"/>
    </row>
    <row r="184" spans="1:10" ht="16" x14ac:dyDescent="0.2">
      <c r="A184" s="79" t="s">
        <v>148</v>
      </c>
      <c r="B184" s="30" t="s">
        <v>136</v>
      </c>
      <c r="C184" s="18"/>
      <c r="D184" s="150" t="s">
        <v>124</v>
      </c>
      <c r="E184" s="18"/>
      <c r="F184" s="18" t="s">
        <v>213</v>
      </c>
      <c r="G184" s="18">
        <v>0</v>
      </c>
      <c r="H184" s="18">
        <f>_xlfn.XLOOKUP($A184,'1.1.SSDR_water'!$B$7:$B$29,'1.1.SSDR_water'!$J$7:$J$29)</f>
        <v>0.13902641579238051</v>
      </c>
      <c r="I184" s="18">
        <f>_xlfn.XLOOKUP($A184,'1.1.SSDR_water'!$B$7:$B$29,'1.1.SSDR_water'!$I$7:$I$29)</f>
        <v>-27.636513493432194</v>
      </c>
      <c r="J184" s="30"/>
    </row>
    <row r="185" spans="1:10" ht="16" x14ac:dyDescent="0.2">
      <c r="A185" s="79" t="s">
        <v>148</v>
      </c>
      <c r="B185" s="30" t="s">
        <v>136</v>
      </c>
      <c r="C185" s="18"/>
      <c r="D185" s="150" t="s">
        <v>116</v>
      </c>
      <c r="E185" s="18"/>
      <c r="F185" s="18" t="s">
        <v>213</v>
      </c>
      <c r="G185" s="18">
        <v>0</v>
      </c>
      <c r="H185" s="18">
        <f>_xlfn.XLOOKUP($A185,'1.1.SSDR_water'!$B$7:$B$29,'1.1.SSDR_water'!$J$7:$J$29)</f>
        <v>0.13902641579238051</v>
      </c>
      <c r="I185" s="18">
        <f>_xlfn.XLOOKUP($A185,'1.1.SSDR_water'!$B$7:$B$29,'1.1.SSDR_water'!$I$7:$I$29)</f>
        <v>-27.636513493432194</v>
      </c>
      <c r="J185" s="30"/>
    </row>
    <row r="186" spans="1:10" ht="16" x14ac:dyDescent="0.2">
      <c r="A186" s="79" t="s">
        <v>148</v>
      </c>
      <c r="B186" s="30" t="s">
        <v>136</v>
      </c>
      <c r="C186" s="18"/>
      <c r="D186" s="150" t="s">
        <v>137</v>
      </c>
      <c r="E186" s="18"/>
      <c r="F186" s="18" t="s">
        <v>213</v>
      </c>
      <c r="G186" s="18">
        <v>0</v>
      </c>
      <c r="H186" s="18">
        <f>_xlfn.XLOOKUP($A186,'1.2.SSDR_sediment'!$B$7:$B$29,'1.2.SSDR_sediment'!$J$7:$J$29)</f>
        <v>0.13902641579238051</v>
      </c>
      <c r="I186" s="18">
        <f>_xlfn.XLOOKUP($A186,'1.2.SSDR_sediment'!$B$7:$B$29,'1.2.SSDR_sediment'!$I$7:$I$29)</f>
        <v>-27.636513493432194</v>
      </c>
      <c r="J186" s="30"/>
    </row>
    <row r="187" spans="1:10" ht="16" x14ac:dyDescent="0.2">
      <c r="A187" s="79" t="s">
        <v>148</v>
      </c>
      <c r="B187" s="30" t="s">
        <v>136</v>
      </c>
      <c r="C187" s="18"/>
      <c r="D187" s="150" t="s">
        <v>138</v>
      </c>
      <c r="E187" s="18"/>
      <c r="F187" s="18" t="s">
        <v>213</v>
      </c>
      <c r="G187" s="18">
        <v>0</v>
      </c>
      <c r="H187" s="18">
        <f>_xlfn.XLOOKUP($A187,'1.2.SSDR_sediment'!$B$7:$B$29,'1.2.SSDR_sediment'!$J$7:$J$29)</f>
        <v>0.13902641579238051</v>
      </c>
      <c r="I187" s="18">
        <f>_xlfn.XLOOKUP($A187,'1.2.SSDR_sediment'!$B$7:$B$29,'1.2.SSDR_sediment'!$I$7:$I$29)</f>
        <v>-27.636513493432194</v>
      </c>
      <c r="J187" s="30"/>
    </row>
    <row r="188" spans="1:10" ht="16" x14ac:dyDescent="0.2">
      <c r="A188" s="79" t="s">
        <v>148</v>
      </c>
      <c r="B188" s="30" t="s">
        <v>136</v>
      </c>
      <c r="C188" s="18"/>
      <c r="D188" s="150" t="s">
        <v>139</v>
      </c>
      <c r="E188" s="18"/>
      <c r="F188" s="18" t="s">
        <v>213</v>
      </c>
      <c r="G188" s="18">
        <v>0</v>
      </c>
      <c r="H188" s="18">
        <f>_xlfn.XLOOKUP($A188,'1.2.SSDR_sediment'!$B$7:$B$29,'1.2.SSDR_sediment'!$J$7:$J$29)</f>
        <v>0.13902641579238051</v>
      </c>
      <c r="I188" s="18">
        <f>_xlfn.XLOOKUP($A188,'1.2.SSDR_sediment'!$B$7:$B$29,'1.2.SSDR_sediment'!$I$7:$I$29)</f>
        <v>-27.636513493432194</v>
      </c>
      <c r="J188" s="30"/>
    </row>
    <row r="189" spans="1:10" ht="16" x14ac:dyDescent="0.2">
      <c r="A189" s="79" t="s">
        <v>148</v>
      </c>
      <c r="B189" s="30" t="s">
        <v>136</v>
      </c>
      <c r="C189" s="18"/>
      <c r="D189" s="150" t="s">
        <v>117</v>
      </c>
      <c r="E189" s="18"/>
      <c r="F189" s="18" t="s">
        <v>213</v>
      </c>
      <c r="G189" s="18">
        <v>0</v>
      </c>
      <c r="H189" s="18">
        <f>_xlfn.XLOOKUP($A189,'1.3.SSDR_soil'!$B$7:$B$29,'1.3.SSDR_soil'!$J$7:$J$29)</f>
        <v>0.13781418710969495</v>
      </c>
      <c r="I189" s="18">
        <f>_xlfn.XLOOKUP($A189,'1.3.SSDR_soil'!$B$7:$B$29,'1.3.SSDR_soil'!$I$7:$I$29)</f>
        <v>-28.497996817830728</v>
      </c>
      <c r="J189" s="30"/>
    </row>
    <row r="190" spans="1:10" ht="16" x14ac:dyDescent="0.2">
      <c r="A190" s="79" t="s">
        <v>148</v>
      </c>
      <c r="B190" s="30" t="s">
        <v>136</v>
      </c>
      <c r="C190" s="18"/>
      <c r="D190" s="150" t="s">
        <v>127</v>
      </c>
      <c r="E190" s="18"/>
      <c r="F190" s="18" t="s">
        <v>213</v>
      </c>
      <c r="G190" s="18">
        <v>0</v>
      </c>
      <c r="H190" s="18">
        <f>_xlfn.XLOOKUP($A190,'1.3.SSDR_soil'!$B$7:$B$29,'1.3.SSDR_soil'!$J$7:$J$29)</f>
        <v>0.13781418710969495</v>
      </c>
      <c r="I190" s="18">
        <f>_xlfn.XLOOKUP($A190,'1.3.SSDR_soil'!$B$7:$B$29,'1.3.SSDR_soil'!$I$7:$I$29)</f>
        <v>-28.497996817830728</v>
      </c>
      <c r="J190" s="30"/>
    </row>
    <row r="191" spans="1:10" ht="16" x14ac:dyDescent="0.2">
      <c r="A191" s="165" t="s">
        <v>148</v>
      </c>
      <c r="B191" s="168" t="s">
        <v>136</v>
      </c>
      <c r="C191" s="166"/>
      <c r="D191" s="167" t="s">
        <v>118</v>
      </c>
      <c r="E191" s="166"/>
      <c r="F191" s="166" t="s">
        <v>213</v>
      </c>
      <c r="G191" s="166">
        <v>0</v>
      </c>
      <c r="H191" s="166">
        <f>_xlfn.XLOOKUP($A191,'1.3.SSDR_soil'!$B$7:$B$29,'1.3.SSDR_soil'!$J$7:$J$29)</f>
        <v>0.13781418710969495</v>
      </c>
      <c r="I191" s="18">
        <f>_xlfn.XLOOKUP($A191,'1.3.SSDR_soil'!$B$7:$B$29,'1.3.SSDR_soil'!$I$7:$I$29)</f>
        <v>-28.497996817830728</v>
      </c>
      <c r="J191" s="168"/>
    </row>
    <row r="192" spans="1:10" ht="16" x14ac:dyDescent="0.2">
      <c r="A192" s="79" t="s">
        <v>149</v>
      </c>
      <c r="B192" s="164" t="s">
        <v>136</v>
      </c>
      <c r="C192" s="162"/>
      <c r="D192" s="163" t="s">
        <v>140</v>
      </c>
      <c r="E192" s="162"/>
      <c r="F192" s="162" t="s">
        <v>213</v>
      </c>
      <c r="G192" s="162">
        <v>0</v>
      </c>
      <c r="H192" s="162">
        <f>_xlfn.XLOOKUP($A192,'1.1.SSDR_water'!$B$7:$B$29,'1.1.SSDR_water'!$J$7:$J$29)</f>
        <v>0.18373724983254067</v>
      </c>
      <c r="I192" s="162">
        <f>_xlfn.XLOOKUP($A192,'1.1.SSDR_water'!$B$7:$B$29,'1.1.SSDR_water'!$I$7:$I$29)</f>
        <v>-26.976551365475352</v>
      </c>
      <c r="J192" s="164"/>
    </row>
    <row r="193" spans="1:10" ht="16" x14ac:dyDescent="0.2">
      <c r="A193" s="79" t="s">
        <v>149</v>
      </c>
      <c r="B193" s="30" t="s">
        <v>136</v>
      </c>
      <c r="C193" s="18"/>
      <c r="D193" s="150" t="s">
        <v>115</v>
      </c>
      <c r="E193" s="18"/>
      <c r="F193" s="18" t="s">
        <v>213</v>
      </c>
      <c r="G193" s="18">
        <v>0</v>
      </c>
      <c r="H193" s="18">
        <f>_xlfn.XLOOKUP($A193,'1.1.SSDR_water'!$B$7:$B$29,'1.1.SSDR_water'!$J$7:$J$29)</f>
        <v>0.18373724983254067</v>
      </c>
      <c r="I193" s="18">
        <f>_xlfn.XLOOKUP($A193,'1.1.SSDR_water'!$B$7:$B$29,'1.1.SSDR_water'!$I$7:$I$29)</f>
        <v>-26.976551365475352</v>
      </c>
      <c r="J193" s="30"/>
    </row>
    <row r="194" spans="1:10" ht="16" x14ac:dyDescent="0.2">
      <c r="A194" s="79" t="s">
        <v>149</v>
      </c>
      <c r="B194" s="30" t="s">
        <v>136</v>
      </c>
      <c r="C194" s="18"/>
      <c r="D194" s="150" t="s">
        <v>124</v>
      </c>
      <c r="E194" s="18"/>
      <c r="F194" s="18" t="s">
        <v>213</v>
      </c>
      <c r="G194" s="18">
        <v>0</v>
      </c>
      <c r="H194" s="18">
        <f>_xlfn.XLOOKUP($A194,'1.1.SSDR_water'!$B$7:$B$29,'1.1.SSDR_water'!$J$7:$J$29)</f>
        <v>0.18373724983254067</v>
      </c>
      <c r="I194" s="18">
        <f>_xlfn.XLOOKUP($A194,'1.1.SSDR_water'!$B$7:$B$29,'1.1.SSDR_water'!$I$7:$I$29)</f>
        <v>-26.976551365475352</v>
      </c>
      <c r="J194" s="30"/>
    </row>
    <row r="195" spans="1:10" ht="16" x14ac:dyDescent="0.2">
      <c r="A195" s="79" t="s">
        <v>149</v>
      </c>
      <c r="B195" s="30" t="s">
        <v>136</v>
      </c>
      <c r="C195" s="18"/>
      <c r="D195" s="150" t="s">
        <v>116</v>
      </c>
      <c r="E195" s="18"/>
      <c r="F195" s="18" t="s">
        <v>213</v>
      </c>
      <c r="G195" s="18">
        <v>0</v>
      </c>
      <c r="H195" s="18">
        <f>_xlfn.XLOOKUP($A195,'1.1.SSDR_water'!$B$7:$B$29,'1.1.SSDR_water'!$J$7:$J$29)</f>
        <v>0.18373724983254067</v>
      </c>
      <c r="I195" s="18">
        <f>_xlfn.XLOOKUP($A195,'1.1.SSDR_water'!$B$7:$B$29,'1.1.SSDR_water'!$I$7:$I$29)</f>
        <v>-26.976551365475352</v>
      </c>
      <c r="J195" s="30"/>
    </row>
    <row r="196" spans="1:10" ht="16" x14ac:dyDescent="0.2">
      <c r="A196" s="79" t="s">
        <v>149</v>
      </c>
      <c r="B196" s="30" t="s">
        <v>136</v>
      </c>
      <c r="C196" s="18"/>
      <c r="D196" s="150" t="s">
        <v>137</v>
      </c>
      <c r="E196" s="18"/>
      <c r="F196" s="18" t="s">
        <v>213</v>
      </c>
      <c r="G196" s="18">
        <v>0</v>
      </c>
      <c r="H196" s="18">
        <f>_xlfn.XLOOKUP($A196,'1.2.SSDR_sediment'!$B$7:$B$29,'1.2.SSDR_sediment'!$J$7:$J$29)</f>
        <v>0.18373724983254067</v>
      </c>
      <c r="I196" s="18">
        <f>_xlfn.XLOOKUP($A196,'1.2.SSDR_sediment'!$B$7:$B$29,'1.2.SSDR_sediment'!$I$7:$I$29)</f>
        <v>-26.976551365475352</v>
      </c>
      <c r="J196" s="30"/>
    </row>
    <row r="197" spans="1:10" ht="16" x14ac:dyDescent="0.2">
      <c r="A197" s="79" t="s">
        <v>149</v>
      </c>
      <c r="B197" s="30" t="s">
        <v>136</v>
      </c>
      <c r="C197" s="18"/>
      <c r="D197" s="150" t="s">
        <v>138</v>
      </c>
      <c r="E197" s="18"/>
      <c r="F197" s="18" t="s">
        <v>213</v>
      </c>
      <c r="G197" s="18">
        <v>0</v>
      </c>
      <c r="H197" s="18">
        <f>_xlfn.XLOOKUP($A197,'1.2.SSDR_sediment'!$B$7:$B$29,'1.2.SSDR_sediment'!$J$7:$J$29)</f>
        <v>0.18373724983254067</v>
      </c>
      <c r="I197" s="18">
        <f>_xlfn.XLOOKUP($A197,'1.2.SSDR_sediment'!$B$7:$B$29,'1.2.SSDR_sediment'!$I$7:$I$29)</f>
        <v>-26.976551365475352</v>
      </c>
      <c r="J197" s="30"/>
    </row>
    <row r="198" spans="1:10" ht="16" x14ac:dyDescent="0.2">
      <c r="A198" s="79" t="s">
        <v>149</v>
      </c>
      <c r="B198" s="30" t="s">
        <v>136</v>
      </c>
      <c r="C198" s="18"/>
      <c r="D198" s="150" t="s">
        <v>139</v>
      </c>
      <c r="E198" s="18"/>
      <c r="F198" s="18" t="s">
        <v>213</v>
      </c>
      <c r="G198" s="18">
        <v>0</v>
      </c>
      <c r="H198" s="18">
        <f>_xlfn.XLOOKUP($A198,'1.2.SSDR_sediment'!$B$7:$B$29,'1.2.SSDR_sediment'!$J$7:$J$29)</f>
        <v>0.18373724983254067</v>
      </c>
      <c r="I198" s="18">
        <f>_xlfn.XLOOKUP($A198,'1.2.SSDR_sediment'!$B$7:$B$29,'1.2.SSDR_sediment'!$I$7:$I$29)</f>
        <v>-26.976551365475352</v>
      </c>
      <c r="J198" s="30"/>
    </row>
    <row r="199" spans="1:10" ht="16" x14ac:dyDescent="0.2">
      <c r="A199" s="79" t="s">
        <v>149</v>
      </c>
      <c r="B199" s="30" t="s">
        <v>136</v>
      </c>
      <c r="C199" s="18"/>
      <c r="D199" s="150" t="s">
        <v>117</v>
      </c>
      <c r="E199" s="18"/>
      <c r="F199" s="18" t="s">
        <v>213</v>
      </c>
      <c r="G199" s="18">
        <v>0</v>
      </c>
      <c r="H199" s="18">
        <f>_xlfn.XLOOKUP($A199,'1.3.SSDR_soil'!$B$7:$B$29,'1.3.SSDR_soil'!$J$7:$J$29)</f>
        <v>0.13781418710969495</v>
      </c>
      <c r="I199" s="18">
        <f>_xlfn.XLOOKUP($A199,'1.3.SSDR_soil'!$B$7:$B$29,'1.3.SSDR_soil'!$I$7:$I$29)</f>
        <v>-28.497996817830728</v>
      </c>
      <c r="J199" s="30"/>
    </row>
    <row r="200" spans="1:10" ht="16" x14ac:dyDescent="0.2">
      <c r="A200" s="79" t="s">
        <v>149</v>
      </c>
      <c r="B200" s="30" t="s">
        <v>136</v>
      </c>
      <c r="C200" s="18"/>
      <c r="D200" s="150" t="s">
        <v>127</v>
      </c>
      <c r="E200" s="18"/>
      <c r="F200" s="18" t="s">
        <v>213</v>
      </c>
      <c r="G200" s="18">
        <v>0</v>
      </c>
      <c r="H200" s="18">
        <f>_xlfn.XLOOKUP($A200,'1.3.SSDR_soil'!$B$7:$B$29,'1.3.SSDR_soil'!$J$7:$J$29)</f>
        <v>0.13781418710969495</v>
      </c>
      <c r="I200" s="18">
        <f>_xlfn.XLOOKUP($A200,'1.3.SSDR_soil'!$B$7:$B$29,'1.3.SSDR_soil'!$I$7:$I$29)</f>
        <v>-28.497996817830728</v>
      </c>
      <c r="J200" s="30"/>
    </row>
    <row r="201" spans="1:10" ht="16" x14ac:dyDescent="0.2">
      <c r="A201" s="165" t="s">
        <v>149</v>
      </c>
      <c r="B201" s="168" t="s">
        <v>136</v>
      </c>
      <c r="C201" s="166"/>
      <c r="D201" s="167" t="s">
        <v>118</v>
      </c>
      <c r="E201" s="166"/>
      <c r="F201" s="166" t="s">
        <v>213</v>
      </c>
      <c r="G201" s="166">
        <v>0</v>
      </c>
      <c r="H201" s="166">
        <f>_xlfn.XLOOKUP($A201,'1.3.SSDR_soil'!$B$7:$B$29,'1.3.SSDR_soil'!$J$7:$J$29)</f>
        <v>0.13781418710969495</v>
      </c>
      <c r="I201" s="18">
        <f>_xlfn.XLOOKUP($A201,'1.3.SSDR_soil'!$B$7:$B$29,'1.3.SSDR_soil'!$I$7:$I$29)</f>
        <v>-28.497996817830728</v>
      </c>
      <c r="J201" s="168"/>
    </row>
    <row r="202" spans="1:10" ht="16" x14ac:dyDescent="0.2">
      <c r="A202" s="79" t="s">
        <v>150</v>
      </c>
      <c r="B202" s="164" t="s">
        <v>136</v>
      </c>
      <c r="C202" s="172"/>
      <c r="D202" s="163" t="s">
        <v>140</v>
      </c>
      <c r="E202" s="162"/>
      <c r="F202" s="162" t="s">
        <v>213</v>
      </c>
      <c r="G202" s="162">
        <v>0</v>
      </c>
      <c r="H202" s="162">
        <f>_xlfn.XLOOKUP($A202,'1.1.SSDR_water'!$B$7:$B$29,'1.1.SSDR_water'!$J$7:$J$29)</f>
        <v>3.7900646430640512E-2</v>
      </c>
      <c r="I202" s="162">
        <f>_xlfn.XLOOKUP($A202,'1.1.SSDR_water'!$B$7:$B$29,'1.1.SSDR_water'!$I$7:$I$29)</f>
        <v>-27.075818125945151</v>
      </c>
      <c r="J202" s="164"/>
    </row>
    <row r="203" spans="1:10" ht="16" x14ac:dyDescent="0.2">
      <c r="A203" s="79" t="s">
        <v>150</v>
      </c>
      <c r="B203" s="30" t="s">
        <v>136</v>
      </c>
      <c r="C203" s="83"/>
      <c r="D203" s="150" t="s">
        <v>115</v>
      </c>
      <c r="E203" s="18"/>
      <c r="F203" s="18" t="s">
        <v>213</v>
      </c>
      <c r="G203" s="18">
        <v>0</v>
      </c>
      <c r="H203" s="18">
        <f>_xlfn.XLOOKUP($A203,'1.1.SSDR_water'!$B$7:$B$29,'1.1.SSDR_water'!$J$7:$J$29)</f>
        <v>3.7900646430640512E-2</v>
      </c>
      <c r="I203" s="18">
        <f>_xlfn.XLOOKUP($A203,'1.1.SSDR_water'!$B$7:$B$29,'1.1.SSDR_water'!$I$7:$I$29)</f>
        <v>-27.075818125945151</v>
      </c>
      <c r="J203" s="30"/>
    </row>
    <row r="204" spans="1:10" ht="16" x14ac:dyDescent="0.2">
      <c r="A204" s="79" t="s">
        <v>150</v>
      </c>
      <c r="B204" s="30" t="s">
        <v>136</v>
      </c>
      <c r="C204" s="83"/>
      <c r="D204" s="150" t="s">
        <v>124</v>
      </c>
      <c r="E204" s="18"/>
      <c r="F204" s="18" t="s">
        <v>213</v>
      </c>
      <c r="G204" s="18">
        <v>0</v>
      </c>
      <c r="H204" s="18">
        <f>_xlfn.XLOOKUP($A204,'1.1.SSDR_water'!$B$7:$B$29,'1.1.SSDR_water'!$J$7:$J$29)</f>
        <v>3.7900646430640512E-2</v>
      </c>
      <c r="I204" s="18">
        <f>_xlfn.XLOOKUP($A204,'1.1.SSDR_water'!$B$7:$B$29,'1.1.SSDR_water'!$I$7:$I$29)</f>
        <v>-27.075818125945151</v>
      </c>
      <c r="J204" s="30"/>
    </row>
    <row r="205" spans="1:10" ht="16" x14ac:dyDescent="0.2">
      <c r="A205" s="79" t="s">
        <v>150</v>
      </c>
      <c r="B205" s="30" t="s">
        <v>136</v>
      </c>
      <c r="C205" s="83"/>
      <c r="D205" s="150" t="s">
        <v>116</v>
      </c>
      <c r="E205" s="18"/>
      <c r="F205" s="18" t="s">
        <v>213</v>
      </c>
      <c r="G205" s="18">
        <v>0</v>
      </c>
      <c r="H205" s="18">
        <f>_xlfn.XLOOKUP($A205,'1.1.SSDR_water'!$B$7:$B$29,'1.1.SSDR_water'!$J$7:$J$29)</f>
        <v>3.7900646430640512E-2</v>
      </c>
      <c r="I205" s="18">
        <f>_xlfn.XLOOKUP($A205,'1.1.SSDR_water'!$B$7:$B$29,'1.1.SSDR_water'!$I$7:$I$29)</f>
        <v>-27.075818125945151</v>
      </c>
      <c r="J205" s="30"/>
    </row>
    <row r="206" spans="1:10" ht="16" x14ac:dyDescent="0.2">
      <c r="A206" s="79" t="s">
        <v>150</v>
      </c>
      <c r="B206" s="30" t="s">
        <v>136</v>
      </c>
      <c r="C206" s="83"/>
      <c r="D206" s="150" t="s">
        <v>137</v>
      </c>
      <c r="E206" s="18"/>
      <c r="F206" s="18" t="s">
        <v>213</v>
      </c>
      <c r="G206" s="18">
        <v>0</v>
      </c>
      <c r="H206" s="18">
        <f>_xlfn.XLOOKUP($A206,'1.2.SSDR_sediment'!$B$7:$B$29,'1.2.SSDR_sediment'!$J$7:$J$29)</f>
        <v>3.7900646430640512E-2</v>
      </c>
      <c r="I206" s="18">
        <f>_xlfn.XLOOKUP($A206,'1.2.SSDR_sediment'!$B$7:$B$29,'1.2.SSDR_sediment'!$I$7:$I$29)</f>
        <v>-27.075818125945151</v>
      </c>
      <c r="J206" s="30"/>
    </row>
    <row r="207" spans="1:10" ht="16" x14ac:dyDescent="0.2">
      <c r="A207" s="79" t="s">
        <v>150</v>
      </c>
      <c r="B207" s="30" t="s">
        <v>136</v>
      </c>
      <c r="C207" s="83"/>
      <c r="D207" s="150" t="s">
        <v>138</v>
      </c>
      <c r="E207" s="18"/>
      <c r="F207" s="18" t="s">
        <v>213</v>
      </c>
      <c r="G207" s="18">
        <v>0</v>
      </c>
      <c r="H207" s="18">
        <f>_xlfn.XLOOKUP($A207,'1.2.SSDR_sediment'!$B$7:$B$29,'1.2.SSDR_sediment'!$J$7:$J$29)</f>
        <v>3.7900646430640512E-2</v>
      </c>
      <c r="I207" s="18">
        <f>_xlfn.XLOOKUP($A207,'1.2.SSDR_sediment'!$B$7:$B$29,'1.2.SSDR_sediment'!$I$7:$I$29)</f>
        <v>-27.075818125945151</v>
      </c>
      <c r="J207" s="30"/>
    </row>
    <row r="208" spans="1:10" ht="16" x14ac:dyDescent="0.2">
      <c r="A208" s="79" t="s">
        <v>150</v>
      </c>
      <c r="B208" s="30" t="s">
        <v>136</v>
      </c>
      <c r="C208" s="83"/>
      <c r="D208" s="150" t="s">
        <v>139</v>
      </c>
      <c r="E208" s="18"/>
      <c r="F208" s="18" t="s">
        <v>213</v>
      </c>
      <c r="G208" s="18">
        <v>0</v>
      </c>
      <c r="H208" s="18">
        <f>_xlfn.XLOOKUP($A208,'1.2.SSDR_sediment'!$B$7:$B$29,'1.2.SSDR_sediment'!$J$7:$J$29)</f>
        <v>3.7900646430640512E-2</v>
      </c>
      <c r="I208" s="18">
        <f>_xlfn.XLOOKUP($A208,'1.2.SSDR_sediment'!$B$7:$B$29,'1.2.SSDR_sediment'!$I$7:$I$29)</f>
        <v>-27.075818125945151</v>
      </c>
      <c r="J208" s="30"/>
    </row>
    <row r="209" spans="1:10" ht="16" x14ac:dyDescent="0.2">
      <c r="A209" s="79" t="s">
        <v>150</v>
      </c>
      <c r="B209" s="30" t="s">
        <v>136</v>
      </c>
      <c r="C209" s="83"/>
      <c r="D209" s="150" t="s">
        <v>117</v>
      </c>
      <c r="E209" s="18"/>
      <c r="F209" s="18" t="s">
        <v>213</v>
      </c>
      <c r="G209" s="18">
        <v>0</v>
      </c>
      <c r="H209" s="18">
        <f>_xlfn.XLOOKUP($A209,'1.3.SSDR_soil'!$B$7:$B$29,'1.3.SSDR_soil'!$J$7:$J$29)</f>
        <v>0.13781418710969495</v>
      </c>
      <c r="I209" s="18">
        <f>_xlfn.XLOOKUP($A209,'1.3.SSDR_soil'!$B$7:$B$29,'1.3.SSDR_soil'!$I$7:$I$29)</f>
        <v>-28.497996817830728</v>
      </c>
      <c r="J209" s="30"/>
    </row>
    <row r="210" spans="1:10" ht="16" x14ac:dyDescent="0.2">
      <c r="A210" s="79" t="s">
        <v>150</v>
      </c>
      <c r="B210" s="30" t="s">
        <v>136</v>
      </c>
      <c r="C210" s="83"/>
      <c r="D210" s="150" t="s">
        <v>127</v>
      </c>
      <c r="E210" s="18"/>
      <c r="F210" s="18" t="s">
        <v>213</v>
      </c>
      <c r="G210" s="18">
        <v>0</v>
      </c>
      <c r="H210" s="18">
        <f>_xlfn.XLOOKUP($A210,'1.3.SSDR_soil'!$B$7:$B$29,'1.3.SSDR_soil'!$J$7:$J$29)</f>
        <v>0.13781418710969495</v>
      </c>
      <c r="I210" s="18">
        <f>_xlfn.XLOOKUP($A210,'1.3.SSDR_soil'!$B$7:$B$29,'1.3.SSDR_soil'!$I$7:$I$29)</f>
        <v>-28.497996817830728</v>
      </c>
      <c r="J210" s="30"/>
    </row>
    <row r="211" spans="1:10" ht="16" x14ac:dyDescent="0.2">
      <c r="A211" s="165" t="s">
        <v>150</v>
      </c>
      <c r="B211" s="168" t="s">
        <v>136</v>
      </c>
      <c r="C211" s="99"/>
      <c r="D211" s="167" t="s">
        <v>118</v>
      </c>
      <c r="E211" s="166"/>
      <c r="F211" s="166" t="s">
        <v>213</v>
      </c>
      <c r="G211" s="166">
        <v>0</v>
      </c>
      <c r="H211" s="166">
        <f>_xlfn.XLOOKUP($A211,'1.3.SSDR_soil'!$B$7:$B$29,'1.3.SSDR_soil'!$J$7:$J$29)</f>
        <v>0.13781418710969495</v>
      </c>
      <c r="I211" s="166">
        <f>_xlfn.XLOOKUP($A211,'1.3.SSDR_soil'!$B$7:$B$29,'1.3.SSDR_soil'!$I$7:$I$29)</f>
        <v>-28.497996817830728</v>
      </c>
      <c r="J211" s="16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A9E9-10AC-C642-84B7-715D2DB5BA6E}">
  <sheetPr>
    <tabColor theme="9" tint="0.79998168889431442"/>
  </sheetPr>
  <dimension ref="A1:N12"/>
  <sheetViews>
    <sheetView workbookViewId="0">
      <selection activeCell="N4" sqref="N4"/>
    </sheetView>
  </sheetViews>
  <sheetFormatPr baseColWidth="10" defaultRowHeight="15" x14ac:dyDescent="0.2"/>
  <cols>
    <col min="1" max="8" width="10.83203125" style="14"/>
    <col min="9" max="9" width="21.83203125" style="14" bestFit="1" customWidth="1"/>
    <col min="10" max="10" width="10.83203125" style="14"/>
    <col min="11" max="11" width="17.33203125" style="14" bestFit="1" customWidth="1"/>
    <col min="12" max="12" width="13.6640625" style="14" bestFit="1" customWidth="1"/>
    <col min="13" max="13" width="14.6640625" style="14" bestFit="1" customWidth="1"/>
    <col min="14" max="14" width="71.5" style="14" bestFit="1" customWidth="1"/>
    <col min="15" max="16384" width="10.83203125" style="14"/>
  </cols>
  <sheetData>
    <row r="1" spans="1:14" ht="16" x14ac:dyDescent="0.2">
      <c r="A1" s="151" t="s">
        <v>135</v>
      </c>
      <c r="B1" s="151" t="s">
        <v>108</v>
      </c>
      <c r="C1" s="151" t="s">
        <v>109</v>
      </c>
      <c r="D1" s="151" t="s">
        <v>208</v>
      </c>
      <c r="E1" s="152" t="s">
        <v>209</v>
      </c>
      <c r="F1" s="151" t="s">
        <v>97</v>
      </c>
      <c r="G1" s="151" t="s">
        <v>210</v>
      </c>
      <c r="H1" s="151" t="s">
        <v>211</v>
      </c>
      <c r="I1" s="153" t="s">
        <v>212</v>
      </c>
      <c r="K1" s="154" t="s">
        <v>221</v>
      </c>
      <c r="L1" s="154" t="s">
        <v>219</v>
      </c>
      <c r="M1" s="154" t="s">
        <v>220</v>
      </c>
      <c r="N1" s="154" t="s">
        <v>144</v>
      </c>
    </row>
    <row r="2" spans="1:14" ht="16" x14ac:dyDescent="0.2">
      <c r="A2" s="14" t="s">
        <v>214</v>
      </c>
      <c r="C2" s="150"/>
      <c r="E2" s="14" t="s">
        <v>213</v>
      </c>
      <c r="F2" s="14">
        <v>0</v>
      </c>
      <c r="G2" s="14">
        <f>LN(K2)</f>
        <v>6.9730810612061047</v>
      </c>
      <c r="H2" s="14">
        <f>(LN(M2)-LN(L2))/(2*1.96)</f>
        <v>0.55726717491001576</v>
      </c>
      <c r="I2" s="14" t="s">
        <v>217</v>
      </c>
      <c r="K2" s="103">
        <v>1067.5067424615929</v>
      </c>
      <c r="L2" s="103">
        <v>358.10899607848938</v>
      </c>
      <c r="M2" s="103">
        <v>3182.1893827855502</v>
      </c>
      <c r="N2" s="155" t="s">
        <v>6361</v>
      </c>
    </row>
    <row r="3" spans="1:14" ht="16" x14ac:dyDescent="0.2">
      <c r="A3" s="14" t="s">
        <v>215</v>
      </c>
      <c r="C3" s="150"/>
      <c r="E3" s="14" t="s">
        <v>213</v>
      </c>
      <c r="F3" s="14">
        <v>0</v>
      </c>
      <c r="G3" s="14">
        <f t="shared" ref="G3:G4" si="0">LN(K3)</f>
        <v>2.7833431851376411</v>
      </c>
      <c r="H3" s="14">
        <f>(LN(M3)-LN(L3))/(2*1.96)</f>
        <v>1.1462822280226725</v>
      </c>
      <c r="I3" s="14" t="s">
        <v>218</v>
      </c>
      <c r="K3" s="103">
        <v>16.172999999999998</v>
      </c>
      <c r="L3" s="103">
        <v>1.7102619253088662</v>
      </c>
      <c r="M3" s="103">
        <v>152.94415661588968</v>
      </c>
      <c r="N3" s="155" t="s">
        <v>6361</v>
      </c>
    </row>
    <row r="4" spans="1:14" ht="16" x14ac:dyDescent="0.2">
      <c r="A4" s="14" t="s">
        <v>216</v>
      </c>
      <c r="C4" s="150"/>
      <c r="E4" s="14" t="s">
        <v>213</v>
      </c>
      <c r="F4" s="14">
        <v>0</v>
      </c>
      <c r="G4" s="14">
        <f t="shared" si="0"/>
        <v>-1.7092582477163114</v>
      </c>
      <c r="H4" s="14">
        <f>(LN(M4)-LN(L4))/(2*1.96)</f>
        <v>0.19772048546628376</v>
      </c>
      <c r="I4" s="14" t="s">
        <v>10280</v>
      </c>
      <c r="K4" s="103">
        <v>0.18099999999999999</v>
      </c>
      <c r="L4" s="103">
        <v>0.123</v>
      </c>
      <c r="M4" s="103">
        <v>0.26700000000000002</v>
      </c>
      <c r="N4" s="155" t="s">
        <v>10281</v>
      </c>
    </row>
    <row r="5" spans="1:14" ht="16" x14ac:dyDescent="0.2">
      <c r="C5" s="150"/>
    </row>
    <row r="6" spans="1:14" ht="16" x14ac:dyDescent="0.2">
      <c r="C6" s="150"/>
    </row>
    <row r="7" spans="1:14" ht="16" x14ac:dyDescent="0.2">
      <c r="C7" s="150"/>
    </row>
    <row r="8" spans="1:14" ht="16" x14ac:dyDescent="0.2">
      <c r="C8" s="150"/>
    </row>
    <row r="9" spans="1:14" ht="16" x14ac:dyDescent="0.2">
      <c r="C9" s="150"/>
    </row>
    <row r="10" spans="1:14" ht="16" x14ac:dyDescent="0.2">
      <c r="C10" s="150"/>
    </row>
    <row r="11" spans="1:14" ht="16" x14ac:dyDescent="0.2">
      <c r="C11" s="150"/>
    </row>
    <row r="12" spans="1:14" ht="16" x14ac:dyDescent="0.2">
      <c r="C12" s="150"/>
      <c r="K12" s="103"/>
      <c r="L12" s="103"/>
      <c r="M12" s="103"/>
      <c r="N12"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D5EF-DDA1-8C4C-8DBC-A19244F8C25C}">
  <sheetPr>
    <tabColor theme="5" tint="0.79998168889431442"/>
  </sheetPr>
  <dimension ref="A2:W14"/>
  <sheetViews>
    <sheetView zoomScale="81" zoomScaleNormal="120" workbookViewId="0">
      <pane xSplit="1" topLeftCell="B1" activePane="topRight" state="frozen"/>
      <selection activeCell="X9013" sqref="X9013"/>
      <selection pane="topRight" activeCell="A14" sqref="A14"/>
    </sheetView>
  </sheetViews>
  <sheetFormatPr baseColWidth="10" defaultRowHeight="15" x14ac:dyDescent="0.2"/>
  <cols>
    <col min="1" max="1" width="21" style="133" customWidth="1"/>
    <col min="2" max="2" width="24.5" style="133" customWidth="1"/>
    <col min="3" max="3" width="16.33203125" style="133" customWidth="1"/>
    <col min="4" max="4" width="13.5" style="133" customWidth="1"/>
    <col min="5" max="5" width="14.6640625" style="133" customWidth="1"/>
    <col min="6" max="6" width="15.5" style="133" customWidth="1"/>
    <col min="7" max="7" width="15.6640625" style="133" customWidth="1"/>
    <col min="8" max="8" width="14.33203125" style="133" customWidth="1"/>
    <col min="9" max="9" width="15.1640625" style="133" customWidth="1"/>
    <col min="10" max="10" width="14.5" style="133" customWidth="1"/>
    <col min="11" max="12" width="14.1640625" style="133" customWidth="1"/>
    <col min="13" max="14" width="10.83203125" style="133"/>
    <col min="15" max="15" width="15.83203125" style="133" customWidth="1"/>
    <col min="16" max="16384" width="10.83203125" style="133"/>
  </cols>
  <sheetData>
    <row r="2" spans="1:23" ht="19" x14ac:dyDescent="0.25">
      <c r="B2" s="109" t="s">
        <v>169</v>
      </c>
    </row>
    <row r="4" spans="1:23" x14ac:dyDescent="0.2">
      <c r="B4" s="133" t="s">
        <v>10354</v>
      </c>
    </row>
    <row r="5" spans="1:23" x14ac:dyDescent="0.2">
      <c r="O5" s="304" t="s">
        <v>190</v>
      </c>
      <c r="P5" s="304"/>
      <c r="Q5" s="304"/>
    </row>
    <row r="6" spans="1:23" ht="112" x14ac:dyDescent="0.2">
      <c r="A6" s="142" t="s">
        <v>170</v>
      </c>
      <c r="B6" s="143" t="s">
        <v>171</v>
      </c>
      <c r="C6" s="144" t="s">
        <v>195</v>
      </c>
      <c r="D6" s="143" t="s">
        <v>172</v>
      </c>
      <c r="E6" s="143" t="s">
        <v>173</v>
      </c>
      <c r="F6" s="143" t="s">
        <v>174</v>
      </c>
      <c r="G6" s="143" t="s">
        <v>175</v>
      </c>
      <c r="H6" s="143" t="s">
        <v>176</v>
      </c>
      <c r="I6" s="143" t="s">
        <v>177</v>
      </c>
      <c r="J6" s="143" t="s">
        <v>193</v>
      </c>
      <c r="K6" s="143" t="s">
        <v>178</v>
      </c>
      <c r="L6" s="143" t="s">
        <v>192</v>
      </c>
      <c r="M6" s="143" t="s">
        <v>180</v>
      </c>
      <c r="O6" s="143" t="s">
        <v>178</v>
      </c>
      <c r="P6" s="143" t="s">
        <v>179</v>
      </c>
      <c r="Q6" s="143" t="s">
        <v>194</v>
      </c>
      <c r="R6" s="143" t="s">
        <v>191</v>
      </c>
      <c r="T6" s="143" t="s">
        <v>178</v>
      </c>
      <c r="U6" s="143" t="s">
        <v>179</v>
      </c>
    </row>
    <row r="7" spans="1:23" ht="64" x14ac:dyDescent="0.2">
      <c r="A7" s="142" t="s">
        <v>93</v>
      </c>
      <c r="B7" s="145" t="s">
        <v>181</v>
      </c>
      <c r="C7" s="146">
        <v>4943</v>
      </c>
      <c r="D7" s="147">
        <v>10969</v>
      </c>
      <c r="E7" s="147">
        <f>SUM(C7:D7)</f>
        <v>15912</v>
      </c>
      <c r="F7" s="147">
        <v>12523</v>
      </c>
      <c r="G7" s="147">
        <f>E7-F7</f>
        <v>3389</v>
      </c>
      <c r="H7" s="147">
        <f>(C7-G7)</f>
        <v>1554</v>
      </c>
      <c r="I7" s="148">
        <f>(D7-G7)</f>
        <v>7580</v>
      </c>
      <c r="J7" s="148">
        <v>5283</v>
      </c>
      <c r="K7" s="149">
        <f t="shared" ref="K7:K14" si="0">(G7+H7)/(2*G7+H7+I7+J7)</f>
        <v>0.23321538098608163</v>
      </c>
      <c r="L7" s="149">
        <f t="shared" ref="L7:L14" si="1">(G7+I7+J7)/(2*G7+H7+I7+J7)</f>
        <v>0.76678461901391837</v>
      </c>
      <c r="M7" s="149">
        <f>SUM(K7:L7)</f>
        <v>1</v>
      </c>
      <c r="O7" s="247">
        <f>C7/(F7+J7)</f>
        <v>0.27760305514994943</v>
      </c>
      <c r="P7" s="247">
        <f>J7/(J7+F7)</f>
        <v>0.29669774233404472</v>
      </c>
      <c r="Q7" s="247">
        <f>I7/(F7+J7)</f>
        <v>0.42569920251600585</v>
      </c>
      <c r="R7" s="245">
        <f>O7+P7+Q7</f>
        <v>1</v>
      </c>
      <c r="S7" s="245"/>
      <c r="T7" s="246">
        <f>H7/(J7+F7)</f>
        <v>8.7273952600247104E-2</v>
      </c>
      <c r="U7" s="246">
        <f>J7/(J7+F7)</f>
        <v>0.29669774233404472</v>
      </c>
      <c r="V7" s="246">
        <f>I7/(F7+J7)</f>
        <v>0.42569920251600585</v>
      </c>
      <c r="W7" s="245">
        <f>SUM(T7:V7)</f>
        <v>0.80967089745029774</v>
      </c>
    </row>
    <row r="8" spans="1:23" ht="64" x14ac:dyDescent="0.2">
      <c r="A8" s="142" t="s">
        <v>28</v>
      </c>
      <c r="B8" s="145" t="s">
        <v>182</v>
      </c>
      <c r="C8" s="146">
        <v>5410</v>
      </c>
      <c r="D8" s="147">
        <v>9667</v>
      </c>
      <c r="E8" s="147">
        <f t="shared" ref="E8:E14" si="2">SUM(C8:D8)</f>
        <v>15077</v>
      </c>
      <c r="F8" s="147">
        <v>12523</v>
      </c>
      <c r="G8" s="147">
        <f t="shared" ref="G8:G14" si="3">E8-F8</f>
        <v>2554</v>
      </c>
      <c r="H8" s="147">
        <f t="shared" ref="H8:H14" si="4">(C8-G8)</f>
        <v>2856</v>
      </c>
      <c r="I8" s="148">
        <f t="shared" ref="I8:I14" si="5">(D8-G8)</f>
        <v>7113</v>
      </c>
      <c r="J8" s="148">
        <v>5283</v>
      </c>
      <c r="K8" s="149">
        <f t="shared" si="0"/>
        <v>0.26571709233791746</v>
      </c>
      <c r="L8" s="149">
        <f t="shared" si="1"/>
        <v>0.73428290766208248</v>
      </c>
      <c r="M8" s="149">
        <f t="shared" ref="M8:M14" si="6">SUM(K8:L8)</f>
        <v>1</v>
      </c>
      <c r="O8" s="247">
        <f t="shared" ref="O8:O14" si="7">C8/(F8+J8)</f>
        <v>0.30383016960575088</v>
      </c>
      <c r="P8" s="247">
        <f t="shared" ref="P8:P14" si="8">J8/(J8+F8)</f>
        <v>0.29669774233404472</v>
      </c>
      <c r="Q8" s="247">
        <f t="shared" ref="Q8:Q14" si="9">I8/(F8+J8)</f>
        <v>0.3994720880602044</v>
      </c>
      <c r="R8" s="245">
        <f t="shared" ref="R8:R14" si="10">O8+P8+Q8</f>
        <v>1</v>
      </c>
      <c r="S8" s="245"/>
      <c r="T8" s="246">
        <f t="shared" ref="T8:T14" si="11">H8/(J8+F8)</f>
        <v>0.16039537234640008</v>
      </c>
      <c r="U8" s="246">
        <f t="shared" ref="U8:U14" si="12">J8/(J8+F8)</f>
        <v>0.29669774233404472</v>
      </c>
      <c r="V8" s="246">
        <f t="shared" ref="V8:V14" si="13">I8/(F8+J8)</f>
        <v>0.3994720880602044</v>
      </c>
      <c r="W8" s="245">
        <f t="shared" ref="W8:W14" si="14">SUM(T8:V8)</f>
        <v>0.85656520274064918</v>
      </c>
    </row>
    <row r="9" spans="1:23" ht="48" x14ac:dyDescent="0.2">
      <c r="A9" s="142" t="s">
        <v>21</v>
      </c>
      <c r="B9" s="145" t="s">
        <v>183</v>
      </c>
      <c r="C9" s="146">
        <v>739</v>
      </c>
      <c r="D9" s="147">
        <v>12362</v>
      </c>
      <c r="E9" s="147">
        <f t="shared" si="2"/>
        <v>13101</v>
      </c>
      <c r="F9" s="147">
        <v>12523</v>
      </c>
      <c r="G9" s="147">
        <f t="shared" si="3"/>
        <v>578</v>
      </c>
      <c r="H9" s="147">
        <f t="shared" si="4"/>
        <v>161</v>
      </c>
      <c r="I9" s="148">
        <f t="shared" si="5"/>
        <v>11784</v>
      </c>
      <c r="J9" s="148">
        <v>5283</v>
      </c>
      <c r="K9" s="149">
        <f t="shared" si="0"/>
        <v>4.0197998259355959E-2</v>
      </c>
      <c r="L9" s="149">
        <f t="shared" si="1"/>
        <v>0.95980200174064401</v>
      </c>
      <c r="M9" s="149">
        <f t="shared" si="6"/>
        <v>1</v>
      </c>
      <c r="O9" s="247">
        <f t="shared" si="7"/>
        <v>4.1502864203077618E-2</v>
      </c>
      <c r="P9" s="247">
        <f t="shared" si="8"/>
        <v>0.29669774233404472</v>
      </c>
      <c r="Q9" s="247">
        <f t="shared" si="9"/>
        <v>0.66179939346287764</v>
      </c>
      <c r="R9" s="245">
        <f t="shared" si="10"/>
        <v>1</v>
      </c>
      <c r="S9" s="245"/>
      <c r="T9" s="246">
        <f t="shared" si="11"/>
        <v>9.041895990115692E-3</v>
      </c>
      <c r="U9" s="246">
        <f t="shared" si="12"/>
        <v>0.29669774233404472</v>
      </c>
      <c r="V9" s="246">
        <f t="shared" si="13"/>
        <v>0.66179939346287764</v>
      </c>
      <c r="W9" s="245">
        <f t="shared" si="14"/>
        <v>0.96753903178703804</v>
      </c>
    </row>
    <row r="10" spans="1:23" ht="64" x14ac:dyDescent="0.2">
      <c r="A10" s="142" t="s">
        <v>184</v>
      </c>
      <c r="B10" s="145" t="s">
        <v>185</v>
      </c>
      <c r="C10" s="146">
        <v>4787</v>
      </c>
      <c r="D10" s="147">
        <v>10808</v>
      </c>
      <c r="E10" s="147">
        <f t="shared" si="2"/>
        <v>15595</v>
      </c>
      <c r="F10" s="147">
        <v>12523</v>
      </c>
      <c r="G10" s="147">
        <f t="shared" si="3"/>
        <v>3072</v>
      </c>
      <c r="H10" s="147">
        <f t="shared" si="4"/>
        <v>1715</v>
      </c>
      <c r="I10" s="148">
        <f t="shared" si="5"/>
        <v>7736</v>
      </c>
      <c r="J10" s="148">
        <v>5283</v>
      </c>
      <c r="K10" s="149">
        <f t="shared" si="0"/>
        <v>0.22928441421592108</v>
      </c>
      <c r="L10" s="149">
        <f>(G10+I10+J10)/(2*G10+H10+I10+J10)</f>
        <v>0.77071558578407895</v>
      </c>
      <c r="M10" s="149">
        <f t="shared" si="6"/>
        <v>1</v>
      </c>
      <c r="O10" s="247">
        <f t="shared" si="7"/>
        <v>0.26884196338312927</v>
      </c>
      <c r="P10" s="247">
        <f t="shared" si="8"/>
        <v>0.29669774233404472</v>
      </c>
      <c r="Q10" s="247">
        <f t="shared" si="9"/>
        <v>0.43446029428282601</v>
      </c>
      <c r="R10" s="245">
        <f t="shared" si="10"/>
        <v>1</v>
      </c>
      <c r="S10" s="245"/>
      <c r="T10" s="246">
        <f t="shared" si="11"/>
        <v>9.6315848590362796E-2</v>
      </c>
      <c r="U10" s="246">
        <f t="shared" si="12"/>
        <v>0.29669774233404472</v>
      </c>
      <c r="V10" s="246">
        <f t="shared" si="13"/>
        <v>0.43446029428282601</v>
      </c>
      <c r="W10" s="245">
        <f t="shared" si="14"/>
        <v>0.82747388520723353</v>
      </c>
    </row>
    <row r="11" spans="1:23" ht="32" x14ac:dyDescent="0.2">
      <c r="A11" s="142" t="s">
        <v>29</v>
      </c>
      <c r="B11" s="145" t="s">
        <v>186</v>
      </c>
      <c r="C11" s="146">
        <v>5601</v>
      </c>
      <c r="D11" s="147">
        <v>11181</v>
      </c>
      <c r="E11" s="147">
        <f t="shared" si="2"/>
        <v>16782</v>
      </c>
      <c r="F11" s="147">
        <v>12523</v>
      </c>
      <c r="G11" s="147">
        <f t="shared" si="3"/>
        <v>4259</v>
      </c>
      <c r="H11" s="147">
        <f t="shared" si="4"/>
        <v>1342</v>
      </c>
      <c r="I11" s="148">
        <f t="shared" si="5"/>
        <v>6922</v>
      </c>
      <c r="J11" s="148">
        <v>5283</v>
      </c>
      <c r="K11" s="149">
        <f t="shared" si="0"/>
        <v>0.2538409245411285</v>
      </c>
      <c r="L11" s="149">
        <f t="shared" si="1"/>
        <v>0.7461590754588715</v>
      </c>
      <c r="M11" s="149">
        <f t="shared" si="6"/>
        <v>1</v>
      </c>
      <c r="O11" s="247">
        <f t="shared" si="7"/>
        <v>0.31455689093563965</v>
      </c>
      <c r="P11" s="247">
        <f t="shared" si="8"/>
        <v>0.29669774233404472</v>
      </c>
      <c r="Q11" s="247">
        <f t="shared" si="9"/>
        <v>0.38874536673031562</v>
      </c>
      <c r="R11" s="245">
        <f t="shared" si="10"/>
        <v>1</v>
      </c>
      <c r="S11" s="245"/>
      <c r="T11" s="246">
        <f t="shared" si="11"/>
        <v>7.5367853532517126E-2</v>
      </c>
      <c r="U11" s="246">
        <f t="shared" si="12"/>
        <v>0.29669774233404472</v>
      </c>
      <c r="V11" s="246">
        <f t="shared" si="13"/>
        <v>0.38874536673031562</v>
      </c>
      <c r="W11" s="245">
        <f t="shared" si="14"/>
        <v>0.76081096259687753</v>
      </c>
    </row>
    <row r="12" spans="1:23" ht="64" x14ac:dyDescent="0.2">
      <c r="A12" s="142" t="s">
        <v>30</v>
      </c>
      <c r="B12" s="145" t="s">
        <v>187</v>
      </c>
      <c r="C12" s="146">
        <v>7971</v>
      </c>
      <c r="D12" s="147">
        <v>7602</v>
      </c>
      <c r="E12" s="147">
        <f t="shared" si="2"/>
        <v>15573</v>
      </c>
      <c r="F12" s="147">
        <v>12523</v>
      </c>
      <c r="G12" s="147">
        <f t="shared" si="3"/>
        <v>3050</v>
      </c>
      <c r="H12" s="147">
        <f t="shared" si="4"/>
        <v>4921</v>
      </c>
      <c r="I12" s="148">
        <f t="shared" si="5"/>
        <v>4552</v>
      </c>
      <c r="J12" s="148">
        <v>5283</v>
      </c>
      <c r="K12" s="149">
        <f t="shared" si="0"/>
        <v>0.38219217491369389</v>
      </c>
      <c r="L12" s="149">
        <f t="shared" si="1"/>
        <v>0.61780782508630605</v>
      </c>
      <c r="M12" s="149">
        <f t="shared" si="6"/>
        <v>1</v>
      </c>
      <c r="O12" s="247">
        <f t="shared" si="7"/>
        <v>0.4476580927777154</v>
      </c>
      <c r="P12" s="247">
        <f t="shared" si="8"/>
        <v>0.29669774233404472</v>
      </c>
      <c r="Q12" s="247">
        <f t="shared" si="9"/>
        <v>0.25564416488823993</v>
      </c>
      <c r="R12" s="245">
        <f t="shared" si="10"/>
        <v>1</v>
      </c>
      <c r="S12" s="245"/>
      <c r="T12" s="246">
        <f t="shared" si="11"/>
        <v>0.27636751656744918</v>
      </c>
      <c r="U12" s="246">
        <f t="shared" si="12"/>
        <v>0.29669774233404472</v>
      </c>
      <c r="V12" s="246">
        <f t="shared" si="13"/>
        <v>0.25564416488823993</v>
      </c>
      <c r="W12" s="245">
        <f t="shared" si="14"/>
        <v>0.82870942378973389</v>
      </c>
    </row>
    <row r="13" spans="1:23" ht="64" x14ac:dyDescent="0.2">
      <c r="A13" s="142" t="s">
        <v>31</v>
      </c>
      <c r="B13" s="145" t="s">
        <v>188</v>
      </c>
      <c r="C13" s="146">
        <v>4662</v>
      </c>
      <c r="D13" s="147">
        <v>11954</v>
      </c>
      <c r="E13" s="147">
        <f t="shared" si="2"/>
        <v>16616</v>
      </c>
      <c r="F13" s="147">
        <v>12523</v>
      </c>
      <c r="G13" s="147">
        <f t="shared" si="3"/>
        <v>4093</v>
      </c>
      <c r="H13" s="147">
        <f t="shared" si="4"/>
        <v>569</v>
      </c>
      <c r="I13" s="148">
        <f t="shared" si="5"/>
        <v>7861</v>
      </c>
      <c r="J13" s="148">
        <v>5283</v>
      </c>
      <c r="K13" s="149">
        <f t="shared" si="0"/>
        <v>0.21288643317046441</v>
      </c>
      <c r="L13" s="149">
        <f t="shared" si="1"/>
        <v>0.78711356682953559</v>
      </c>
      <c r="M13" s="149">
        <f t="shared" si="6"/>
        <v>1</v>
      </c>
      <c r="O13" s="247">
        <f t="shared" si="7"/>
        <v>0.2618218578007413</v>
      </c>
      <c r="P13" s="247">
        <f t="shared" si="8"/>
        <v>0.29669774233404472</v>
      </c>
      <c r="Q13" s="247">
        <f t="shared" si="9"/>
        <v>0.44148039986521398</v>
      </c>
      <c r="R13" s="245">
        <f t="shared" si="10"/>
        <v>1</v>
      </c>
      <c r="S13" s="245"/>
      <c r="T13" s="246">
        <f t="shared" si="11"/>
        <v>3.1955520611029992E-2</v>
      </c>
      <c r="U13" s="246">
        <f t="shared" si="12"/>
        <v>0.29669774233404472</v>
      </c>
      <c r="V13" s="246">
        <f t="shared" si="13"/>
        <v>0.44148039986521398</v>
      </c>
      <c r="W13" s="245">
        <f t="shared" si="14"/>
        <v>0.77013366281028861</v>
      </c>
    </row>
    <row r="14" spans="1:23" ht="48" x14ac:dyDescent="0.2">
      <c r="A14" s="142" t="s">
        <v>22</v>
      </c>
      <c r="B14" s="145" t="s">
        <v>189</v>
      </c>
      <c r="C14" s="146">
        <v>3031</v>
      </c>
      <c r="D14" s="147">
        <v>10203</v>
      </c>
      <c r="E14" s="147">
        <f t="shared" si="2"/>
        <v>13234</v>
      </c>
      <c r="F14" s="147">
        <v>12523</v>
      </c>
      <c r="G14" s="147">
        <f t="shared" si="3"/>
        <v>711</v>
      </c>
      <c r="H14" s="147">
        <f t="shared" si="4"/>
        <v>2320</v>
      </c>
      <c r="I14" s="148">
        <f t="shared" si="5"/>
        <v>9492</v>
      </c>
      <c r="J14" s="148">
        <v>5283</v>
      </c>
      <c r="K14" s="149">
        <f t="shared" si="0"/>
        <v>0.16368742236863423</v>
      </c>
      <c r="L14" s="149">
        <f t="shared" si="1"/>
        <v>0.83631257763136579</v>
      </c>
      <c r="M14" s="149">
        <f t="shared" si="6"/>
        <v>1</v>
      </c>
      <c r="O14" s="247">
        <f t="shared" si="7"/>
        <v>0.17022352016174322</v>
      </c>
      <c r="P14" s="247">
        <f t="shared" si="8"/>
        <v>0.29669774233404472</v>
      </c>
      <c r="Q14" s="247">
        <f t="shared" si="9"/>
        <v>0.53307873750421209</v>
      </c>
      <c r="R14" s="245">
        <f t="shared" si="10"/>
        <v>1</v>
      </c>
      <c r="S14" s="245"/>
      <c r="T14" s="246">
        <f t="shared" si="11"/>
        <v>0.13029315960912052</v>
      </c>
      <c r="U14" s="246">
        <f t="shared" si="12"/>
        <v>0.29669774233404472</v>
      </c>
      <c r="V14" s="246">
        <f t="shared" si="13"/>
        <v>0.53307873750421209</v>
      </c>
      <c r="W14" s="245">
        <f t="shared" si="14"/>
        <v>0.96006963944737733</v>
      </c>
    </row>
  </sheetData>
  <mergeCells count="1">
    <mergeCell ref="O5:Q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DB5E-DF9F-5B41-8AB2-5676C295A53D}">
  <sheetPr>
    <tabColor theme="5" tint="0.79998168889431442"/>
  </sheetPr>
  <dimension ref="B2:P22"/>
  <sheetViews>
    <sheetView workbookViewId="0">
      <selection activeCell="H16" sqref="H16"/>
    </sheetView>
  </sheetViews>
  <sheetFormatPr baseColWidth="10" defaultRowHeight="15" x14ac:dyDescent="0.2"/>
  <cols>
    <col min="1" max="1" width="10.83203125" style="242" customWidth="1"/>
    <col min="2" max="16384" width="10.83203125" style="242"/>
  </cols>
  <sheetData>
    <row r="2" spans="2:16" x14ac:dyDescent="0.2">
      <c r="B2" s="244" t="s">
        <v>10306</v>
      </c>
    </row>
    <row r="4" spans="2:16" x14ac:dyDescent="0.2">
      <c r="B4" s="306" t="s">
        <v>10338</v>
      </c>
      <c r="C4" s="306"/>
      <c r="D4" s="306"/>
      <c r="E4" s="306"/>
      <c r="F4" s="306"/>
      <c r="G4" s="306"/>
      <c r="H4" s="306"/>
      <c r="I4" s="306"/>
      <c r="J4" s="306"/>
      <c r="K4" s="306"/>
    </row>
    <row r="5" spans="2:16" x14ac:dyDescent="0.2">
      <c r="B5" s="306"/>
      <c r="C5" s="306"/>
      <c r="D5" s="306"/>
      <c r="E5" s="306"/>
      <c r="F5" s="306"/>
      <c r="G5" s="306"/>
      <c r="H5" s="306"/>
      <c r="I5" s="306"/>
      <c r="J5" s="306"/>
      <c r="K5" s="306"/>
    </row>
    <row r="6" spans="2:16" x14ac:dyDescent="0.2">
      <c r="B6" s="306"/>
      <c r="C6" s="306"/>
      <c r="D6" s="306"/>
      <c r="E6" s="306"/>
      <c r="F6" s="306"/>
      <c r="G6" s="306"/>
      <c r="H6" s="306"/>
      <c r="I6" s="306"/>
      <c r="J6" s="306"/>
      <c r="K6" s="306"/>
    </row>
    <row r="8" spans="2:16" x14ac:dyDescent="0.2">
      <c r="B8" s="305" t="s">
        <v>10303</v>
      </c>
      <c r="C8" s="305"/>
      <c r="D8" s="305"/>
      <c r="E8" s="305"/>
      <c r="H8" s="305" t="s">
        <v>10307</v>
      </c>
      <c r="I8" s="305"/>
      <c r="J8" s="305"/>
      <c r="K8" s="305"/>
      <c r="N8" s="305" t="s">
        <v>10337</v>
      </c>
      <c r="O8" s="305"/>
      <c r="P8" s="305"/>
    </row>
    <row r="9" spans="2:16" x14ac:dyDescent="0.2">
      <c r="B9" s="240" t="s">
        <v>10283</v>
      </c>
      <c r="C9" s="240" t="s">
        <v>10294</v>
      </c>
      <c r="D9" s="240" t="s">
        <v>10295</v>
      </c>
      <c r="E9" s="240" t="s">
        <v>10296</v>
      </c>
      <c r="H9" s="241" t="s">
        <v>10301</v>
      </c>
      <c r="I9" s="240" t="s">
        <v>10285</v>
      </c>
      <c r="J9" s="240" t="s">
        <v>10286</v>
      </c>
      <c r="K9" s="240" t="s">
        <v>10284</v>
      </c>
      <c r="N9" s="237" t="s">
        <v>10308</v>
      </c>
      <c r="O9" s="237" t="s">
        <v>10309</v>
      </c>
      <c r="P9" s="237" t="s">
        <v>10310</v>
      </c>
    </row>
    <row r="10" spans="2:16" x14ac:dyDescent="0.2">
      <c r="B10" s="243" t="str" cm="1">
        <f t="array" ref="B10:B18">H10:H18</f>
        <v>Southeast Asia</v>
      </c>
      <c r="C10" s="243">
        <f t="shared" ref="C10:C18" si="0">I10/I$19</f>
        <v>0.32834703137110061</v>
      </c>
      <c r="D10" s="243">
        <f t="shared" ref="D10:D18" si="1">J10/J$19</f>
        <v>0.18266153224593423</v>
      </c>
      <c r="E10" s="243">
        <f t="shared" ref="E10:E18" si="2">K10/K$19</f>
        <v>0.20716998333310707</v>
      </c>
      <c r="H10" s="243" t="s">
        <v>30</v>
      </c>
      <c r="I10" s="243">
        <v>0.30052355800000002</v>
      </c>
      <c r="J10" s="243">
        <v>0.17476835700000001</v>
      </c>
      <c r="K10" s="243">
        <v>0.18787941</v>
      </c>
      <c r="N10" s="238" t="s">
        <v>10311</v>
      </c>
      <c r="O10" s="238" t="s">
        <v>10312</v>
      </c>
      <c r="P10" s="238" t="s">
        <v>10313</v>
      </c>
    </row>
    <row r="11" spans="2:16" x14ac:dyDescent="0.2">
      <c r="B11" s="243" t="str">
        <v>Northern regions</v>
      </c>
      <c r="C11" s="243">
        <f t="shared" si="0"/>
        <v>4.8053333782487051E-3</v>
      </c>
      <c r="D11" s="243">
        <f t="shared" si="1"/>
        <v>2.579813994568067E-3</v>
      </c>
      <c r="E11" s="243">
        <f t="shared" si="2"/>
        <v>3.2865479674646569E-3</v>
      </c>
      <c r="H11" s="243" t="s">
        <v>31</v>
      </c>
      <c r="I11" s="243">
        <v>4.3981389999999997E-3</v>
      </c>
      <c r="J11" s="243">
        <v>2.4683349999999999E-3</v>
      </c>
      <c r="K11" s="243">
        <v>2.9805220000000002E-3</v>
      </c>
      <c r="N11" s="238" t="s">
        <v>10314</v>
      </c>
      <c r="O11" s="238" t="s">
        <v>10315</v>
      </c>
      <c r="P11" s="238" t="s">
        <v>10316</v>
      </c>
    </row>
    <row r="12" spans="2:16" x14ac:dyDescent="0.2">
      <c r="B12" s="243" t="str">
        <v>Central Asia</v>
      </c>
      <c r="C12" s="243">
        <f t="shared" si="0"/>
        <v>9.9781407726149737E-3</v>
      </c>
      <c r="D12" s="243">
        <f t="shared" si="1"/>
        <v>1.8066338108188508E-2</v>
      </c>
      <c r="E12" s="243">
        <f t="shared" si="2"/>
        <v>1.2068098517880025E-2</v>
      </c>
      <c r="H12" s="243" t="s">
        <v>29</v>
      </c>
      <c r="I12" s="243">
        <v>9.1326129999999995E-3</v>
      </c>
      <c r="J12" s="243">
        <v>1.7285655E-2</v>
      </c>
      <c r="K12" s="243">
        <v>1.0944381E-2</v>
      </c>
      <c r="N12" s="238" t="s">
        <v>10317</v>
      </c>
      <c r="O12" s="238" t="s">
        <v>10318</v>
      </c>
      <c r="P12" s="238" t="s">
        <v>10319</v>
      </c>
    </row>
    <row r="13" spans="2:16" x14ac:dyDescent="0.2">
      <c r="B13" s="243" t="str">
        <v>Europe</v>
      </c>
      <c r="C13" s="243">
        <f t="shared" si="0"/>
        <v>4.0952245725942915E-2</v>
      </c>
      <c r="D13" s="243">
        <f t="shared" si="1"/>
        <v>1.5125203726954878E-2</v>
      </c>
      <c r="E13" s="243">
        <f t="shared" si="2"/>
        <v>2.2176711063814279E-2</v>
      </c>
      <c r="H13" s="243" t="s">
        <v>21</v>
      </c>
      <c r="I13" s="243">
        <v>3.7482033999999997E-2</v>
      </c>
      <c r="J13" s="243">
        <v>1.4471612999999999E-2</v>
      </c>
      <c r="K13" s="243">
        <v>2.0111733E-2</v>
      </c>
      <c r="N13" s="238" t="s">
        <v>10320</v>
      </c>
      <c r="O13" s="238" t="s">
        <v>10321</v>
      </c>
      <c r="P13" s="238" t="s">
        <v>10322</v>
      </c>
    </row>
    <row r="14" spans="2:16" x14ac:dyDescent="0.2">
      <c r="B14" s="243" t="str">
        <v>Africa &amp; Middle East</v>
      </c>
      <c r="C14" s="243">
        <f t="shared" si="0"/>
        <v>0.20853272141557472</v>
      </c>
      <c r="D14" s="243">
        <f t="shared" si="1"/>
        <v>9.7109148232477988E-2</v>
      </c>
      <c r="E14" s="243">
        <f t="shared" si="2"/>
        <v>0.2205386112736234</v>
      </c>
      <c r="H14" s="243" t="s">
        <v>94</v>
      </c>
      <c r="I14" s="243">
        <v>0.19086207399999999</v>
      </c>
      <c r="J14" s="243">
        <v>9.2912864999999997E-2</v>
      </c>
      <c r="K14" s="243">
        <v>0.20000322200000001</v>
      </c>
      <c r="N14" s="238" t="s">
        <v>10323</v>
      </c>
      <c r="O14" s="238" t="s">
        <v>10324</v>
      </c>
      <c r="P14" s="238" t="s">
        <v>10325</v>
      </c>
    </row>
    <row r="15" spans="2:16" x14ac:dyDescent="0.2">
      <c r="B15" s="243" t="str">
        <v>North America</v>
      </c>
      <c r="C15" s="243">
        <f t="shared" si="0"/>
        <v>5.9054667922886932E-2</v>
      </c>
      <c r="D15" s="243">
        <f t="shared" si="1"/>
        <v>2.1439842055205102E-2</v>
      </c>
      <c r="E15" s="243">
        <f t="shared" si="2"/>
        <v>3.0145306536277165E-2</v>
      </c>
      <c r="H15" s="243" t="s">
        <v>93</v>
      </c>
      <c r="I15" s="243">
        <v>5.4050492999999998E-2</v>
      </c>
      <c r="J15" s="243">
        <v>2.0513383E-2</v>
      </c>
      <c r="K15" s="243">
        <v>2.7338334999999998E-2</v>
      </c>
      <c r="N15" s="238" t="s">
        <v>10326</v>
      </c>
      <c r="O15" s="238"/>
      <c r="P15" s="238" t="s">
        <v>10327</v>
      </c>
    </row>
    <row r="16" spans="2:16" x14ac:dyDescent="0.2">
      <c r="B16" s="243" t="str">
        <v>Oceania</v>
      </c>
      <c r="C16" s="243">
        <f t="shared" si="0"/>
        <v>4.4678070713549303E-2</v>
      </c>
      <c r="D16" s="243">
        <f t="shared" si="1"/>
        <v>5.7944150242724833E-2</v>
      </c>
      <c r="E16" s="243">
        <f t="shared" si="2"/>
        <v>7.9845995913873508E-2</v>
      </c>
      <c r="H16" s="243" t="s">
        <v>22</v>
      </c>
      <c r="I16" s="243">
        <v>4.089214E-2</v>
      </c>
      <c r="J16" s="243">
        <v>5.5440266000000002E-2</v>
      </c>
      <c r="K16" s="243">
        <v>7.2411159000000003E-2</v>
      </c>
      <c r="N16" s="238" t="s">
        <v>10328</v>
      </c>
      <c r="O16" s="238"/>
      <c r="P16" s="238" t="s">
        <v>10329</v>
      </c>
    </row>
    <row r="17" spans="2:16" x14ac:dyDescent="0.2">
      <c r="B17" s="243" t="str">
        <v>Latin America</v>
      </c>
      <c r="C17" s="243">
        <f t="shared" si="0"/>
        <v>0.3036517887000818</v>
      </c>
      <c r="D17" s="243">
        <f t="shared" si="1"/>
        <v>8.7638778343672577E-2</v>
      </c>
      <c r="E17" s="243">
        <f t="shared" si="2"/>
        <v>0.42476874539395992</v>
      </c>
      <c r="H17" s="243" t="s">
        <v>28</v>
      </c>
      <c r="I17" s="243">
        <v>0.27792094099999998</v>
      </c>
      <c r="J17" s="243">
        <v>8.3851729E-2</v>
      </c>
      <c r="K17" s="243">
        <v>0.385216526</v>
      </c>
      <c r="N17" s="238" t="s">
        <v>10330</v>
      </c>
      <c r="O17" s="238"/>
      <c r="P17" s="238" t="s">
        <v>10331</v>
      </c>
    </row>
    <row r="18" spans="2:16" x14ac:dyDescent="0.2">
      <c r="B18" s="243" t="str">
        <v>open ocean</v>
      </c>
      <c r="C18" s="243">
        <f t="shared" si="0"/>
        <v>0</v>
      </c>
      <c r="D18" s="243">
        <f t="shared" si="1"/>
        <v>0.51743519305027386</v>
      </c>
      <c r="E18" s="243">
        <f t="shared" si="2"/>
        <v>0</v>
      </c>
      <c r="H18" s="243" t="s">
        <v>10300</v>
      </c>
      <c r="J18" s="243">
        <v>0.495075769</v>
      </c>
      <c r="N18" s="238"/>
      <c r="O18" s="238"/>
      <c r="P18" s="238" t="s">
        <v>10332</v>
      </c>
    </row>
    <row r="19" spans="2:16" x14ac:dyDescent="0.2">
      <c r="B19" s="243" t="s">
        <v>10302</v>
      </c>
      <c r="C19" s="242">
        <f>SUM(C10:C18)</f>
        <v>1</v>
      </c>
      <c r="D19" s="242">
        <f t="shared" ref="D19:E19" si="3">SUM(D10:D18)</f>
        <v>1</v>
      </c>
      <c r="E19" s="242">
        <f t="shared" si="3"/>
        <v>1</v>
      </c>
      <c r="H19" s="242" t="s">
        <v>10302</v>
      </c>
      <c r="I19" s="242">
        <f>SUM(I10:I18)</f>
        <v>0.91526199200000002</v>
      </c>
      <c r="J19" s="242">
        <f t="shared" ref="J19" si="4">SUM(J10:J18)</f>
        <v>0.95678797199999999</v>
      </c>
      <c r="K19" s="242">
        <f t="shared" ref="K19" si="5">SUM(K10:K18)</f>
        <v>0.90688528800000001</v>
      </c>
      <c r="N19" s="238"/>
      <c r="O19" s="238"/>
      <c r="P19" s="238" t="s">
        <v>10333</v>
      </c>
    </row>
    <row r="20" spans="2:16" x14ac:dyDescent="0.2">
      <c r="N20" s="238"/>
      <c r="O20" s="238"/>
      <c r="P20" s="238" t="s">
        <v>10334</v>
      </c>
    </row>
    <row r="21" spans="2:16" x14ac:dyDescent="0.2">
      <c r="N21" s="238"/>
      <c r="O21" s="238"/>
      <c r="P21" s="238" t="s">
        <v>10335</v>
      </c>
    </row>
    <row r="22" spans="2:16" x14ac:dyDescent="0.2">
      <c r="N22" s="238"/>
      <c r="O22" s="238"/>
      <c r="P22" s="238" t="s">
        <v>10336</v>
      </c>
    </row>
  </sheetData>
  <mergeCells count="4">
    <mergeCell ref="B8:E8"/>
    <mergeCell ref="H8:K8"/>
    <mergeCell ref="B4:K6"/>
    <mergeCell ref="N8:P8"/>
  </mergeCell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6907-2E1F-8D4F-B08F-7B547AEA7142}">
  <sheetPr>
    <tabColor theme="5" tint="0.79998168889431442"/>
  </sheetPr>
  <dimension ref="B1:L43"/>
  <sheetViews>
    <sheetView workbookViewId="0">
      <selection activeCell="L9" sqref="L9"/>
    </sheetView>
  </sheetViews>
  <sheetFormatPr baseColWidth="10" defaultRowHeight="15" x14ac:dyDescent="0.2"/>
  <cols>
    <col min="1" max="1" width="10.83203125" style="186"/>
    <col min="2" max="2" width="24.33203125" style="186" customWidth="1"/>
    <col min="3" max="3" width="22.83203125" style="186" customWidth="1"/>
    <col min="4" max="4" width="16.1640625" style="186" customWidth="1"/>
    <col min="5" max="5" width="19.83203125" style="186" customWidth="1"/>
    <col min="6" max="6" width="21.5" style="186" customWidth="1"/>
    <col min="7" max="9" width="10.83203125" style="186"/>
    <col min="10" max="10" width="17.83203125" style="186" bestFit="1" customWidth="1"/>
    <col min="11" max="11" width="18.83203125" style="186" bestFit="1" customWidth="1"/>
    <col min="12" max="12" width="19.33203125" style="186" bestFit="1" customWidth="1"/>
    <col min="13" max="16384" width="10.83203125" style="186"/>
  </cols>
  <sheetData>
    <row r="1" spans="2:12" x14ac:dyDescent="0.2">
      <c r="H1" s="187" t="s">
        <v>10265</v>
      </c>
      <c r="I1" s="186" t="s">
        <v>6368</v>
      </c>
      <c r="J1" s="186" t="s">
        <v>10266</v>
      </c>
      <c r="K1" s="186" t="s">
        <v>10267</v>
      </c>
      <c r="L1" s="186" t="s">
        <v>10268</v>
      </c>
    </row>
    <row r="2" spans="2:12" x14ac:dyDescent="0.2">
      <c r="I2" s="186" t="s">
        <v>5</v>
      </c>
      <c r="J2" s="188">
        <f>_xlfn.XLOOKUP(I2,$B$9:$B$19,$E$9:$E$19,,0)</f>
        <v>1.1085844229675953E-2</v>
      </c>
      <c r="K2" s="188">
        <f>_xlfn.XLOOKUP(I2,$B$29:$B$32,$D$29:$D$32,,0)</f>
        <v>1.7038007863695939E-2</v>
      </c>
      <c r="L2" s="188" t="e">
        <f>_xlfn.XLOOKUP(I2,$B$37:$B$42,$D$37:$D$42,,0)</f>
        <v>#N/A</v>
      </c>
    </row>
    <row r="3" spans="2:12" ht="26" x14ac:dyDescent="0.3">
      <c r="B3" s="189" t="s">
        <v>10270</v>
      </c>
      <c r="I3" s="186" t="s">
        <v>0</v>
      </c>
      <c r="J3" s="188">
        <f t="shared" ref="J3:J12" si="0">_xlfn.XLOOKUP(I3,$B$9:$B$19,$E$9:$E$19,,0)</f>
        <v>0.17055144968732236</v>
      </c>
      <c r="K3" s="188">
        <f t="shared" ref="K3:K12" si="1">_xlfn.XLOOKUP(I3,$B$29:$B$32,$D$29:$D$32,,0)</f>
        <v>0.26212319790301442</v>
      </c>
      <c r="L3" s="188" t="e">
        <f t="shared" ref="L3:L12" si="2">_xlfn.XLOOKUP(I3,$B$37:$B$42,$D$37:$D$42,,0)</f>
        <v>#N/A</v>
      </c>
    </row>
    <row r="4" spans="2:12" x14ac:dyDescent="0.2">
      <c r="I4" s="186" t="s">
        <v>1</v>
      </c>
      <c r="J4" s="188">
        <f t="shared" si="0"/>
        <v>0.26340723896153118</v>
      </c>
      <c r="K4" s="188">
        <f t="shared" si="1"/>
        <v>0.40483471676132227</v>
      </c>
      <c r="L4" s="188" t="e">
        <f t="shared" si="2"/>
        <v>#N/A</v>
      </c>
    </row>
    <row r="5" spans="2:12" x14ac:dyDescent="0.2">
      <c r="B5" s="186" t="s">
        <v>10271</v>
      </c>
      <c r="I5" s="186" t="s">
        <v>13</v>
      </c>
      <c r="J5" s="188">
        <f t="shared" si="0"/>
        <v>6.4620049270418811E-2</v>
      </c>
      <c r="K5" s="188" t="e">
        <f t="shared" si="1"/>
        <v>#N/A</v>
      </c>
      <c r="L5" s="188">
        <f t="shared" si="2"/>
        <v>0.18497423379441283</v>
      </c>
    </row>
    <row r="6" spans="2:12" ht="21" x14ac:dyDescent="0.25">
      <c r="B6" s="190"/>
      <c r="I6" s="186" t="s">
        <v>2</v>
      </c>
      <c r="J6" s="188">
        <f t="shared" si="0"/>
        <v>0.2075042637862422</v>
      </c>
      <c r="K6" s="188" t="e">
        <f t="shared" si="1"/>
        <v>#N/A</v>
      </c>
      <c r="L6" s="188">
        <f t="shared" si="2"/>
        <v>0.59397884458909689</v>
      </c>
    </row>
    <row r="7" spans="2:12" ht="16" x14ac:dyDescent="0.2">
      <c r="B7" s="191" t="s">
        <v>10248</v>
      </c>
      <c r="I7" s="186" t="s">
        <v>3</v>
      </c>
      <c r="J7" s="188">
        <f t="shared" si="0"/>
        <v>0.20560924767860528</v>
      </c>
      <c r="K7" s="188">
        <f t="shared" si="1"/>
        <v>0.3160040774719674</v>
      </c>
      <c r="L7" s="188" t="e">
        <f t="shared" si="2"/>
        <v>#N/A</v>
      </c>
    </row>
    <row r="8" spans="2:12" ht="38.5" customHeight="1" thickBot="1" x14ac:dyDescent="0.25">
      <c r="B8" s="192" t="s">
        <v>10249</v>
      </c>
      <c r="C8" s="193" t="s">
        <v>10250</v>
      </c>
      <c r="D8" s="193" t="s">
        <v>10251</v>
      </c>
      <c r="E8" s="193" t="s">
        <v>10252</v>
      </c>
      <c r="F8" s="194" t="s">
        <v>10253</v>
      </c>
      <c r="I8" s="186" t="s">
        <v>23</v>
      </c>
      <c r="J8" s="188">
        <f t="shared" si="0"/>
        <v>4.7375402690922878E-2</v>
      </c>
      <c r="K8" s="188" t="e">
        <f>_xlfn.XLOOKUP(I8,$B$29:$B$32,$D$29:$D$32,,0)</f>
        <v>#N/A</v>
      </c>
      <c r="L8" s="188">
        <f t="shared" si="2"/>
        <v>0.13561160835367508</v>
      </c>
    </row>
    <row r="9" spans="2:12" x14ac:dyDescent="0.2">
      <c r="B9" s="195" t="s">
        <v>5</v>
      </c>
      <c r="C9" s="196">
        <f>[4]studies_review!C34*0.000001</f>
        <v>0.11699999999999999</v>
      </c>
      <c r="D9" s="197">
        <f>C9/$C$20</f>
        <v>9.4706168042739194E-3</v>
      </c>
      <c r="E9" s="198">
        <f>C9/$C$21</f>
        <v>1.1085844229675953E-2</v>
      </c>
      <c r="F9" s="199" t="s">
        <v>10254</v>
      </c>
      <c r="I9" s="186" t="s">
        <v>4</v>
      </c>
      <c r="J9" s="188">
        <f t="shared" si="0"/>
        <v>2.9846503695281416E-2</v>
      </c>
      <c r="K9" s="188" t="e">
        <f t="shared" si="1"/>
        <v>#N/A</v>
      </c>
      <c r="L9" s="188">
        <f t="shared" si="2"/>
        <v>8.5435313262815296E-2</v>
      </c>
    </row>
    <row r="10" spans="2:12" x14ac:dyDescent="0.2">
      <c r="B10" s="195" t="s">
        <v>0</v>
      </c>
      <c r="C10" s="196">
        <f>[4]studies_review!C30*0.000001</f>
        <v>1.7999999999999998</v>
      </c>
      <c r="D10" s="197">
        <f t="shared" ref="D10:D16" si="3">C10/$C$20</f>
        <v>0.14570179698882951</v>
      </c>
      <c r="E10" s="198">
        <f t="shared" ref="E10:E16" si="4">C10/$C$21</f>
        <v>0.17055144968732236</v>
      </c>
      <c r="F10" s="199" t="s">
        <v>10254</v>
      </c>
      <c r="I10" s="186" t="s">
        <v>165</v>
      </c>
      <c r="J10" s="188">
        <f t="shared" si="0"/>
        <v>0</v>
      </c>
      <c r="K10" s="188" t="e">
        <f t="shared" si="1"/>
        <v>#N/A</v>
      </c>
      <c r="L10" s="188">
        <f t="shared" si="2"/>
        <v>0</v>
      </c>
    </row>
    <row r="11" spans="2:12" x14ac:dyDescent="0.2">
      <c r="B11" s="195" t="s">
        <v>1</v>
      </c>
      <c r="C11" s="196">
        <f>[4]studies_review!C31*0.000001</f>
        <v>2.78</v>
      </c>
      <c r="D11" s="197">
        <f t="shared" si="3"/>
        <v>0.22502833090497004</v>
      </c>
      <c r="E11" s="198">
        <f t="shared" si="4"/>
        <v>0.26340723896153118</v>
      </c>
      <c r="F11" s="199" t="s">
        <v>10254</v>
      </c>
      <c r="I11" s="186" t="s">
        <v>10</v>
      </c>
      <c r="J11" s="188">
        <f t="shared" si="0"/>
        <v>0</v>
      </c>
      <c r="K11" s="188" t="e">
        <f t="shared" si="1"/>
        <v>#N/A</v>
      </c>
      <c r="L11" s="188">
        <f t="shared" si="2"/>
        <v>0</v>
      </c>
    </row>
    <row r="12" spans="2:12" x14ac:dyDescent="0.2">
      <c r="B12" s="195" t="s">
        <v>13</v>
      </c>
      <c r="C12" s="195">
        <f>[4]studies_review!C51</f>
        <v>0.68200000000000005</v>
      </c>
      <c r="D12" s="197">
        <f t="shared" si="3"/>
        <v>5.5204791970212087E-2</v>
      </c>
      <c r="E12" s="198">
        <f t="shared" si="4"/>
        <v>6.4620049270418811E-2</v>
      </c>
      <c r="F12" s="199" t="s">
        <v>10255</v>
      </c>
      <c r="I12" s="186" t="s">
        <v>6</v>
      </c>
      <c r="J12" s="188">
        <f t="shared" si="0"/>
        <v>0</v>
      </c>
      <c r="K12" s="188" t="e">
        <f t="shared" si="1"/>
        <v>#N/A</v>
      </c>
      <c r="L12" s="188" t="e">
        <f t="shared" si="2"/>
        <v>#N/A</v>
      </c>
    </row>
    <row r="13" spans="2:12" x14ac:dyDescent="0.2">
      <c r="B13" s="195" t="s">
        <v>2</v>
      </c>
      <c r="C13" s="196">
        <f>[4]studies_review!C37*0.000001</f>
        <v>2.19</v>
      </c>
      <c r="D13" s="197">
        <f t="shared" si="3"/>
        <v>0.17727051966974261</v>
      </c>
      <c r="E13" s="198">
        <f t="shared" si="4"/>
        <v>0.2075042637862422</v>
      </c>
      <c r="F13" s="199" t="s">
        <v>10254</v>
      </c>
    </row>
    <row r="14" spans="2:12" x14ac:dyDescent="0.2">
      <c r="B14" s="195" t="s">
        <v>3</v>
      </c>
      <c r="C14" s="196">
        <f>[4]studies_review!C32*0.000001</f>
        <v>2.17</v>
      </c>
      <c r="D14" s="197">
        <f t="shared" si="3"/>
        <v>0.17565161081431116</v>
      </c>
      <c r="E14" s="198">
        <f t="shared" si="4"/>
        <v>0.20560924767860528</v>
      </c>
      <c r="F14" s="199" t="s">
        <v>10254</v>
      </c>
    </row>
    <row r="15" spans="2:12" x14ac:dyDescent="0.2">
      <c r="B15" s="195" t="s">
        <v>23</v>
      </c>
      <c r="C15" s="195">
        <f>[4]studies_review!C16</f>
        <v>0.5</v>
      </c>
      <c r="D15" s="197">
        <f t="shared" si="3"/>
        <v>4.0472721385785983E-2</v>
      </c>
      <c r="E15" s="198">
        <f t="shared" si="4"/>
        <v>4.7375402690922878E-2</v>
      </c>
      <c r="F15" s="199" t="s">
        <v>10256</v>
      </c>
    </row>
    <row r="16" spans="2:12" x14ac:dyDescent="0.2">
      <c r="B16" s="195" t="s">
        <v>4</v>
      </c>
      <c r="C16" s="196">
        <f>[4]studies_review!C35*0.000001</f>
        <v>0.315</v>
      </c>
      <c r="D16" s="197">
        <f t="shared" si="3"/>
        <v>2.549781447304517E-2</v>
      </c>
      <c r="E16" s="198">
        <f t="shared" si="4"/>
        <v>2.9846503695281416E-2</v>
      </c>
      <c r="F16" s="199" t="s">
        <v>10254</v>
      </c>
    </row>
    <row r="17" spans="2:6" x14ac:dyDescent="0.2">
      <c r="B17" s="195" t="s">
        <v>165</v>
      </c>
      <c r="C17" s="195" t="s">
        <v>10257</v>
      </c>
      <c r="D17" s="197">
        <v>0</v>
      </c>
      <c r="E17" s="197">
        <v>0</v>
      </c>
      <c r="F17" s="200"/>
    </row>
    <row r="18" spans="2:6" x14ac:dyDescent="0.2">
      <c r="B18" s="195" t="s">
        <v>10</v>
      </c>
      <c r="C18" s="195" t="s">
        <v>10258</v>
      </c>
      <c r="D18" s="197">
        <v>0</v>
      </c>
      <c r="E18" s="197">
        <v>0</v>
      </c>
      <c r="F18" s="200"/>
    </row>
    <row r="19" spans="2:6" x14ac:dyDescent="0.2">
      <c r="B19" s="195" t="s">
        <v>6</v>
      </c>
      <c r="C19" s="195">
        <f>[4]studies_review!C20</f>
        <v>1.8</v>
      </c>
      <c r="D19" s="197">
        <f>C19/$C$20</f>
        <v>0.14570179698882954</v>
      </c>
      <c r="E19" s="201"/>
      <c r="F19" s="199" t="s">
        <v>10256</v>
      </c>
    </row>
    <row r="20" spans="2:6" x14ac:dyDescent="0.2">
      <c r="B20" s="202" t="s">
        <v>180</v>
      </c>
      <c r="C20" s="203">
        <f>SUM(C9:C19)</f>
        <v>12.353999999999999</v>
      </c>
      <c r="D20" s="204">
        <f>C20/$C$20</f>
        <v>1</v>
      </c>
      <c r="E20" s="205"/>
      <c r="F20" s="206"/>
    </row>
    <row r="21" spans="2:6" x14ac:dyDescent="0.2">
      <c r="B21" s="207" t="s">
        <v>10259</v>
      </c>
      <c r="C21" s="208">
        <f>SUM(C9:C18)</f>
        <v>10.553999999999998</v>
      </c>
      <c r="D21" s="209"/>
      <c r="E21" s="210">
        <f>SUM(E9:E16)</f>
        <v>1</v>
      </c>
      <c r="F21" s="211"/>
    </row>
    <row r="23" spans="2:6" x14ac:dyDescent="0.2">
      <c r="B23" s="186" t="s">
        <v>10260</v>
      </c>
    </row>
    <row r="24" spans="2:6" x14ac:dyDescent="0.2">
      <c r="B24" s="186" t="s">
        <v>10261</v>
      </c>
    </row>
    <row r="25" spans="2:6" x14ac:dyDescent="0.2">
      <c r="B25" s="212" t="s">
        <v>10262</v>
      </c>
    </row>
    <row r="27" spans="2:6" ht="16" x14ac:dyDescent="0.2">
      <c r="B27" s="191" t="s">
        <v>10263</v>
      </c>
    </row>
    <row r="28" spans="2:6" ht="33" thickBot="1" x14ac:dyDescent="0.25">
      <c r="B28" s="192" t="s">
        <v>10249</v>
      </c>
      <c r="C28" s="213" t="s">
        <v>10250</v>
      </c>
      <c r="D28" s="214" t="s">
        <v>10251</v>
      </c>
      <c r="E28" s="193" t="s">
        <v>10253</v>
      </c>
    </row>
    <row r="29" spans="2:6" x14ac:dyDescent="0.2">
      <c r="B29" s="195" t="s">
        <v>5</v>
      </c>
      <c r="C29" s="215">
        <f>C9</f>
        <v>0.11699999999999999</v>
      </c>
      <c r="D29" s="198">
        <f>C29/$C$33</f>
        <v>1.7038007863695939E-2</v>
      </c>
      <c r="E29" s="195" t="s">
        <v>10254</v>
      </c>
    </row>
    <row r="30" spans="2:6" x14ac:dyDescent="0.2">
      <c r="B30" s="195" t="s">
        <v>0</v>
      </c>
      <c r="C30" s="215">
        <f>C10</f>
        <v>1.7999999999999998</v>
      </c>
      <c r="D30" s="198">
        <f t="shared" ref="D30:D32" si="5">C30/$C$33</f>
        <v>0.26212319790301442</v>
      </c>
      <c r="E30" s="195" t="s">
        <v>10254</v>
      </c>
    </row>
    <row r="31" spans="2:6" x14ac:dyDescent="0.2">
      <c r="B31" s="195" t="s">
        <v>1</v>
      </c>
      <c r="C31" s="215">
        <f>C11</f>
        <v>2.78</v>
      </c>
      <c r="D31" s="198">
        <f t="shared" si="5"/>
        <v>0.40483471676132227</v>
      </c>
      <c r="E31" s="195" t="s">
        <v>10254</v>
      </c>
    </row>
    <row r="32" spans="2:6" x14ac:dyDescent="0.2">
      <c r="B32" s="216" t="s">
        <v>3</v>
      </c>
      <c r="C32" s="217">
        <f>C14</f>
        <v>2.17</v>
      </c>
      <c r="D32" s="198">
        <f t="shared" si="5"/>
        <v>0.3160040774719674</v>
      </c>
      <c r="E32" s="216" t="s">
        <v>10254</v>
      </c>
    </row>
    <row r="33" spans="2:5" x14ac:dyDescent="0.2">
      <c r="B33" s="218" t="s">
        <v>180</v>
      </c>
      <c r="C33" s="219">
        <f>SUM(C29:C32)</f>
        <v>6.8669999999999991</v>
      </c>
      <c r="D33" s="220">
        <f>C33/$C$33</f>
        <v>1</v>
      </c>
      <c r="E33" s="221"/>
    </row>
    <row r="34" spans="2:5" x14ac:dyDescent="0.2">
      <c r="D34" s="222"/>
    </row>
    <row r="35" spans="2:5" ht="16" x14ac:dyDescent="0.2">
      <c r="B35" s="191" t="s">
        <v>10264</v>
      </c>
      <c r="D35" s="222"/>
    </row>
    <row r="36" spans="2:5" ht="33" thickBot="1" x14ac:dyDescent="0.25">
      <c r="B36" s="192" t="s">
        <v>10249</v>
      </c>
      <c r="C36" s="213" t="s">
        <v>10250</v>
      </c>
      <c r="D36" s="214" t="s">
        <v>10251</v>
      </c>
      <c r="E36" s="193" t="s">
        <v>10253</v>
      </c>
    </row>
    <row r="37" spans="2:5" x14ac:dyDescent="0.2">
      <c r="B37" s="195" t="s">
        <v>13</v>
      </c>
      <c r="C37" s="186">
        <f>C12</f>
        <v>0.68200000000000005</v>
      </c>
      <c r="D37" s="198">
        <f>C37/$C$43</f>
        <v>0.18497423379441283</v>
      </c>
      <c r="E37" s="199" t="s">
        <v>10255</v>
      </c>
    </row>
    <row r="38" spans="2:5" x14ac:dyDescent="0.2">
      <c r="B38" s="195" t="s">
        <v>2</v>
      </c>
      <c r="C38" s="215">
        <f>C13</f>
        <v>2.19</v>
      </c>
      <c r="D38" s="198">
        <f t="shared" ref="D38:D40" si="6">C38/$C$43</f>
        <v>0.59397884458909689</v>
      </c>
      <c r="E38" s="199" t="s">
        <v>10254</v>
      </c>
    </row>
    <row r="39" spans="2:5" x14ac:dyDescent="0.2">
      <c r="B39" s="195" t="s">
        <v>23</v>
      </c>
      <c r="C39" s="186">
        <f>C15</f>
        <v>0.5</v>
      </c>
      <c r="D39" s="198">
        <f t="shared" si="6"/>
        <v>0.13561160835367508</v>
      </c>
      <c r="E39" s="199" t="s">
        <v>10256</v>
      </c>
    </row>
    <row r="40" spans="2:5" x14ac:dyDescent="0.2">
      <c r="B40" s="195" t="s">
        <v>4</v>
      </c>
      <c r="C40" s="215">
        <f>C16</f>
        <v>0.315</v>
      </c>
      <c r="D40" s="198">
        <f t="shared" si="6"/>
        <v>8.5435313262815296E-2</v>
      </c>
      <c r="E40" s="199" t="s">
        <v>10254</v>
      </c>
    </row>
    <row r="41" spans="2:5" x14ac:dyDescent="0.2">
      <c r="B41" s="195" t="s">
        <v>165</v>
      </c>
      <c r="C41" s="186" t="s">
        <v>10258</v>
      </c>
      <c r="D41" s="223"/>
      <c r="E41" s="224"/>
    </row>
    <row r="42" spans="2:5" x14ac:dyDescent="0.2">
      <c r="B42" s="216" t="s">
        <v>10</v>
      </c>
      <c r="C42" s="225" t="s">
        <v>10258</v>
      </c>
      <c r="D42" s="223"/>
      <c r="E42" s="226"/>
    </row>
    <row r="43" spans="2:5" x14ac:dyDescent="0.2">
      <c r="B43" s="218" t="s">
        <v>180</v>
      </c>
      <c r="C43" s="227">
        <f>SUM(C37:C40)</f>
        <v>3.6869999999999998</v>
      </c>
      <c r="D43" s="220">
        <f>C43/$C$43</f>
        <v>1</v>
      </c>
      <c r="E43" s="228"/>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A5D4-D308-4547-A34B-236B232FDE3A}">
  <dimension ref="A1:E9863"/>
  <sheetViews>
    <sheetView workbookViewId="0">
      <selection activeCell="D12" sqref="D12"/>
    </sheetView>
  </sheetViews>
  <sheetFormatPr baseColWidth="10" defaultRowHeight="15" x14ac:dyDescent="0.2"/>
  <cols>
    <col min="1" max="1" width="14.5" style="140" bestFit="1" customWidth="1"/>
    <col min="2" max="2" width="18" style="141" bestFit="1" customWidth="1"/>
    <col min="3" max="3" width="11.5" style="232"/>
    <col min="4" max="4" width="11.5" style="232" bestFit="1" customWidth="1"/>
    <col min="5" max="5" width="16.5" style="232" bestFit="1" customWidth="1"/>
    <col min="6" max="16384" width="10.83203125" style="139"/>
  </cols>
  <sheetData>
    <row r="1" spans="1:5" x14ac:dyDescent="0.2">
      <c r="A1" s="229" t="s">
        <v>6377</v>
      </c>
      <c r="B1" s="230" t="s">
        <v>10220</v>
      </c>
      <c r="C1" s="231"/>
      <c r="D1" s="108"/>
      <c r="E1" s="108"/>
    </row>
    <row r="2" spans="1:5" x14ac:dyDescent="0.2">
      <c r="A2" s="140" t="s">
        <v>6378</v>
      </c>
      <c r="B2" s="141">
        <v>6.8726142988223602</v>
      </c>
      <c r="D2" s="141"/>
    </row>
    <row r="3" spans="1:5" x14ac:dyDescent="0.2">
      <c r="A3" s="140" t="s">
        <v>6379</v>
      </c>
      <c r="B3" s="141">
        <v>2.2308159430408701</v>
      </c>
      <c r="D3" s="141"/>
    </row>
    <row r="4" spans="1:5" x14ac:dyDescent="0.2">
      <c r="A4" s="140" t="s">
        <v>3077</v>
      </c>
      <c r="B4" s="141">
        <v>2.0748860804170302</v>
      </c>
      <c r="D4" s="141"/>
    </row>
    <row r="5" spans="1:5" x14ac:dyDescent="0.2">
      <c r="A5" s="140" t="s">
        <v>6380</v>
      </c>
      <c r="B5" s="141">
        <v>1.84136015896407</v>
      </c>
      <c r="D5" s="141"/>
    </row>
    <row r="6" spans="1:5" x14ac:dyDescent="0.2">
      <c r="A6" s="140" t="s">
        <v>6381</v>
      </c>
      <c r="B6" s="141">
        <v>1.7582067855143799</v>
      </c>
      <c r="D6" s="141"/>
    </row>
    <row r="7" spans="1:5" x14ac:dyDescent="0.2">
      <c r="A7" s="140" t="s">
        <v>6382</v>
      </c>
      <c r="B7" s="141">
        <v>1.6966044384146099</v>
      </c>
      <c r="D7" s="141"/>
    </row>
    <row r="8" spans="1:5" x14ac:dyDescent="0.2">
      <c r="A8" s="140" t="s">
        <v>4858</v>
      </c>
      <c r="B8" s="141">
        <v>1.53301967560477</v>
      </c>
      <c r="D8" s="141"/>
    </row>
    <row r="9" spans="1:5" x14ac:dyDescent="0.2">
      <c r="A9" s="140" t="s">
        <v>4333</v>
      </c>
      <c r="B9" s="141">
        <v>1.1889993513295301</v>
      </c>
      <c r="D9" s="141"/>
    </row>
    <row r="10" spans="1:5" x14ac:dyDescent="0.2">
      <c r="A10" s="140" t="s">
        <v>6383</v>
      </c>
      <c r="B10" s="141">
        <v>0.91207909793038799</v>
      </c>
      <c r="D10" s="141"/>
    </row>
    <row r="11" spans="1:5" x14ac:dyDescent="0.2">
      <c r="A11" s="140" t="s">
        <v>6384</v>
      </c>
      <c r="B11" s="141">
        <v>0.83936849177308503</v>
      </c>
      <c r="D11" s="141"/>
    </row>
    <row r="12" spans="1:5" x14ac:dyDescent="0.2">
      <c r="A12" s="140" t="s">
        <v>6385</v>
      </c>
      <c r="B12" s="141">
        <v>0.62785220569024403</v>
      </c>
      <c r="D12" s="141"/>
    </row>
    <row r="13" spans="1:5" x14ac:dyDescent="0.2">
      <c r="A13" s="140" t="s">
        <v>2807</v>
      </c>
      <c r="B13" s="141">
        <v>0.46926854492828302</v>
      </c>
      <c r="D13" s="141"/>
    </row>
    <row r="14" spans="1:5" x14ac:dyDescent="0.2">
      <c r="A14" s="140" t="s">
        <v>2604</v>
      </c>
      <c r="B14" s="141">
        <v>0.30689145282094199</v>
      </c>
      <c r="D14" s="141"/>
    </row>
    <row r="15" spans="1:5" x14ac:dyDescent="0.2">
      <c r="A15" s="140" t="s">
        <v>6386</v>
      </c>
      <c r="B15" s="141">
        <v>0.29436218603341202</v>
      </c>
      <c r="D15" s="141"/>
    </row>
    <row r="16" spans="1:5" x14ac:dyDescent="0.2">
      <c r="A16" s="140" t="s">
        <v>6387</v>
      </c>
      <c r="B16" s="141">
        <v>0.29436218603341202</v>
      </c>
      <c r="D16" s="141"/>
    </row>
    <row r="17" spans="1:4" x14ac:dyDescent="0.2">
      <c r="A17" s="140" t="s">
        <v>6388</v>
      </c>
      <c r="B17" s="141">
        <v>0.29409746625605698</v>
      </c>
      <c r="D17" s="141"/>
    </row>
    <row r="18" spans="1:4" x14ac:dyDescent="0.2">
      <c r="A18" s="140" t="s">
        <v>1435</v>
      </c>
      <c r="B18" s="141">
        <v>0.28768290258882601</v>
      </c>
      <c r="D18" s="141"/>
    </row>
    <row r="19" spans="1:4" x14ac:dyDescent="0.2">
      <c r="A19" s="140" t="s">
        <v>6389</v>
      </c>
      <c r="B19" s="141">
        <v>0.28326168010887498</v>
      </c>
      <c r="D19" s="141"/>
    </row>
    <row r="20" spans="1:4" x14ac:dyDescent="0.2">
      <c r="A20" s="140" t="s">
        <v>3878</v>
      </c>
      <c r="B20" s="141">
        <v>0.28326168010887498</v>
      </c>
      <c r="D20" s="141"/>
    </row>
    <row r="21" spans="1:4" x14ac:dyDescent="0.2">
      <c r="A21" s="140" t="s">
        <v>6390</v>
      </c>
      <c r="B21" s="141">
        <v>0.28326168010887498</v>
      </c>
      <c r="D21" s="141"/>
    </row>
    <row r="22" spans="1:4" x14ac:dyDescent="0.2">
      <c r="A22" s="140" t="s">
        <v>6391</v>
      </c>
      <c r="B22" s="141">
        <v>0.28326168010887498</v>
      </c>
      <c r="D22" s="141"/>
    </row>
    <row r="23" spans="1:4" x14ac:dyDescent="0.2">
      <c r="A23" s="140" t="s">
        <v>6392</v>
      </c>
      <c r="B23" s="141">
        <v>0.28326168010887498</v>
      </c>
      <c r="D23" s="141"/>
    </row>
    <row r="24" spans="1:4" x14ac:dyDescent="0.2">
      <c r="A24" s="140" t="s">
        <v>6393</v>
      </c>
      <c r="B24" s="141">
        <v>0.28326168010887498</v>
      </c>
      <c r="D24" s="141"/>
    </row>
    <row r="25" spans="1:4" x14ac:dyDescent="0.2">
      <c r="A25" s="140" t="s">
        <v>6394</v>
      </c>
      <c r="B25" s="141">
        <v>0.28326168010887498</v>
      </c>
      <c r="D25" s="141"/>
    </row>
    <row r="26" spans="1:4" x14ac:dyDescent="0.2">
      <c r="A26" s="140" t="s">
        <v>6395</v>
      </c>
      <c r="B26" s="141">
        <v>0.28326168010887498</v>
      </c>
      <c r="D26" s="141"/>
    </row>
    <row r="27" spans="1:4" x14ac:dyDescent="0.2">
      <c r="A27" s="140" t="s">
        <v>479</v>
      </c>
      <c r="B27" s="141">
        <v>0.271267004772131</v>
      </c>
      <c r="D27" s="141"/>
    </row>
    <row r="28" spans="1:4" x14ac:dyDescent="0.2">
      <c r="A28" s="140" t="s">
        <v>6396</v>
      </c>
      <c r="B28" s="141">
        <v>0.25755212441250303</v>
      </c>
      <c r="D28" s="141"/>
    </row>
    <row r="29" spans="1:4" x14ac:dyDescent="0.2">
      <c r="A29" s="140" t="s">
        <v>6397</v>
      </c>
      <c r="B29" s="141">
        <v>0.25755212441250303</v>
      </c>
      <c r="D29" s="141"/>
    </row>
    <row r="30" spans="1:4" x14ac:dyDescent="0.2">
      <c r="A30" s="140" t="s">
        <v>6398</v>
      </c>
      <c r="B30" s="141">
        <v>0.25755212441250303</v>
      </c>
      <c r="D30" s="141"/>
    </row>
    <row r="31" spans="1:4" x14ac:dyDescent="0.2">
      <c r="A31" s="140" t="s">
        <v>1568</v>
      </c>
      <c r="B31" s="141">
        <v>0.25289185891742</v>
      </c>
      <c r="D31" s="141"/>
    </row>
    <row r="32" spans="1:4" x14ac:dyDescent="0.2">
      <c r="A32" s="140" t="s">
        <v>6399</v>
      </c>
      <c r="B32" s="141">
        <v>0.25255273892422497</v>
      </c>
      <c r="D32" s="141"/>
    </row>
    <row r="33" spans="1:4" x14ac:dyDescent="0.2">
      <c r="A33" s="140" t="s">
        <v>4854</v>
      </c>
      <c r="B33" s="141">
        <v>0.25022293124175499</v>
      </c>
      <c r="D33" s="141"/>
    </row>
    <row r="34" spans="1:4" x14ac:dyDescent="0.2">
      <c r="A34" s="140" t="s">
        <v>2008</v>
      </c>
      <c r="B34" s="141">
        <v>0.249352521872229</v>
      </c>
      <c r="D34" s="141"/>
    </row>
    <row r="35" spans="1:4" x14ac:dyDescent="0.2">
      <c r="A35" s="140" t="s">
        <v>6400</v>
      </c>
      <c r="B35" s="141">
        <v>0.24342151016534899</v>
      </c>
      <c r="D35" s="141"/>
    </row>
    <row r="36" spans="1:4" x14ac:dyDescent="0.2">
      <c r="A36" s="140" t="s">
        <v>1567</v>
      </c>
      <c r="B36" s="141">
        <v>0.241066758595643</v>
      </c>
      <c r="D36" s="141"/>
    </row>
    <row r="37" spans="1:4" x14ac:dyDescent="0.2">
      <c r="A37" s="140" t="s">
        <v>6401</v>
      </c>
      <c r="B37" s="141">
        <v>0.23698698131210799</v>
      </c>
      <c r="D37" s="141"/>
    </row>
    <row r="38" spans="1:4" x14ac:dyDescent="0.2">
      <c r="A38" s="140" t="s">
        <v>6402</v>
      </c>
      <c r="B38" s="141">
        <v>0.233701050578067</v>
      </c>
      <c r="D38" s="141"/>
    </row>
    <row r="39" spans="1:4" x14ac:dyDescent="0.2">
      <c r="A39" s="140" t="s">
        <v>3386</v>
      </c>
      <c r="B39" s="141">
        <v>0.22618851045178401</v>
      </c>
      <c r="D39" s="141"/>
    </row>
    <row r="40" spans="1:4" x14ac:dyDescent="0.2">
      <c r="A40" s="140" t="s">
        <v>6403</v>
      </c>
      <c r="B40" s="141">
        <v>0.21666705301200601</v>
      </c>
      <c r="D40" s="141"/>
    </row>
    <row r="41" spans="1:4" x14ac:dyDescent="0.2">
      <c r="A41" s="140" t="s">
        <v>1996</v>
      </c>
      <c r="B41" s="141">
        <v>0.201326402538924</v>
      </c>
      <c r="D41" s="141"/>
    </row>
    <row r="42" spans="1:4" x14ac:dyDescent="0.2">
      <c r="A42" s="140" t="s">
        <v>6404</v>
      </c>
      <c r="B42" s="141">
        <v>0.197400556440984</v>
      </c>
      <c r="D42" s="141"/>
    </row>
    <row r="43" spans="1:4" x14ac:dyDescent="0.2">
      <c r="A43" s="140" t="s">
        <v>4321</v>
      </c>
      <c r="B43" s="141">
        <v>0.19473084029017901</v>
      </c>
      <c r="D43" s="141"/>
    </row>
    <row r="44" spans="1:4" x14ac:dyDescent="0.2">
      <c r="A44" s="140" t="s">
        <v>6405</v>
      </c>
      <c r="B44" s="141">
        <v>0.19010151233422601</v>
      </c>
      <c r="D44" s="141"/>
    </row>
    <row r="45" spans="1:4" x14ac:dyDescent="0.2">
      <c r="A45" s="140" t="s">
        <v>1599</v>
      </c>
      <c r="B45" s="141">
        <v>0.18858871952728401</v>
      </c>
      <c r="D45" s="141"/>
    </row>
    <row r="46" spans="1:4" x14ac:dyDescent="0.2">
      <c r="A46" s="140" t="s">
        <v>1194</v>
      </c>
      <c r="B46" s="141">
        <v>0.18777941609674201</v>
      </c>
      <c r="D46" s="141"/>
    </row>
    <row r="47" spans="1:4" x14ac:dyDescent="0.2">
      <c r="A47" s="140" t="s">
        <v>6406</v>
      </c>
      <c r="B47" s="141">
        <v>0.18718703483169899</v>
      </c>
      <c r="D47" s="141"/>
    </row>
    <row r="48" spans="1:4" x14ac:dyDescent="0.2">
      <c r="A48" s="140" t="s">
        <v>6407</v>
      </c>
      <c r="B48" s="141">
        <v>0.184632737490462</v>
      </c>
      <c r="D48" s="141"/>
    </row>
    <row r="49" spans="1:4" x14ac:dyDescent="0.2">
      <c r="A49" s="140" t="s">
        <v>6408</v>
      </c>
      <c r="B49" s="141">
        <v>0.17690464079607801</v>
      </c>
      <c r="D49" s="141"/>
    </row>
    <row r="50" spans="1:4" x14ac:dyDescent="0.2">
      <c r="A50" s="140" t="s">
        <v>2294</v>
      </c>
      <c r="B50" s="141">
        <v>0.16672559047347099</v>
      </c>
      <c r="D50" s="141"/>
    </row>
    <row r="51" spans="1:4" x14ac:dyDescent="0.2">
      <c r="A51" s="140" t="s">
        <v>5978</v>
      </c>
      <c r="B51" s="141">
        <v>0.16340649153248701</v>
      </c>
      <c r="D51" s="141"/>
    </row>
    <row r="52" spans="1:4" x14ac:dyDescent="0.2">
      <c r="A52" s="140" t="s">
        <v>3048</v>
      </c>
      <c r="B52" s="141">
        <v>0.16231372802709301</v>
      </c>
      <c r="D52" s="141"/>
    </row>
    <row r="53" spans="1:4" x14ac:dyDescent="0.2">
      <c r="A53" s="140" t="s">
        <v>1830</v>
      </c>
      <c r="B53" s="141">
        <v>0.162041398625688</v>
      </c>
      <c r="D53" s="141"/>
    </row>
    <row r="54" spans="1:4" x14ac:dyDescent="0.2">
      <c r="A54" s="140" t="s">
        <v>4942</v>
      </c>
      <c r="B54" s="141">
        <v>0.16163810114913901</v>
      </c>
      <c r="D54" s="141"/>
    </row>
    <row r="55" spans="1:4" x14ac:dyDescent="0.2">
      <c r="A55" s="140" t="s">
        <v>4213</v>
      </c>
      <c r="B55" s="141">
        <v>0.159984754825471</v>
      </c>
      <c r="D55" s="141"/>
    </row>
    <row r="56" spans="1:4" x14ac:dyDescent="0.2">
      <c r="A56" s="140" t="s">
        <v>5849</v>
      </c>
      <c r="B56" s="141">
        <v>0.151409445867144</v>
      </c>
      <c r="D56" s="141"/>
    </row>
    <row r="57" spans="1:4" x14ac:dyDescent="0.2">
      <c r="A57" s="140" t="s">
        <v>3067</v>
      </c>
      <c r="B57" s="141">
        <v>0.148186891242053</v>
      </c>
      <c r="D57" s="141"/>
    </row>
    <row r="58" spans="1:4" x14ac:dyDescent="0.2">
      <c r="A58" s="140" t="s">
        <v>1607</v>
      </c>
      <c r="B58" s="141">
        <v>0.14287075979404801</v>
      </c>
      <c r="D58" s="141"/>
    </row>
    <row r="59" spans="1:4" x14ac:dyDescent="0.2">
      <c r="A59" s="140" t="s">
        <v>6409</v>
      </c>
      <c r="B59" s="141">
        <v>0.14214018926261501</v>
      </c>
      <c r="D59" s="141"/>
    </row>
    <row r="60" spans="1:4" x14ac:dyDescent="0.2">
      <c r="A60" s="140" t="s">
        <v>2088</v>
      </c>
      <c r="B60" s="141">
        <v>0.140122849098514</v>
      </c>
      <c r="D60" s="141"/>
    </row>
    <row r="61" spans="1:4" x14ac:dyDescent="0.2">
      <c r="A61" s="140" t="s">
        <v>1796</v>
      </c>
      <c r="B61" s="141">
        <v>0.13955287092767399</v>
      </c>
      <c r="D61" s="141"/>
    </row>
    <row r="62" spans="1:4" x14ac:dyDescent="0.2">
      <c r="A62" s="140" t="s">
        <v>6410</v>
      </c>
      <c r="B62" s="141">
        <v>0.13924263585541</v>
      </c>
      <c r="D62" s="141"/>
    </row>
    <row r="63" spans="1:4" x14ac:dyDescent="0.2">
      <c r="A63" s="140" t="s">
        <v>6411</v>
      </c>
      <c r="B63" s="141">
        <v>0.13924263585541</v>
      </c>
      <c r="D63" s="141"/>
    </row>
    <row r="64" spans="1:4" x14ac:dyDescent="0.2">
      <c r="A64" s="140" t="s">
        <v>6412</v>
      </c>
      <c r="B64" s="141">
        <v>0.13924263585541</v>
      </c>
      <c r="D64" s="141"/>
    </row>
    <row r="65" spans="1:4" x14ac:dyDescent="0.2">
      <c r="A65" s="140" t="s">
        <v>6413</v>
      </c>
      <c r="B65" s="141">
        <v>0.13924263585541</v>
      </c>
      <c r="D65" s="141"/>
    </row>
    <row r="66" spans="1:4" x14ac:dyDescent="0.2">
      <c r="A66" s="140" t="s">
        <v>3068</v>
      </c>
      <c r="B66" s="141">
        <v>0.136344451986707</v>
      </c>
      <c r="D66" s="141"/>
    </row>
    <row r="67" spans="1:4" x14ac:dyDescent="0.2">
      <c r="A67" s="140" t="s">
        <v>1327</v>
      </c>
      <c r="B67" s="141">
        <v>0.135311366076314</v>
      </c>
      <c r="D67" s="141"/>
    </row>
    <row r="68" spans="1:4" x14ac:dyDescent="0.2">
      <c r="A68" s="140" t="s">
        <v>6414</v>
      </c>
      <c r="B68" s="141">
        <v>0.13244252320501901</v>
      </c>
      <c r="D68" s="141"/>
    </row>
    <row r="69" spans="1:4" x14ac:dyDescent="0.2">
      <c r="A69" s="140" t="s">
        <v>2298</v>
      </c>
      <c r="B69" s="141">
        <v>0.13127884882764199</v>
      </c>
      <c r="D69" s="141"/>
    </row>
    <row r="70" spans="1:4" x14ac:dyDescent="0.2">
      <c r="A70" s="140" t="s">
        <v>6415</v>
      </c>
      <c r="B70" s="141">
        <v>0.12723135987673601</v>
      </c>
      <c r="D70" s="141"/>
    </row>
    <row r="71" spans="1:4" x14ac:dyDescent="0.2">
      <c r="A71" s="140" t="s">
        <v>4325</v>
      </c>
      <c r="B71" s="141">
        <v>0.126740491309563</v>
      </c>
      <c r="D71" s="141"/>
    </row>
    <row r="72" spans="1:4" x14ac:dyDescent="0.2">
      <c r="A72" s="140" t="s">
        <v>3950</v>
      </c>
      <c r="B72" s="141">
        <v>0.125159277210486</v>
      </c>
      <c r="D72" s="141"/>
    </row>
    <row r="73" spans="1:4" x14ac:dyDescent="0.2">
      <c r="A73" s="140" t="s">
        <v>5907</v>
      </c>
      <c r="B73" s="141">
        <v>0.12013004194091</v>
      </c>
      <c r="D73" s="141"/>
    </row>
    <row r="74" spans="1:4" x14ac:dyDescent="0.2">
      <c r="A74" s="140" t="s">
        <v>6416</v>
      </c>
      <c r="B74" s="141">
        <v>0.116133682626351</v>
      </c>
      <c r="D74" s="141"/>
    </row>
    <row r="75" spans="1:4" x14ac:dyDescent="0.2">
      <c r="A75" s="140" t="s">
        <v>5866</v>
      </c>
      <c r="B75" s="141">
        <v>0.116008670673311</v>
      </c>
      <c r="D75" s="141"/>
    </row>
    <row r="76" spans="1:4" x14ac:dyDescent="0.2">
      <c r="A76" s="140" t="s">
        <v>6417</v>
      </c>
      <c r="B76" s="141">
        <v>0.115711432853212</v>
      </c>
      <c r="D76" s="141"/>
    </row>
    <row r="77" spans="1:4" x14ac:dyDescent="0.2">
      <c r="A77" s="140" t="s">
        <v>6418</v>
      </c>
      <c r="B77" s="141">
        <v>0.113920625991073</v>
      </c>
      <c r="D77" s="141"/>
    </row>
    <row r="78" spans="1:4" x14ac:dyDescent="0.2">
      <c r="A78" s="140" t="s">
        <v>6419</v>
      </c>
      <c r="B78" s="141">
        <v>0.113920625991073</v>
      </c>
      <c r="D78" s="141"/>
    </row>
    <row r="79" spans="1:4" x14ac:dyDescent="0.2">
      <c r="A79" s="140" t="s">
        <v>6420</v>
      </c>
      <c r="B79" s="141">
        <v>0.113920625991073</v>
      </c>
      <c r="D79" s="141"/>
    </row>
    <row r="80" spans="1:4" x14ac:dyDescent="0.2">
      <c r="A80" s="140" t="s">
        <v>6421</v>
      </c>
      <c r="B80" s="141">
        <v>0.113920625991073</v>
      </c>
      <c r="D80" s="141"/>
    </row>
    <row r="81" spans="1:4" x14ac:dyDescent="0.2">
      <c r="A81" s="140" t="s">
        <v>6422</v>
      </c>
      <c r="B81" s="141">
        <v>0.113920625991073</v>
      </c>
      <c r="D81" s="141"/>
    </row>
    <row r="82" spans="1:4" x14ac:dyDescent="0.2">
      <c r="A82" s="140" t="s">
        <v>6423</v>
      </c>
      <c r="B82" s="141">
        <v>0.113920625991073</v>
      </c>
      <c r="D82" s="141"/>
    </row>
    <row r="83" spans="1:4" x14ac:dyDescent="0.2">
      <c r="A83" s="140" t="s">
        <v>6424</v>
      </c>
      <c r="B83" s="141">
        <v>0.113920625991073</v>
      </c>
      <c r="D83" s="141"/>
    </row>
    <row r="84" spans="1:4" x14ac:dyDescent="0.2">
      <c r="A84" s="140" t="s">
        <v>6425</v>
      </c>
      <c r="B84" s="141">
        <v>0.113920625991073</v>
      </c>
      <c r="D84" s="141"/>
    </row>
    <row r="85" spans="1:4" x14ac:dyDescent="0.2">
      <c r="A85" s="140" t="s">
        <v>6426</v>
      </c>
      <c r="B85" s="141">
        <v>0.113920625991073</v>
      </c>
      <c r="D85" s="141"/>
    </row>
    <row r="86" spans="1:4" x14ac:dyDescent="0.2">
      <c r="A86" s="140" t="s">
        <v>6427</v>
      </c>
      <c r="B86" s="141">
        <v>0.113920625991073</v>
      </c>
      <c r="D86" s="141"/>
    </row>
    <row r="87" spans="1:4" x14ac:dyDescent="0.2">
      <c r="A87" s="140" t="s">
        <v>6428</v>
      </c>
      <c r="B87" s="141">
        <v>0.113920625991073</v>
      </c>
      <c r="D87" s="141"/>
    </row>
    <row r="88" spans="1:4" x14ac:dyDescent="0.2">
      <c r="A88" s="140" t="s">
        <v>6429</v>
      </c>
      <c r="B88" s="141">
        <v>0.113920625991073</v>
      </c>
      <c r="D88" s="141"/>
    </row>
    <row r="89" spans="1:4" x14ac:dyDescent="0.2">
      <c r="A89" s="140" t="s">
        <v>6430</v>
      </c>
      <c r="B89" s="141">
        <v>0.113920625991073</v>
      </c>
      <c r="D89" s="141"/>
    </row>
    <row r="90" spans="1:4" x14ac:dyDescent="0.2">
      <c r="A90" s="140" t="s">
        <v>6431</v>
      </c>
      <c r="B90" s="141">
        <v>0.113920625991073</v>
      </c>
      <c r="D90" s="141"/>
    </row>
    <row r="91" spans="1:4" x14ac:dyDescent="0.2">
      <c r="A91" s="140" t="s">
        <v>6432</v>
      </c>
      <c r="B91" s="141">
        <v>0.113920625991073</v>
      </c>
      <c r="D91" s="141"/>
    </row>
    <row r="92" spans="1:4" x14ac:dyDescent="0.2">
      <c r="A92" s="140" t="s">
        <v>6433</v>
      </c>
      <c r="B92" s="141">
        <v>0.113920625991073</v>
      </c>
      <c r="D92" s="141"/>
    </row>
    <row r="93" spans="1:4" x14ac:dyDescent="0.2">
      <c r="A93" s="140" t="s">
        <v>6434</v>
      </c>
      <c r="B93" s="141">
        <v>0.113920625991073</v>
      </c>
      <c r="D93" s="141"/>
    </row>
    <row r="94" spans="1:4" x14ac:dyDescent="0.2">
      <c r="A94" s="140" t="s">
        <v>6435</v>
      </c>
      <c r="B94" s="141">
        <v>0.113920625991073</v>
      </c>
      <c r="D94" s="141"/>
    </row>
    <row r="95" spans="1:4" x14ac:dyDescent="0.2">
      <c r="A95" s="140" t="s">
        <v>1794</v>
      </c>
      <c r="B95" s="141">
        <v>0.11363281728268999</v>
      </c>
      <c r="D95" s="141"/>
    </row>
    <row r="96" spans="1:4" x14ac:dyDescent="0.2">
      <c r="A96" s="140" t="s">
        <v>5602</v>
      </c>
      <c r="B96" s="141">
        <v>0.112231291442501</v>
      </c>
      <c r="D96" s="141"/>
    </row>
    <row r="97" spans="1:4" x14ac:dyDescent="0.2">
      <c r="A97" s="140" t="s">
        <v>5964</v>
      </c>
      <c r="B97" s="141">
        <v>0.110893149419792</v>
      </c>
      <c r="D97" s="141"/>
    </row>
    <row r="98" spans="1:4" x14ac:dyDescent="0.2">
      <c r="A98" s="140" t="s">
        <v>6436</v>
      </c>
      <c r="B98" s="141">
        <v>0.109632789916562</v>
      </c>
      <c r="D98" s="141"/>
    </row>
    <row r="99" spans="1:4" x14ac:dyDescent="0.2">
      <c r="A99" s="140" t="s">
        <v>3069</v>
      </c>
      <c r="B99" s="141">
        <v>0.1061072842274</v>
      </c>
      <c r="D99" s="141"/>
    </row>
    <row r="100" spans="1:4" x14ac:dyDescent="0.2">
      <c r="A100" s="140" t="s">
        <v>1150</v>
      </c>
      <c r="B100" s="141">
        <v>0.105491959694683</v>
      </c>
      <c r="D100" s="141"/>
    </row>
    <row r="101" spans="1:4" x14ac:dyDescent="0.2">
      <c r="A101" s="140" t="s">
        <v>6437</v>
      </c>
      <c r="B101" s="141">
        <v>0.103636609627349</v>
      </c>
      <c r="D101" s="141"/>
    </row>
    <row r="102" spans="1:4" x14ac:dyDescent="0.2">
      <c r="A102" s="140" t="s">
        <v>710</v>
      </c>
      <c r="B102" s="141">
        <v>0.102008466160505</v>
      </c>
      <c r="D102" s="141"/>
    </row>
    <row r="103" spans="1:4" x14ac:dyDescent="0.2">
      <c r="A103" s="140" t="s">
        <v>5630</v>
      </c>
      <c r="B103" s="141">
        <v>0.101964838720386</v>
      </c>
      <c r="D103" s="141"/>
    </row>
    <row r="104" spans="1:4" x14ac:dyDescent="0.2">
      <c r="A104" s="140" t="s">
        <v>1822</v>
      </c>
      <c r="B104" s="141">
        <v>0.101293837391618</v>
      </c>
      <c r="D104" s="141"/>
    </row>
    <row r="105" spans="1:4" x14ac:dyDescent="0.2">
      <c r="A105" s="140" t="s">
        <v>2858</v>
      </c>
      <c r="B105" s="141">
        <v>9.9411803026177498E-2</v>
      </c>
      <c r="D105" s="141"/>
    </row>
    <row r="106" spans="1:4" x14ac:dyDescent="0.2">
      <c r="A106" s="140" t="s">
        <v>6438</v>
      </c>
      <c r="B106" s="141">
        <v>9.7666127359671798E-2</v>
      </c>
      <c r="D106" s="141"/>
    </row>
    <row r="107" spans="1:4" x14ac:dyDescent="0.2">
      <c r="A107" s="140" t="s">
        <v>1244</v>
      </c>
      <c r="B107" s="141">
        <v>9.75413290665572E-2</v>
      </c>
      <c r="D107" s="141"/>
    </row>
    <row r="108" spans="1:4" x14ac:dyDescent="0.2">
      <c r="A108" s="140" t="s">
        <v>5170</v>
      </c>
      <c r="B108" s="141">
        <v>9.7457747547661802E-2</v>
      </c>
      <c r="D108" s="141"/>
    </row>
    <row r="109" spans="1:4" x14ac:dyDescent="0.2">
      <c r="A109" s="140" t="s">
        <v>4388</v>
      </c>
      <c r="B109" s="141">
        <v>9.7002452069494496E-2</v>
      </c>
      <c r="D109" s="141"/>
    </row>
    <row r="110" spans="1:4" x14ac:dyDescent="0.2">
      <c r="A110" s="140" t="s">
        <v>4654</v>
      </c>
      <c r="B110" s="141">
        <v>9.5674441644240396E-2</v>
      </c>
      <c r="D110" s="141"/>
    </row>
    <row r="111" spans="1:4" x14ac:dyDescent="0.2">
      <c r="A111" s="140" t="s">
        <v>2938</v>
      </c>
      <c r="B111" s="141">
        <v>9.5370870709741096E-2</v>
      </c>
      <c r="D111" s="141"/>
    </row>
    <row r="112" spans="1:4" x14ac:dyDescent="0.2">
      <c r="A112" s="140" t="s">
        <v>6439</v>
      </c>
      <c r="B112" s="141">
        <v>9.4239089392180897E-2</v>
      </c>
      <c r="D112" s="141"/>
    </row>
    <row r="113" spans="1:4" x14ac:dyDescent="0.2">
      <c r="A113" s="140" t="s">
        <v>3422</v>
      </c>
      <c r="B113" s="141">
        <v>9.38410880859884E-2</v>
      </c>
      <c r="D113" s="141"/>
    </row>
    <row r="114" spans="1:4" x14ac:dyDescent="0.2">
      <c r="A114" s="140" t="s">
        <v>4226</v>
      </c>
      <c r="B114" s="141">
        <v>9.3786756890266304E-2</v>
      </c>
      <c r="D114" s="141"/>
    </row>
    <row r="115" spans="1:4" x14ac:dyDescent="0.2">
      <c r="A115" s="140" t="s">
        <v>6440</v>
      </c>
      <c r="B115" s="141">
        <v>9.2525732116012505E-2</v>
      </c>
      <c r="D115" s="141"/>
    </row>
    <row r="116" spans="1:4" x14ac:dyDescent="0.2">
      <c r="A116" s="140" t="s">
        <v>5684</v>
      </c>
      <c r="B116" s="141">
        <v>9.1788087707434907E-2</v>
      </c>
      <c r="D116" s="141"/>
    </row>
    <row r="117" spans="1:4" x14ac:dyDescent="0.2">
      <c r="A117" s="140" t="s">
        <v>1812</v>
      </c>
      <c r="B117" s="141">
        <v>9.0802372736350195E-2</v>
      </c>
      <c r="D117" s="141"/>
    </row>
    <row r="118" spans="1:4" x14ac:dyDescent="0.2">
      <c r="A118" s="140" t="s">
        <v>1756</v>
      </c>
      <c r="B118" s="141">
        <v>9.0799067140385104E-2</v>
      </c>
      <c r="D118" s="141"/>
    </row>
    <row r="119" spans="1:4" x14ac:dyDescent="0.2">
      <c r="A119" s="140" t="s">
        <v>4674</v>
      </c>
      <c r="B119" s="141">
        <v>9.0364736170616203E-2</v>
      </c>
      <c r="D119" s="141"/>
    </row>
    <row r="120" spans="1:4" x14ac:dyDescent="0.2">
      <c r="A120" s="140" t="s">
        <v>2282</v>
      </c>
      <c r="B120" s="141">
        <v>9.0295121772684603E-2</v>
      </c>
      <c r="D120" s="141"/>
    </row>
    <row r="121" spans="1:4" x14ac:dyDescent="0.2">
      <c r="A121" s="140" t="s">
        <v>5401</v>
      </c>
      <c r="B121" s="141">
        <v>8.9948295847950999E-2</v>
      </c>
      <c r="D121" s="141"/>
    </row>
    <row r="122" spans="1:4" x14ac:dyDescent="0.2">
      <c r="A122" s="140" t="s">
        <v>1646</v>
      </c>
      <c r="B122" s="141">
        <v>8.9279018266468196E-2</v>
      </c>
      <c r="D122" s="141"/>
    </row>
    <row r="123" spans="1:4" x14ac:dyDescent="0.2">
      <c r="A123" s="140" t="s">
        <v>5653</v>
      </c>
      <c r="B123" s="141">
        <v>8.9001912216815804E-2</v>
      </c>
      <c r="D123" s="141"/>
    </row>
    <row r="124" spans="1:4" x14ac:dyDescent="0.2">
      <c r="A124" s="140" t="s">
        <v>1894</v>
      </c>
      <c r="B124" s="141">
        <v>8.8799085667431096E-2</v>
      </c>
      <c r="D124" s="141"/>
    </row>
    <row r="125" spans="1:4" x14ac:dyDescent="0.2">
      <c r="A125" s="140" t="s">
        <v>6441</v>
      </c>
      <c r="B125" s="141">
        <v>8.8676779092944996E-2</v>
      </c>
      <c r="D125" s="141"/>
    </row>
    <row r="126" spans="1:4" x14ac:dyDescent="0.2">
      <c r="A126" s="140" t="s">
        <v>2735</v>
      </c>
      <c r="B126" s="141">
        <v>8.8199318294632401E-2</v>
      </c>
      <c r="D126" s="141"/>
    </row>
    <row r="127" spans="1:4" x14ac:dyDescent="0.2">
      <c r="A127" s="140" t="s">
        <v>4291</v>
      </c>
      <c r="B127" s="141">
        <v>8.7003332706393099E-2</v>
      </c>
      <c r="D127" s="141"/>
    </row>
    <row r="128" spans="1:4" x14ac:dyDescent="0.2">
      <c r="A128" s="140" t="s">
        <v>3082</v>
      </c>
      <c r="B128" s="141">
        <v>8.6139883614502394E-2</v>
      </c>
      <c r="D128" s="141"/>
    </row>
    <row r="129" spans="1:4" x14ac:dyDescent="0.2">
      <c r="A129" s="140" t="s">
        <v>4094</v>
      </c>
      <c r="B129" s="141">
        <v>8.5667792382342206E-2</v>
      </c>
      <c r="D129" s="141"/>
    </row>
    <row r="130" spans="1:4" x14ac:dyDescent="0.2">
      <c r="A130" s="140" t="s">
        <v>4922</v>
      </c>
      <c r="B130" s="141">
        <v>8.5237319422537497E-2</v>
      </c>
      <c r="D130" s="141"/>
    </row>
    <row r="131" spans="1:4" x14ac:dyDescent="0.2">
      <c r="A131" s="140" t="s">
        <v>4477</v>
      </c>
      <c r="B131" s="141">
        <v>8.4548873183853901E-2</v>
      </c>
      <c r="D131" s="141"/>
    </row>
    <row r="132" spans="1:4" x14ac:dyDescent="0.2">
      <c r="A132" s="140" t="s">
        <v>5260</v>
      </c>
      <c r="B132" s="141">
        <v>8.3704075383073298E-2</v>
      </c>
      <c r="D132" s="141"/>
    </row>
    <row r="133" spans="1:4" x14ac:dyDescent="0.2">
      <c r="A133" s="140" t="s">
        <v>4801</v>
      </c>
      <c r="B133" s="141">
        <v>8.2885523408274098E-2</v>
      </c>
      <c r="D133" s="141"/>
    </row>
    <row r="134" spans="1:4" x14ac:dyDescent="0.2">
      <c r="A134" s="140" t="s">
        <v>5575</v>
      </c>
      <c r="B134" s="141">
        <v>8.2094971532858801E-2</v>
      </c>
      <c r="D134" s="141"/>
    </row>
    <row r="135" spans="1:4" x14ac:dyDescent="0.2">
      <c r="A135" s="140" t="s">
        <v>2783</v>
      </c>
      <c r="B135" s="141">
        <v>8.1376361193883903E-2</v>
      </c>
      <c r="D135" s="141"/>
    </row>
    <row r="136" spans="1:4" x14ac:dyDescent="0.2">
      <c r="A136" s="140" t="s">
        <v>3392</v>
      </c>
      <c r="B136" s="141">
        <v>8.0583938999813101E-2</v>
      </c>
      <c r="D136" s="141"/>
    </row>
    <row r="137" spans="1:4" x14ac:dyDescent="0.2">
      <c r="A137" s="140" t="s">
        <v>6442</v>
      </c>
      <c r="B137" s="141">
        <v>8.0316458574743205E-2</v>
      </c>
      <c r="D137" s="141"/>
    </row>
    <row r="138" spans="1:4" x14ac:dyDescent="0.2">
      <c r="A138" s="140" t="s">
        <v>6443</v>
      </c>
      <c r="B138" s="141">
        <v>8.0290256247189898E-2</v>
      </c>
      <c r="D138" s="141"/>
    </row>
    <row r="139" spans="1:4" x14ac:dyDescent="0.2">
      <c r="A139" s="140" t="s">
        <v>6444</v>
      </c>
      <c r="B139" s="141">
        <v>7.9465981263891594E-2</v>
      </c>
      <c r="D139" s="141"/>
    </row>
    <row r="140" spans="1:4" x14ac:dyDescent="0.2">
      <c r="A140" s="140" t="s">
        <v>5605</v>
      </c>
      <c r="B140" s="141">
        <v>7.9453488627562893E-2</v>
      </c>
      <c r="D140" s="141"/>
    </row>
    <row r="141" spans="1:4" x14ac:dyDescent="0.2">
      <c r="A141" s="140" t="s">
        <v>1384</v>
      </c>
      <c r="B141" s="141">
        <v>7.9240244043002395E-2</v>
      </c>
      <c r="D141" s="141"/>
    </row>
    <row r="142" spans="1:4" x14ac:dyDescent="0.2">
      <c r="A142" s="140" t="s">
        <v>1467</v>
      </c>
      <c r="B142" s="141">
        <v>7.9209642484421097E-2</v>
      </c>
      <c r="D142" s="141"/>
    </row>
    <row r="143" spans="1:4" x14ac:dyDescent="0.2">
      <c r="A143" s="140" t="s">
        <v>6445</v>
      </c>
      <c r="B143" s="141">
        <v>7.9091854618890997E-2</v>
      </c>
      <c r="D143" s="141"/>
    </row>
    <row r="144" spans="1:4" x14ac:dyDescent="0.2">
      <c r="A144" s="140" t="s">
        <v>6446</v>
      </c>
      <c r="B144" s="141">
        <v>7.9091854618890997E-2</v>
      </c>
      <c r="D144" s="141"/>
    </row>
    <row r="145" spans="1:4" x14ac:dyDescent="0.2">
      <c r="A145" s="140" t="s">
        <v>6447</v>
      </c>
      <c r="B145" s="141">
        <v>7.9081240757115298E-2</v>
      </c>
      <c r="D145" s="141"/>
    </row>
    <row r="146" spans="1:4" x14ac:dyDescent="0.2">
      <c r="A146" s="140" t="s">
        <v>1416</v>
      </c>
      <c r="B146" s="141">
        <v>7.9079905178200599E-2</v>
      </c>
      <c r="D146" s="141"/>
    </row>
    <row r="147" spans="1:4" x14ac:dyDescent="0.2">
      <c r="A147" s="140" t="s">
        <v>3560</v>
      </c>
      <c r="B147" s="141">
        <v>7.8592625863408205E-2</v>
      </c>
      <c r="D147" s="141"/>
    </row>
    <row r="148" spans="1:4" x14ac:dyDescent="0.2">
      <c r="A148" s="140" t="s">
        <v>511</v>
      </c>
      <c r="B148" s="141">
        <v>7.846386707427E-2</v>
      </c>
      <c r="D148" s="141"/>
    </row>
    <row r="149" spans="1:4" x14ac:dyDescent="0.2">
      <c r="A149" s="140" t="s">
        <v>5241</v>
      </c>
      <c r="B149" s="141">
        <v>7.8403127753105498E-2</v>
      </c>
      <c r="D149" s="141"/>
    </row>
    <row r="150" spans="1:4" x14ac:dyDescent="0.2">
      <c r="A150" s="140" t="s">
        <v>669</v>
      </c>
      <c r="B150" s="141">
        <v>7.7357810893997195E-2</v>
      </c>
      <c r="D150" s="141"/>
    </row>
    <row r="151" spans="1:4" x14ac:dyDescent="0.2">
      <c r="A151" s="140" t="s">
        <v>2331</v>
      </c>
      <c r="B151" s="141">
        <v>7.6655526993713502E-2</v>
      </c>
      <c r="D151" s="141"/>
    </row>
    <row r="152" spans="1:4" x14ac:dyDescent="0.2">
      <c r="A152" s="140" t="s">
        <v>6448</v>
      </c>
      <c r="B152" s="141">
        <v>7.6148458385374596E-2</v>
      </c>
      <c r="D152" s="141"/>
    </row>
    <row r="153" spans="1:4" x14ac:dyDescent="0.2">
      <c r="A153" s="140" t="s">
        <v>6449</v>
      </c>
      <c r="B153" s="141">
        <v>7.6148458385374596E-2</v>
      </c>
      <c r="D153" s="141"/>
    </row>
    <row r="154" spans="1:4" x14ac:dyDescent="0.2">
      <c r="A154" s="140" t="s">
        <v>6450</v>
      </c>
      <c r="B154" s="141">
        <v>7.6148458385374596E-2</v>
      </c>
      <c r="D154" s="141"/>
    </row>
    <row r="155" spans="1:4" x14ac:dyDescent="0.2">
      <c r="A155" s="140" t="s">
        <v>4625</v>
      </c>
      <c r="B155" s="141">
        <v>7.5233453483514096E-2</v>
      </c>
      <c r="D155" s="141"/>
    </row>
    <row r="156" spans="1:4" x14ac:dyDescent="0.2">
      <c r="A156" s="140" t="s">
        <v>3177</v>
      </c>
      <c r="B156" s="141">
        <v>7.5141558397075495E-2</v>
      </c>
      <c r="D156" s="141"/>
    </row>
    <row r="157" spans="1:4" x14ac:dyDescent="0.2">
      <c r="A157" s="140" t="s">
        <v>1260</v>
      </c>
      <c r="B157" s="141">
        <v>7.4981737003387894E-2</v>
      </c>
      <c r="D157" s="141"/>
    </row>
    <row r="158" spans="1:4" x14ac:dyDescent="0.2">
      <c r="A158" s="140" t="s">
        <v>4082</v>
      </c>
      <c r="B158" s="141">
        <v>7.4778662743886101E-2</v>
      </c>
      <c r="D158" s="141"/>
    </row>
    <row r="159" spans="1:4" x14ac:dyDescent="0.2">
      <c r="A159" s="140" t="s">
        <v>1348</v>
      </c>
      <c r="B159" s="141">
        <v>7.4322354618254802E-2</v>
      </c>
      <c r="D159" s="141"/>
    </row>
    <row r="160" spans="1:4" x14ac:dyDescent="0.2">
      <c r="A160" s="140" t="s">
        <v>6451</v>
      </c>
      <c r="B160" s="141">
        <v>7.41161955767035E-2</v>
      </c>
      <c r="D160" s="141"/>
    </row>
    <row r="161" spans="1:4" x14ac:dyDescent="0.2">
      <c r="A161" s="140" t="s">
        <v>6452</v>
      </c>
      <c r="B161" s="141">
        <v>7.3569709390789495E-2</v>
      </c>
      <c r="D161" s="141"/>
    </row>
    <row r="162" spans="1:4" x14ac:dyDescent="0.2">
      <c r="A162" s="140" t="s">
        <v>6453</v>
      </c>
      <c r="B162" s="141">
        <v>7.3369803170578202E-2</v>
      </c>
      <c r="D162" s="141"/>
    </row>
    <row r="163" spans="1:4" x14ac:dyDescent="0.2">
      <c r="A163" s="140" t="s">
        <v>6454</v>
      </c>
      <c r="B163" s="141">
        <v>7.3160901078500304E-2</v>
      </c>
      <c r="D163" s="141"/>
    </row>
    <row r="164" spans="1:4" x14ac:dyDescent="0.2">
      <c r="A164" s="140" t="s">
        <v>4976</v>
      </c>
      <c r="B164" s="141">
        <v>7.2929335927295405E-2</v>
      </c>
      <c r="D164" s="141"/>
    </row>
    <row r="165" spans="1:4" x14ac:dyDescent="0.2">
      <c r="A165" s="140" t="s">
        <v>3019</v>
      </c>
      <c r="B165" s="141">
        <v>7.2896705733132602E-2</v>
      </c>
      <c r="D165" s="141"/>
    </row>
    <row r="166" spans="1:4" x14ac:dyDescent="0.2">
      <c r="A166" s="140" t="s">
        <v>1064</v>
      </c>
      <c r="B166" s="141">
        <v>7.1793484336050997E-2</v>
      </c>
      <c r="D166" s="141"/>
    </row>
    <row r="167" spans="1:4" x14ac:dyDescent="0.2">
      <c r="A167" s="140" t="s">
        <v>1841</v>
      </c>
      <c r="B167" s="141">
        <v>7.1761567553519104E-2</v>
      </c>
      <c r="D167" s="141"/>
    </row>
    <row r="168" spans="1:4" x14ac:dyDescent="0.2">
      <c r="A168" s="140" t="s">
        <v>6455</v>
      </c>
      <c r="B168" s="141">
        <v>7.1671521926048198E-2</v>
      </c>
      <c r="D168" s="141"/>
    </row>
    <row r="169" spans="1:4" x14ac:dyDescent="0.2">
      <c r="A169" s="140" t="s">
        <v>5811</v>
      </c>
      <c r="B169" s="141">
        <v>7.1439174290551702E-2</v>
      </c>
      <c r="D169" s="141"/>
    </row>
    <row r="170" spans="1:4" x14ac:dyDescent="0.2">
      <c r="A170" s="140" t="s">
        <v>2826</v>
      </c>
      <c r="B170" s="141">
        <v>7.1418419174391304E-2</v>
      </c>
      <c r="D170" s="141"/>
    </row>
    <row r="171" spans="1:4" x14ac:dyDescent="0.2">
      <c r="A171" s="140" t="s">
        <v>4170</v>
      </c>
      <c r="B171" s="141">
        <v>7.0986914555572295E-2</v>
      </c>
      <c r="D171" s="141"/>
    </row>
    <row r="172" spans="1:4" x14ac:dyDescent="0.2">
      <c r="A172" s="140" t="s">
        <v>3754</v>
      </c>
      <c r="B172" s="141">
        <v>7.0880521307729996E-2</v>
      </c>
      <c r="D172" s="141"/>
    </row>
    <row r="173" spans="1:4" x14ac:dyDescent="0.2">
      <c r="A173" s="140" t="s">
        <v>4771</v>
      </c>
      <c r="B173" s="141">
        <v>7.0420919990038799E-2</v>
      </c>
      <c r="D173" s="141"/>
    </row>
    <row r="174" spans="1:4" x14ac:dyDescent="0.2">
      <c r="A174" s="140" t="s">
        <v>6456</v>
      </c>
      <c r="B174" s="141">
        <v>7.0165746704816095E-2</v>
      </c>
      <c r="D174" s="141"/>
    </row>
    <row r="175" spans="1:4" x14ac:dyDescent="0.2">
      <c r="A175" s="140" t="s">
        <v>1680</v>
      </c>
      <c r="B175" s="141">
        <v>6.9678868460226695E-2</v>
      </c>
      <c r="D175" s="141"/>
    </row>
    <row r="176" spans="1:4" x14ac:dyDescent="0.2">
      <c r="A176" s="140" t="s">
        <v>4409</v>
      </c>
      <c r="B176" s="141">
        <v>6.9234137287694605E-2</v>
      </c>
      <c r="D176" s="141"/>
    </row>
    <row r="177" spans="1:4" x14ac:dyDescent="0.2">
      <c r="A177" s="140" t="s">
        <v>1875</v>
      </c>
      <c r="B177" s="141">
        <v>6.8802941969939302E-2</v>
      </c>
      <c r="D177" s="141"/>
    </row>
    <row r="178" spans="1:4" x14ac:dyDescent="0.2">
      <c r="A178" s="140" t="s">
        <v>745</v>
      </c>
      <c r="B178" s="141">
        <v>6.8126382488784401E-2</v>
      </c>
      <c r="D178" s="141"/>
    </row>
    <row r="179" spans="1:4" x14ac:dyDescent="0.2">
      <c r="A179" s="140" t="s">
        <v>2193</v>
      </c>
      <c r="B179" s="141">
        <v>6.7552561380559095E-2</v>
      </c>
      <c r="D179" s="141"/>
    </row>
    <row r="180" spans="1:4" x14ac:dyDescent="0.2">
      <c r="A180" s="140" t="s">
        <v>3559</v>
      </c>
      <c r="B180" s="141">
        <v>6.7281518428355697E-2</v>
      </c>
      <c r="D180" s="141"/>
    </row>
    <row r="181" spans="1:4" x14ac:dyDescent="0.2">
      <c r="A181" s="140" t="s">
        <v>2821</v>
      </c>
      <c r="B181" s="141">
        <v>6.7120821279789605E-2</v>
      </c>
      <c r="D181" s="141"/>
    </row>
    <row r="182" spans="1:4" x14ac:dyDescent="0.2">
      <c r="A182" s="140" t="s">
        <v>6457</v>
      </c>
      <c r="B182" s="141">
        <v>6.6705378269715204E-2</v>
      </c>
      <c r="D182" s="141"/>
    </row>
    <row r="183" spans="1:4" x14ac:dyDescent="0.2">
      <c r="A183" s="140" t="s">
        <v>6458</v>
      </c>
      <c r="B183" s="141">
        <v>6.6355595488937699E-2</v>
      </c>
      <c r="D183" s="141"/>
    </row>
    <row r="184" spans="1:4" x14ac:dyDescent="0.2">
      <c r="A184" s="140" t="s">
        <v>6459</v>
      </c>
      <c r="B184" s="141">
        <v>6.6355595488937699E-2</v>
      </c>
      <c r="D184" s="141"/>
    </row>
    <row r="185" spans="1:4" x14ac:dyDescent="0.2">
      <c r="A185" s="140" t="s">
        <v>6460</v>
      </c>
      <c r="B185" s="141">
        <v>6.6355595488937699E-2</v>
      </c>
      <c r="D185" s="141"/>
    </row>
    <row r="186" spans="1:4" x14ac:dyDescent="0.2">
      <c r="A186" s="140" t="s">
        <v>6461</v>
      </c>
      <c r="B186" s="141">
        <v>6.6355595488937699E-2</v>
      </c>
      <c r="D186" s="141"/>
    </row>
    <row r="187" spans="1:4" x14ac:dyDescent="0.2">
      <c r="A187" s="140" t="s">
        <v>6462</v>
      </c>
      <c r="B187" s="141">
        <v>6.6355595488937699E-2</v>
      </c>
      <c r="D187" s="141"/>
    </row>
    <row r="188" spans="1:4" x14ac:dyDescent="0.2">
      <c r="A188" s="140" t="s">
        <v>6463</v>
      </c>
      <c r="B188" s="141">
        <v>6.6355595488937699E-2</v>
      </c>
      <c r="D188" s="141"/>
    </row>
    <row r="189" spans="1:4" x14ac:dyDescent="0.2">
      <c r="A189" s="140" t="s">
        <v>6464</v>
      </c>
      <c r="B189" s="141">
        <v>6.6355595488937699E-2</v>
      </c>
      <c r="D189" s="141"/>
    </row>
    <row r="190" spans="1:4" x14ac:dyDescent="0.2">
      <c r="A190" s="140" t="s">
        <v>6465</v>
      </c>
      <c r="B190" s="141">
        <v>6.6355595488937699E-2</v>
      </c>
      <c r="D190" s="141"/>
    </row>
    <row r="191" spans="1:4" x14ac:dyDescent="0.2">
      <c r="A191" s="140" t="s">
        <v>6466</v>
      </c>
      <c r="B191" s="141">
        <v>6.6355595488937699E-2</v>
      </c>
      <c r="D191" s="141"/>
    </row>
    <row r="192" spans="1:4" x14ac:dyDescent="0.2">
      <c r="A192" s="140" t="s">
        <v>6467</v>
      </c>
      <c r="B192" s="141">
        <v>6.6355595488937699E-2</v>
      </c>
      <c r="D192" s="141"/>
    </row>
    <row r="193" spans="1:4" x14ac:dyDescent="0.2">
      <c r="A193" s="140" t="s">
        <v>6468</v>
      </c>
      <c r="B193" s="141">
        <v>6.6355595488937699E-2</v>
      </c>
      <c r="D193" s="141"/>
    </row>
    <row r="194" spans="1:4" x14ac:dyDescent="0.2">
      <c r="A194" s="140" t="s">
        <v>2928</v>
      </c>
      <c r="B194" s="141">
        <v>6.6214413863591198E-2</v>
      </c>
      <c r="D194" s="141"/>
    </row>
    <row r="195" spans="1:4" x14ac:dyDescent="0.2">
      <c r="A195" s="140" t="s">
        <v>4081</v>
      </c>
      <c r="B195" s="141">
        <v>6.6127061651073904E-2</v>
      </c>
      <c r="D195" s="141"/>
    </row>
    <row r="196" spans="1:4" x14ac:dyDescent="0.2">
      <c r="A196" s="140" t="s">
        <v>6469</v>
      </c>
      <c r="B196" s="141">
        <v>6.5925463033678897E-2</v>
      </c>
      <c r="D196" s="141"/>
    </row>
    <row r="197" spans="1:4" x14ac:dyDescent="0.2">
      <c r="A197" s="140" t="s">
        <v>3084</v>
      </c>
      <c r="B197" s="141">
        <v>6.5584633880251597E-2</v>
      </c>
      <c r="D197" s="141"/>
    </row>
    <row r="198" spans="1:4" x14ac:dyDescent="0.2">
      <c r="A198" s="140" t="s">
        <v>2497</v>
      </c>
      <c r="B198" s="141">
        <v>6.4925574756679094E-2</v>
      </c>
      <c r="D198" s="141"/>
    </row>
    <row r="199" spans="1:4" x14ac:dyDescent="0.2">
      <c r="A199" s="140" t="s">
        <v>1779</v>
      </c>
      <c r="B199" s="141">
        <v>6.4825734918336902E-2</v>
      </c>
      <c r="D199" s="141"/>
    </row>
    <row r="200" spans="1:4" x14ac:dyDescent="0.2">
      <c r="A200" s="140" t="s">
        <v>6470</v>
      </c>
      <c r="B200" s="141">
        <v>6.4750643627828994E-2</v>
      </c>
      <c r="D200" s="141"/>
    </row>
    <row r="201" spans="1:4" x14ac:dyDescent="0.2">
      <c r="A201" s="140" t="s">
        <v>1681</v>
      </c>
      <c r="B201" s="141">
        <v>6.4166151204799293E-2</v>
      </c>
      <c r="D201" s="141"/>
    </row>
    <row r="202" spans="1:4" x14ac:dyDescent="0.2">
      <c r="A202" s="140" t="s">
        <v>3616</v>
      </c>
      <c r="B202" s="141">
        <v>6.4153836546737897E-2</v>
      </c>
      <c r="D202" s="141"/>
    </row>
    <row r="203" spans="1:4" x14ac:dyDescent="0.2">
      <c r="A203" s="140" t="s">
        <v>6471</v>
      </c>
      <c r="B203" s="141">
        <v>6.4134667055363803E-2</v>
      </c>
      <c r="D203" s="141"/>
    </row>
    <row r="204" spans="1:4" x14ac:dyDescent="0.2">
      <c r="A204" s="140" t="s">
        <v>2782</v>
      </c>
      <c r="B204" s="141">
        <v>6.3897441179636694E-2</v>
      </c>
      <c r="D204" s="141"/>
    </row>
    <row r="205" spans="1:4" x14ac:dyDescent="0.2">
      <c r="A205" s="140" t="s">
        <v>1807</v>
      </c>
      <c r="B205" s="141">
        <v>6.2578001936908795E-2</v>
      </c>
      <c r="D205" s="141"/>
    </row>
    <row r="206" spans="1:4" x14ac:dyDescent="0.2">
      <c r="A206" s="140" t="s">
        <v>4445</v>
      </c>
      <c r="B206" s="141">
        <v>6.2511600260336503E-2</v>
      </c>
      <c r="D206" s="141"/>
    </row>
    <row r="207" spans="1:4" x14ac:dyDescent="0.2">
      <c r="A207" s="140" t="s">
        <v>3590</v>
      </c>
      <c r="B207" s="141">
        <v>6.22903302424994E-2</v>
      </c>
      <c r="D207" s="141"/>
    </row>
    <row r="208" spans="1:4" x14ac:dyDescent="0.2">
      <c r="A208" s="140" t="s">
        <v>3635</v>
      </c>
      <c r="B208" s="141">
        <v>6.1805435883139297E-2</v>
      </c>
      <c r="D208" s="141"/>
    </row>
    <row r="209" spans="1:4" x14ac:dyDescent="0.2">
      <c r="A209" s="140" t="s">
        <v>3056</v>
      </c>
      <c r="B209" s="141">
        <v>6.14249945983142E-2</v>
      </c>
      <c r="D209" s="141"/>
    </row>
    <row r="210" spans="1:4" x14ac:dyDescent="0.2">
      <c r="A210" s="140" t="s">
        <v>6472</v>
      </c>
      <c r="B210" s="141">
        <v>6.1293061599641797E-2</v>
      </c>
      <c r="D210" s="141"/>
    </row>
    <row r="211" spans="1:4" x14ac:dyDescent="0.2">
      <c r="A211" s="140" t="s">
        <v>3203</v>
      </c>
      <c r="B211" s="141">
        <v>6.1237091858880002E-2</v>
      </c>
      <c r="D211" s="141"/>
    </row>
    <row r="212" spans="1:4" x14ac:dyDescent="0.2">
      <c r="A212" s="140" t="s">
        <v>2453</v>
      </c>
      <c r="B212" s="141">
        <v>6.1109731695968401E-2</v>
      </c>
      <c r="D212" s="141"/>
    </row>
    <row r="213" spans="1:4" x14ac:dyDescent="0.2">
      <c r="A213" s="140" t="s">
        <v>3617</v>
      </c>
      <c r="B213" s="141">
        <v>6.0181318291642E-2</v>
      </c>
      <c r="D213" s="141"/>
    </row>
    <row r="214" spans="1:4" x14ac:dyDescent="0.2">
      <c r="A214" s="140" t="s">
        <v>4526</v>
      </c>
      <c r="B214" s="141">
        <v>5.9551203083392797E-2</v>
      </c>
      <c r="D214" s="141"/>
    </row>
    <row r="215" spans="1:4" x14ac:dyDescent="0.2">
      <c r="A215" s="140" t="s">
        <v>5074</v>
      </c>
      <c r="B215" s="141">
        <v>5.9330318554049903E-2</v>
      </c>
      <c r="D215" s="141"/>
    </row>
    <row r="216" spans="1:4" x14ac:dyDescent="0.2">
      <c r="A216" s="140" t="s">
        <v>6473</v>
      </c>
      <c r="B216" s="141">
        <v>5.8874015538323103E-2</v>
      </c>
      <c r="D216" s="141"/>
    </row>
    <row r="217" spans="1:4" x14ac:dyDescent="0.2">
      <c r="A217" s="140" t="s">
        <v>6474</v>
      </c>
      <c r="B217" s="141">
        <v>5.8359077321660999E-2</v>
      </c>
      <c r="D217" s="141"/>
    </row>
    <row r="218" spans="1:4" x14ac:dyDescent="0.2">
      <c r="A218" s="140" t="s">
        <v>6475</v>
      </c>
      <c r="B218" s="141">
        <v>5.8336712904210997E-2</v>
      </c>
      <c r="D218" s="141"/>
    </row>
    <row r="219" spans="1:4" x14ac:dyDescent="0.2">
      <c r="A219" s="140" t="s">
        <v>2301</v>
      </c>
      <c r="B219" s="141">
        <v>5.8102542915437601E-2</v>
      </c>
      <c r="D219" s="141"/>
    </row>
    <row r="220" spans="1:4" x14ac:dyDescent="0.2">
      <c r="A220" s="140" t="s">
        <v>4268</v>
      </c>
      <c r="B220" s="141">
        <v>5.7565797748580901E-2</v>
      </c>
      <c r="D220" s="141"/>
    </row>
    <row r="221" spans="1:4" x14ac:dyDescent="0.2">
      <c r="A221" s="140" t="s">
        <v>1206</v>
      </c>
      <c r="B221" s="141">
        <v>5.7179861790770503E-2</v>
      </c>
      <c r="D221" s="141"/>
    </row>
    <row r="222" spans="1:4" x14ac:dyDescent="0.2">
      <c r="A222" s="140" t="s">
        <v>6247</v>
      </c>
      <c r="B222" s="141">
        <v>5.7167883850875199E-2</v>
      </c>
      <c r="D222" s="141"/>
    </row>
    <row r="223" spans="1:4" x14ac:dyDescent="0.2">
      <c r="A223" s="140" t="s">
        <v>4718</v>
      </c>
      <c r="B223" s="141">
        <v>5.7143768030195503E-2</v>
      </c>
      <c r="D223" s="141"/>
    </row>
    <row r="224" spans="1:4" x14ac:dyDescent="0.2">
      <c r="A224" s="140" t="s">
        <v>3204</v>
      </c>
      <c r="B224" s="141">
        <v>5.68969644339785E-2</v>
      </c>
      <c r="D224" s="141"/>
    </row>
    <row r="225" spans="1:4" x14ac:dyDescent="0.2">
      <c r="A225" s="140" t="s">
        <v>6476</v>
      </c>
      <c r="B225" s="141">
        <v>5.6703154802774797E-2</v>
      </c>
      <c r="D225" s="141"/>
    </row>
    <row r="226" spans="1:4" x14ac:dyDescent="0.2">
      <c r="A226" s="140" t="s">
        <v>6477</v>
      </c>
      <c r="B226" s="141">
        <v>5.6582216412353101E-2</v>
      </c>
      <c r="D226" s="141"/>
    </row>
    <row r="227" spans="1:4" x14ac:dyDescent="0.2">
      <c r="A227" s="140" t="s">
        <v>2297</v>
      </c>
      <c r="B227" s="141">
        <v>5.6258887557158799E-2</v>
      </c>
      <c r="D227" s="141"/>
    </row>
    <row r="228" spans="1:4" x14ac:dyDescent="0.2">
      <c r="A228" s="140" t="s">
        <v>2087</v>
      </c>
      <c r="B228" s="141">
        <v>5.6120068679108098E-2</v>
      </c>
      <c r="D228" s="141"/>
    </row>
    <row r="229" spans="1:4" x14ac:dyDescent="0.2">
      <c r="A229" s="140" t="s">
        <v>1750</v>
      </c>
      <c r="B229" s="141">
        <v>5.5987004246582699E-2</v>
      </c>
      <c r="D229" s="141"/>
    </row>
    <row r="230" spans="1:4" x14ac:dyDescent="0.2">
      <c r="A230" s="140" t="s">
        <v>6198</v>
      </c>
      <c r="B230" s="141">
        <v>5.58176067667659E-2</v>
      </c>
      <c r="D230" s="141"/>
    </row>
    <row r="231" spans="1:4" x14ac:dyDescent="0.2">
      <c r="A231" s="140" t="s">
        <v>5517</v>
      </c>
      <c r="B231" s="141">
        <v>5.5510564961978703E-2</v>
      </c>
      <c r="D231" s="141"/>
    </row>
    <row r="232" spans="1:4" x14ac:dyDescent="0.2">
      <c r="A232" s="140" t="s">
        <v>1890</v>
      </c>
      <c r="B232" s="141">
        <v>5.5476311514365002E-2</v>
      </c>
      <c r="D232" s="141"/>
    </row>
    <row r="233" spans="1:4" x14ac:dyDescent="0.2">
      <c r="A233" s="140" t="s">
        <v>6478</v>
      </c>
      <c r="B233" s="141">
        <v>5.4950875752594802E-2</v>
      </c>
      <c r="D233" s="141"/>
    </row>
    <row r="234" spans="1:4" x14ac:dyDescent="0.2">
      <c r="A234" s="140" t="s">
        <v>3636</v>
      </c>
      <c r="B234" s="141">
        <v>5.4849040821427497E-2</v>
      </c>
      <c r="D234" s="141"/>
    </row>
    <row r="235" spans="1:4" x14ac:dyDescent="0.2">
      <c r="A235" s="140" t="s">
        <v>3727</v>
      </c>
      <c r="B235" s="141">
        <v>5.47570559157513E-2</v>
      </c>
      <c r="D235" s="141"/>
    </row>
    <row r="236" spans="1:4" x14ac:dyDescent="0.2">
      <c r="A236" s="140" t="s">
        <v>6479</v>
      </c>
      <c r="B236" s="141">
        <v>5.42786405980114E-2</v>
      </c>
      <c r="D236" s="141"/>
    </row>
    <row r="237" spans="1:4" x14ac:dyDescent="0.2">
      <c r="A237" s="140" t="s">
        <v>5850</v>
      </c>
      <c r="B237" s="141">
        <v>5.4205330800792199E-2</v>
      </c>
      <c r="D237" s="141"/>
    </row>
    <row r="238" spans="1:4" x14ac:dyDescent="0.2">
      <c r="A238" s="140" t="s">
        <v>1937</v>
      </c>
      <c r="B238" s="141">
        <v>5.4148472091831601E-2</v>
      </c>
      <c r="D238" s="141"/>
    </row>
    <row r="239" spans="1:4" x14ac:dyDescent="0.2">
      <c r="A239" s="140" t="s">
        <v>3205</v>
      </c>
      <c r="B239" s="141">
        <v>5.4053805780563603E-2</v>
      </c>
      <c r="D239" s="141"/>
    </row>
    <row r="240" spans="1:4" x14ac:dyDescent="0.2">
      <c r="A240" s="140" t="s">
        <v>4230</v>
      </c>
      <c r="B240" s="141">
        <v>5.35630496088692E-2</v>
      </c>
      <c r="D240" s="141"/>
    </row>
    <row r="241" spans="1:4" x14ac:dyDescent="0.2">
      <c r="A241" s="140" t="s">
        <v>6480</v>
      </c>
      <c r="B241" s="141">
        <v>5.3498527749074501E-2</v>
      </c>
      <c r="D241" s="141"/>
    </row>
    <row r="242" spans="1:4" x14ac:dyDescent="0.2">
      <c r="A242" s="140" t="s">
        <v>5023</v>
      </c>
      <c r="B242" s="141">
        <v>5.3168965191895498E-2</v>
      </c>
      <c r="D242" s="141"/>
    </row>
    <row r="243" spans="1:4" x14ac:dyDescent="0.2">
      <c r="A243" s="140" t="s">
        <v>6481</v>
      </c>
      <c r="B243" s="141">
        <v>5.3033353928364002E-2</v>
      </c>
      <c r="D243" s="141"/>
    </row>
    <row r="244" spans="1:4" x14ac:dyDescent="0.2">
      <c r="A244" s="140" t="s">
        <v>4294</v>
      </c>
      <c r="B244" s="141">
        <v>5.2637128027619003E-2</v>
      </c>
      <c r="D244" s="141"/>
    </row>
    <row r="245" spans="1:4" x14ac:dyDescent="0.2">
      <c r="A245" s="140" t="s">
        <v>2844</v>
      </c>
      <c r="B245" s="141">
        <v>5.2487482973197302E-2</v>
      </c>
      <c r="D245" s="141"/>
    </row>
    <row r="246" spans="1:4" x14ac:dyDescent="0.2">
      <c r="A246" s="140" t="s">
        <v>1748</v>
      </c>
      <c r="B246" s="141">
        <v>5.2280411333594103E-2</v>
      </c>
      <c r="D246" s="141"/>
    </row>
    <row r="247" spans="1:4" x14ac:dyDescent="0.2">
      <c r="A247" s="140" t="s">
        <v>1524</v>
      </c>
      <c r="B247" s="141">
        <v>5.2131855128958501E-2</v>
      </c>
      <c r="D247" s="141"/>
    </row>
    <row r="248" spans="1:4" x14ac:dyDescent="0.2">
      <c r="A248" s="140" t="s">
        <v>6482</v>
      </c>
      <c r="B248" s="141">
        <v>5.2131855128958501E-2</v>
      </c>
      <c r="D248" s="141"/>
    </row>
    <row r="249" spans="1:4" x14ac:dyDescent="0.2">
      <c r="A249" s="140" t="s">
        <v>2544</v>
      </c>
      <c r="B249" s="141">
        <v>5.21106522142427E-2</v>
      </c>
      <c r="D249" s="141"/>
    </row>
    <row r="250" spans="1:4" x14ac:dyDescent="0.2">
      <c r="A250" s="140" t="s">
        <v>4248</v>
      </c>
      <c r="B250" s="141">
        <v>5.2013300079545501E-2</v>
      </c>
      <c r="D250" s="141"/>
    </row>
    <row r="251" spans="1:4" x14ac:dyDescent="0.2">
      <c r="A251" s="140" t="s">
        <v>4217</v>
      </c>
      <c r="B251" s="141">
        <v>5.1766981998242603E-2</v>
      </c>
      <c r="D251" s="141"/>
    </row>
    <row r="252" spans="1:4" x14ac:dyDescent="0.2">
      <c r="A252" s="140" t="s">
        <v>4869</v>
      </c>
      <c r="B252" s="141">
        <v>5.1555340875329501E-2</v>
      </c>
      <c r="D252" s="141"/>
    </row>
    <row r="253" spans="1:4" x14ac:dyDescent="0.2">
      <c r="A253" s="140" t="s">
        <v>2989</v>
      </c>
      <c r="B253" s="141">
        <v>5.1358369247319999E-2</v>
      </c>
      <c r="D253" s="141"/>
    </row>
    <row r="254" spans="1:4" x14ac:dyDescent="0.2">
      <c r="A254" s="140" t="s">
        <v>4794</v>
      </c>
      <c r="B254" s="141">
        <v>5.1266233289661102E-2</v>
      </c>
      <c r="D254" s="141"/>
    </row>
    <row r="255" spans="1:4" x14ac:dyDescent="0.2">
      <c r="A255" s="140" t="s">
        <v>3907</v>
      </c>
      <c r="B255" s="141">
        <v>5.1030275438923203E-2</v>
      </c>
      <c r="D255" s="141"/>
    </row>
    <row r="256" spans="1:4" x14ac:dyDescent="0.2">
      <c r="A256" s="140" t="s">
        <v>3799</v>
      </c>
      <c r="B256" s="141">
        <v>5.0809944849125502E-2</v>
      </c>
      <c r="D256" s="141"/>
    </row>
    <row r="257" spans="1:4" x14ac:dyDescent="0.2">
      <c r="A257" s="140" t="s">
        <v>3789</v>
      </c>
      <c r="B257" s="141">
        <v>5.0779868280450599E-2</v>
      </c>
      <c r="D257" s="141"/>
    </row>
    <row r="258" spans="1:4" x14ac:dyDescent="0.2">
      <c r="A258" s="140" t="s">
        <v>2300</v>
      </c>
      <c r="B258" s="141">
        <v>5.0550352940651397E-2</v>
      </c>
      <c r="D258" s="141"/>
    </row>
    <row r="259" spans="1:4" x14ac:dyDescent="0.2">
      <c r="A259" s="140" t="s">
        <v>637</v>
      </c>
      <c r="B259" s="141">
        <v>5.0490831978868701E-2</v>
      </c>
      <c r="D259" s="141"/>
    </row>
    <row r="260" spans="1:4" x14ac:dyDescent="0.2">
      <c r="A260" s="140" t="s">
        <v>2124</v>
      </c>
      <c r="B260" s="141">
        <v>5.0317661196582701E-2</v>
      </c>
      <c r="D260" s="141"/>
    </row>
    <row r="261" spans="1:4" x14ac:dyDescent="0.2">
      <c r="A261" s="140" t="s">
        <v>4315</v>
      </c>
      <c r="B261" s="141">
        <v>5.0090484313878102E-2</v>
      </c>
      <c r="D261" s="141"/>
    </row>
    <row r="262" spans="1:4" x14ac:dyDescent="0.2">
      <c r="A262" s="140" t="s">
        <v>2205</v>
      </c>
      <c r="B262" s="141">
        <v>5.00418614762368E-2</v>
      </c>
      <c r="D262" s="141"/>
    </row>
    <row r="263" spans="1:4" x14ac:dyDescent="0.2">
      <c r="A263" s="140" t="s">
        <v>4754</v>
      </c>
      <c r="B263" s="141">
        <v>5.00272515048149E-2</v>
      </c>
      <c r="D263" s="141"/>
    </row>
    <row r="264" spans="1:4" x14ac:dyDescent="0.2">
      <c r="A264" s="140" t="s">
        <v>4068</v>
      </c>
      <c r="B264" s="141">
        <v>4.9779528739795999E-2</v>
      </c>
      <c r="D264" s="141"/>
    </row>
    <row r="265" spans="1:4" x14ac:dyDescent="0.2">
      <c r="A265" s="140" t="s">
        <v>3420</v>
      </c>
      <c r="B265" s="141">
        <v>4.9611529525941701E-2</v>
      </c>
      <c r="D265" s="141"/>
    </row>
    <row r="266" spans="1:4" x14ac:dyDescent="0.2">
      <c r="A266" s="140" t="s">
        <v>5841</v>
      </c>
      <c r="B266" s="141">
        <v>4.92586697539499E-2</v>
      </c>
      <c r="D266" s="141"/>
    </row>
    <row r="267" spans="1:4" x14ac:dyDescent="0.2">
      <c r="A267" s="140" t="s">
        <v>3468</v>
      </c>
      <c r="B267" s="141">
        <v>4.9255069499230003E-2</v>
      </c>
      <c r="D267" s="141"/>
    </row>
    <row r="268" spans="1:4" x14ac:dyDescent="0.2">
      <c r="A268" s="140" t="s">
        <v>3815</v>
      </c>
      <c r="B268" s="141">
        <v>4.9113745291110102E-2</v>
      </c>
      <c r="D268" s="141"/>
    </row>
    <row r="269" spans="1:4" x14ac:dyDescent="0.2">
      <c r="A269" s="140" t="s">
        <v>5949</v>
      </c>
      <c r="B269" s="141">
        <v>4.8931765604569299E-2</v>
      </c>
      <c r="D269" s="141"/>
    </row>
    <row r="270" spans="1:4" x14ac:dyDescent="0.2">
      <c r="A270" s="140" t="s">
        <v>3846</v>
      </c>
      <c r="B270" s="141">
        <v>4.8498649490565197E-2</v>
      </c>
      <c r="D270" s="141"/>
    </row>
    <row r="271" spans="1:4" x14ac:dyDescent="0.2">
      <c r="A271" s="140" t="s">
        <v>2982</v>
      </c>
      <c r="B271" s="141">
        <v>4.8460900642237702E-2</v>
      </c>
      <c r="D271" s="141"/>
    </row>
    <row r="272" spans="1:4" x14ac:dyDescent="0.2">
      <c r="A272" s="140" t="s">
        <v>5943</v>
      </c>
      <c r="B272" s="141">
        <v>4.8113385756915997E-2</v>
      </c>
      <c r="D272" s="141"/>
    </row>
    <row r="273" spans="1:4" x14ac:dyDescent="0.2">
      <c r="A273" s="140" t="s">
        <v>6483</v>
      </c>
      <c r="B273" s="141">
        <v>4.7929527029342701E-2</v>
      </c>
      <c r="D273" s="141"/>
    </row>
    <row r="274" spans="1:4" x14ac:dyDescent="0.2">
      <c r="A274" s="140" t="s">
        <v>5387</v>
      </c>
      <c r="B274" s="141">
        <v>4.7766913264611202E-2</v>
      </c>
      <c r="D274" s="141"/>
    </row>
    <row r="275" spans="1:4" x14ac:dyDescent="0.2">
      <c r="A275" s="140" t="s">
        <v>1544</v>
      </c>
      <c r="B275" s="141">
        <v>4.75528537840312E-2</v>
      </c>
      <c r="D275" s="141"/>
    </row>
    <row r="276" spans="1:4" x14ac:dyDescent="0.2">
      <c r="A276" s="140" t="s">
        <v>6484</v>
      </c>
      <c r="B276" s="141">
        <v>4.7278334348982001E-2</v>
      </c>
      <c r="D276" s="141"/>
    </row>
    <row r="277" spans="1:4" x14ac:dyDescent="0.2">
      <c r="A277" s="140" t="s">
        <v>443</v>
      </c>
      <c r="B277" s="141">
        <v>4.7251325851767403E-2</v>
      </c>
      <c r="D277" s="141"/>
    </row>
    <row r="278" spans="1:4" x14ac:dyDescent="0.2">
      <c r="A278" s="140" t="s">
        <v>2764</v>
      </c>
      <c r="B278" s="141">
        <v>4.7208241671533598E-2</v>
      </c>
      <c r="D278" s="141"/>
    </row>
    <row r="279" spans="1:4" x14ac:dyDescent="0.2">
      <c r="A279" s="140" t="s">
        <v>404</v>
      </c>
      <c r="B279" s="141">
        <v>4.7015320065668602E-2</v>
      </c>
      <c r="D279" s="141"/>
    </row>
    <row r="280" spans="1:4" x14ac:dyDescent="0.2">
      <c r="A280" s="140" t="s">
        <v>5910</v>
      </c>
      <c r="B280" s="141">
        <v>4.6081279358184797E-2</v>
      </c>
      <c r="D280" s="141"/>
    </row>
    <row r="281" spans="1:4" x14ac:dyDescent="0.2">
      <c r="A281" s="140" t="s">
        <v>4698</v>
      </c>
      <c r="B281" s="141">
        <v>4.5756087286191502E-2</v>
      </c>
      <c r="D281" s="141"/>
    </row>
    <row r="282" spans="1:4" x14ac:dyDescent="0.2">
      <c r="A282" s="140" t="s">
        <v>3349</v>
      </c>
      <c r="B282" s="141">
        <v>4.56488374143676E-2</v>
      </c>
      <c r="D282" s="141"/>
    </row>
    <row r="283" spans="1:4" x14ac:dyDescent="0.2">
      <c r="A283" s="140" t="s">
        <v>3741</v>
      </c>
      <c r="B283" s="141">
        <v>4.56094904104914E-2</v>
      </c>
      <c r="D283" s="141"/>
    </row>
    <row r="284" spans="1:4" x14ac:dyDescent="0.2">
      <c r="A284" s="140" t="s">
        <v>730</v>
      </c>
      <c r="B284" s="141">
        <v>4.5449437863663497E-2</v>
      </c>
      <c r="D284" s="141"/>
    </row>
    <row r="285" spans="1:4" x14ac:dyDescent="0.2">
      <c r="A285" s="140" t="s">
        <v>3631</v>
      </c>
      <c r="B285" s="141">
        <v>4.5143970443897397E-2</v>
      </c>
      <c r="D285" s="141"/>
    </row>
    <row r="286" spans="1:4" x14ac:dyDescent="0.2">
      <c r="A286" s="140" t="s">
        <v>5683</v>
      </c>
      <c r="B286" s="141">
        <v>4.4770789960165501E-2</v>
      </c>
      <c r="D286" s="141"/>
    </row>
    <row r="287" spans="1:4" x14ac:dyDescent="0.2">
      <c r="A287" s="140" t="s">
        <v>3966</v>
      </c>
      <c r="B287" s="141">
        <v>4.4491882444072803E-2</v>
      </c>
      <c r="D287" s="141"/>
    </row>
    <row r="288" spans="1:4" x14ac:dyDescent="0.2">
      <c r="A288" s="140" t="s">
        <v>1242</v>
      </c>
      <c r="B288" s="141">
        <v>4.4287602140921901E-2</v>
      </c>
      <c r="D288" s="141"/>
    </row>
    <row r="289" spans="1:4" x14ac:dyDescent="0.2">
      <c r="A289" s="140" t="s">
        <v>6485</v>
      </c>
      <c r="B289" s="141">
        <v>4.4159340114749097E-2</v>
      </c>
      <c r="D289" s="141"/>
    </row>
    <row r="290" spans="1:4" x14ac:dyDescent="0.2">
      <c r="A290" s="140" t="s">
        <v>3523</v>
      </c>
      <c r="B290" s="141">
        <v>4.3686259054079697E-2</v>
      </c>
      <c r="D290" s="141"/>
    </row>
    <row r="291" spans="1:4" x14ac:dyDescent="0.2">
      <c r="A291" s="140" t="s">
        <v>5826</v>
      </c>
      <c r="B291" s="141">
        <v>4.3617723725053702E-2</v>
      </c>
      <c r="D291" s="141"/>
    </row>
    <row r="292" spans="1:4" x14ac:dyDescent="0.2">
      <c r="A292" s="140" t="s">
        <v>2704</v>
      </c>
      <c r="B292" s="141">
        <v>4.2877047457979899E-2</v>
      </c>
      <c r="D292" s="141"/>
    </row>
    <row r="293" spans="1:4" x14ac:dyDescent="0.2">
      <c r="A293" s="140" t="s">
        <v>2189</v>
      </c>
      <c r="B293" s="141">
        <v>4.2721372802036202E-2</v>
      </c>
      <c r="D293" s="141"/>
    </row>
    <row r="294" spans="1:4" x14ac:dyDescent="0.2">
      <c r="A294" s="140" t="s">
        <v>6486</v>
      </c>
      <c r="B294" s="141">
        <v>4.2675892072629798E-2</v>
      </c>
      <c r="D294" s="141"/>
    </row>
    <row r="295" spans="1:4" x14ac:dyDescent="0.2">
      <c r="A295" s="140" t="s">
        <v>6039</v>
      </c>
      <c r="B295" s="141">
        <v>4.2442868931724803E-2</v>
      </c>
      <c r="D295" s="141"/>
    </row>
    <row r="296" spans="1:4" x14ac:dyDescent="0.2">
      <c r="A296" s="140" t="s">
        <v>3564</v>
      </c>
      <c r="B296" s="141">
        <v>4.2023039642322103E-2</v>
      </c>
      <c r="D296" s="141"/>
    </row>
    <row r="297" spans="1:4" x14ac:dyDescent="0.2">
      <c r="A297" s="140" t="s">
        <v>2802</v>
      </c>
      <c r="B297" s="141">
        <v>4.1774669442585302E-2</v>
      </c>
      <c r="D297" s="141"/>
    </row>
    <row r="298" spans="1:4" x14ac:dyDescent="0.2">
      <c r="A298" s="140" t="s">
        <v>4570</v>
      </c>
      <c r="B298" s="141">
        <v>4.1603392184279199E-2</v>
      </c>
      <c r="D298" s="141"/>
    </row>
    <row r="299" spans="1:4" x14ac:dyDescent="0.2">
      <c r="A299" s="140" t="s">
        <v>1576</v>
      </c>
      <c r="B299" s="141">
        <v>4.1222134868340803E-2</v>
      </c>
      <c r="D299" s="141"/>
    </row>
    <row r="300" spans="1:4" x14ac:dyDescent="0.2">
      <c r="A300" s="140" t="s">
        <v>4887</v>
      </c>
      <c r="B300" s="141">
        <v>4.0738301202749697E-2</v>
      </c>
      <c r="D300" s="141"/>
    </row>
    <row r="301" spans="1:4" x14ac:dyDescent="0.2">
      <c r="A301" s="140" t="s">
        <v>4624</v>
      </c>
      <c r="B301" s="141">
        <v>4.0728677900961199E-2</v>
      </c>
      <c r="D301" s="141"/>
    </row>
    <row r="302" spans="1:4" x14ac:dyDescent="0.2">
      <c r="A302" s="140" t="s">
        <v>4030</v>
      </c>
      <c r="B302" s="141">
        <v>4.0672254952697502E-2</v>
      </c>
      <c r="D302" s="141"/>
    </row>
    <row r="303" spans="1:4" x14ac:dyDescent="0.2">
      <c r="A303" s="140" t="s">
        <v>2814</v>
      </c>
      <c r="B303" s="141">
        <v>4.06621346401186E-2</v>
      </c>
      <c r="D303" s="141"/>
    </row>
    <row r="304" spans="1:4" x14ac:dyDescent="0.2">
      <c r="A304" s="140" t="s">
        <v>6487</v>
      </c>
      <c r="B304" s="141">
        <v>4.0054957422943703E-2</v>
      </c>
      <c r="D304" s="141"/>
    </row>
    <row r="305" spans="1:4" x14ac:dyDescent="0.2">
      <c r="A305" s="140" t="s">
        <v>5588</v>
      </c>
      <c r="B305" s="141">
        <v>3.9971880186558201E-2</v>
      </c>
      <c r="D305" s="141"/>
    </row>
    <row r="306" spans="1:4" x14ac:dyDescent="0.2">
      <c r="A306" s="140" t="s">
        <v>5927</v>
      </c>
      <c r="B306" s="141">
        <v>3.9532342125545898E-2</v>
      </c>
      <c r="D306" s="141"/>
    </row>
    <row r="307" spans="1:4" x14ac:dyDescent="0.2">
      <c r="A307" s="140" t="s">
        <v>1231</v>
      </c>
      <c r="B307" s="141">
        <v>3.9152068562362002E-2</v>
      </c>
      <c r="D307" s="141"/>
    </row>
    <row r="308" spans="1:4" x14ac:dyDescent="0.2">
      <c r="A308" s="140" t="s">
        <v>2967</v>
      </c>
      <c r="B308" s="141">
        <v>3.9151749460770699E-2</v>
      </c>
      <c r="D308" s="141"/>
    </row>
    <row r="309" spans="1:4" x14ac:dyDescent="0.2">
      <c r="A309" s="140" t="s">
        <v>4134</v>
      </c>
      <c r="B309" s="141">
        <v>3.8799754432616303E-2</v>
      </c>
      <c r="D309" s="141"/>
    </row>
    <row r="310" spans="1:4" x14ac:dyDescent="0.2">
      <c r="A310" s="140" t="s">
        <v>1805</v>
      </c>
      <c r="B310" s="141">
        <v>3.8780314649440803E-2</v>
      </c>
      <c r="D310" s="141"/>
    </row>
    <row r="311" spans="1:4" x14ac:dyDescent="0.2">
      <c r="A311" s="140" t="s">
        <v>2191</v>
      </c>
      <c r="B311" s="141">
        <v>3.8691900431594997E-2</v>
      </c>
      <c r="D311" s="141"/>
    </row>
    <row r="312" spans="1:4" x14ac:dyDescent="0.2">
      <c r="A312" s="140" t="s">
        <v>2755</v>
      </c>
      <c r="B312" s="141">
        <v>3.8681212198120103E-2</v>
      </c>
      <c r="D312" s="141"/>
    </row>
    <row r="313" spans="1:4" x14ac:dyDescent="0.2">
      <c r="A313" s="140" t="s">
        <v>4954</v>
      </c>
      <c r="B313" s="141">
        <v>3.8676930145408801E-2</v>
      </c>
      <c r="D313" s="141"/>
    </row>
    <row r="314" spans="1:4" x14ac:dyDescent="0.2">
      <c r="A314" s="140" t="s">
        <v>1507</v>
      </c>
      <c r="B314" s="141">
        <v>3.8569273405098303E-2</v>
      </c>
      <c r="D314" s="141"/>
    </row>
    <row r="315" spans="1:4" x14ac:dyDescent="0.2">
      <c r="A315" s="140" t="s">
        <v>6488</v>
      </c>
      <c r="B315" s="141">
        <v>3.8481775533288097E-2</v>
      </c>
      <c r="D315" s="141"/>
    </row>
    <row r="316" spans="1:4" x14ac:dyDescent="0.2">
      <c r="A316" s="140" t="s">
        <v>3379</v>
      </c>
      <c r="B316" s="141">
        <v>3.8481775533288097E-2</v>
      </c>
      <c r="D316" s="141"/>
    </row>
    <row r="317" spans="1:4" x14ac:dyDescent="0.2">
      <c r="A317" s="140" t="s">
        <v>3697</v>
      </c>
      <c r="B317" s="141">
        <v>3.8385925874715898E-2</v>
      </c>
      <c r="D317" s="141"/>
    </row>
    <row r="318" spans="1:4" x14ac:dyDescent="0.2">
      <c r="A318" s="140" t="s">
        <v>5950</v>
      </c>
      <c r="B318" s="141">
        <v>3.8167436862372797E-2</v>
      </c>
      <c r="D318" s="141"/>
    </row>
    <row r="319" spans="1:4" x14ac:dyDescent="0.2">
      <c r="A319" s="140" t="s">
        <v>2797</v>
      </c>
      <c r="B319" s="141">
        <v>3.7984271150443498E-2</v>
      </c>
      <c r="D319" s="141"/>
    </row>
    <row r="320" spans="1:4" x14ac:dyDescent="0.2">
      <c r="A320" s="140" t="s">
        <v>1085</v>
      </c>
      <c r="B320" s="141">
        <v>3.7964351915696401E-2</v>
      </c>
      <c r="D320" s="141"/>
    </row>
    <row r="321" spans="1:4" x14ac:dyDescent="0.2">
      <c r="A321" s="140" t="s">
        <v>6489</v>
      </c>
      <c r="B321" s="141">
        <v>3.7870196845188997E-2</v>
      </c>
      <c r="D321" s="141"/>
    </row>
    <row r="322" spans="1:4" x14ac:dyDescent="0.2">
      <c r="A322" s="140" t="s">
        <v>6490</v>
      </c>
      <c r="B322" s="141">
        <v>3.7870196845188997E-2</v>
      </c>
      <c r="D322" s="141"/>
    </row>
    <row r="323" spans="1:4" x14ac:dyDescent="0.2">
      <c r="A323" s="140" t="s">
        <v>6491</v>
      </c>
      <c r="B323" s="141">
        <v>3.7723507649250698E-2</v>
      </c>
      <c r="D323" s="141"/>
    </row>
    <row r="324" spans="1:4" x14ac:dyDescent="0.2">
      <c r="A324" s="140" t="s">
        <v>1831</v>
      </c>
      <c r="B324" s="141">
        <v>3.7595740324723598E-2</v>
      </c>
      <c r="D324" s="141"/>
    </row>
    <row r="325" spans="1:4" x14ac:dyDescent="0.2">
      <c r="A325" s="140" t="s">
        <v>2023</v>
      </c>
      <c r="B325" s="141">
        <v>3.75746486572879E-2</v>
      </c>
      <c r="D325" s="141"/>
    </row>
    <row r="326" spans="1:4" x14ac:dyDescent="0.2">
      <c r="A326" s="140" t="s">
        <v>5172</v>
      </c>
      <c r="B326" s="141">
        <v>3.7561568584338401E-2</v>
      </c>
      <c r="D326" s="141"/>
    </row>
    <row r="327" spans="1:4" x14ac:dyDescent="0.2">
      <c r="A327" s="140" t="s">
        <v>2151</v>
      </c>
      <c r="B327" s="141">
        <v>3.7331902859670897E-2</v>
      </c>
      <c r="D327" s="141"/>
    </row>
    <row r="328" spans="1:4" x14ac:dyDescent="0.2">
      <c r="A328" s="140" t="s">
        <v>5674</v>
      </c>
      <c r="B328" s="141">
        <v>3.7078923735572297E-2</v>
      </c>
      <c r="D328" s="141"/>
    </row>
    <row r="329" spans="1:4" x14ac:dyDescent="0.2">
      <c r="A329" s="140" t="s">
        <v>5402</v>
      </c>
      <c r="B329" s="141">
        <v>3.6944197690989201E-2</v>
      </c>
      <c r="D329" s="141"/>
    </row>
    <row r="330" spans="1:4" x14ac:dyDescent="0.2">
      <c r="A330" s="140" t="s">
        <v>4257</v>
      </c>
      <c r="B330" s="141">
        <v>3.6798079167925997E-2</v>
      </c>
      <c r="D330" s="141"/>
    </row>
    <row r="331" spans="1:4" x14ac:dyDescent="0.2">
      <c r="A331" s="140" t="s">
        <v>4635</v>
      </c>
      <c r="B331" s="141">
        <v>3.6793101394810797E-2</v>
      </c>
      <c r="D331" s="141"/>
    </row>
    <row r="332" spans="1:4" x14ac:dyDescent="0.2">
      <c r="A332" s="140" t="s">
        <v>2692</v>
      </c>
      <c r="B332" s="141">
        <v>3.6729001374520398E-2</v>
      </c>
      <c r="D332" s="141"/>
    </row>
    <row r="333" spans="1:4" x14ac:dyDescent="0.2">
      <c r="A333" s="140" t="s">
        <v>6108</v>
      </c>
      <c r="B333" s="141">
        <v>3.6692593405638803E-2</v>
      </c>
      <c r="D333" s="141"/>
    </row>
    <row r="334" spans="1:4" x14ac:dyDescent="0.2">
      <c r="A334" s="140" t="s">
        <v>3299</v>
      </c>
      <c r="B334" s="141">
        <v>3.6647774400125899E-2</v>
      </c>
      <c r="D334" s="141"/>
    </row>
    <row r="335" spans="1:4" x14ac:dyDescent="0.2">
      <c r="A335" s="140" t="s">
        <v>3919</v>
      </c>
      <c r="B335" s="141">
        <v>3.6417442671695902E-2</v>
      </c>
      <c r="D335" s="141"/>
    </row>
    <row r="336" spans="1:4" x14ac:dyDescent="0.2">
      <c r="A336" s="140" t="s">
        <v>4558</v>
      </c>
      <c r="B336" s="141">
        <v>3.6387292809636901E-2</v>
      </c>
      <c r="D336" s="141"/>
    </row>
    <row r="337" spans="1:4" x14ac:dyDescent="0.2">
      <c r="A337" s="140" t="s">
        <v>1932</v>
      </c>
      <c r="B337" s="141">
        <v>3.6228065622367397E-2</v>
      </c>
      <c r="D337" s="141"/>
    </row>
    <row r="338" spans="1:4" x14ac:dyDescent="0.2">
      <c r="A338" s="140" t="s">
        <v>3664</v>
      </c>
      <c r="B338" s="141">
        <v>3.6180569649662903E-2</v>
      </c>
      <c r="D338" s="141"/>
    </row>
    <row r="339" spans="1:4" x14ac:dyDescent="0.2">
      <c r="A339" s="140" t="s">
        <v>2773</v>
      </c>
      <c r="B339" s="141">
        <v>3.6100658442511202E-2</v>
      </c>
      <c r="D339" s="141"/>
    </row>
    <row r="340" spans="1:4" x14ac:dyDescent="0.2">
      <c r="A340" s="140" t="s">
        <v>2214</v>
      </c>
      <c r="B340" s="141">
        <v>3.5984832953445497E-2</v>
      </c>
      <c r="D340" s="141"/>
    </row>
    <row r="341" spans="1:4" x14ac:dyDescent="0.2">
      <c r="A341" s="140" t="s">
        <v>5905</v>
      </c>
      <c r="B341" s="141">
        <v>3.5912776037244597E-2</v>
      </c>
      <c r="D341" s="141"/>
    </row>
    <row r="342" spans="1:4" x14ac:dyDescent="0.2">
      <c r="A342" s="140" t="s">
        <v>6056</v>
      </c>
      <c r="B342" s="141">
        <v>3.5909123716359799E-2</v>
      </c>
      <c r="D342" s="141"/>
    </row>
    <row r="343" spans="1:4" x14ac:dyDescent="0.2">
      <c r="A343" s="140" t="s">
        <v>2514</v>
      </c>
      <c r="B343" s="141">
        <v>3.5814148063872897E-2</v>
      </c>
      <c r="D343" s="141"/>
    </row>
    <row r="344" spans="1:4" x14ac:dyDescent="0.2">
      <c r="A344" s="140" t="s">
        <v>2172</v>
      </c>
      <c r="B344" s="141">
        <v>3.57785315531838E-2</v>
      </c>
      <c r="D344" s="141"/>
    </row>
    <row r="345" spans="1:4" x14ac:dyDescent="0.2">
      <c r="A345" s="140" t="s">
        <v>5209</v>
      </c>
      <c r="B345" s="141">
        <v>3.5771920355565201E-2</v>
      </c>
      <c r="D345" s="141"/>
    </row>
    <row r="346" spans="1:4" x14ac:dyDescent="0.2">
      <c r="A346" s="140" t="s">
        <v>3521</v>
      </c>
      <c r="B346" s="141">
        <v>3.5771920355565201E-2</v>
      </c>
      <c r="D346" s="141"/>
    </row>
    <row r="347" spans="1:4" x14ac:dyDescent="0.2">
      <c r="A347" s="140" t="s">
        <v>5890</v>
      </c>
      <c r="B347" s="141">
        <v>3.5647113879272503E-2</v>
      </c>
      <c r="D347" s="141"/>
    </row>
    <row r="348" spans="1:4" x14ac:dyDescent="0.2">
      <c r="A348" s="140" t="s">
        <v>5985</v>
      </c>
      <c r="B348" s="141">
        <v>3.5586476414052201E-2</v>
      </c>
      <c r="D348" s="141"/>
    </row>
    <row r="349" spans="1:4" x14ac:dyDescent="0.2">
      <c r="A349" s="140" t="s">
        <v>3670</v>
      </c>
      <c r="B349" s="141">
        <v>3.5511377989151702E-2</v>
      </c>
      <c r="D349" s="141"/>
    </row>
    <row r="350" spans="1:4" x14ac:dyDescent="0.2">
      <c r="A350" s="140" t="s">
        <v>3619</v>
      </c>
      <c r="B350" s="141">
        <v>3.5123929925010601E-2</v>
      </c>
      <c r="D350" s="141"/>
    </row>
    <row r="351" spans="1:4" x14ac:dyDescent="0.2">
      <c r="A351" s="140" t="s">
        <v>2965</v>
      </c>
      <c r="B351" s="141">
        <v>3.5078145952453899E-2</v>
      </c>
      <c r="D351" s="141"/>
    </row>
    <row r="352" spans="1:4" x14ac:dyDescent="0.2">
      <c r="A352" s="140" t="s">
        <v>6492</v>
      </c>
      <c r="B352" s="141">
        <v>3.5005595635031403E-2</v>
      </c>
      <c r="D352" s="141"/>
    </row>
    <row r="353" spans="1:4" x14ac:dyDescent="0.2">
      <c r="A353" s="140" t="s">
        <v>3993</v>
      </c>
      <c r="B353" s="141">
        <v>3.4871528339291399E-2</v>
      </c>
      <c r="D353" s="141"/>
    </row>
    <row r="354" spans="1:4" x14ac:dyDescent="0.2">
      <c r="A354" s="140" t="s">
        <v>2815</v>
      </c>
      <c r="B354" s="141">
        <v>3.4589703456185401E-2</v>
      </c>
      <c r="D354" s="141"/>
    </row>
    <row r="355" spans="1:4" x14ac:dyDescent="0.2">
      <c r="A355" s="140" t="s">
        <v>1460</v>
      </c>
      <c r="B355" s="141">
        <v>3.4458841670291798E-2</v>
      </c>
      <c r="D355" s="141"/>
    </row>
    <row r="356" spans="1:4" x14ac:dyDescent="0.2">
      <c r="A356" s="140" t="s">
        <v>6493</v>
      </c>
      <c r="B356" s="141">
        <v>3.4040712104801203E-2</v>
      </c>
      <c r="D356" s="141"/>
    </row>
    <row r="357" spans="1:4" x14ac:dyDescent="0.2">
      <c r="A357" s="140" t="s">
        <v>6494</v>
      </c>
      <c r="B357" s="141">
        <v>3.3995205859066201E-2</v>
      </c>
      <c r="D357" s="141"/>
    </row>
    <row r="358" spans="1:4" x14ac:dyDescent="0.2">
      <c r="A358" s="140" t="s">
        <v>1775</v>
      </c>
      <c r="B358" s="141">
        <v>3.3951014286300901E-2</v>
      </c>
      <c r="D358" s="141"/>
    </row>
    <row r="359" spans="1:4" x14ac:dyDescent="0.2">
      <c r="A359" s="140" t="s">
        <v>2576</v>
      </c>
      <c r="B359" s="141">
        <v>3.38056046964312E-2</v>
      </c>
      <c r="D359" s="141"/>
    </row>
    <row r="360" spans="1:4" x14ac:dyDescent="0.2">
      <c r="A360" s="140" t="s">
        <v>848</v>
      </c>
      <c r="B360" s="141">
        <v>3.36268721965867E-2</v>
      </c>
      <c r="D360" s="141"/>
    </row>
    <row r="361" spans="1:4" x14ac:dyDescent="0.2">
      <c r="A361" s="140" t="s">
        <v>2066</v>
      </c>
      <c r="B361" s="141">
        <v>3.3596163196109599E-2</v>
      </c>
      <c r="D361" s="141"/>
    </row>
    <row r="362" spans="1:4" x14ac:dyDescent="0.2">
      <c r="A362" s="140" t="s">
        <v>2229</v>
      </c>
      <c r="B362" s="141">
        <v>3.3593748730205299E-2</v>
      </c>
      <c r="D362" s="141"/>
    </row>
    <row r="363" spans="1:4" x14ac:dyDescent="0.2">
      <c r="A363" s="140" t="s">
        <v>5166</v>
      </c>
      <c r="B363" s="141">
        <v>3.3467597701758701E-2</v>
      </c>
      <c r="D363" s="141"/>
    </row>
    <row r="364" spans="1:4" x14ac:dyDescent="0.2">
      <c r="A364" s="140" t="s">
        <v>6495</v>
      </c>
      <c r="B364" s="141">
        <v>3.2964787826115102E-2</v>
      </c>
      <c r="D364" s="141"/>
    </row>
    <row r="365" spans="1:4" x14ac:dyDescent="0.2">
      <c r="A365" s="140" t="s">
        <v>4167</v>
      </c>
      <c r="B365" s="141">
        <v>3.2860059161277697E-2</v>
      </c>
      <c r="D365" s="141"/>
    </row>
    <row r="366" spans="1:4" x14ac:dyDescent="0.2">
      <c r="A366" s="140" t="s">
        <v>4143</v>
      </c>
      <c r="B366" s="141">
        <v>3.2745320830130799E-2</v>
      </c>
      <c r="D366" s="141"/>
    </row>
    <row r="367" spans="1:4" x14ac:dyDescent="0.2">
      <c r="A367" s="140" t="s">
        <v>4153</v>
      </c>
      <c r="B367" s="141">
        <v>3.2738984335075501E-2</v>
      </c>
      <c r="D367" s="141"/>
    </row>
    <row r="368" spans="1:4" x14ac:dyDescent="0.2">
      <c r="A368" s="140" t="s">
        <v>4538</v>
      </c>
      <c r="B368" s="141">
        <v>3.2477619517300299E-2</v>
      </c>
      <c r="D368" s="141"/>
    </row>
    <row r="369" spans="1:4" x14ac:dyDescent="0.2">
      <c r="A369" s="140" t="s">
        <v>3519</v>
      </c>
      <c r="B369" s="141">
        <v>3.2463761182511201E-2</v>
      </c>
      <c r="D369" s="141"/>
    </row>
    <row r="370" spans="1:4" x14ac:dyDescent="0.2">
      <c r="A370" s="140" t="s">
        <v>2777</v>
      </c>
      <c r="B370" s="141">
        <v>3.2433713773782097E-2</v>
      </c>
      <c r="D370" s="141"/>
    </row>
    <row r="371" spans="1:4" x14ac:dyDescent="0.2">
      <c r="A371" s="140" t="s">
        <v>2207</v>
      </c>
      <c r="B371" s="141">
        <v>3.2352307938431898E-2</v>
      </c>
      <c r="D371" s="141"/>
    </row>
    <row r="372" spans="1:4" x14ac:dyDescent="0.2">
      <c r="A372" s="140" t="s">
        <v>1351</v>
      </c>
      <c r="B372" s="141">
        <v>3.2332885613875401E-2</v>
      </c>
      <c r="D372" s="141"/>
    </row>
    <row r="373" spans="1:4" x14ac:dyDescent="0.2">
      <c r="A373" s="140" t="s">
        <v>4463</v>
      </c>
      <c r="B373" s="141">
        <v>3.2186265789791002E-2</v>
      </c>
      <c r="D373" s="141"/>
    </row>
    <row r="374" spans="1:4" x14ac:dyDescent="0.2">
      <c r="A374" s="140" t="s">
        <v>5946</v>
      </c>
      <c r="B374" s="141">
        <v>3.19962680532715E-2</v>
      </c>
      <c r="D374" s="141"/>
    </row>
    <row r="375" spans="1:4" x14ac:dyDescent="0.2">
      <c r="A375" s="140" t="s">
        <v>5569</v>
      </c>
      <c r="B375" s="141">
        <v>3.1949072228419299E-2</v>
      </c>
      <c r="D375" s="141"/>
    </row>
    <row r="376" spans="1:4" x14ac:dyDescent="0.2">
      <c r="A376" s="140" t="s">
        <v>6338</v>
      </c>
      <c r="B376" s="141">
        <v>3.1940235423967699E-2</v>
      </c>
      <c r="D376" s="141"/>
    </row>
    <row r="377" spans="1:4" x14ac:dyDescent="0.2">
      <c r="A377" s="140" t="s">
        <v>4185</v>
      </c>
      <c r="B377" s="141">
        <v>3.1912651665642701E-2</v>
      </c>
      <c r="D377" s="141"/>
    </row>
    <row r="378" spans="1:4" x14ac:dyDescent="0.2">
      <c r="A378" s="140" t="s">
        <v>6496</v>
      </c>
      <c r="B378" s="141">
        <v>3.1705909287191601E-2</v>
      </c>
      <c r="D378" s="141"/>
    </row>
    <row r="379" spans="1:4" x14ac:dyDescent="0.2">
      <c r="A379" s="140" t="s">
        <v>1770</v>
      </c>
      <c r="B379" s="141">
        <v>3.1648608270782502E-2</v>
      </c>
      <c r="D379" s="141"/>
    </row>
    <row r="380" spans="1:4" x14ac:dyDescent="0.2">
      <c r="A380" s="140" t="s">
        <v>5030</v>
      </c>
      <c r="B380" s="141">
        <v>3.1366936068900501E-2</v>
      </c>
      <c r="D380" s="141"/>
    </row>
    <row r="381" spans="1:4" x14ac:dyDescent="0.2">
      <c r="A381" s="140" t="s">
        <v>4323</v>
      </c>
      <c r="B381" s="141">
        <v>3.1289660461104901E-2</v>
      </c>
      <c r="D381" s="141"/>
    </row>
    <row r="382" spans="1:4" x14ac:dyDescent="0.2">
      <c r="A382" s="140" t="s">
        <v>3280</v>
      </c>
      <c r="B382" s="141">
        <v>3.1222795699595102E-2</v>
      </c>
      <c r="D382" s="141"/>
    </row>
    <row r="383" spans="1:4" x14ac:dyDescent="0.2">
      <c r="A383" s="140" t="s">
        <v>2509</v>
      </c>
      <c r="B383" s="141">
        <v>3.0951870796884801E-2</v>
      </c>
      <c r="D383" s="141"/>
    </row>
    <row r="384" spans="1:4" x14ac:dyDescent="0.2">
      <c r="A384" s="140" t="s">
        <v>6497</v>
      </c>
      <c r="B384" s="141">
        <v>3.0664371474446499E-2</v>
      </c>
      <c r="D384" s="141"/>
    </row>
    <row r="385" spans="1:4" x14ac:dyDescent="0.2">
      <c r="A385" s="140" t="s">
        <v>6498</v>
      </c>
      <c r="B385" s="141">
        <v>3.06313569415139E-2</v>
      </c>
      <c r="D385" s="141"/>
    </row>
    <row r="386" spans="1:4" x14ac:dyDescent="0.2">
      <c r="A386" s="140" t="s">
        <v>6040</v>
      </c>
      <c r="B386" s="141">
        <v>3.0524309139557799E-2</v>
      </c>
      <c r="D386" s="141"/>
    </row>
    <row r="387" spans="1:4" x14ac:dyDescent="0.2">
      <c r="A387" s="140" t="s">
        <v>5181</v>
      </c>
      <c r="B387" s="141">
        <v>3.0307790592124E-2</v>
      </c>
      <c r="D387" s="141"/>
    </row>
    <row r="388" spans="1:4" x14ac:dyDescent="0.2">
      <c r="A388" s="140" t="s">
        <v>1782</v>
      </c>
      <c r="B388" s="141">
        <v>3.0277848517940201E-2</v>
      </c>
      <c r="D388" s="141"/>
    </row>
    <row r="389" spans="1:4" x14ac:dyDescent="0.2">
      <c r="A389" s="140" t="s">
        <v>2780</v>
      </c>
      <c r="B389" s="141">
        <v>3.01777170365117E-2</v>
      </c>
      <c r="D389" s="141"/>
    </row>
    <row r="390" spans="1:4" x14ac:dyDescent="0.2">
      <c r="A390" s="140" t="s">
        <v>3151</v>
      </c>
      <c r="B390" s="141">
        <v>3.0099023151238701E-2</v>
      </c>
      <c r="D390" s="141"/>
    </row>
    <row r="391" spans="1:4" x14ac:dyDescent="0.2">
      <c r="A391" s="140" t="s">
        <v>3013</v>
      </c>
      <c r="B391" s="141">
        <v>3.0011486289454999E-2</v>
      </c>
      <c r="D391" s="141"/>
    </row>
    <row r="392" spans="1:4" x14ac:dyDescent="0.2">
      <c r="A392" s="140" t="s">
        <v>6499</v>
      </c>
      <c r="B392" s="141">
        <v>3.00103491009318E-2</v>
      </c>
      <c r="D392" s="141"/>
    </row>
    <row r="393" spans="1:4" x14ac:dyDescent="0.2">
      <c r="A393" s="140" t="s">
        <v>6500</v>
      </c>
      <c r="B393" s="141">
        <v>3.00103491009318E-2</v>
      </c>
      <c r="D393" s="141"/>
    </row>
    <row r="394" spans="1:4" x14ac:dyDescent="0.2">
      <c r="A394" s="140" t="s">
        <v>6501</v>
      </c>
      <c r="B394" s="141">
        <v>2.99741597211538E-2</v>
      </c>
      <c r="D394" s="141"/>
    </row>
    <row r="395" spans="1:4" x14ac:dyDescent="0.2">
      <c r="A395" s="140" t="s">
        <v>1785</v>
      </c>
      <c r="B395" s="141">
        <v>2.9899954278560899E-2</v>
      </c>
      <c r="D395" s="141"/>
    </row>
    <row r="396" spans="1:4" x14ac:dyDescent="0.2">
      <c r="A396" s="140" t="s">
        <v>6502</v>
      </c>
      <c r="B396" s="141">
        <v>2.9896095427903301E-2</v>
      </c>
      <c r="D396" s="141"/>
    </row>
    <row r="397" spans="1:4" x14ac:dyDescent="0.2">
      <c r="A397" s="140" t="s">
        <v>2093</v>
      </c>
      <c r="B397" s="141">
        <v>2.9878827318982001E-2</v>
      </c>
      <c r="D397" s="141"/>
    </row>
    <row r="398" spans="1:4" x14ac:dyDescent="0.2">
      <c r="A398" s="140" t="s">
        <v>2142</v>
      </c>
      <c r="B398" s="141">
        <v>2.9605409700832901E-2</v>
      </c>
      <c r="D398" s="141"/>
    </row>
    <row r="399" spans="1:4" x14ac:dyDescent="0.2">
      <c r="A399" s="140" t="s">
        <v>3859</v>
      </c>
      <c r="B399" s="141">
        <v>2.9510720676699399E-2</v>
      </c>
      <c r="D399" s="141"/>
    </row>
    <row r="400" spans="1:4" x14ac:dyDescent="0.2">
      <c r="A400" s="140" t="s">
        <v>3872</v>
      </c>
      <c r="B400" s="141">
        <v>2.9424944570007001E-2</v>
      </c>
      <c r="D400" s="141"/>
    </row>
    <row r="401" spans="1:4" x14ac:dyDescent="0.2">
      <c r="A401" s="140" t="s">
        <v>3656</v>
      </c>
      <c r="B401" s="141">
        <v>2.9384365281131499E-2</v>
      </c>
      <c r="D401" s="141"/>
    </row>
    <row r="402" spans="1:4" x14ac:dyDescent="0.2">
      <c r="A402" s="140" t="s">
        <v>4971</v>
      </c>
      <c r="B402" s="141">
        <v>2.9294851869394099E-2</v>
      </c>
      <c r="D402" s="141"/>
    </row>
    <row r="403" spans="1:4" x14ac:dyDescent="0.2">
      <c r="A403" s="140" t="s">
        <v>4737</v>
      </c>
      <c r="B403" s="141">
        <v>2.9282426863129998E-2</v>
      </c>
      <c r="D403" s="141"/>
    </row>
    <row r="404" spans="1:4" x14ac:dyDescent="0.2">
      <c r="A404" s="140" t="s">
        <v>5896</v>
      </c>
      <c r="B404" s="141">
        <v>2.9080160537919598E-2</v>
      </c>
      <c r="D404" s="141"/>
    </row>
    <row r="405" spans="1:4" x14ac:dyDescent="0.2">
      <c r="A405" s="140" t="s">
        <v>4680</v>
      </c>
      <c r="B405" s="141">
        <v>2.8957423095148399E-2</v>
      </c>
      <c r="D405" s="141"/>
    </row>
    <row r="406" spans="1:4" x14ac:dyDescent="0.2">
      <c r="A406" s="140" t="s">
        <v>6035</v>
      </c>
      <c r="B406" s="141">
        <v>2.8948537682867599E-2</v>
      </c>
      <c r="D406" s="141"/>
    </row>
    <row r="407" spans="1:4" x14ac:dyDescent="0.2">
      <c r="A407" s="140" t="s">
        <v>6169</v>
      </c>
      <c r="B407" s="141">
        <v>2.89281415157111E-2</v>
      </c>
      <c r="D407" s="141"/>
    </row>
    <row r="408" spans="1:4" x14ac:dyDescent="0.2">
      <c r="A408" s="140" t="s">
        <v>1825</v>
      </c>
      <c r="B408" s="141">
        <v>2.8896197071368E-2</v>
      </c>
      <c r="D408" s="141"/>
    </row>
    <row r="409" spans="1:4" x14ac:dyDescent="0.2">
      <c r="A409" s="140" t="s">
        <v>2299</v>
      </c>
      <c r="B409" s="141">
        <v>2.8795069905157102E-2</v>
      </c>
      <c r="D409" s="141"/>
    </row>
    <row r="410" spans="1:4" x14ac:dyDescent="0.2">
      <c r="A410" s="140" t="s">
        <v>6068</v>
      </c>
      <c r="B410" s="141">
        <v>2.8790234966785899E-2</v>
      </c>
      <c r="D410" s="141"/>
    </row>
    <row r="411" spans="1:4" x14ac:dyDescent="0.2">
      <c r="A411" s="140" t="s">
        <v>1809</v>
      </c>
      <c r="B411" s="141">
        <v>2.8772867707744201E-2</v>
      </c>
      <c r="D411" s="141"/>
    </row>
    <row r="412" spans="1:4" x14ac:dyDescent="0.2">
      <c r="A412" s="140" t="s">
        <v>4415</v>
      </c>
      <c r="B412" s="141">
        <v>2.8735687256762499E-2</v>
      </c>
      <c r="D412" s="141"/>
    </row>
    <row r="413" spans="1:4" x14ac:dyDescent="0.2">
      <c r="A413" s="140" t="s">
        <v>1111</v>
      </c>
      <c r="B413" s="141">
        <v>2.8714206885341698E-2</v>
      </c>
      <c r="D413" s="141"/>
    </row>
    <row r="414" spans="1:4" x14ac:dyDescent="0.2">
      <c r="A414" s="140" t="s">
        <v>4676</v>
      </c>
      <c r="B414" s="141">
        <v>2.8625714608464001E-2</v>
      </c>
      <c r="D414" s="141"/>
    </row>
    <row r="415" spans="1:4" x14ac:dyDescent="0.2">
      <c r="A415" s="140" t="s">
        <v>1445</v>
      </c>
      <c r="B415" s="141">
        <v>2.8537021007337598E-2</v>
      </c>
      <c r="D415" s="141"/>
    </row>
    <row r="416" spans="1:4" x14ac:dyDescent="0.2">
      <c r="A416" s="140" t="s">
        <v>4658</v>
      </c>
      <c r="B416" s="141">
        <v>2.84585574180145E-2</v>
      </c>
      <c r="D416" s="141"/>
    </row>
    <row r="417" spans="1:4" x14ac:dyDescent="0.2">
      <c r="A417" s="140" t="s">
        <v>2912</v>
      </c>
      <c r="B417" s="141">
        <v>2.84166715501919E-2</v>
      </c>
      <c r="D417" s="141"/>
    </row>
    <row r="418" spans="1:4" x14ac:dyDescent="0.2">
      <c r="A418" s="140" t="s">
        <v>3705</v>
      </c>
      <c r="B418" s="141">
        <v>2.83959235281094E-2</v>
      </c>
      <c r="D418" s="141"/>
    </row>
    <row r="419" spans="1:4" x14ac:dyDescent="0.2">
      <c r="A419" s="140" t="s">
        <v>3931</v>
      </c>
      <c r="B419" s="141">
        <v>2.8385983299087401E-2</v>
      </c>
      <c r="D419" s="141"/>
    </row>
    <row r="420" spans="1:4" x14ac:dyDescent="0.2">
      <c r="A420" s="140" t="s">
        <v>2866</v>
      </c>
      <c r="B420" s="141">
        <v>2.81884154196906E-2</v>
      </c>
      <c r="D420" s="141"/>
    </row>
    <row r="421" spans="1:4" x14ac:dyDescent="0.2">
      <c r="A421" s="140" t="s">
        <v>6503</v>
      </c>
      <c r="B421" s="141">
        <v>2.8044412912155599E-2</v>
      </c>
      <c r="D421" s="141"/>
    </row>
    <row r="422" spans="1:4" x14ac:dyDescent="0.2">
      <c r="A422" s="140" t="s">
        <v>3003</v>
      </c>
      <c r="B422" s="141">
        <v>2.7889109065944599E-2</v>
      </c>
      <c r="D422" s="141"/>
    </row>
    <row r="423" spans="1:4" x14ac:dyDescent="0.2">
      <c r="A423" s="140" t="s">
        <v>6114</v>
      </c>
      <c r="B423" s="141">
        <v>2.7879917129983701E-2</v>
      </c>
      <c r="D423" s="141"/>
    </row>
    <row r="424" spans="1:4" x14ac:dyDescent="0.2">
      <c r="A424" s="140" t="s">
        <v>3991</v>
      </c>
      <c r="B424" s="141">
        <v>2.7872448456433802E-2</v>
      </c>
      <c r="D424" s="141"/>
    </row>
    <row r="425" spans="1:4" x14ac:dyDescent="0.2">
      <c r="A425" s="140" t="s">
        <v>2257</v>
      </c>
      <c r="B425" s="141">
        <v>2.7642578729346001E-2</v>
      </c>
      <c r="D425" s="141"/>
    </row>
    <row r="426" spans="1:4" x14ac:dyDescent="0.2">
      <c r="A426" s="140" t="s">
        <v>4701</v>
      </c>
      <c r="B426" s="141">
        <v>2.7514515590429899E-2</v>
      </c>
      <c r="D426" s="141"/>
    </row>
    <row r="427" spans="1:4" x14ac:dyDescent="0.2">
      <c r="A427" s="140" t="s">
        <v>6504</v>
      </c>
      <c r="B427" s="141">
        <v>2.7415283414383498E-2</v>
      </c>
      <c r="D427" s="141"/>
    </row>
    <row r="428" spans="1:4" x14ac:dyDescent="0.2">
      <c r="A428" s="140" t="s">
        <v>4011</v>
      </c>
      <c r="B428" s="141">
        <v>2.7304119846802401E-2</v>
      </c>
      <c r="D428" s="141"/>
    </row>
    <row r="429" spans="1:4" x14ac:dyDescent="0.2">
      <c r="A429" s="140" t="s">
        <v>3025</v>
      </c>
      <c r="B429" s="141">
        <v>2.72168209214593E-2</v>
      </c>
      <c r="D429" s="141"/>
    </row>
    <row r="430" spans="1:4" x14ac:dyDescent="0.2">
      <c r="A430" s="140" t="s">
        <v>6505</v>
      </c>
      <c r="B430" s="141">
        <v>2.7184778549415901E-2</v>
      </c>
      <c r="D430" s="141"/>
    </row>
    <row r="431" spans="1:4" x14ac:dyDescent="0.2">
      <c r="A431" s="140" t="s">
        <v>2670</v>
      </c>
      <c r="B431" s="141">
        <v>2.71775590067686E-2</v>
      </c>
      <c r="D431" s="141"/>
    </row>
    <row r="432" spans="1:4" x14ac:dyDescent="0.2">
      <c r="A432" s="140" t="s">
        <v>2972</v>
      </c>
      <c r="B432" s="141">
        <v>2.70858112485209E-2</v>
      </c>
      <c r="D432" s="141"/>
    </row>
    <row r="433" spans="1:4" x14ac:dyDescent="0.2">
      <c r="A433" s="140" t="s">
        <v>6007</v>
      </c>
      <c r="B433" s="141">
        <v>2.6968787932675601E-2</v>
      </c>
      <c r="D433" s="141"/>
    </row>
    <row r="434" spans="1:4" x14ac:dyDescent="0.2">
      <c r="A434" s="140" t="s">
        <v>6506</v>
      </c>
      <c r="B434" s="141">
        <v>2.6888549633441901E-2</v>
      </c>
      <c r="D434" s="141"/>
    </row>
    <row r="435" spans="1:4" x14ac:dyDescent="0.2">
      <c r="A435" s="140" t="s">
        <v>684</v>
      </c>
      <c r="B435" s="141">
        <v>2.6849398321495199E-2</v>
      </c>
      <c r="D435" s="141"/>
    </row>
    <row r="436" spans="1:4" x14ac:dyDescent="0.2">
      <c r="A436" s="140" t="s">
        <v>6507</v>
      </c>
      <c r="B436" s="141">
        <v>2.6835394004431998E-2</v>
      </c>
      <c r="D436" s="141"/>
    </row>
    <row r="437" spans="1:4" x14ac:dyDescent="0.2">
      <c r="A437" s="140" t="s">
        <v>6508</v>
      </c>
      <c r="B437" s="141">
        <v>2.6827101100782701E-2</v>
      </c>
      <c r="D437" s="141"/>
    </row>
    <row r="438" spans="1:4" x14ac:dyDescent="0.2">
      <c r="A438" s="140" t="s">
        <v>3416</v>
      </c>
      <c r="B438" s="141">
        <v>2.6827101100782701E-2</v>
      </c>
      <c r="D438" s="141"/>
    </row>
    <row r="439" spans="1:4" x14ac:dyDescent="0.2">
      <c r="A439" s="140" t="s">
        <v>2676</v>
      </c>
      <c r="B439" s="141">
        <v>2.6813623432828001E-2</v>
      </c>
      <c r="D439" s="141"/>
    </row>
    <row r="440" spans="1:4" x14ac:dyDescent="0.2">
      <c r="A440" s="140" t="s">
        <v>5861</v>
      </c>
      <c r="B440" s="141">
        <v>2.6797093261677899E-2</v>
      </c>
      <c r="D440" s="141"/>
    </row>
    <row r="441" spans="1:4" x14ac:dyDescent="0.2">
      <c r="A441" s="140" t="s">
        <v>3651</v>
      </c>
      <c r="B441" s="141">
        <v>2.6763935322475702E-2</v>
      </c>
      <c r="D441" s="141"/>
    </row>
    <row r="442" spans="1:4" x14ac:dyDescent="0.2">
      <c r="A442" s="140" t="s">
        <v>3303</v>
      </c>
      <c r="B442" s="141">
        <v>2.6705751114306699E-2</v>
      </c>
      <c r="D442" s="141"/>
    </row>
    <row r="443" spans="1:4" x14ac:dyDescent="0.2">
      <c r="A443" s="140" t="s">
        <v>2609</v>
      </c>
      <c r="B443" s="141">
        <v>2.67019802838529E-2</v>
      </c>
      <c r="D443" s="141"/>
    </row>
    <row r="444" spans="1:4" x14ac:dyDescent="0.2">
      <c r="A444" s="140" t="s">
        <v>6076</v>
      </c>
      <c r="B444" s="141">
        <v>2.6691158319017499E-2</v>
      </c>
      <c r="D444" s="141"/>
    </row>
    <row r="445" spans="1:4" x14ac:dyDescent="0.2">
      <c r="A445" s="140" t="s">
        <v>5889</v>
      </c>
      <c r="B445" s="141">
        <v>2.6660028031757699E-2</v>
      </c>
      <c r="D445" s="141"/>
    </row>
    <row r="446" spans="1:4" x14ac:dyDescent="0.2">
      <c r="A446" s="140" t="s">
        <v>6509</v>
      </c>
      <c r="B446" s="141">
        <v>2.6643793447471201E-2</v>
      </c>
      <c r="D446" s="141"/>
    </row>
    <row r="447" spans="1:4" x14ac:dyDescent="0.2">
      <c r="A447" s="140" t="s">
        <v>2683</v>
      </c>
      <c r="B447" s="141">
        <v>2.65436874654261E-2</v>
      </c>
      <c r="D447" s="141"/>
    </row>
    <row r="448" spans="1:4" x14ac:dyDescent="0.2">
      <c r="A448" s="140" t="s">
        <v>4154</v>
      </c>
      <c r="B448" s="141">
        <v>2.65153602646368E-2</v>
      </c>
      <c r="D448" s="141"/>
    </row>
    <row r="449" spans="1:4" x14ac:dyDescent="0.2">
      <c r="A449" s="140" t="s">
        <v>6510</v>
      </c>
      <c r="B449" s="141">
        <v>2.6319734349615199E-2</v>
      </c>
      <c r="D449" s="141"/>
    </row>
    <row r="450" spans="1:4" x14ac:dyDescent="0.2">
      <c r="A450" s="140" t="s">
        <v>2568</v>
      </c>
      <c r="B450" s="141">
        <v>2.6220382381691099E-2</v>
      </c>
      <c r="D450" s="141"/>
    </row>
    <row r="451" spans="1:4" x14ac:dyDescent="0.2">
      <c r="A451" s="140" t="s">
        <v>3002</v>
      </c>
      <c r="B451" s="141">
        <v>2.6085283398280999E-2</v>
      </c>
      <c r="D451" s="141"/>
    </row>
    <row r="452" spans="1:4" x14ac:dyDescent="0.2">
      <c r="A452" s="140" t="s">
        <v>2759</v>
      </c>
      <c r="B452" s="141">
        <v>2.6076995245290301E-2</v>
      </c>
      <c r="D452" s="141"/>
    </row>
    <row r="453" spans="1:4" x14ac:dyDescent="0.2">
      <c r="A453" s="140" t="s">
        <v>4669</v>
      </c>
      <c r="B453" s="141">
        <v>2.6061310401282099E-2</v>
      </c>
      <c r="D453" s="141"/>
    </row>
    <row r="454" spans="1:4" x14ac:dyDescent="0.2">
      <c r="A454" s="140" t="s">
        <v>3175</v>
      </c>
      <c r="B454" s="141">
        <v>2.60532523862795E-2</v>
      </c>
      <c r="D454" s="141"/>
    </row>
    <row r="455" spans="1:4" x14ac:dyDescent="0.2">
      <c r="A455" s="140" t="s">
        <v>6511</v>
      </c>
      <c r="B455" s="141">
        <v>2.5987461280149698E-2</v>
      </c>
      <c r="D455" s="141"/>
    </row>
    <row r="456" spans="1:4" x14ac:dyDescent="0.2">
      <c r="A456" s="140" t="s">
        <v>6512</v>
      </c>
      <c r="B456" s="141">
        <v>2.58390157051533E-2</v>
      </c>
      <c r="D456" s="141"/>
    </row>
    <row r="457" spans="1:4" x14ac:dyDescent="0.2">
      <c r="A457" s="140" t="s">
        <v>6513</v>
      </c>
      <c r="B457" s="141">
        <v>2.57333305154142E-2</v>
      </c>
      <c r="D457" s="141"/>
    </row>
    <row r="458" spans="1:4" x14ac:dyDescent="0.2">
      <c r="A458" s="140" t="s">
        <v>6514</v>
      </c>
      <c r="B458" s="141">
        <v>2.57333305154142E-2</v>
      </c>
      <c r="D458" s="141"/>
    </row>
    <row r="459" spans="1:4" x14ac:dyDescent="0.2">
      <c r="A459" s="140" t="s">
        <v>6036</v>
      </c>
      <c r="B459" s="141">
        <v>2.57258913193751E-2</v>
      </c>
      <c r="D459" s="141"/>
    </row>
    <row r="460" spans="1:4" x14ac:dyDescent="0.2">
      <c r="A460" s="140" t="s">
        <v>5080</v>
      </c>
      <c r="B460" s="141">
        <v>2.5707062932945501E-2</v>
      </c>
      <c r="D460" s="141"/>
    </row>
    <row r="461" spans="1:4" x14ac:dyDescent="0.2">
      <c r="A461" s="140" t="s">
        <v>6515</v>
      </c>
      <c r="B461" s="141">
        <v>2.5687835009166E-2</v>
      </c>
      <c r="D461" s="141"/>
    </row>
    <row r="462" spans="1:4" x14ac:dyDescent="0.2">
      <c r="A462" s="140" t="s">
        <v>6516</v>
      </c>
      <c r="B462" s="141">
        <v>2.5687835009166E-2</v>
      </c>
      <c r="D462" s="141"/>
    </row>
    <row r="463" spans="1:4" x14ac:dyDescent="0.2">
      <c r="A463" s="140" t="s">
        <v>6517</v>
      </c>
      <c r="B463" s="141">
        <v>2.5687835009166E-2</v>
      </c>
      <c r="D463" s="141"/>
    </row>
    <row r="464" spans="1:4" x14ac:dyDescent="0.2">
      <c r="A464" s="140" t="s">
        <v>6518</v>
      </c>
      <c r="B464" s="141">
        <v>2.5687835009166E-2</v>
      </c>
      <c r="D464" s="141"/>
    </row>
    <row r="465" spans="1:4" x14ac:dyDescent="0.2">
      <c r="A465" s="140" t="s">
        <v>6519</v>
      </c>
      <c r="B465" s="141">
        <v>2.5687835009166E-2</v>
      </c>
      <c r="D465" s="141"/>
    </row>
    <row r="466" spans="1:4" x14ac:dyDescent="0.2">
      <c r="A466" s="140" t="s">
        <v>5101</v>
      </c>
      <c r="B466" s="141">
        <v>2.5685432279246301E-2</v>
      </c>
      <c r="D466" s="141"/>
    </row>
    <row r="467" spans="1:4" x14ac:dyDescent="0.2">
      <c r="A467" s="140" t="s">
        <v>6004</v>
      </c>
      <c r="B467" s="141">
        <v>2.5652303159427702E-2</v>
      </c>
      <c r="D467" s="141"/>
    </row>
    <row r="468" spans="1:4" x14ac:dyDescent="0.2">
      <c r="A468" s="140" t="s">
        <v>4320</v>
      </c>
      <c r="B468" s="141">
        <v>2.55995382166734E-2</v>
      </c>
      <c r="D468" s="141"/>
    </row>
    <row r="469" spans="1:4" x14ac:dyDescent="0.2">
      <c r="A469" s="140" t="s">
        <v>2756</v>
      </c>
      <c r="B469" s="141">
        <v>2.5583356733272E-2</v>
      </c>
      <c r="D469" s="141"/>
    </row>
    <row r="470" spans="1:4" x14ac:dyDescent="0.2">
      <c r="A470" s="140" t="s">
        <v>4298</v>
      </c>
      <c r="B470" s="141">
        <v>2.5521316744882502E-2</v>
      </c>
      <c r="D470" s="141"/>
    </row>
    <row r="471" spans="1:4" x14ac:dyDescent="0.2">
      <c r="A471" s="140" t="s">
        <v>4155</v>
      </c>
      <c r="B471" s="141">
        <v>2.5335467406822201E-2</v>
      </c>
      <c r="D471" s="141"/>
    </row>
    <row r="472" spans="1:4" x14ac:dyDescent="0.2">
      <c r="A472" s="140" t="s">
        <v>2775</v>
      </c>
      <c r="B472" s="141">
        <v>2.5315805802201202E-2</v>
      </c>
      <c r="D472" s="141"/>
    </row>
    <row r="473" spans="1:4" x14ac:dyDescent="0.2">
      <c r="A473" s="140" t="s">
        <v>1931</v>
      </c>
      <c r="B473" s="141">
        <v>2.5297093460054099E-2</v>
      </c>
      <c r="D473" s="141"/>
    </row>
    <row r="474" spans="1:4" x14ac:dyDescent="0.2">
      <c r="A474" s="140" t="s">
        <v>1735</v>
      </c>
      <c r="B474" s="141">
        <v>2.52735290810083E-2</v>
      </c>
      <c r="D474" s="141"/>
    </row>
    <row r="475" spans="1:4" x14ac:dyDescent="0.2">
      <c r="A475" s="140" t="s">
        <v>4449</v>
      </c>
      <c r="B475" s="141">
        <v>2.52260265506409E-2</v>
      </c>
      <c r="D475" s="141"/>
    </row>
    <row r="476" spans="1:4" x14ac:dyDescent="0.2">
      <c r="A476" s="140" t="s">
        <v>2776</v>
      </c>
      <c r="B476" s="141">
        <v>2.5210993500812798E-2</v>
      </c>
      <c r="D476" s="141"/>
    </row>
    <row r="477" spans="1:4" x14ac:dyDescent="0.2">
      <c r="A477" s="140" t="s">
        <v>2208</v>
      </c>
      <c r="B477" s="141">
        <v>2.5052456809680799E-2</v>
      </c>
      <c r="D477" s="141"/>
    </row>
    <row r="478" spans="1:4" x14ac:dyDescent="0.2">
      <c r="A478" s="140" t="s">
        <v>6520</v>
      </c>
      <c r="B478" s="141">
        <v>2.5005080381178199E-2</v>
      </c>
      <c r="D478" s="141"/>
    </row>
    <row r="479" spans="1:4" x14ac:dyDescent="0.2">
      <c r="A479" s="140" t="s">
        <v>2796</v>
      </c>
      <c r="B479" s="141">
        <v>2.4994356609219601E-2</v>
      </c>
      <c r="D479" s="141"/>
    </row>
    <row r="480" spans="1:4" x14ac:dyDescent="0.2">
      <c r="A480" s="140" t="s">
        <v>6521</v>
      </c>
      <c r="B480" s="141">
        <v>2.4954721472805801E-2</v>
      </c>
      <c r="D480" s="141"/>
    </row>
    <row r="481" spans="1:4" x14ac:dyDescent="0.2">
      <c r="A481" s="140" t="s">
        <v>4173</v>
      </c>
      <c r="B481" s="141">
        <v>2.4934598953810699E-2</v>
      </c>
      <c r="D481" s="141"/>
    </row>
    <row r="482" spans="1:4" x14ac:dyDescent="0.2">
      <c r="A482" s="140" t="s">
        <v>3933</v>
      </c>
      <c r="B482" s="141">
        <v>2.49064370943172E-2</v>
      </c>
      <c r="D482" s="141"/>
    </row>
    <row r="483" spans="1:4" x14ac:dyDescent="0.2">
      <c r="A483" s="140" t="s">
        <v>5854</v>
      </c>
      <c r="B483" s="141">
        <v>2.48110029460024E-2</v>
      </c>
      <c r="D483" s="141"/>
    </row>
    <row r="484" spans="1:4" x14ac:dyDescent="0.2">
      <c r="A484" s="140" t="s">
        <v>2827</v>
      </c>
      <c r="B484" s="141">
        <v>2.4778229150756201E-2</v>
      </c>
      <c r="D484" s="141"/>
    </row>
    <row r="485" spans="1:4" x14ac:dyDescent="0.2">
      <c r="A485" s="140" t="s">
        <v>3774</v>
      </c>
      <c r="B485" s="141">
        <v>2.4578722350348199E-2</v>
      </c>
      <c r="D485" s="141"/>
    </row>
    <row r="486" spans="1:4" x14ac:dyDescent="0.2">
      <c r="A486" s="140" t="s">
        <v>4099</v>
      </c>
      <c r="B486" s="141">
        <v>2.4473783270976001E-2</v>
      </c>
      <c r="D486" s="141"/>
    </row>
    <row r="487" spans="1:4" x14ac:dyDescent="0.2">
      <c r="A487" s="140" t="s">
        <v>3213</v>
      </c>
      <c r="B487" s="141">
        <v>2.4431460401853799E-2</v>
      </c>
      <c r="D487" s="141"/>
    </row>
    <row r="488" spans="1:4" x14ac:dyDescent="0.2">
      <c r="A488" s="140" t="s">
        <v>2190</v>
      </c>
      <c r="B488" s="141">
        <v>2.4419946891344899E-2</v>
      </c>
      <c r="D488" s="141"/>
    </row>
    <row r="489" spans="1:4" x14ac:dyDescent="0.2">
      <c r="A489" s="140" t="s">
        <v>6522</v>
      </c>
      <c r="B489" s="141">
        <v>2.4402669758652198E-2</v>
      </c>
      <c r="D489" s="141"/>
    </row>
    <row r="490" spans="1:4" x14ac:dyDescent="0.2">
      <c r="A490" s="140" t="s">
        <v>6523</v>
      </c>
      <c r="B490" s="141">
        <v>2.4402669758652198E-2</v>
      </c>
      <c r="D490" s="141"/>
    </row>
    <row r="491" spans="1:4" x14ac:dyDescent="0.2">
      <c r="A491" s="140" t="s">
        <v>4519</v>
      </c>
      <c r="B491" s="141">
        <v>2.4364576082692099E-2</v>
      </c>
      <c r="D491" s="141"/>
    </row>
    <row r="492" spans="1:4" x14ac:dyDescent="0.2">
      <c r="A492" s="140" t="s">
        <v>4406</v>
      </c>
      <c r="B492" s="141">
        <v>2.43444940036661E-2</v>
      </c>
      <c r="D492" s="141"/>
    </row>
    <row r="493" spans="1:4" x14ac:dyDescent="0.2">
      <c r="A493" s="140" t="s">
        <v>1266</v>
      </c>
      <c r="B493" s="141">
        <v>2.4259967731121199E-2</v>
      </c>
      <c r="D493" s="141"/>
    </row>
    <row r="494" spans="1:4" x14ac:dyDescent="0.2">
      <c r="A494" s="140" t="s">
        <v>1574</v>
      </c>
      <c r="B494" s="141">
        <v>2.4166064897948401E-2</v>
      </c>
      <c r="D494" s="141"/>
    </row>
    <row r="495" spans="1:4" x14ac:dyDescent="0.2">
      <c r="A495" s="140" t="s">
        <v>5349</v>
      </c>
      <c r="B495" s="141">
        <v>2.4105548564437401E-2</v>
      </c>
      <c r="D495" s="141"/>
    </row>
    <row r="496" spans="1:4" x14ac:dyDescent="0.2">
      <c r="A496" s="140" t="s">
        <v>6524</v>
      </c>
      <c r="B496" s="141">
        <v>2.4104399052919001E-2</v>
      </c>
      <c r="D496" s="141"/>
    </row>
    <row r="497" spans="1:4" x14ac:dyDescent="0.2">
      <c r="A497" s="140" t="s">
        <v>1482</v>
      </c>
      <c r="B497" s="141">
        <v>2.4022348001237599E-2</v>
      </c>
      <c r="D497" s="141"/>
    </row>
    <row r="498" spans="1:4" x14ac:dyDescent="0.2">
      <c r="A498" s="140" t="s">
        <v>4663</v>
      </c>
      <c r="B498" s="141">
        <v>2.3966741268382601E-2</v>
      </c>
      <c r="D498" s="141"/>
    </row>
    <row r="499" spans="1:4" x14ac:dyDescent="0.2">
      <c r="A499" s="140" t="s">
        <v>2484</v>
      </c>
      <c r="B499" s="141">
        <v>2.3918791112211599E-2</v>
      </c>
      <c r="D499" s="141"/>
    </row>
    <row r="500" spans="1:4" x14ac:dyDescent="0.2">
      <c r="A500" s="140" t="s">
        <v>6525</v>
      </c>
      <c r="B500" s="141">
        <v>2.3900593088043699E-2</v>
      </c>
      <c r="D500" s="141"/>
    </row>
    <row r="501" spans="1:4" x14ac:dyDescent="0.2">
      <c r="A501" s="140" t="s">
        <v>5145</v>
      </c>
      <c r="B501" s="141">
        <v>2.3861206126722101E-2</v>
      </c>
      <c r="D501" s="141"/>
    </row>
    <row r="502" spans="1:4" x14ac:dyDescent="0.2">
      <c r="A502" s="140" t="s">
        <v>6526</v>
      </c>
      <c r="B502" s="141">
        <v>2.3839748726891E-2</v>
      </c>
      <c r="D502" s="141"/>
    </row>
    <row r="503" spans="1:4" x14ac:dyDescent="0.2">
      <c r="A503" s="140" t="s">
        <v>5894</v>
      </c>
      <c r="B503" s="141">
        <v>2.3781474091624798E-2</v>
      </c>
      <c r="D503" s="141"/>
    </row>
    <row r="504" spans="1:4" x14ac:dyDescent="0.2">
      <c r="A504" s="140" t="s">
        <v>2635</v>
      </c>
      <c r="B504" s="141">
        <v>2.3613514750996999E-2</v>
      </c>
      <c r="D504" s="141"/>
    </row>
    <row r="505" spans="1:4" x14ac:dyDescent="0.2">
      <c r="A505" s="140" t="s">
        <v>3596</v>
      </c>
      <c r="B505" s="141">
        <v>2.3489704808136301E-2</v>
      </c>
      <c r="D505" s="141"/>
    </row>
    <row r="506" spans="1:4" x14ac:dyDescent="0.2">
      <c r="A506" s="140" t="s">
        <v>1569</v>
      </c>
      <c r="B506" s="141">
        <v>2.3481196382235899E-2</v>
      </c>
      <c r="D506" s="141"/>
    </row>
    <row r="507" spans="1:4" x14ac:dyDescent="0.2">
      <c r="A507" s="140" t="s">
        <v>3275</v>
      </c>
      <c r="B507" s="141">
        <v>2.3450423799647201E-2</v>
      </c>
      <c r="D507" s="141"/>
    </row>
    <row r="508" spans="1:4" x14ac:dyDescent="0.2">
      <c r="A508" s="140" t="s">
        <v>789</v>
      </c>
      <c r="B508" s="141">
        <v>2.3441706748990401E-2</v>
      </c>
      <c r="D508" s="141"/>
    </row>
    <row r="509" spans="1:4" x14ac:dyDescent="0.2">
      <c r="A509" s="140" t="s">
        <v>2446</v>
      </c>
      <c r="B509" s="141">
        <v>2.3425260764588899E-2</v>
      </c>
      <c r="D509" s="141"/>
    </row>
    <row r="510" spans="1:4" x14ac:dyDescent="0.2">
      <c r="A510" s="140" t="s">
        <v>2099</v>
      </c>
      <c r="B510" s="141">
        <v>2.33982963434992E-2</v>
      </c>
      <c r="D510" s="141"/>
    </row>
    <row r="511" spans="1:4" x14ac:dyDescent="0.2">
      <c r="A511" s="140" t="s">
        <v>6131</v>
      </c>
      <c r="B511" s="141">
        <v>2.33147112244875E-2</v>
      </c>
      <c r="D511" s="141"/>
    </row>
    <row r="512" spans="1:4" x14ac:dyDescent="0.2">
      <c r="A512" s="140" t="s">
        <v>6527</v>
      </c>
      <c r="B512" s="141">
        <v>2.3297893112489199E-2</v>
      </c>
      <c r="D512" s="141"/>
    </row>
    <row r="513" spans="1:4" x14ac:dyDescent="0.2">
      <c r="A513" s="140" t="s">
        <v>4250</v>
      </c>
      <c r="B513" s="141">
        <v>2.32144469287222E-2</v>
      </c>
      <c r="D513" s="141"/>
    </row>
    <row r="514" spans="1:4" x14ac:dyDescent="0.2">
      <c r="A514" s="140" t="s">
        <v>3085</v>
      </c>
      <c r="B514" s="141">
        <v>2.3160182102499399E-2</v>
      </c>
      <c r="D514" s="141"/>
    </row>
    <row r="515" spans="1:4" x14ac:dyDescent="0.2">
      <c r="A515" s="140" t="s">
        <v>3990</v>
      </c>
      <c r="B515" s="141">
        <v>2.2992246757163399E-2</v>
      </c>
      <c r="D515" s="141"/>
    </row>
    <row r="516" spans="1:4" x14ac:dyDescent="0.2">
      <c r="A516" s="140" t="s">
        <v>4073</v>
      </c>
      <c r="B516" s="141">
        <v>2.2951308559078398E-2</v>
      </c>
      <c r="D516" s="141"/>
    </row>
    <row r="517" spans="1:4" x14ac:dyDescent="0.2">
      <c r="A517" s="140" t="s">
        <v>6528</v>
      </c>
      <c r="B517" s="141">
        <v>2.2940326125854199E-2</v>
      </c>
      <c r="D517" s="141"/>
    </row>
    <row r="518" spans="1:4" x14ac:dyDescent="0.2">
      <c r="A518" s="140" t="s">
        <v>6529</v>
      </c>
      <c r="B518" s="141">
        <v>2.2940326125854199E-2</v>
      </c>
      <c r="D518" s="141"/>
    </row>
    <row r="519" spans="1:4" x14ac:dyDescent="0.2">
      <c r="A519" s="140" t="s">
        <v>2626</v>
      </c>
      <c r="B519" s="141">
        <v>2.2924691064640599E-2</v>
      </c>
      <c r="D519" s="141"/>
    </row>
    <row r="520" spans="1:4" x14ac:dyDescent="0.2">
      <c r="A520" s="140" t="s">
        <v>5752</v>
      </c>
      <c r="B520" s="141">
        <v>2.2882181532314898E-2</v>
      </c>
      <c r="D520" s="141"/>
    </row>
    <row r="521" spans="1:4" x14ac:dyDescent="0.2">
      <c r="A521" s="140" t="s">
        <v>6266</v>
      </c>
      <c r="B521" s="141">
        <v>2.2862826979616901E-2</v>
      </c>
      <c r="D521" s="141"/>
    </row>
    <row r="522" spans="1:4" x14ac:dyDescent="0.2">
      <c r="A522" s="140" t="s">
        <v>2530</v>
      </c>
      <c r="B522" s="141">
        <v>2.28183387530243E-2</v>
      </c>
      <c r="D522" s="141"/>
    </row>
    <row r="523" spans="1:4" x14ac:dyDescent="0.2">
      <c r="A523" s="140" t="s">
        <v>5842</v>
      </c>
      <c r="B523" s="141">
        <v>2.2794225826300401E-2</v>
      </c>
      <c r="D523" s="141"/>
    </row>
    <row r="524" spans="1:4" x14ac:dyDescent="0.2">
      <c r="A524" s="140" t="s">
        <v>6530</v>
      </c>
      <c r="B524" s="141">
        <v>2.2748675850964999E-2</v>
      </c>
      <c r="D524" s="141"/>
    </row>
    <row r="525" spans="1:4" x14ac:dyDescent="0.2">
      <c r="A525" s="140" t="s">
        <v>6531</v>
      </c>
      <c r="B525" s="141">
        <v>2.2707257625375701E-2</v>
      </c>
      <c r="D525" s="141"/>
    </row>
    <row r="526" spans="1:4" x14ac:dyDescent="0.2">
      <c r="A526" s="140" t="s">
        <v>6532</v>
      </c>
      <c r="B526" s="141">
        <v>2.2707257625375701E-2</v>
      </c>
      <c r="D526" s="141"/>
    </row>
    <row r="527" spans="1:4" x14ac:dyDescent="0.2">
      <c r="A527" s="140" t="s">
        <v>2209</v>
      </c>
      <c r="B527" s="141">
        <v>2.2572235113779999E-2</v>
      </c>
      <c r="D527" s="141"/>
    </row>
    <row r="528" spans="1:4" x14ac:dyDescent="0.2">
      <c r="A528" s="140" t="s">
        <v>5028</v>
      </c>
      <c r="B528" s="141">
        <v>2.2459365460728201E-2</v>
      </c>
      <c r="D528" s="141"/>
    </row>
    <row r="529" spans="1:4" x14ac:dyDescent="0.2">
      <c r="A529" s="140" t="s">
        <v>6044</v>
      </c>
      <c r="B529" s="141">
        <v>2.2266656319956599E-2</v>
      </c>
      <c r="D529" s="141"/>
    </row>
    <row r="530" spans="1:4" x14ac:dyDescent="0.2">
      <c r="A530" s="140" t="s">
        <v>5638</v>
      </c>
      <c r="B530" s="141">
        <v>2.2203284568923599E-2</v>
      </c>
      <c r="D530" s="141"/>
    </row>
    <row r="531" spans="1:4" x14ac:dyDescent="0.2">
      <c r="A531" s="140" t="s">
        <v>2233</v>
      </c>
      <c r="B531" s="141">
        <v>2.2112864576514599E-2</v>
      </c>
      <c r="D531" s="141"/>
    </row>
    <row r="532" spans="1:4" x14ac:dyDescent="0.2">
      <c r="A532" s="140" t="s">
        <v>5420</v>
      </c>
      <c r="B532" s="141">
        <v>2.2032463282174598E-2</v>
      </c>
      <c r="D532" s="141"/>
    </row>
    <row r="533" spans="1:4" x14ac:dyDescent="0.2">
      <c r="A533" s="140" t="s">
        <v>2664</v>
      </c>
      <c r="B533" s="141">
        <v>2.2004487181464302E-2</v>
      </c>
      <c r="D533" s="141"/>
    </row>
    <row r="534" spans="1:4" x14ac:dyDescent="0.2">
      <c r="A534" s="140" t="s">
        <v>5219</v>
      </c>
      <c r="B534" s="141">
        <v>2.1905936334859599E-2</v>
      </c>
      <c r="D534" s="141"/>
    </row>
    <row r="535" spans="1:4" x14ac:dyDescent="0.2">
      <c r="A535" s="140" t="s">
        <v>6533</v>
      </c>
      <c r="B535" s="141">
        <v>2.19042061561159E-2</v>
      </c>
      <c r="D535" s="141"/>
    </row>
    <row r="536" spans="1:4" x14ac:dyDescent="0.2">
      <c r="A536" s="140" t="s">
        <v>3970</v>
      </c>
      <c r="B536" s="141">
        <v>2.1899795197528198E-2</v>
      </c>
      <c r="D536" s="141"/>
    </row>
    <row r="537" spans="1:4" x14ac:dyDescent="0.2">
      <c r="A537" s="140" t="s">
        <v>3092</v>
      </c>
      <c r="B537" s="141">
        <v>2.1869815661204901E-2</v>
      </c>
      <c r="D537" s="141"/>
    </row>
    <row r="538" spans="1:4" x14ac:dyDescent="0.2">
      <c r="A538" s="140" t="s">
        <v>3198</v>
      </c>
      <c r="B538" s="141">
        <v>2.1858684412444599E-2</v>
      </c>
      <c r="D538" s="141"/>
    </row>
    <row r="539" spans="1:4" x14ac:dyDescent="0.2">
      <c r="A539" s="140" t="s">
        <v>2215</v>
      </c>
      <c r="B539" s="141">
        <v>2.18260912595119E-2</v>
      </c>
      <c r="D539" s="141"/>
    </row>
    <row r="540" spans="1:4" x14ac:dyDescent="0.2">
      <c r="A540" s="140" t="s">
        <v>2089</v>
      </c>
      <c r="B540" s="141">
        <v>2.1787021599850801E-2</v>
      </c>
      <c r="D540" s="141"/>
    </row>
    <row r="541" spans="1:4" x14ac:dyDescent="0.2">
      <c r="A541" s="140" t="s">
        <v>2185</v>
      </c>
      <c r="B541" s="141">
        <v>2.1784006452078598E-2</v>
      </c>
      <c r="D541" s="141"/>
    </row>
    <row r="542" spans="1:4" x14ac:dyDescent="0.2">
      <c r="A542" s="140" t="s">
        <v>6534</v>
      </c>
      <c r="B542" s="141">
        <v>2.17741058673349E-2</v>
      </c>
      <c r="D542" s="141"/>
    </row>
    <row r="543" spans="1:4" x14ac:dyDescent="0.2">
      <c r="A543" s="140" t="s">
        <v>5044</v>
      </c>
      <c r="B543" s="141">
        <v>2.1702611215482899E-2</v>
      </c>
      <c r="D543" s="141"/>
    </row>
    <row r="544" spans="1:4" x14ac:dyDescent="0.2">
      <c r="A544" s="140" t="s">
        <v>6535</v>
      </c>
      <c r="B544" s="141">
        <v>2.1702611215482899E-2</v>
      </c>
      <c r="D544" s="141"/>
    </row>
    <row r="545" spans="1:4" x14ac:dyDescent="0.2">
      <c r="A545" s="140" t="s">
        <v>6536</v>
      </c>
      <c r="B545" s="141">
        <v>2.1702611215482899E-2</v>
      </c>
      <c r="D545" s="141"/>
    </row>
    <row r="546" spans="1:4" x14ac:dyDescent="0.2">
      <c r="A546" s="140" t="s">
        <v>6537</v>
      </c>
      <c r="B546" s="141">
        <v>2.1702611215482899E-2</v>
      </c>
      <c r="D546" s="141"/>
    </row>
    <row r="547" spans="1:4" x14ac:dyDescent="0.2">
      <c r="A547" s="140" t="s">
        <v>2784</v>
      </c>
      <c r="B547" s="141">
        <v>2.16544485667194E-2</v>
      </c>
      <c r="D547" s="141"/>
    </row>
    <row r="548" spans="1:4" x14ac:dyDescent="0.2">
      <c r="A548" s="140" t="s">
        <v>4517</v>
      </c>
      <c r="B548" s="141">
        <v>2.1638007885541401E-2</v>
      </c>
      <c r="D548" s="141"/>
    </row>
    <row r="549" spans="1:4" x14ac:dyDescent="0.2">
      <c r="A549" s="140" t="s">
        <v>2510</v>
      </c>
      <c r="B549" s="141">
        <v>2.1562192495397599E-2</v>
      </c>
      <c r="D549" s="141"/>
    </row>
    <row r="550" spans="1:4" x14ac:dyDescent="0.2">
      <c r="A550" s="140" t="s">
        <v>4252</v>
      </c>
      <c r="B550" s="141">
        <v>2.1511127803851601E-2</v>
      </c>
      <c r="D550" s="141"/>
    </row>
    <row r="551" spans="1:4" x14ac:dyDescent="0.2">
      <c r="A551" s="140" t="s">
        <v>4280</v>
      </c>
      <c r="B551" s="141">
        <v>2.1507921050663899E-2</v>
      </c>
      <c r="D551" s="141"/>
    </row>
    <row r="552" spans="1:4" x14ac:dyDescent="0.2">
      <c r="A552" s="140" t="s">
        <v>6538</v>
      </c>
      <c r="B552" s="141">
        <v>2.1453927705533501E-2</v>
      </c>
      <c r="D552" s="141"/>
    </row>
    <row r="553" spans="1:4" x14ac:dyDescent="0.2">
      <c r="A553" s="140" t="s">
        <v>6539</v>
      </c>
      <c r="B553" s="141">
        <v>2.14531196934774E-2</v>
      </c>
      <c r="D553" s="141"/>
    </row>
    <row r="554" spans="1:4" x14ac:dyDescent="0.2">
      <c r="A554" s="140" t="s">
        <v>4972</v>
      </c>
      <c r="B554" s="141">
        <v>2.1424268649211601E-2</v>
      </c>
      <c r="D554" s="141"/>
    </row>
    <row r="555" spans="1:4" x14ac:dyDescent="0.2">
      <c r="A555" s="140" t="s">
        <v>2569</v>
      </c>
      <c r="B555" s="141">
        <v>2.1420651266517099E-2</v>
      </c>
      <c r="D555" s="141"/>
    </row>
    <row r="556" spans="1:4" x14ac:dyDescent="0.2">
      <c r="A556" s="140" t="s">
        <v>6350</v>
      </c>
      <c r="B556" s="141">
        <v>2.13351668683079E-2</v>
      </c>
      <c r="D556" s="141"/>
    </row>
    <row r="557" spans="1:4" x14ac:dyDescent="0.2">
      <c r="A557" s="140" t="s">
        <v>3795</v>
      </c>
      <c r="B557" s="141">
        <v>2.1303087652082602E-2</v>
      </c>
      <c r="D557" s="141"/>
    </row>
    <row r="558" spans="1:4" x14ac:dyDescent="0.2">
      <c r="A558" s="140" t="s">
        <v>5146</v>
      </c>
      <c r="B558" s="141">
        <v>2.1277845931841802E-2</v>
      </c>
      <c r="D558" s="141"/>
    </row>
    <row r="559" spans="1:4" x14ac:dyDescent="0.2">
      <c r="A559" s="140" t="s">
        <v>6540</v>
      </c>
      <c r="B559" s="141">
        <v>2.1270232439232799E-2</v>
      </c>
      <c r="D559" s="141"/>
    </row>
    <row r="560" spans="1:4" x14ac:dyDescent="0.2">
      <c r="A560" s="140" t="s">
        <v>6541</v>
      </c>
      <c r="B560" s="141">
        <v>2.1270232439232799E-2</v>
      </c>
      <c r="D560" s="141"/>
    </row>
    <row r="561" spans="1:4" x14ac:dyDescent="0.2">
      <c r="A561" s="140" t="s">
        <v>6101</v>
      </c>
      <c r="B561" s="141">
        <v>2.1270232439232799E-2</v>
      </c>
      <c r="D561" s="141"/>
    </row>
    <row r="562" spans="1:4" x14ac:dyDescent="0.2">
      <c r="A562" s="140" t="s">
        <v>5891</v>
      </c>
      <c r="B562" s="141">
        <v>2.1270232439232799E-2</v>
      </c>
      <c r="D562" s="141"/>
    </row>
    <row r="563" spans="1:4" x14ac:dyDescent="0.2">
      <c r="A563" s="140" t="s">
        <v>6542</v>
      </c>
      <c r="B563" s="141">
        <v>2.1270232439232799E-2</v>
      </c>
      <c r="D563" s="141"/>
    </row>
    <row r="564" spans="1:4" x14ac:dyDescent="0.2">
      <c r="A564" s="140" t="s">
        <v>5570</v>
      </c>
      <c r="B564" s="141">
        <v>2.1270232439232799E-2</v>
      </c>
      <c r="D564" s="141"/>
    </row>
    <row r="565" spans="1:4" x14ac:dyDescent="0.2">
      <c r="A565" s="140" t="s">
        <v>6543</v>
      </c>
      <c r="B565" s="141">
        <v>2.1270232439232799E-2</v>
      </c>
      <c r="D565" s="141"/>
    </row>
    <row r="566" spans="1:4" x14ac:dyDescent="0.2">
      <c r="A566" s="140" t="s">
        <v>6544</v>
      </c>
      <c r="B566" s="141">
        <v>2.1270232439232799E-2</v>
      </c>
      <c r="D566" s="141"/>
    </row>
    <row r="567" spans="1:4" x14ac:dyDescent="0.2">
      <c r="A567" s="140" t="s">
        <v>6545</v>
      </c>
      <c r="B567" s="141">
        <v>2.1270232439232799E-2</v>
      </c>
      <c r="D567" s="141"/>
    </row>
    <row r="568" spans="1:4" x14ac:dyDescent="0.2">
      <c r="A568" s="140" t="s">
        <v>5502</v>
      </c>
      <c r="B568" s="141">
        <v>2.1270232439232799E-2</v>
      </c>
      <c r="D568" s="141"/>
    </row>
    <row r="569" spans="1:4" x14ac:dyDescent="0.2">
      <c r="A569" s="140" t="s">
        <v>6546</v>
      </c>
      <c r="B569" s="141">
        <v>2.1270232439232799E-2</v>
      </c>
      <c r="D569" s="141"/>
    </row>
    <row r="570" spans="1:4" x14ac:dyDescent="0.2">
      <c r="A570" s="140" t="s">
        <v>6547</v>
      </c>
      <c r="B570" s="141">
        <v>2.1270232439232799E-2</v>
      </c>
      <c r="D570" s="141"/>
    </row>
    <row r="571" spans="1:4" x14ac:dyDescent="0.2">
      <c r="A571" s="140" t="s">
        <v>5461</v>
      </c>
      <c r="B571" s="141">
        <v>2.1270232439232799E-2</v>
      </c>
      <c r="D571" s="141"/>
    </row>
    <row r="572" spans="1:4" x14ac:dyDescent="0.2">
      <c r="A572" s="140" t="s">
        <v>6548</v>
      </c>
      <c r="B572" s="141">
        <v>2.1270232439232799E-2</v>
      </c>
      <c r="D572" s="141"/>
    </row>
    <row r="573" spans="1:4" x14ac:dyDescent="0.2">
      <c r="A573" s="140" t="s">
        <v>6549</v>
      </c>
      <c r="B573" s="141">
        <v>2.1270232439232799E-2</v>
      </c>
      <c r="D573" s="141"/>
    </row>
    <row r="574" spans="1:4" x14ac:dyDescent="0.2">
      <c r="A574" s="140" t="s">
        <v>5353</v>
      </c>
      <c r="B574" s="141">
        <v>2.1270232439232799E-2</v>
      </c>
      <c r="D574" s="141"/>
    </row>
    <row r="575" spans="1:4" x14ac:dyDescent="0.2">
      <c r="A575" s="140" t="s">
        <v>6550</v>
      </c>
      <c r="B575" s="141">
        <v>2.1270232439232799E-2</v>
      </c>
      <c r="D575" s="141"/>
    </row>
    <row r="576" spans="1:4" x14ac:dyDescent="0.2">
      <c r="A576" s="140" t="s">
        <v>6551</v>
      </c>
      <c r="B576" s="141">
        <v>2.1270232439232799E-2</v>
      </c>
      <c r="D576" s="141"/>
    </row>
    <row r="577" spans="1:4" x14ac:dyDescent="0.2">
      <c r="A577" s="140" t="s">
        <v>5213</v>
      </c>
      <c r="B577" s="141">
        <v>2.1270232439232799E-2</v>
      </c>
      <c r="D577" s="141"/>
    </row>
    <row r="578" spans="1:4" x14ac:dyDescent="0.2">
      <c r="A578" s="140" t="s">
        <v>5167</v>
      </c>
      <c r="B578" s="141">
        <v>2.1270232439232799E-2</v>
      </c>
      <c r="D578" s="141"/>
    </row>
    <row r="579" spans="1:4" x14ac:dyDescent="0.2">
      <c r="A579" s="140" t="s">
        <v>6552</v>
      </c>
      <c r="B579" s="141">
        <v>2.1270232439232799E-2</v>
      </c>
      <c r="D579" s="141"/>
    </row>
    <row r="580" spans="1:4" x14ac:dyDescent="0.2">
      <c r="A580" s="140" t="s">
        <v>6553</v>
      </c>
      <c r="B580" s="141">
        <v>2.1270232439232799E-2</v>
      </c>
      <c r="D580" s="141"/>
    </row>
    <row r="581" spans="1:4" x14ac:dyDescent="0.2">
      <c r="A581" s="140" t="s">
        <v>6554</v>
      </c>
      <c r="B581" s="141">
        <v>2.1270232439232799E-2</v>
      </c>
      <c r="D581" s="141"/>
    </row>
    <row r="582" spans="1:4" x14ac:dyDescent="0.2">
      <c r="A582" s="140" t="s">
        <v>4696</v>
      </c>
      <c r="B582" s="141">
        <v>2.1270232439232799E-2</v>
      </c>
      <c r="D582" s="141"/>
    </row>
    <row r="583" spans="1:4" x14ac:dyDescent="0.2">
      <c r="A583" s="140" t="s">
        <v>4634</v>
      </c>
      <c r="B583" s="141">
        <v>2.1270232439232799E-2</v>
      </c>
      <c r="D583" s="141"/>
    </row>
    <row r="584" spans="1:4" x14ac:dyDescent="0.2">
      <c r="A584" s="140" t="s">
        <v>4588</v>
      </c>
      <c r="B584" s="141">
        <v>2.1270232439232799E-2</v>
      </c>
      <c r="D584" s="141"/>
    </row>
    <row r="585" spans="1:4" x14ac:dyDescent="0.2">
      <c r="A585" s="140" t="s">
        <v>6555</v>
      </c>
      <c r="B585" s="141">
        <v>2.1270232439232799E-2</v>
      </c>
      <c r="D585" s="141"/>
    </row>
    <row r="586" spans="1:4" x14ac:dyDescent="0.2">
      <c r="A586" s="140" t="s">
        <v>6556</v>
      </c>
      <c r="B586" s="141">
        <v>2.1270232439232799E-2</v>
      </c>
      <c r="D586" s="141"/>
    </row>
    <row r="587" spans="1:4" x14ac:dyDescent="0.2">
      <c r="A587" s="140" t="s">
        <v>4218</v>
      </c>
      <c r="B587" s="141">
        <v>2.1270232439232799E-2</v>
      </c>
      <c r="D587" s="141"/>
    </row>
    <row r="588" spans="1:4" x14ac:dyDescent="0.2">
      <c r="A588" s="140" t="s">
        <v>6557</v>
      </c>
      <c r="B588" s="141">
        <v>2.1270232439232799E-2</v>
      </c>
      <c r="D588" s="141"/>
    </row>
    <row r="589" spans="1:4" x14ac:dyDescent="0.2">
      <c r="A589" s="140" t="s">
        <v>6558</v>
      </c>
      <c r="B589" s="141">
        <v>2.1270232439232799E-2</v>
      </c>
      <c r="D589" s="141"/>
    </row>
    <row r="590" spans="1:4" x14ac:dyDescent="0.2">
      <c r="A590" s="140" t="s">
        <v>6559</v>
      </c>
      <c r="B590" s="141">
        <v>2.1270232439232799E-2</v>
      </c>
      <c r="D590" s="141"/>
    </row>
    <row r="591" spans="1:4" x14ac:dyDescent="0.2">
      <c r="A591" s="140" t="s">
        <v>3893</v>
      </c>
      <c r="B591" s="141">
        <v>2.1270232439232799E-2</v>
      </c>
      <c r="D591" s="141"/>
    </row>
    <row r="592" spans="1:4" x14ac:dyDescent="0.2">
      <c r="A592" s="140" t="s">
        <v>6560</v>
      </c>
      <c r="B592" s="141">
        <v>2.1270232439232799E-2</v>
      </c>
      <c r="D592" s="141"/>
    </row>
    <row r="593" spans="1:4" x14ac:dyDescent="0.2">
      <c r="A593" s="140" t="s">
        <v>6561</v>
      </c>
      <c r="B593" s="141">
        <v>2.1270232439232799E-2</v>
      </c>
      <c r="D593" s="141"/>
    </row>
    <row r="594" spans="1:4" x14ac:dyDescent="0.2">
      <c r="A594" s="140" t="s">
        <v>6562</v>
      </c>
      <c r="B594" s="141">
        <v>2.1270232439232799E-2</v>
      </c>
      <c r="D594" s="141"/>
    </row>
    <row r="595" spans="1:4" x14ac:dyDescent="0.2">
      <c r="A595" s="140" t="s">
        <v>6563</v>
      </c>
      <c r="B595" s="141">
        <v>2.1270232439232799E-2</v>
      </c>
      <c r="D595" s="141"/>
    </row>
    <row r="596" spans="1:4" x14ac:dyDescent="0.2">
      <c r="A596" s="140" t="s">
        <v>6564</v>
      </c>
      <c r="B596" s="141">
        <v>2.1270232439232799E-2</v>
      </c>
      <c r="D596" s="141"/>
    </row>
    <row r="597" spans="1:4" x14ac:dyDescent="0.2">
      <c r="A597" s="140" t="s">
        <v>6565</v>
      </c>
      <c r="B597" s="141">
        <v>2.1270232439232799E-2</v>
      </c>
      <c r="D597" s="141"/>
    </row>
    <row r="598" spans="1:4" x14ac:dyDescent="0.2">
      <c r="A598" s="140" t="s">
        <v>6566</v>
      </c>
      <c r="B598" s="141">
        <v>2.1270232439232799E-2</v>
      </c>
      <c r="D598" s="141"/>
    </row>
    <row r="599" spans="1:4" x14ac:dyDescent="0.2">
      <c r="A599" s="140" t="s">
        <v>6567</v>
      </c>
      <c r="B599" s="141">
        <v>2.1270232439232799E-2</v>
      </c>
      <c r="D599" s="141"/>
    </row>
    <row r="600" spans="1:4" x14ac:dyDescent="0.2">
      <c r="A600" s="140" t="s">
        <v>6568</v>
      </c>
      <c r="B600" s="141">
        <v>2.1270232439232799E-2</v>
      </c>
      <c r="D600" s="141"/>
    </row>
    <row r="601" spans="1:4" x14ac:dyDescent="0.2">
      <c r="A601" s="140" t="s">
        <v>3206</v>
      </c>
      <c r="B601" s="141">
        <v>2.1270232439232799E-2</v>
      </c>
      <c r="D601" s="141"/>
    </row>
    <row r="602" spans="1:4" x14ac:dyDescent="0.2">
      <c r="A602" s="140" t="s">
        <v>6569</v>
      </c>
      <c r="B602" s="141">
        <v>2.1259050170015101E-2</v>
      </c>
      <c r="D602" s="141"/>
    </row>
    <row r="603" spans="1:4" x14ac:dyDescent="0.2">
      <c r="A603" s="140" t="s">
        <v>5673</v>
      </c>
      <c r="B603" s="141">
        <v>2.12376442726947E-2</v>
      </c>
      <c r="D603" s="141"/>
    </row>
    <row r="604" spans="1:4" x14ac:dyDescent="0.2">
      <c r="A604" s="140" t="s">
        <v>2680</v>
      </c>
      <c r="B604" s="141">
        <v>2.1219153239856299E-2</v>
      </c>
      <c r="D604" s="141"/>
    </row>
    <row r="605" spans="1:4" x14ac:dyDescent="0.2">
      <c r="A605" s="140" t="s">
        <v>6570</v>
      </c>
      <c r="B605" s="141">
        <v>2.1216491579759099E-2</v>
      </c>
      <c r="D605" s="141"/>
    </row>
    <row r="606" spans="1:4" x14ac:dyDescent="0.2">
      <c r="A606" s="140" t="s">
        <v>4727</v>
      </c>
      <c r="B606" s="141">
        <v>2.1165156984376099E-2</v>
      </c>
      <c r="D606" s="141"/>
    </row>
    <row r="607" spans="1:4" x14ac:dyDescent="0.2">
      <c r="A607" s="140" t="s">
        <v>5804</v>
      </c>
      <c r="B607" s="141">
        <v>2.11251373542671E-2</v>
      </c>
      <c r="D607" s="141"/>
    </row>
    <row r="608" spans="1:4" x14ac:dyDescent="0.2">
      <c r="A608" s="140" t="s">
        <v>2730</v>
      </c>
      <c r="B608" s="141">
        <v>2.1110691795722201E-2</v>
      </c>
      <c r="D608" s="141"/>
    </row>
    <row r="609" spans="1:4" x14ac:dyDescent="0.2">
      <c r="A609" s="140" t="s">
        <v>2679</v>
      </c>
      <c r="B609" s="141">
        <v>2.1096692852445999E-2</v>
      </c>
      <c r="D609" s="141"/>
    </row>
    <row r="610" spans="1:4" x14ac:dyDescent="0.2">
      <c r="A610" s="140" t="s">
        <v>6571</v>
      </c>
      <c r="B610" s="141">
        <v>2.1075174962445601E-2</v>
      </c>
      <c r="D610" s="141"/>
    </row>
    <row r="611" spans="1:4" x14ac:dyDescent="0.2">
      <c r="A611" s="140" t="s">
        <v>3947</v>
      </c>
      <c r="B611" s="141">
        <v>2.1071975751152501E-2</v>
      </c>
      <c r="D611" s="141"/>
    </row>
    <row r="612" spans="1:4" x14ac:dyDescent="0.2">
      <c r="A612" s="140" t="s">
        <v>3642</v>
      </c>
      <c r="B612" s="141">
        <v>2.1066697458190502E-2</v>
      </c>
      <c r="D612" s="141"/>
    </row>
    <row r="613" spans="1:4" x14ac:dyDescent="0.2">
      <c r="A613" s="140" t="s">
        <v>6339</v>
      </c>
      <c r="B613" s="141">
        <v>2.0983902426682102E-2</v>
      </c>
      <c r="D613" s="141"/>
    </row>
    <row r="614" spans="1:4" x14ac:dyDescent="0.2">
      <c r="A614" s="140" t="s">
        <v>2973</v>
      </c>
      <c r="B614" s="141">
        <v>2.0912129487366701E-2</v>
      </c>
      <c r="D614" s="141"/>
    </row>
    <row r="615" spans="1:4" x14ac:dyDescent="0.2">
      <c r="A615" s="140" t="s">
        <v>3652</v>
      </c>
      <c r="B615" s="141">
        <v>2.0617071502120402E-2</v>
      </c>
      <c r="D615" s="141"/>
    </row>
    <row r="616" spans="1:4" x14ac:dyDescent="0.2">
      <c r="A616" s="140" t="s">
        <v>3261</v>
      </c>
      <c r="B616" s="141">
        <v>2.0602888383706799E-2</v>
      </c>
      <c r="D616" s="141"/>
    </row>
    <row r="617" spans="1:4" x14ac:dyDescent="0.2">
      <c r="A617" s="140" t="s">
        <v>1828</v>
      </c>
      <c r="B617" s="141">
        <v>2.0561635833108001E-2</v>
      </c>
      <c r="D617" s="141"/>
    </row>
    <row r="618" spans="1:4" x14ac:dyDescent="0.2">
      <c r="A618" s="140" t="s">
        <v>3620</v>
      </c>
      <c r="B618" s="141">
        <v>2.0547822564231499E-2</v>
      </c>
      <c r="D618" s="141"/>
    </row>
    <row r="619" spans="1:4" x14ac:dyDescent="0.2">
      <c r="A619" s="140" t="s">
        <v>5698</v>
      </c>
      <c r="B619" s="141">
        <v>2.0535077319189E-2</v>
      </c>
      <c r="D619" s="141"/>
    </row>
    <row r="620" spans="1:4" x14ac:dyDescent="0.2">
      <c r="A620" s="140" t="s">
        <v>6572</v>
      </c>
      <c r="B620" s="141">
        <v>2.04849224619215E-2</v>
      </c>
      <c r="D620" s="141"/>
    </row>
    <row r="621" spans="1:4" x14ac:dyDescent="0.2">
      <c r="A621" s="140" t="s">
        <v>2925</v>
      </c>
      <c r="B621" s="141">
        <v>2.0484480299745499E-2</v>
      </c>
      <c r="D621" s="141"/>
    </row>
    <row r="622" spans="1:4" x14ac:dyDescent="0.2">
      <c r="A622" s="140" t="s">
        <v>6573</v>
      </c>
      <c r="B622" s="141">
        <v>2.0417328655953498E-2</v>
      </c>
      <c r="D622" s="141"/>
    </row>
    <row r="623" spans="1:4" x14ac:dyDescent="0.2">
      <c r="A623" s="140" t="s">
        <v>2448</v>
      </c>
      <c r="B623" s="141">
        <v>2.0390944103924401E-2</v>
      </c>
      <c r="D623" s="141"/>
    </row>
    <row r="624" spans="1:4" x14ac:dyDescent="0.2">
      <c r="A624" s="140" t="s">
        <v>6574</v>
      </c>
      <c r="B624" s="141">
        <v>2.0379647075964E-2</v>
      </c>
      <c r="D624" s="141"/>
    </row>
    <row r="625" spans="1:4" x14ac:dyDescent="0.2">
      <c r="A625" s="140" t="s">
        <v>3004</v>
      </c>
      <c r="B625" s="141">
        <v>2.02365583053222E-2</v>
      </c>
      <c r="D625" s="141"/>
    </row>
    <row r="626" spans="1:4" x14ac:dyDescent="0.2">
      <c r="A626" s="140" t="s">
        <v>5892</v>
      </c>
      <c r="B626" s="141">
        <v>2.0184259629977601E-2</v>
      </c>
      <c r="D626" s="141"/>
    </row>
    <row r="627" spans="1:4" x14ac:dyDescent="0.2">
      <c r="A627" s="140" t="s">
        <v>3999</v>
      </c>
      <c r="B627" s="141">
        <v>2.01453722123986E-2</v>
      </c>
      <c r="D627" s="141"/>
    </row>
    <row r="628" spans="1:4" x14ac:dyDescent="0.2">
      <c r="A628" s="140" t="s">
        <v>4468</v>
      </c>
      <c r="B628" s="141">
        <v>2.0108599380716199E-2</v>
      </c>
      <c r="D628" s="141"/>
    </row>
    <row r="629" spans="1:4" x14ac:dyDescent="0.2">
      <c r="A629" s="140" t="s">
        <v>5872</v>
      </c>
      <c r="B629" s="141">
        <v>2.0105962114875999E-2</v>
      </c>
      <c r="D629" s="141"/>
    </row>
    <row r="630" spans="1:4" x14ac:dyDescent="0.2">
      <c r="A630" s="140" t="s">
        <v>6335</v>
      </c>
      <c r="B630" s="141">
        <v>2.0080621172100899E-2</v>
      </c>
      <c r="D630" s="141"/>
    </row>
    <row r="631" spans="1:4" x14ac:dyDescent="0.2">
      <c r="A631" s="140" t="s">
        <v>6575</v>
      </c>
      <c r="B631" s="141">
        <v>2.0077558155377401E-2</v>
      </c>
      <c r="D631" s="141"/>
    </row>
    <row r="632" spans="1:4" x14ac:dyDescent="0.2">
      <c r="A632" s="140" t="s">
        <v>2192</v>
      </c>
      <c r="B632" s="141">
        <v>2.0049501564203698E-2</v>
      </c>
      <c r="D632" s="141"/>
    </row>
    <row r="633" spans="1:4" x14ac:dyDescent="0.2">
      <c r="A633" s="140" t="s">
        <v>2546</v>
      </c>
      <c r="B633" s="141">
        <v>2.0049046731200799E-2</v>
      </c>
      <c r="D633" s="141"/>
    </row>
    <row r="634" spans="1:4" x14ac:dyDescent="0.2">
      <c r="A634" s="140" t="s">
        <v>739</v>
      </c>
      <c r="B634" s="141">
        <v>1.9894136749361E-2</v>
      </c>
      <c r="D634" s="141"/>
    </row>
    <row r="635" spans="1:4" x14ac:dyDescent="0.2">
      <c r="A635" s="140" t="s">
        <v>1654</v>
      </c>
      <c r="B635" s="141">
        <v>1.9886301881682798E-2</v>
      </c>
      <c r="D635" s="141"/>
    </row>
    <row r="636" spans="1:4" x14ac:dyDescent="0.2">
      <c r="A636" s="140" t="s">
        <v>6576</v>
      </c>
      <c r="B636" s="141">
        <v>1.98096063781995E-2</v>
      </c>
      <c r="D636" s="141"/>
    </row>
    <row r="637" spans="1:4" x14ac:dyDescent="0.2">
      <c r="A637" s="140" t="s">
        <v>3556</v>
      </c>
      <c r="B637" s="141">
        <v>1.9786945961382901E-2</v>
      </c>
      <c r="D637" s="141"/>
    </row>
    <row r="638" spans="1:4" x14ac:dyDescent="0.2">
      <c r="A638" s="140" t="s">
        <v>4616</v>
      </c>
      <c r="B638" s="141">
        <v>1.9779761468156999E-2</v>
      </c>
      <c r="D638" s="141"/>
    </row>
    <row r="639" spans="1:4" x14ac:dyDescent="0.2">
      <c r="A639" s="140" t="s">
        <v>6577</v>
      </c>
      <c r="B639" s="141">
        <v>1.97772427808659E-2</v>
      </c>
      <c r="D639" s="141"/>
    </row>
    <row r="640" spans="1:4" x14ac:dyDescent="0.2">
      <c r="A640" s="140" t="s">
        <v>6578</v>
      </c>
      <c r="B640" s="141">
        <v>1.9730523560870499E-2</v>
      </c>
      <c r="D640" s="141"/>
    </row>
    <row r="641" spans="1:4" x14ac:dyDescent="0.2">
      <c r="A641" s="140" t="s">
        <v>2234</v>
      </c>
      <c r="B641" s="141">
        <v>1.97026401183822E-2</v>
      </c>
      <c r="D641" s="141"/>
    </row>
    <row r="642" spans="1:4" x14ac:dyDescent="0.2">
      <c r="A642" s="140" t="s">
        <v>2731</v>
      </c>
      <c r="B642" s="141">
        <v>1.96625290209087E-2</v>
      </c>
      <c r="D642" s="141"/>
    </row>
    <row r="643" spans="1:4" x14ac:dyDescent="0.2">
      <c r="A643" s="140" t="s">
        <v>1164</v>
      </c>
      <c r="B643" s="141">
        <v>1.9650837776609899E-2</v>
      </c>
      <c r="D643" s="141"/>
    </row>
    <row r="644" spans="1:4" x14ac:dyDescent="0.2">
      <c r="A644" s="140" t="s">
        <v>2144</v>
      </c>
      <c r="B644" s="141">
        <v>1.96365115773156E-2</v>
      </c>
      <c r="D644" s="141"/>
    </row>
    <row r="645" spans="1:4" x14ac:dyDescent="0.2">
      <c r="A645" s="140" t="s">
        <v>4357</v>
      </c>
      <c r="B645" s="141">
        <v>1.9586494559378598E-2</v>
      </c>
      <c r="D645" s="141"/>
    </row>
    <row r="646" spans="1:4" x14ac:dyDescent="0.2">
      <c r="A646" s="140" t="s">
        <v>2545</v>
      </c>
      <c r="B646" s="141">
        <v>1.9555887241613699E-2</v>
      </c>
      <c r="D646" s="141"/>
    </row>
    <row r="647" spans="1:4" x14ac:dyDescent="0.2">
      <c r="A647" s="140" t="s">
        <v>4223</v>
      </c>
      <c r="B647" s="141">
        <v>1.9426044045117601E-2</v>
      </c>
      <c r="D647" s="141"/>
    </row>
    <row r="648" spans="1:4" x14ac:dyDescent="0.2">
      <c r="A648" s="140" t="s">
        <v>4125</v>
      </c>
      <c r="B648" s="141">
        <v>1.9362153322829201E-2</v>
      </c>
      <c r="D648" s="141"/>
    </row>
    <row r="649" spans="1:4" x14ac:dyDescent="0.2">
      <c r="A649" s="140" t="s">
        <v>6579</v>
      </c>
      <c r="B649" s="141">
        <v>1.9284206155235399E-2</v>
      </c>
      <c r="D649" s="141"/>
    </row>
    <row r="650" spans="1:4" x14ac:dyDescent="0.2">
      <c r="A650" s="140" t="s">
        <v>2643</v>
      </c>
      <c r="B650" s="141">
        <v>1.9250103234144101E-2</v>
      </c>
      <c r="D650" s="141"/>
    </row>
    <row r="651" spans="1:4" x14ac:dyDescent="0.2">
      <c r="A651" s="140" t="s">
        <v>1808</v>
      </c>
      <c r="B651" s="141">
        <v>1.92193250196954E-2</v>
      </c>
      <c r="D651" s="141"/>
    </row>
    <row r="652" spans="1:4" x14ac:dyDescent="0.2">
      <c r="A652" s="140" t="s">
        <v>1960</v>
      </c>
      <c r="B652" s="141">
        <v>1.9075120470811901E-2</v>
      </c>
      <c r="D652" s="141"/>
    </row>
    <row r="653" spans="1:4" x14ac:dyDescent="0.2">
      <c r="A653" s="140" t="s">
        <v>1093</v>
      </c>
      <c r="B653" s="141">
        <v>1.90097633480482E-2</v>
      </c>
      <c r="D653" s="141"/>
    </row>
    <row r="654" spans="1:4" x14ac:dyDescent="0.2">
      <c r="A654" s="140" t="s">
        <v>4263</v>
      </c>
      <c r="B654" s="141">
        <v>1.90001554183706E-2</v>
      </c>
      <c r="D654" s="141"/>
    </row>
    <row r="655" spans="1:4" x14ac:dyDescent="0.2">
      <c r="A655" s="140" t="s">
        <v>3439</v>
      </c>
      <c r="B655" s="141">
        <v>1.8991820182334002E-2</v>
      </c>
      <c r="D655" s="141"/>
    </row>
    <row r="656" spans="1:4" x14ac:dyDescent="0.2">
      <c r="A656" s="140" t="s">
        <v>5350</v>
      </c>
      <c r="B656" s="141">
        <v>1.8970613925915401E-2</v>
      </c>
      <c r="D656" s="141"/>
    </row>
    <row r="657" spans="1:4" x14ac:dyDescent="0.2">
      <c r="A657" s="140" t="s">
        <v>2539</v>
      </c>
      <c r="B657" s="141">
        <v>1.8933246244035098E-2</v>
      </c>
      <c r="D657" s="141"/>
    </row>
    <row r="658" spans="1:4" x14ac:dyDescent="0.2">
      <c r="A658" s="140" t="s">
        <v>5869</v>
      </c>
      <c r="B658" s="141">
        <v>1.8922692340601201E-2</v>
      </c>
      <c r="D658" s="141"/>
    </row>
    <row r="659" spans="1:4" x14ac:dyDescent="0.2">
      <c r="A659" s="140" t="s">
        <v>6580</v>
      </c>
      <c r="B659" s="141">
        <v>1.8915054452419401E-2</v>
      </c>
      <c r="D659" s="141"/>
    </row>
    <row r="660" spans="1:4" x14ac:dyDescent="0.2">
      <c r="A660" s="140" t="s">
        <v>6581</v>
      </c>
      <c r="B660" s="141">
        <v>1.8894432456182698E-2</v>
      </c>
      <c r="D660" s="141"/>
    </row>
    <row r="661" spans="1:4" x14ac:dyDescent="0.2">
      <c r="A661" s="140" t="s">
        <v>5283</v>
      </c>
      <c r="B661" s="141">
        <v>1.88500311562536E-2</v>
      </c>
      <c r="D661" s="141"/>
    </row>
    <row r="662" spans="1:4" x14ac:dyDescent="0.2">
      <c r="A662" s="140" t="s">
        <v>5948</v>
      </c>
      <c r="B662" s="141">
        <v>1.8844862190418699E-2</v>
      </c>
      <c r="D662" s="141"/>
    </row>
    <row r="663" spans="1:4" x14ac:dyDescent="0.2">
      <c r="A663" s="140" t="s">
        <v>3064</v>
      </c>
      <c r="B663" s="141">
        <v>1.8758272461545201E-2</v>
      </c>
      <c r="D663" s="141"/>
    </row>
    <row r="664" spans="1:4" x14ac:dyDescent="0.2">
      <c r="A664" s="140" t="s">
        <v>6099</v>
      </c>
      <c r="B664" s="141">
        <v>1.8734448410910601E-2</v>
      </c>
      <c r="D664" s="141"/>
    </row>
    <row r="665" spans="1:4" x14ac:dyDescent="0.2">
      <c r="A665" s="140" t="s">
        <v>6582</v>
      </c>
      <c r="B665" s="141">
        <v>1.8724853980592399E-2</v>
      </c>
      <c r="D665" s="141"/>
    </row>
    <row r="666" spans="1:4" x14ac:dyDescent="0.2">
      <c r="A666" s="140" t="s">
        <v>3398</v>
      </c>
      <c r="B666" s="141">
        <v>1.8654364275681502E-2</v>
      </c>
      <c r="D666" s="141"/>
    </row>
    <row r="667" spans="1:4" x14ac:dyDescent="0.2">
      <c r="A667" s="140" t="s">
        <v>1510</v>
      </c>
      <c r="B667" s="141">
        <v>1.8628052958313799E-2</v>
      </c>
      <c r="D667" s="141"/>
    </row>
    <row r="668" spans="1:4" x14ac:dyDescent="0.2">
      <c r="A668" s="140" t="s">
        <v>2121</v>
      </c>
      <c r="B668" s="141">
        <v>1.86243720387556E-2</v>
      </c>
      <c r="D668" s="141"/>
    </row>
    <row r="669" spans="1:4" x14ac:dyDescent="0.2">
      <c r="A669" s="140" t="s">
        <v>4210</v>
      </c>
      <c r="B669" s="141">
        <v>1.8615476487331001E-2</v>
      </c>
      <c r="D669" s="141"/>
    </row>
    <row r="670" spans="1:4" x14ac:dyDescent="0.2">
      <c r="A670" s="140" t="s">
        <v>3426</v>
      </c>
      <c r="B670" s="141">
        <v>1.85967345690271E-2</v>
      </c>
      <c r="D670" s="141"/>
    </row>
    <row r="671" spans="1:4" x14ac:dyDescent="0.2">
      <c r="A671" s="140" t="s">
        <v>3600</v>
      </c>
      <c r="B671" s="141">
        <v>1.8589927259710901E-2</v>
      </c>
      <c r="D671" s="141"/>
    </row>
    <row r="672" spans="1:4" x14ac:dyDescent="0.2">
      <c r="A672" s="140" t="s">
        <v>3103</v>
      </c>
      <c r="B672" s="141">
        <v>1.85541823871033E-2</v>
      </c>
      <c r="D672" s="141"/>
    </row>
    <row r="673" spans="1:4" x14ac:dyDescent="0.2">
      <c r="A673" s="140" t="s">
        <v>5956</v>
      </c>
      <c r="B673" s="141">
        <v>1.8547559342369398E-2</v>
      </c>
      <c r="D673" s="141"/>
    </row>
    <row r="674" spans="1:4" x14ac:dyDescent="0.2">
      <c r="A674" s="140" t="s">
        <v>6583</v>
      </c>
      <c r="B674" s="141">
        <v>1.8521138198370101E-2</v>
      </c>
      <c r="D674" s="141"/>
    </row>
    <row r="675" spans="1:4" x14ac:dyDescent="0.2">
      <c r="A675" s="140" t="s">
        <v>2010</v>
      </c>
      <c r="B675" s="141">
        <v>1.8468323220326401E-2</v>
      </c>
      <c r="D675" s="141"/>
    </row>
    <row r="676" spans="1:4" x14ac:dyDescent="0.2">
      <c r="A676" s="140" t="s">
        <v>3660</v>
      </c>
      <c r="B676" s="141">
        <v>1.8465565790422502E-2</v>
      </c>
      <c r="D676" s="141"/>
    </row>
    <row r="677" spans="1:4" x14ac:dyDescent="0.2">
      <c r="A677" s="140" t="s">
        <v>6584</v>
      </c>
      <c r="B677" s="141">
        <v>1.8454372836889301E-2</v>
      </c>
      <c r="D677" s="141"/>
    </row>
    <row r="678" spans="1:4" x14ac:dyDescent="0.2">
      <c r="A678" s="140" t="s">
        <v>3024</v>
      </c>
      <c r="B678" s="141">
        <v>1.8379401708988299E-2</v>
      </c>
      <c r="D678" s="141"/>
    </row>
    <row r="679" spans="1:4" x14ac:dyDescent="0.2">
      <c r="A679" s="140" t="s">
        <v>3289</v>
      </c>
      <c r="B679" s="141">
        <v>1.82924885478165E-2</v>
      </c>
      <c r="D679" s="141"/>
    </row>
    <row r="680" spans="1:4" x14ac:dyDescent="0.2">
      <c r="A680" s="140" t="s">
        <v>3094</v>
      </c>
      <c r="B680" s="141">
        <v>1.8282172858254699E-2</v>
      </c>
      <c r="D680" s="141"/>
    </row>
    <row r="681" spans="1:4" x14ac:dyDescent="0.2">
      <c r="A681" s="140" t="s">
        <v>6585</v>
      </c>
      <c r="B681" s="141">
        <v>1.8255610918806599E-2</v>
      </c>
      <c r="D681" s="141"/>
    </row>
    <row r="682" spans="1:4" x14ac:dyDescent="0.2">
      <c r="A682" s="140" t="s">
        <v>4243</v>
      </c>
      <c r="B682" s="141">
        <v>1.8233762106520598E-2</v>
      </c>
      <c r="D682" s="141"/>
    </row>
    <row r="683" spans="1:4" x14ac:dyDescent="0.2">
      <c r="A683" s="140" t="s">
        <v>6586</v>
      </c>
      <c r="B683" s="141">
        <v>1.81018262258139E-2</v>
      </c>
      <c r="D683" s="141"/>
    </row>
    <row r="684" spans="1:4" x14ac:dyDescent="0.2">
      <c r="A684" s="140" t="s">
        <v>6587</v>
      </c>
      <c r="B684" s="141">
        <v>1.8018200090210101E-2</v>
      </c>
      <c r="D684" s="141"/>
    </row>
    <row r="685" spans="1:4" x14ac:dyDescent="0.2">
      <c r="A685" s="140" t="s">
        <v>5433</v>
      </c>
      <c r="B685" s="141">
        <v>1.8018200090210101E-2</v>
      </c>
      <c r="D685" s="141"/>
    </row>
    <row r="686" spans="1:4" x14ac:dyDescent="0.2">
      <c r="A686" s="140" t="s">
        <v>6588</v>
      </c>
      <c r="B686" s="141">
        <v>1.8018200090210101E-2</v>
      </c>
      <c r="D686" s="141"/>
    </row>
    <row r="687" spans="1:4" x14ac:dyDescent="0.2">
      <c r="A687" s="140" t="s">
        <v>5478</v>
      </c>
      <c r="B687" s="141">
        <v>1.7958916402969701E-2</v>
      </c>
      <c r="D687" s="141"/>
    </row>
    <row r="688" spans="1:4" x14ac:dyDescent="0.2">
      <c r="A688" s="140" t="s">
        <v>1223</v>
      </c>
      <c r="B688" s="141">
        <v>1.7918434377496802E-2</v>
      </c>
      <c r="D688" s="141"/>
    </row>
    <row r="689" spans="1:4" x14ac:dyDescent="0.2">
      <c r="A689" s="140" t="s">
        <v>5899</v>
      </c>
      <c r="B689" s="141">
        <v>1.7910206527052101E-2</v>
      </c>
      <c r="D689" s="141"/>
    </row>
    <row r="690" spans="1:4" x14ac:dyDescent="0.2">
      <c r="A690" s="140" t="s">
        <v>6589</v>
      </c>
      <c r="B690" s="141">
        <v>1.78828072723567E-2</v>
      </c>
      <c r="D690" s="141"/>
    </row>
    <row r="691" spans="1:4" x14ac:dyDescent="0.2">
      <c r="A691" s="140" t="s">
        <v>6590</v>
      </c>
      <c r="B691" s="141">
        <v>1.78828072723567E-2</v>
      </c>
      <c r="D691" s="141"/>
    </row>
    <row r="692" spans="1:4" x14ac:dyDescent="0.2">
      <c r="A692" s="140" t="s">
        <v>6591</v>
      </c>
      <c r="B692" s="141">
        <v>1.78828072723567E-2</v>
      </c>
      <c r="D692" s="141"/>
    </row>
    <row r="693" spans="1:4" x14ac:dyDescent="0.2">
      <c r="A693" s="140" t="s">
        <v>6592</v>
      </c>
      <c r="B693" s="141">
        <v>1.78828072723567E-2</v>
      </c>
      <c r="D693" s="141"/>
    </row>
    <row r="694" spans="1:4" x14ac:dyDescent="0.2">
      <c r="A694" s="140" t="s">
        <v>6593</v>
      </c>
      <c r="B694" s="141">
        <v>1.78828072723567E-2</v>
      </c>
      <c r="D694" s="141"/>
    </row>
    <row r="695" spans="1:4" x14ac:dyDescent="0.2">
      <c r="A695" s="140" t="s">
        <v>6594</v>
      </c>
      <c r="B695" s="141">
        <v>1.78828072723567E-2</v>
      </c>
      <c r="D695" s="141"/>
    </row>
    <row r="696" spans="1:4" x14ac:dyDescent="0.2">
      <c r="A696" s="140" t="s">
        <v>6595</v>
      </c>
      <c r="B696" s="141">
        <v>1.78828072723567E-2</v>
      </c>
      <c r="D696" s="141"/>
    </row>
    <row r="697" spans="1:4" x14ac:dyDescent="0.2">
      <c r="A697" s="140" t="s">
        <v>6596</v>
      </c>
      <c r="B697" s="141">
        <v>1.78828072723567E-2</v>
      </c>
      <c r="D697" s="141"/>
    </row>
    <row r="698" spans="1:4" x14ac:dyDescent="0.2">
      <c r="A698" s="140" t="s">
        <v>6597</v>
      </c>
      <c r="B698" s="141">
        <v>1.78828072723567E-2</v>
      </c>
      <c r="D698" s="141"/>
    </row>
    <row r="699" spans="1:4" x14ac:dyDescent="0.2">
      <c r="A699" s="140" t="s">
        <v>6598</v>
      </c>
      <c r="B699" s="141">
        <v>1.78828072723567E-2</v>
      </c>
      <c r="D699" s="141"/>
    </row>
    <row r="700" spans="1:4" x14ac:dyDescent="0.2">
      <c r="A700" s="140" t="s">
        <v>6599</v>
      </c>
      <c r="B700" s="141">
        <v>1.78828072723567E-2</v>
      </c>
      <c r="D700" s="141"/>
    </row>
    <row r="701" spans="1:4" x14ac:dyDescent="0.2">
      <c r="A701" s="140" t="s">
        <v>6600</v>
      </c>
      <c r="B701" s="141">
        <v>1.78828072723567E-2</v>
      </c>
      <c r="D701" s="141"/>
    </row>
    <row r="702" spans="1:4" x14ac:dyDescent="0.2">
      <c r="A702" s="140" t="s">
        <v>6601</v>
      </c>
      <c r="B702" s="141">
        <v>1.78828072723567E-2</v>
      </c>
      <c r="D702" s="141"/>
    </row>
    <row r="703" spans="1:4" x14ac:dyDescent="0.2">
      <c r="A703" s="140" t="s">
        <v>6602</v>
      </c>
      <c r="B703" s="141">
        <v>1.78828072723567E-2</v>
      </c>
      <c r="D703" s="141"/>
    </row>
    <row r="704" spans="1:4" x14ac:dyDescent="0.2">
      <c r="A704" s="140" t="s">
        <v>6603</v>
      </c>
      <c r="B704" s="141">
        <v>1.78828072723567E-2</v>
      </c>
      <c r="D704" s="141"/>
    </row>
    <row r="705" spans="1:4" x14ac:dyDescent="0.2">
      <c r="A705" s="140" t="s">
        <v>6604</v>
      </c>
      <c r="B705" s="141">
        <v>1.78828072723567E-2</v>
      </c>
      <c r="D705" s="141"/>
    </row>
    <row r="706" spans="1:4" x14ac:dyDescent="0.2">
      <c r="A706" s="140" t="s">
        <v>6605</v>
      </c>
      <c r="B706" s="141">
        <v>1.78828072723567E-2</v>
      </c>
      <c r="D706" s="141"/>
    </row>
    <row r="707" spans="1:4" x14ac:dyDescent="0.2">
      <c r="A707" s="140" t="s">
        <v>6606</v>
      </c>
      <c r="B707" s="141">
        <v>1.78828072723567E-2</v>
      </c>
      <c r="D707" s="141"/>
    </row>
    <row r="708" spans="1:4" x14ac:dyDescent="0.2">
      <c r="A708" s="140" t="s">
        <v>6607</v>
      </c>
      <c r="B708" s="141">
        <v>1.78828072723567E-2</v>
      </c>
      <c r="D708" s="141"/>
    </row>
    <row r="709" spans="1:4" x14ac:dyDescent="0.2">
      <c r="A709" s="140" t="s">
        <v>6608</v>
      </c>
      <c r="B709" s="141">
        <v>1.78828072723567E-2</v>
      </c>
      <c r="D709" s="141"/>
    </row>
    <row r="710" spans="1:4" x14ac:dyDescent="0.2">
      <c r="A710" s="140" t="s">
        <v>6609</v>
      </c>
      <c r="B710" s="141">
        <v>1.78828072723567E-2</v>
      </c>
      <c r="D710" s="141"/>
    </row>
    <row r="711" spans="1:4" x14ac:dyDescent="0.2">
      <c r="A711" s="140" t="s">
        <v>6610</v>
      </c>
      <c r="B711" s="141">
        <v>1.78828072723567E-2</v>
      </c>
      <c r="D711" s="141"/>
    </row>
    <row r="712" spans="1:4" x14ac:dyDescent="0.2">
      <c r="A712" s="140" t="s">
        <v>6611</v>
      </c>
      <c r="B712" s="141">
        <v>1.78828072723567E-2</v>
      </c>
      <c r="D712" s="141"/>
    </row>
    <row r="713" spans="1:4" x14ac:dyDescent="0.2">
      <c r="A713" s="140" t="s">
        <v>6612</v>
      </c>
      <c r="B713" s="141">
        <v>1.78828072723567E-2</v>
      </c>
      <c r="D713" s="141"/>
    </row>
    <row r="714" spans="1:4" x14ac:dyDescent="0.2">
      <c r="A714" s="140" t="s">
        <v>6613</v>
      </c>
      <c r="B714" s="141">
        <v>1.78828072723567E-2</v>
      </c>
      <c r="D714" s="141"/>
    </row>
    <row r="715" spans="1:4" x14ac:dyDescent="0.2">
      <c r="A715" s="140" t="s">
        <v>6614</v>
      </c>
      <c r="B715" s="141">
        <v>1.78828072723567E-2</v>
      </c>
      <c r="D715" s="141"/>
    </row>
    <row r="716" spans="1:4" x14ac:dyDescent="0.2">
      <c r="A716" s="140" t="s">
        <v>6615</v>
      </c>
      <c r="B716" s="141">
        <v>1.78828072723567E-2</v>
      </c>
      <c r="D716" s="141"/>
    </row>
    <row r="717" spans="1:4" x14ac:dyDescent="0.2">
      <c r="A717" s="140" t="s">
        <v>6616</v>
      </c>
      <c r="B717" s="141">
        <v>1.78828072723567E-2</v>
      </c>
      <c r="D717" s="141"/>
    </row>
    <row r="718" spans="1:4" x14ac:dyDescent="0.2">
      <c r="A718" s="140" t="s">
        <v>6617</v>
      </c>
      <c r="B718" s="141">
        <v>1.78828072723567E-2</v>
      </c>
      <c r="D718" s="141"/>
    </row>
    <row r="719" spans="1:4" x14ac:dyDescent="0.2">
      <c r="A719" s="140" t="s">
        <v>6618</v>
      </c>
      <c r="B719" s="141">
        <v>1.78828072723567E-2</v>
      </c>
      <c r="D719" s="141"/>
    </row>
    <row r="720" spans="1:4" x14ac:dyDescent="0.2">
      <c r="A720" s="140" t="s">
        <v>6619</v>
      </c>
      <c r="B720" s="141">
        <v>1.78828072723567E-2</v>
      </c>
      <c r="D720" s="141"/>
    </row>
    <row r="721" spans="1:4" x14ac:dyDescent="0.2">
      <c r="A721" s="140" t="s">
        <v>3186</v>
      </c>
      <c r="B721" s="141">
        <v>1.7843961414396099E-2</v>
      </c>
      <c r="D721" s="141"/>
    </row>
    <row r="722" spans="1:4" x14ac:dyDescent="0.2">
      <c r="A722" s="140" t="s">
        <v>6620</v>
      </c>
      <c r="B722" s="141">
        <v>1.7833383525098001E-2</v>
      </c>
      <c r="D722" s="141"/>
    </row>
    <row r="723" spans="1:4" x14ac:dyDescent="0.2">
      <c r="A723" s="140" t="s">
        <v>3169</v>
      </c>
      <c r="B723" s="141">
        <v>1.78316687853106E-2</v>
      </c>
      <c r="D723" s="141"/>
    </row>
    <row r="724" spans="1:4" x14ac:dyDescent="0.2">
      <c r="A724" s="140" t="s">
        <v>5427</v>
      </c>
      <c r="B724" s="141">
        <v>1.7783843043742299E-2</v>
      </c>
      <c r="D724" s="141"/>
    </row>
    <row r="725" spans="1:4" x14ac:dyDescent="0.2">
      <c r="A725" s="140" t="s">
        <v>2572</v>
      </c>
      <c r="B725" s="141">
        <v>1.7762080175523901E-2</v>
      </c>
      <c r="D725" s="141"/>
    </row>
    <row r="726" spans="1:4" x14ac:dyDescent="0.2">
      <c r="A726" s="140" t="s">
        <v>3682</v>
      </c>
      <c r="B726" s="141">
        <v>1.77498622287828E-2</v>
      </c>
      <c r="D726" s="141"/>
    </row>
    <row r="727" spans="1:4" x14ac:dyDescent="0.2">
      <c r="A727" s="140" t="s">
        <v>1959</v>
      </c>
      <c r="B727" s="141">
        <v>1.77081900262402E-2</v>
      </c>
      <c r="D727" s="141"/>
    </row>
    <row r="728" spans="1:4" x14ac:dyDescent="0.2">
      <c r="A728" s="140" t="s">
        <v>5912</v>
      </c>
      <c r="B728" s="141">
        <v>1.76987681047753E-2</v>
      </c>
      <c r="D728" s="141"/>
    </row>
    <row r="729" spans="1:4" x14ac:dyDescent="0.2">
      <c r="A729" s="140" t="s">
        <v>5930</v>
      </c>
      <c r="B729" s="141">
        <v>1.7673364428209899E-2</v>
      </c>
      <c r="D729" s="141"/>
    </row>
    <row r="730" spans="1:4" x14ac:dyDescent="0.2">
      <c r="A730" s="140" t="s">
        <v>3932</v>
      </c>
      <c r="B730" s="141">
        <v>1.7614757794826401E-2</v>
      </c>
      <c r="D730" s="141"/>
    </row>
    <row r="731" spans="1:4" x14ac:dyDescent="0.2">
      <c r="A731" s="140" t="s">
        <v>2914</v>
      </c>
      <c r="B731" s="141">
        <v>1.76082647840613E-2</v>
      </c>
      <c r="D731" s="141"/>
    </row>
    <row r="732" spans="1:4" x14ac:dyDescent="0.2">
      <c r="A732" s="140" t="s">
        <v>3377</v>
      </c>
      <c r="B732" s="141">
        <v>1.7604397894450601E-2</v>
      </c>
      <c r="D732" s="141"/>
    </row>
    <row r="733" spans="1:4" x14ac:dyDescent="0.2">
      <c r="A733" s="140" t="s">
        <v>6621</v>
      </c>
      <c r="B733" s="141">
        <v>1.75650548849327E-2</v>
      </c>
      <c r="D733" s="141"/>
    </row>
    <row r="734" spans="1:4" x14ac:dyDescent="0.2">
      <c r="A734" s="140" t="s">
        <v>4158</v>
      </c>
      <c r="B734" s="141">
        <v>1.7557278285887198E-2</v>
      </c>
      <c r="D734" s="141"/>
    </row>
    <row r="735" spans="1:4" x14ac:dyDescent="0.2">
      <c r="A735" s="140" t="s">
        <v>2649</v>
      </c>
      <c r="B735" s="141">
        <v>1.7523281776847501E-2</v>
      </c>
      <c r="D735" s="141"/>
    </row>
    <row r="736" spans="1:4" x14ac:dyDescent="0.2">
      <c r="A736" s="140" t="s">
        <v>1855</v>
      </c>
      <c r="B736" s="141">
        <v>1.75026066077331E-2</v>
      </c>
      <c r="D736" s="141"/>
    </row>
    <row r="737" spans="1:4" x14ac:dyDescent="0.2">
      <c r="A737" s="140" t="s">
        <v>1195</v>
      </c>
      <c r="B737" s="141">
        <v>1.7445531025416901E-2</v>
      </c>
      <c r="D737" s="141"/>
    </row>
    <row r="738" spans="1:4" x14ac:dyDescent="0.2">
      <c r="A738" s="140" t="s">
        <v>3899</v>
      </c>
      <c r="B738" s="141">
        <v>1.7442808729673898E-2</v>
      </c>
      <c r="D738" s="141"/>
    </row>
    <row r="739" spans="1:4" x14ac:dyDescent="0.2">
      <c r="A739" s="140" t="s">
        <v>4370</v>
      </c>
      <c r="B739" s="141">
        <v>1.7438199380813001E-2</v>
      </c>
      <c r="D739" s="141"/>
    </row>
    <row r="740" spans="1:4" x14ac:dyDescent="0.2">
      <c r="A740" s="140" t="s">
        <v>6622</v>
      </c>
      <c r="B740" s="141">
        <v>1.7405297895255901E-2</v>
      </c>
      <c r="D740" s="141"/>
    </row>
    <row r="741" spans="1:4" x14ac:dyDescent="0.2">
      <c r="A741" s="140" t="s">
        <v>3294</v>
      </c>
      <c r="B741" s="141">
        <v>1.73874493794604E-2</v>
      </c>
      <c r="D741" s="141"/>
    </row>
    <row r="742" spans="1:4" x14ac:dyDescent="0.2">
      <c r="A742" s="140" t="s">
        <v>6623</v>
      </c>
      <c r="B742" s="141">
        <v>1.7385031403318901E-2</v>
      </c>
      <c r="D742" s="141"/>
    </row>
    <row r="743" spans="1:4" x14ac:dyDescent="0.2">
      <c r="A743" s="140" t="s">
        <v>1126</v>
      </c>
      <c r="B743" s="141">
        <v>1.73759911820211E-2</v>
      </c>
      <c r="D743" s="141"/>
    </row>
    <row r="744" spans="1:4" x14ac:dyDescent="0.2">
      <c r="A744" s="140" t="s">
        <v>372</v>
      </c>
      <c r="B744" s="141">
        <v>1.7372836767484998E-2</v>
      </c>
      <c r="D744" s="141"/>
    </row>
    <row r="745" spans="1:4" x14ac:dyDescent="0.2">
      <c r="A745" s="140" t="s">
        <v>2541</v>
      </c>
      <c r="B745" s="141">
        <v>1.73306371725752E-2</v>
      </c>
      <c r="D745" s="141"/>
    </row>
    <row r="746" spans="1:4" x14ac:dyDescent="0.2">
      <c r="A746" s="140" t="s">
        <v>3575</v>
      </c>
      <c r="B746" s="141">
        <v>1.7300366830104899E-2</v>
      </c>
      <c r="D746" s="141"/>
    </row>
    <row r="747" spans="1:4" x14ac:dyDescent="0.2">
      <c r="A747" s="140" t="s">
        <v>6624</v>
      </c>
      <c r="B747" s="141">
        <v>1.72607148513527E-2</v>
      </c>
      <c r="D747" s="141"/>
    </row>
    <row r="748" spans="1:4" x14ac:dyDescent="0.2">
      <c r="A748" s="140" t="s">
        <v>3879</v>
      </c>
      <c r="B748" s="141">
        <v>1.7251146019253299E-2</v>
      </c>
      <c r="D748" s="141"/>
    </row>
    <row r="749" spans="1:4" x14ac:dyDescent="0.2">
      <c r="A749" s="140" t="s">
        <v>3038</v>
      </c>
      <c r="B749" s="141">
        <v>1.72061076675461E-2</v>
      </c>
      <c r="D749" s="141"/>
    </row>
    <row r="750" spans="1:4" x14ac:dyDescent="0.2">
      <c r="A750" s="140" t="s">
        <v>4224</v>
      </c>
      <c r="B750" s="141">
        <v>1.7152785635835201E-2</v>
      </c>
      <c r="D750" s="141"/>
    </row>
    <row r="751" spans="1:4" x14ac:dyDescent="0.2">
      <c r="A751" s="140" t="s">
        <v>6176</v>
      </c>
      <c r="B751" s="141">
        <v>1.71076368903221E-2</v>
      </c>
      <c r="D751" s="141"/>
    </row>
    <row r="752" spans="1:4" x14ac:dyDescent="0.2">
      <c r="A752" s="140" t="s">
        <v>2675</v>
      </c>
      <c r="B752" s="141">
        <v>1.7028330107955101E-2</v>
      </c>
      <c r="D752" s="141"/>
    </row>
    <row r="753" spans="1:4" x14ac:dyDescent="0.2">
      <c r="A753" s="140" t="s">
        <v>6625</v>
      </c>
      <c r="B753" s="141">
        <v>1.7016382573696798E-2</v>
      </c>
      <c r="D753" s="141"/>
    </row>
    <row r="754" spans="1:4" x14ac:dyDescent="0.2">
      <c r="A754" s="140" t="s">
        <v>6626</v>
      </c>
      <c r="B754" s="141">
        <v>1.7016382573696798E-2</v>
      </c>
      <c r="D754" s="141"/>
    </row>
    <row r="755" spans="1:4" x14ac:dyDescent="0.2">
      <c r="A755" s="140" t="s">
        <v>6627</v>
      </c>
      <c r="B755" s="141">
        <v>1.7016382573696798E-2</v>
      </c>
      <c r="D755" s="141"/>
    </row>
    <row r="756" spans="1:4" x14ac:dyDescent="0.2">
      <c r="A756" s="140" t="s">
        <v>6628</v>
      </c>
      <c r="B756" s="141">
        <v>1.7016382573696798E-2</v>
      </c>
      <c r="D756" s="141"/>
    </row>
    <row r="757" spans="1:4" x14ac:dyDescent="0.2">
      <c r="A757" s="140" t="s">
        <v>6629</v>
      </c>
      <c r="B757" s="141">
        <v>1.7005631157969901E-2</v>
      </c>
      <c r="D757" s="141"/>
    </row>
    <row r="758" spans="1:4" x14ac:dyDescent="0.2">
      <c r="A758" s="140" t="s">
        <v>6630</v>
      </c>
      <c r="B758" s="141">
        <v>1.7005631157969901E-2</v>
      </c>
      <c r="D758" s="141"/>
    </row>
    <row r="759" spans="1:4" x14ac:dyDescent="0.2">
      <c r="A759" s="140" t="s">
        <v>6631</v>
      </c>
      <c r="B759" s="141">
        <v>1.7005631157969901E-2</v>
      </c>
      <c r="D759" s="141"/>
    </row>
    <row r="760" spans="1:4" x14ac:dyDescent="0.2">
      <c r="A760" s="140" t="s">
        <v>6632</v>
      </c>
      <c r="B760" s="141">
        <v>1.7005631157969901E-2</v>
      </c>
      <c r="D760" s="141"/>
    </row>
    <row r="761" spans="1:4" x14ac:dyDescent="0.2">
      <c r="A761" s="140" t="s">
        <v>6633</v>
      </c>
      <c r="B761" s="141">
        <v>1.7005631157969901E-2</v>
      </c>
      <c r="D761" s="141"/>
    </row>
    <row r="762" spans="1:4" x14ac:dyDescent="0.2">
      <c r="A762" s="140" t="s">
        <v>6634</v>
      </c>
      <c r="B762" s="141">
        <v>1.7005631157969901E-2</v>
      </c>
      <c r="D762" s="141"/>
    </row>
    <row r="763" spans="1:4" x14ac:dyDescent="0.2">
      <c r="A763" s="140" t="s">
        <v>6635</v>
      </c>
      <c r="B763" s="141">
        <v>1.7005631157969901E-2</v>
      </c>
      <c r="D763" s="141"/>
    </row>
    <row r="764" spans="1:4" x14ac:dyDescent="0.2">
      <c r="A764" s="140" t="s">
        <v>6636</v>
      </c>
      <c r="B764" s="141">
        <v>1.7005631157969901E-2</v>
      </c>
      <c r="D764" s="141"/>
    </row>
    <row r="765" spans="1:4" x14ac:dyDescent="0.2">
      <c r="A765" s="140" t="s">
        <v>3034</v>
      </c>
      <c r="B765" s="141">
        <v>1.6995982485876599E-2</v>
      </c>
      <c r="D765" s="141"/>
    </row>
    <row r="766" spans="1:4" x14ac:dyDescent="0.2">
      <c r="A766" s="140" t="s">
        <v>6637</v>
      </c>
      <c r="B766" s="141">
        <v>1.6985774632692199E-2</v>
      </c>
      <c r="D766" s="141"/>
    </row>
    <row r="767" spans="1:4" x14ac:dyDescent="0.2">
      <c r="A767" s="140" t="s">
        <v>4105</v>
      </c>
      <c r="B767" s="141">
        <v>1.69278446719201E-2</v>
      </c>
      <c r="D767" s="141"/>
    </row>
    <row r="768" spans="1:4" x14ac:dyDescent="0.2">
      <c r="A768" s="140" t="s">
        <v>6638</v>
      </c>
      <c r="B768" s="141">
        <v>1.6889886012790501E-2</v>
      </c>
      <c r="D768" s="141"/>
    </row>
    <row r="769" spans="1:4" x14ac:dyDescent="0.2">
      <c r="A769" s="140" t="s">
        <v>2295</v>
      </c>
      <c r="B769" s="141">
        <v>1.6884098648528301E-2</v>
      </c>
      <c r="D769" s="141"/>
    </row>
    <row r="770" spans="1:4" x14ac:dyDescent="0.2">
      <c r="A770" s="140" t="s">
        <v>3081</v>
      </c>
      <c r="B770" s="141">
        <v>1.6808139811782901E-2</v>
      </c>
      <c r="D770" s="141"/>
    </row>
    <row r="771" spans="1:4" x14ac:dyDescent="0.2">
      <c r="A771" s="140" t="s">
        <v>4843</v>
      </c>
      <c r="B771" s="141">
        <v>1.6805172657774901E-2</v>
      </c>
      <c r="D771" s="141"/>
    </row>
    <row r="772" spans="1:4" x14ac:dyDescent="0.2">
      <c r="A772" s="140" t="s">
        <v>2195</v>
      </c>
      <c r="B772" s="141">
        <v>1.6800400887198599E-2</v>
      </c>
      <c r="D772" s="141"/>
    </row>
    <row r="773" spans="1:4" x14ac:dyDescent="0.2">
      <c r="A773" s="140" t="s">
        <v>2346</v>
      </c>
      <c r="B773" s="141">
        <v>1.6727267140404699E-2</v>
      </c>
      <c r="D773" s="141"/>
    </row>
    <row r="774" spans="1:4" x14ac:dyDescent="0.2">
      <c r="A774" s="140" t="s">
        <v>1259</v>
      </c>
      <c r="B774" s="141">
        <v>1.6690071524715602E-2</v>
      </c>
      <c r="D774" s="141"/>
    </row>
    <row r="775" spans="1:4" x14ac:dyDescent="0.2">
      <c r="A775" s="140" t="s">
        <v>6639</v>
      </c>
      <c r="B775" s="141">
        <v>1.6690071524715602E-2</v>
      </c>
      <c r="D775" s="141"/>
    </row>
    <row r="776" spans="1:4" x14ac:dyDescent="0.2">
      <c r="A776" s="140" t="s">
        <v>6640</v>
      </c>
      <c r="B776" s="141">
        <v>1.6690071524715602E-2</v>
      </c>
      <c r="D776" s="141"/>
    </row>
    <row r="777" spans="1:4" x14ac:dyDescent="0.2">
      <c r="A777" s="140" t="s">
        <v>6641</v>
      </c>
      <c r="B777" s="141">
        <v>1.6690071524715602E-2</v>
      </c>
      <c r="D777" s="141"/>
    </row>
    <row r="778" spans="1:4" x14ac:dyDescent="0.2">
      <c r="A778" s="140" t="s">
        <v>6642</v>
      </c>
      <c r="B778" s="141">
        <v>1.6690071524715602E-2</v>
      </c>
      <c r="D778" s="141"/>
    </row>
    <row r="779" spans="1:4" x14ac:dyDescent="0.2">
      <c r="A779" s="140" t="s">
        <v>1519</v>
      </c>
      <c r="B779" s="141">
        <v>1.6537295712395698E-2</v>
      </c>
      <c r="D779" s="141"/>
    </row>
    <row r="780" spans="1:4" x14ac:dyDescent="0.2">
      <c r="A780" s="140" t="s">
        <v>4110</v>
      </c>
      <c r="B780" s="141">
        <v>1.6507992995267201E-2</v>
      </c>
      <c r="D780" s="141"/>
    </row>
    <row r="781" spans="1:4" x14ac:dyDescent="0.2">
      <c r="A781" s="140" t="s">
        <v>6643</v>
      </c>
      <c r="B781" s="141">
        <v>1.6497254975637601E-2</v>
      </c>
      <c r="D781" s="141"/>
    </row>
    <row r="782" spans="1:4" x14ac:dyDescent="0.2">
      <c r="A782" s="140" t="s">
        <v>6644</v>
      </c>
      <c r="B782" s="141">
        <v>1.6495840523302201E-2</v>
      </c>
      <c r="D782" s="141"/>
    </row>
    <row r="783" spans="1:4" x14ac:dyDescent="0.2">
      <c r="A783" s="140" t="s">
        <v>677</v>
      </c>
      <c r="B783" s="141">
        <v>1.6495025063941501E-2</v>
      </c>
      <c r="D783" s="141"/>
    </row>
    <row r="784" spans="1:4" x14ac:dyDescent="0.2">
      <c r="A784" s="140" t="s">
        <v>3089</v>
      </c>
      <c r="B784" s="141">
        <v>1.64533393576662E-2</v>
      </c>
      <c r="D784" s="141"/>
    </row>
    <row r="785" spans="1:4" x14ac:dyDescent="0.2">
      <c r="A785" s="140" t="s">
        <v>5742</v>
      </c>
      <c r="B785" s="141">
        <v>1.6449811775611001E-2</v>
      </c>
      <c r="D785" s="141"/>
    </row>
    <row r="786" spans="1:4" x14ac:dyDescent="0.2">
      <c r="A786" s="140" t="s">
        <v>6645</v>
      </c>
      <c r="B786" s="141">
        <v>1.6408397430573599E-2</v>
      </c>
      <c r="D786" s="141"/>
    </row>
    <row r="787" spans="1:4" x14ac:dyDescent="0.2">
      <c r="A787" s="140" t="s">
        <v>2347</v>
      </c>
      <c r="B787" s="141">
        <v>1.6383188393052601E-2</v>
      </c>
      <c r="D787" s="141"/>
    </row>
    <row r="788" spans="1:4" x14ac:dyDescent="0.2">
      <c r="A788" s="140" t="s">
        <v>383</v>
      </c>
      <c r="B788" s="141">
        <v>1.6362897130398402E-2</v>
      </c>
      <c r="D788" s="141"/>
    </row>
    <row r="789" spans="1:4" x14ac:dyDescent="0.2">
      <c r="A789" s="140" t="s">
        <v>1414</v>
      </c>
      <c r="B789" s="141">
        <v>1.6359880646263401E-2</v>
      </c>
      <c r="D789" s="141"/>
    </row>
    <row r="790" spans="1:4" x14ac:dyDescent="0.2">
      <c r="A790" s="140" t="s">
        <v>2681</v>
      </c>
      <c r="B790" s="141">
        <v>1.63443454212597E-2</v>
      </c>
      <c r="D790" s="141"/>
    </row>
    <row r="791" spans="1:4" x14ac:dyDescent="0.2">
      <c r="A791" s="140" t="s">
        <v>2940</v>
      </c>
      <c r="B791" s="141">
        <v>1.6333759446949401E-2</v>
      </c>
      <c r="D791" s="141"/>
    </row>
    <row r="792" spans="1:4" x14ac:dyDescent="0.2">
      <c r="A792" s="140" t="s">
        <v>4746</v>
      </c>
      <c r="B792" s="141">
        <v>1.62951673631847E-2</v>
      </c>
      <c r="D792" s="141"/>
    </row>
    <row r="793" spans="1:4" x14ac:dyDescent="0.2">
      <c r="A793" s="140" t="s">
        <v>6646</v>
      </c>
      <c r="B793" s="141">
        <v>1.6253718224636799E-2</v>
      </c>
      <c r="D793" s="141"/>
    </row>
    <row r="794" spans="1:4" x14ac:dyDescent="0.2">
      <c r="A794" s="140" t="s">
        <v>2980</v>
      </c>
      <c r="B794" s="141">
        <v>1.6213030444027401E-2</v>
      </c>
      <c r="D794" s="141"/>
    </row>
    <row r="795" spans="1:4" x14ac:dyDescent="0.2">
      <c r="A795" s="140" t="s">
        <v>1388</v>
      </c>
      <c r="B795" s="141">
        <v>1.6184116397980002E-2</v>
      </c>
      <c r="D795" s="141"/>
    </row>
    <row r="796" spans="1:4" x14ac:dyDescent="0.2">
      <c r="A796" s="140" t="s">
        <v>4397</v>
      </c>
      <c r="B796" s="141">
        <v>1.61117675009919E-2</v>
      </c>
      <c r="D796" s="141"/>
    </row>
    <row r="797" spans="1:4" x14ac:dyDescent="0.2">
      <c r="A797" s="140" t="s">
        <v>4344</v>
      </c>
      <c r="B797" s="141">
        <v>1.60841845818228E-2</v>
      </c>
      <c r="D797" s="141"/>
    </row>
    <row r="798" spans="1:4" x14ac:dyDescent="0.2">
      <c r="A798" s="140" t="s">
        <v>2056</v>
      </c>
      <c r="B798" s="141">
        <v>1.60774153323693E-2</v>
      </c>
      <c r="D798" s="141"/>
    </row>
    <row r="799" spans="1:4" x14ac:dyDescent="0.2">
      <c r="A799" s="140" t="s">
        <v>4117</v>
      </c>
      <c r="B799" s="141">
        <v>1.6052560075486201E-2</v>
      </c>
      <c r="D799" s="141"/>
    </row>
    <row r="800" spans="1:4" x14ac:dyDescent="0.2">
      <c r="A800" s="140" t="s">
        <v>5669</v>
      </c>
      <c r="B800" s="141">
        <v>1.6028706531933199E-2</v>
      </c>
      <c r="D800" s="141"/>
    </row>
    <row r="801" spans="1:4" x14ac:dyDescent="0.2">
      <c r="A801" s="140" t="s">
        <v>6647</v>
      </c>
      <c r="B801" s="141">
        <v>1.6028706531933199E-2</v>
      </c>
      <c r="D801" s="141"/>
    </row>
    <row r="802" spans="1:4" x14ac:dyDescent="0.2">
      <c r="A802" s="140" t="s">
        <v>6648</v>
      </c>
      <c r="B802" s="141">
        <v>1.5975943506208099E-2</v>
      </c>
      <c r="D802" s="141"/>
    </row>
    <row r="803" spans="1:4" x14ac:dyDescent="0.2">
      <c r="A803" s="140" t="s">
        <v>5969</v>
      </c>
      <c r="B803" s="141">
        <v>1.5908968196665398E-2</v>
      </c>
      <c r="D803" s="141"/>
    </row>
    <row r="804" spans="1:4" x14ac:dyDescent="0.2">
      <c r="A804" s="140" t="s">
        <v>4152</v>
      </c>
      <c r="B804" s="141">
        <v>1.5899088855999E-2</v>
      </c>
      <c r="D804" s="141"/>
    </row>
    <row r="805" spans="1:4" x14ac:dyDescent="0.2">
      <c r="A805" s="140" t="s">
        <v>1739</v>
      </c>
      <c r="B805" s="141">
        <v>1.58844557979546E-2</v>
      </c>
      <c r="D805" s="141"/>
    </row>
    <row r="806" spans="1:4" x14ac:dyDescent="0.2">
      <c r="A806" s="140" t="s">
        <v>4028</v>
      </c>
      <c r="B806" s="141">
        <v>1.5846666022626001E-2</v>
      </c>
      <c r="D806" s="141"/>
    </row>
    <row r="807" spans="1:4" x14ac:dyDescent="0.2">
      <c r="A807" s="140" t="s">
        <v>2165</v>
      </c>
      <c r="B807" s="141">
        <v>1.57806523912206E-2</v>
      </c>
      <c r="D807" s="141"/>
    </row>
    <row r="808" spans="1:4" x14ac:dyDescent="0.2">
      <c r="A808" s="140" t="s">
        <v>4659</v>
      </c>
      <c r="B808" s="141">
        <v>1.5773248968442202E-2</v>
      </c>
      <c r="D808" s="141"/>
    </row>
    <row r="809" spans="1:4" x14ac:dyDescent="0.2">
      <c r="A809" s="140" t="s">
        <v>3039</v>
      </c>
      <c r="B809" s="141">
        <v>1.5731894791447699E-2</v>
      </c>
      <c r="D809" s="141"/>
    </row>
    <row r="810" spans="1:4" x14ac:dyDescent="0.2">
      <c r="A810" s="140" t="s">
        <v>3934</v>
      </c>
      <c r="B810" s="141">
        <v>1.57197095977477E-2</v>
      </c>
      <c r="D810" s="141"/>
    </row>
    <row r="811" spans="1:4" x14ac:dyDescent="0.2">
      <c r="A811" s="140" t="s">
        <v>2330</v>
      </c>
      <c r="B811" s="141">
        <v>1.57010249558284E-2</v>
      </c>
      <c r="D811" s="141"/>
    </row>
    <row r="812" spans="1:4" x14ac:dyDescent="0.2">
      <c r="A812" s="140" t="s">
        <v>4109</v>
      </c>
      <c r="B812" s="141">
        <v>1.56949157225874E-2</v>
      </c>
      <c r="D812" s="141"/>
    </row>
    <row r="813" spans="1:4" x14ac:dyDescent="0.2">
      <c r="A813" s="140" t="s">
        <v>6298</v>
      </c>
      <c r="B813" s="141">
        <v>1.5651163572453799E-2</v>
      </c>
      <c r="D813" s="141"/>
    </row>
    <row r="814" spans="1:4" x14ac:dyDescent="0.2">
      <c r="A814" s="140" t="s">
        <v>6649</v>
      </c>
      <c r="B814" s="141">
        <v>1.56219204116834E-2</v>
      </c>
      <c r="D814" s="141"/>
    </row>
    <row r="815" spans="1:4" x14ac:dyDescent="0.2">
      <c r="A815" s="140" t="s">
        <v>5627</v>
      </c>
      <c r="B815" s="141">
        <v>1.5612167219125299E-2</v>
      </c>
      <c r="D815" s="141"/>
    </row>
    <row r="816" spans="1:4" x14ac:dyDescent="0.2">
      <c r="A816" s="140" t="s">
        <v>5749</v>
      </c>
      <c r="B816" s="141">
        <v>1.5605490936372E-2</v>
      </c>
      <c r="D816" s="141"/>
    </row>
    <row r="817" spans="1:4" x14ac:dyDescent="0.2">
      <c r="A817" s="140" t="s">
        <v>2198</v>
      </c>
      <c r="B817" s="141">
        <v>1.5577895138948901E-2</v>
      </c>
      <c r="D817" s="141"/>
    </row>
    <row r="818" spans="1:4" x14ac:dyDescent="0.2">
      <c r="A818" s="140" t="s">
        <v>676</v>
      </c>
      <c r="B818" s="141">
        <v>1.55599097095898E-2</v>
      </c>
      <c r="D818" s="141"/>
    </row>
    <row r="819" spans="1:4" x14ac:dyDescent="0.2">
      <c r="A819" s="140" t="s">
        <v>6650</v>
      </c>
      <c r="B819" s="141">
        <v>1.55455908417114E-2</v>
      </c>
      <c r="D819" s="141"/>
    </row>
    <row r="820" spans="1:4" x14ac:dyDescent="0.2">
      <c r="A820" s="140" t="s">
        <v>5958</v>
      </c>
      <c r="B820" s="141">
        <v>1.5530041472195199E-2</v>
      </c>
      <c r="D820" s="141"/>
    </row>
    <row r="821" spans="1:4" x14ac:dyDescent="0.2">
      <c r="A821" s="140" t="s">
        <v>4467</v>
      </c>
      <c r="B821" s="141">
        <v>1.5501987528720999E-2</v>
      </c>
      <c r="D821" s="141"/>
    </row>
    <row r="822" spans="1:4" x14ac:dyDescent="0.2">
      <c r="A822" s="140" t="s">
        <v>6651</v>
      </c>
      <c r="B822" s="141">
        <v>1.5464550238541401E-2</v>
      </c>
      <c r="D822" s="141"/>
    </row>
    <row r="823" spans="1:4" x14ac:dyDescent="0.2">
      <c r="A823" s="140" t="s">
        <v>3628</v>
      </c>
      <c r="B823" s="141">
        <v>1.54420848104355E-2</v>
      </c>
      <c r="D823" s="141"/>
    </row>
    <row r="824" spans="1:4" x14ac:dyDescent="0.2">
      <c r="A824" s="140" t="s">
        <v>4002</v>
      </c>
      <c r="B824" s="141">
        <v>1.54414649706596E-2</v>
      </c>
      <c r="D824" s="141"/>
    </row>
    <row r="825" spans="1:4" x14ac:dyDescent="0.2">
      <c r="A825" s="140" t="s">
        <v>6652</v>
      </c>
      <c r="B825" s="141">
        <v>1.5403214404485799E-2</v>
      </c>
      <c r="D825" s="141"/>
    </row>
    <row r="826" spans="1:4" x14ac:dyDescent="0.2">
      <c r="A826" s="140" t="s">
        <v>6653</v>
      </c>
      <c r="B826" s="141">
        <v>1.5394072177867301E-2</v>
      </c>
      <c r="D826" s="141"/>
    </row>
    <row r="827" spans="1:4" x14ac:dyDescent="0.2">
      <c r="A827" s="140" t="s">
        <v>6654</v>
      </c>
      <c r="B827" s="141">
        <v>1.5394072177867301E-2</v>
      </c>
      <c r="D827" s="141"/>
    </row>
    <row r="828" spans="1:4" x14ac:dyDescent="0.2">
      <c r="A828" s="140" t="s">
        <v>6655</v>
      </c>
      <c r="B828" s="141">
        <v>1.5394072177867301E-2</v>
      </c>
      <c r="D828" s="141"/>
    </row>
    <row r="829" spans="1:4" x14ac:dyDescent="0.2">
      <c r="A829" s="140" t="s">
        <v>6656</v>
      </c>
      <c r="B829" s="141">
        <v>1.5394072177867301E-2</v>
      </c>
      <c r="D829" s="141"/>
    </row>
    <row r="830" spans="1:4" x14ac:dyDescent="0.2">
      <c r="A830" s="140" t="s">
        <v>6657</v>
      </c>
      <c r="B830" s="141">
        <v>1.5394072177867301E-2</v>
      </c>
      <c r="D830" s="141"/>
    </row>
    <row r="831" spans="1:4" x14ac:dyDescent="0.2">
      <c r="A831" s="140" t="s">
        <v>6658</v>
      </c>
      <c r="B831" s="141">
        <v>1.5394072177867301E-2</v>
      </c>
      <c r="D831" s="141"/>
    </row>
    <row r="832" spans="1:4" x14ac:dyDescent="0.2">
      <c r="A832" s="140" t="s">
        <v>642</v>
      </c>
      <c r="B832" s="141">
        <v>1.5378700621703999E-2</v>
      </c>
      <c r="D832" s="141"/>
    </row>
    <row r="833" spans="1:4" x14ac:dyDescent="0.2">
      <c r="A833" s="140" t="s">
        <v>6659</v>
      </c>
      <c r="B833" s="141">
        <v>1.5353357854021501E-2</v>
      </c>
      <c r="D833" s="141"/>
    </row>
    <row r="834" spans="1:4" x14ac:dyDescent="0.2">
      <c r="A834" s="140" t="s">
        <v>6660</v>
      </c>
      <c r="B834" s="141">
        <v>1.5344497212337899E-2</v>
      </c>
      <c r="D834" s="141"/>
    </row>
    <row r="835" spans="1:4" x14ac:dyDescent="0.2">
      <c r="A835" s="140" t="s">
        <v>6661</v>
      </c>
      <c r="B835" s="141">
        <v>1.5315124276349E-2</v>
      </c>
      <c r="D835" s="141"/>
    </row>
    <row r="836" spans="1:4" x14ac:dyDescent="0.2">
      <c r="A836" s="140" t="s">
        <v>6662</v>
      </c>
      <c r="B836" s="141">
        <v>1.5315124276349E-2</v>
      </c>
      <c r="D836" s="141"/>
    </row>
    <row r="837" spans="1:4" x14ac:dyDescent="0.2">
      <c r="A837" s="140" t="s">
        <v>6663</v>
      </c>
      <c r="B837" s="141">
        <v>1.5315124276349E-2</v>
      </c>
      <c r="D837" s="141"/>
    </row>
    <row r="838" spans="1:4" x14ac:dyDescent="0.2">
      <c r="A838" s="140" t="s">
        <v>6664</v>
      </c>
      <c r="B838" s="141">
        <v>1.5315124276349E-2</v>
      </c>
      <c r="D838" s="141"/>
    </row>
    <row r="839" spans="1:4" x14ac:dyDescent="0.2">
      <c r="A839" s="140" t="s">
        <v>6665</v>
      </c>
      <c r="B839" s="141">
        <v>1.5315124276349E-2</v>
      </c>
      <c r="D839" s="141"/>
    </row>
    <row r="840" spans="1:4" x14ac:dyDescent="0.2">
      <c r="A840" s="140" t="s">
        <v>6666</v>
      </c>
      <c r="B840" s="141">
        <v>1.5315124276349E-2</v>
      </c>
      <c r="D840" s="141"/>
    </row>
    <row r="841" spans="1:4" x14ac:dyDescent="0.2">
      <c r="A841" s="140" t="s">
        <v>6667</v>
      </c>
      <c r="B841" s="141">
        <v>1.5315124276349E-2</v>
      </c>
      <c r="D841" s="141"/>
    </row>
    <row r="842" spans="1:4" x14ac:dyDescent="0.2">
      <c r="A842" s="140" t="s">
        <v>6668</v>
      </c>
      <c r="B842" s="141">
        <v>1.5315124276349E-2</v>
      </c>
      <c r="D842" s="141"/>
    </row>
    <row r="843" spans="1:4" x14ac:dyDescent="0.2">
      <c r="A843" s="140" t="s">
        <v>6669</v>
      </c>
      <c r="B843" s="141">
        <v>1.5315124276349E-2</v>
      </c>
      <c r="D843" s="141"/>
    </row>
    <row r="844" spans="1:4" x14ac:dyDescent="0.2">
      <c r="A844" s="140" t="s">
        <v>6670</v>
      </c>
      <c r="B844" s="141">
        <v>1.5315124276349E-2</v>
      </c>
      <c r="D844" s="141"/>
    </row>
    <row r="845" spans="1:4" x14ac:dyDescent="0.2">
      <c r="A845" s="140" t="s">
        <v>6671</v>
      </c>
      <c r="B845" s="141">
        <v>1.5315124276349E-2</v>
      </c>
      <c r="D845" s="141"/>
    </row>
    <row r="846" spans="1:4" x14ac:dyDescent="0.2">
      <c r="A846" s="140" t="s">
        <v>6672</v>
      </c>
      <c r="B846" s="141">
        <v>1.5315124276349E-2</v>
      </c>
      <c r="D846" s="141"/>
    </row>
    <row r="847" spans="1:4" x14ac:dyDescent="0.2">
      <c r="A847" s="140" t="s">
        <v>5916</v>
      </c>
      <c r="B847" s="141">
        <v>1.5299515733382099E-2</v>
      </c>
      <c r="D847" s="141"/>
    </row>
    <row r="848" spans="1:4" x14ac:dyDescent="0.2">
      <c r="A848" s="140" t="s">
        <v>1023</v>
      </c>
      <c r="B848" s="141">
        <v>1.52760520976846E-2</v>
      </c>
      <c r="D848" s="141"/>
    </row>
    <row r="849" spans="1:4" x14ac:dyDescent="0.2">
      <c r="A849" s="140" t="s">
        <v>5123</v>
      </c>
      <c r="B849" s="141">
        <v>1.5272514479432101E-2</v>
      </c>
      <c r="D849" s="141"/>
    </row>
    <row r="850" spans="1:4" x14ac:dyDescent="0.2">
      <c r="A850" s="140" t="s">
        <v>6673</v>
      </c>
      <c r="B850" s="141">
        <v>1.5261831961722599E-2</v>
      </c>
      <c r="D850" s="141"/>
    </row>
    <row r="851" spans="1:4" x14ac:dyDescent="0.2">
      <c r="A851" s="140" t="s">
        <v>6674</v>
      </c>
      <c r="B851" s="141">
        <v>1.5259170761630299E-2</v>
      </c>
      <c r="D851" s="141"/>
    </row>
    <row r="852" spans="1:4" x14ac:dyDescent="0.2">
      <c r="A852" s="140" t="s">
        <v>2597</v>
      </c>
      <c r="B852" s="141">
        <v>1.52230874122671E-2</v>
      </c>
      <c r="D852" s="141"/>
    </row>
    <row r="853" spans="1:4" x14ac:dyDescent="0.2">
      <c r="A853" s="140" t="s">
        <v>4308</v>
      </c>
      <c r="B853" s="141">
        <v>1.5218951370152599E-2</v>
      </c>
      <c r="D853" s="141"/>
    </row>
    <row r="854" spans="1:4" x14ac:dyDescent="0.2">
      <c r="A854" s="140" t="s">
        <v>3759</v>
      </c>
      <c r="B854" s="141">
        <v>1.5178574724940301E-2</v>
      </c>
      <c r="D854" s="141"/>
    </row>
    <row r="855" spans="1:4" x14ac:dyDescent="0.2">
      <c r="A855" s="140" t="s">
        <v>5983</v>
      </c>
      <c r="B855" s="141">
        <v>1.51497375069171E-2</v>
      </c>
      <c r="D855" s="141"/>
    </row>
    <row r="856" spans="1:4" x14ac:dyDescent="0.2">
      <c r="A856" s="140" t="s">
        <v>4332</v>
      </c>
      <c r="B856" s="141">
        <v>1.5117121771704E-2</v>
      </c>
      <c r="D856" s="141"/>
    </row>
    <row r="857" spans="1:4" x14ac:dyDescent="0.2">
      <c r="A857" s="140" t="s">
        <v>6675</v>
      </c>
      <c r="B857" s="141">
        <v>1.5087169563230401E-2</v>
      </c>
      <c r="D857" s="141"/>
    </row>
    <row r="858" spans="1:4" x14ac:dyDescent="0.2">
      <c r="A858" s="140" t="s">
        <v>2707</v>
      </c>
      <c r="B858" s="141">
        <v>1.5064552039611601E-2</v>
      </c>
      <c r="D858" s="141"/>
    </row>
    <row r="859" spans="1:4" x14ac:dyDescent="0.2">
      <c r="A859" s="140" t="s">
        <v>5149</v>
      </c>
      <c r="B859" s="141">
        <v>1.4969367254328301E-2</v>
      </c>
      <c r="D859" s="141"/>
    </row>
    <row r="860" spans="1:4" x14ac:dyDescent="0.2">
      <c r="A860" s="140" t="s">
        <v>3712</v>
      </c>
      <c r="B860" s="141">
        <v>1.49121898627557E-2</v>
      </c>
      <c r="D860" s="141"/>
    </row>
    <row r="861" spans="1:4" x14ac:dyDescent="0.2">
      <c r="A861" s="140" t="s">
        <v>4986</v>
      </c>
      <c r="B861" s="141">
        <v>1.4909525911610899E-2</v>
      </c>
      <c r="D861" s="141"/>
    </row>
    <row r="862" spans="1:4" x14ac:dyDescent="0.2">
      <c r="A862" s="140" t="s">
        <v>2918</v>
      </c>
      <c r="B862" s="141">
        <v>1.4858852156622899E-2</v>
      </c>
      <c r="D862" s="141"/>
    </row>
    <row r="863" spans="1:4" x14ac:dyDescent="0.2">
      <c r="A863" s="140" t="s">
        <v>4596</v>
      </c>
      <c r="B863" s="141">
        <v>1.4830331354907101E-2</v>
      </c>
      <c r="D863" s="141"/>
    </row>
    <row r="864" spans="1:4" x14ac:dyDescent="0.2">
      <c r="A864" s="140" t="s">
        <v>6261</v>
      </c>
      <c r="B864" s="141">
        <v>1.48253526395899E-2</v>
      </c>
      <c r="D864" s="141"/>
    </row>
    <row r="865" spans="1:4" x14ac:dyDescent="0.2">
      <c r="A865" s="140" t="s">
        <v>2336</v>
      </c>
      <c r="B865" s="141">
        <v>1.4824044667303299E-2</v>
      </c>
      <c r="D865" s="141"/>
    </row>
    <row r="866" spans="1:4" x14ac:dyDescent="0.2">
      <c r="A866" s="140" t="s">
        <v>3982</v>
      </c>
      <c r="B866" s="141">
        <v>1.4788029850180399E-2</v>
      </c>
      <c r="D866" s="141"/>
    </row>
    <row r="867" spans="1:4" x14ac:dyDescent="0.2">
      <c r="A867" s="140" t="s">
        <v>2632</v>
      </c>
      <c r="B867" s="141">
        <v>1.47876827712086E-2</v>
      </c>
      <c r="D867" s="141"/>
    </row>
    <row r="868" spans="1:4" x14ac:dyDescent="0.2">
      <c r="A868" s="140" t="s">
        <v>402</v>
      </c>
      <c r="B868" s="141">
        <v>1.4771579407824399E-2</v>
      </c>
      <c r="D868" s="141"/>
    </row>
    <row r="869" spans="1:4" x14ac:dyDescent="0.2">
      <c r="A869" s="140" t="s">
        <v>4088</v>
      </c>
      <c r="B869" s="141">
        <v>1.47715752416911E-2</v>
      </c>
      <c r="D869" s="141"/>
    </row>
    <row r="870" spans="1:4" x14ac:dyDescent="0.2">
      <c r="A870" s="140" t="s">
        <v>5297</v>
      </c>
      <c r="B870" s="141">
        <v>1.4759190202992401E-2</v>
      </c>
      <c r="D870" s="141"/>
    </row>
    <row r="871" spans="1:4" x14ac:dyDescent="0.2">
      <c r="A871" s="140" t="s">
        <v>4756</v>
      </c>
      <c r="B871" s="141">
        <v>1.47437872300458E-2</v>
      </c>
      <c r="D871" s="141"/>
    </row>
    <row r="872" spans="1:4" x14ac:dyDescent="0.2">
      <c r="A872" s="140" t="s">
        <v>2039</v>
      </c>
      <c r="B872" s="141">
        <v>1.4743605588230501E-2</v>
      </c>
      <c r="D872" s="141"/>
    </row>
    <row r="873" spans="1:4" x14ac:dyDescent="0.2">
      <c r="A873" s="140" t="s">
        <v>6103</v>
      </c>
      <c r="B873" s="141">
        <v>1.4740363089550099E-2</v>
      </c>
      <c r="D873" s="141"/>
    </row>
    <row r="874" spans="1:4" x14ac:dyDescent="0.2">
      <c r="A874" s="140" t="s">
        <v>6676</v>
      </c>
      <c r="B874" s="141">
        <v>1.47235408348704E-2</v>
      </c>
      <c r="D874" s="141"/>
    </row>
    <row r="875" spans="1:4" x14ac:dyDescent="0.2">
      <c r="A875" s="140" t="s">
        <v>6677</v>
      </c>
      <c r="B875" s="141">
        <v>1.47235408348704E-2</v>
      </c>
      <c r="D875" s="141"/>
    </row>
    <row r="876" spans="1:4" x14ac:dyDescent="0.2">
      <c r="A876" s="140" t="s">
        <v>4180</v>
      </c>
      <c r="B876" s="141">
        <v>1.47235408348704E-2</v>
      </c>
      <c r="D876" s="141"/>
    </row>
    <row r="877" spans="1:4" x14ac:dyDescent="0.2">
      <c r="A877" s="140" t="s">
        <v>6678</v>
      </c>
      <c r="B877" s="141">
        <v>1.47235408348704E-2</v>
      </c>
      <c r="D877" s="141"/>
    </row>
    <row r="878" spans="1:4" x14ac:dyDescent="0.2">
      <c r="A878" s="140" t="s">
        <v>6679</v>
      </c>
      <c r="B878" s="141">
        <v>1.4717507101059599E-2</v>
      </c>
      <c r="D878" s="141"/>
    </row>
    <row r="879" spans="1:4" x14ac:dyDescent="0.2">
      <c r="A879" s="140" t="s">
        <v>1810</v>
      </c>
      <c r="B879" s="141">
        <v>1.46981308867728E-2</v>
      </c>
      <c r="D879" s="141"/>
    </row>
    <row r="880" spans="1:4" x14ac:dyDescent="0.2">
      <c r="A880" s="140" t="s">
        <v>4286</v>
      </c>
      <c r="B880" s="141">
        <v>1.46912359226636E-2</v>
      </c>
      <c r="D880" s="141"/>
    </row>
    <row r="881" spans="1:4" x14ac:dyDescent="0.2">
      <c r="A881" s="140" t="s">
        <v>3667</v>
      </c>
      <c r="B881" s="141">
        <v>1.4656181153107999E-2</v>
      </c>
      <c r="D881" s="141"/>
    </row>
    <row r="882" spans="1:4" x14ac:dyDescent="0.2">
      <c r="A882" s="140" t="s">
        <v>3882</v>
      </c>
      <c r="B882" s="141">
        <v>1.4648975249768501E-2</v>
      </c>
      <c r="D882" s="141"/>
    </row>
    <row r="883" spans="1:4" x14ac:dyDescent="0.2">
      <c r="A883" s="140" t="s">
        <v>5882</v>
      </c>
      <c r="B883" s="141">
        <v>1.4626150652262099E-2</v>
      </c>
      <c r="D883" s="141"/>
    </row>
    <row r="884" spans="1:4" x14ac:dyDescent="0.2">
      <c r="A884" s="140" t="s">
        <v>3071</v>
      </c>
      <c r="B884" s="141">
        <v>1.4591104364229101E-2</v>
      </c>
      <c r="D884" s="141"/>
    </row>
    <row r="885" spans="1:4" x14ac:dyDescent="0.2">
      <c r="A885" s="140" t="s">
        <v>6680</v>
      </c>
      <c r="B885" s="141">
        <v>1.45471059717956E-2</v>
      </c>
      <c r="D885" s="141"/>
    </row>
    <row r="886" spans="1:4" x14ac:dyDescent="0.2">
      <c r="A886" s="140" t="s">
        <v>3157</v>
      </c>
      <c r="B886" s="141">
        <v>1.45162955523233E-2</v>
      </c>
      <c r="D886" s="141"/>
    </row>
    <row r="887" spans="1:4" x14ac:dyDescent="0.2">
      <c r="A887" s="140" t="s">
        <v>1010</v>
      </c>
      <c r="B887" s="141">
        <v>1.4420281669277E-2</v>
      </c>
      <c r="D887" s="141"/>
    </row>
    <row r="888" spans="1:4" x14ac:dyDescent="0.2">
      <c r="A888" s="140" t="s">
        <v>2159</v>
      </c>
      <c r="B888" s="141">
        <v>1.44127904405626E-2</v>
      </c>
      <c r="D888" s="141"/>
    </row>
    <row r="889" spans="1:4" x14ac:dyDescent="0.2">
      <c r="A889" s="140" t="s">
        <v>3322</v>
      </c>
      <c r="B889" s="141">
        <v>1.43915852823275E-2</v>
      </c>
      <c r="D889" s="141"/>
    </row>
    <row r="890" spans="1:4" x14ac:dyDescent="0.2">
      <c r="A890" s="140" t="s">
        <v>2412</v>
      </c>
      <c r="B890" s="141">
        <v>1.43828730882576E-2</v>
      </c>
      <c r="D890" s="141"/>
    </row>
    <row r="891" spans="1:4" x14ac:dyDescent="0.2">
      <c r="A891" s="140" t="s">
        <v>6681</v>
      </c>
      <c r="B891" s="141">
        <v>1.4375332777527E-2</v>
      </c>
      <c r="D891" s="141"/>
    </row>
    <row r="892" spans="1:4" x14ac:dyDescent="0.2">
      <c r="A892" s="140" t="s">
        <v>6034</v>
      </c>
      <c r="B892" s="141">
        <v>1.4368123504529E-2</v>
      </c>
      <c r="D892" s="141"/>
    </row>
    <row r="893" spans="1:4" x14ac:dyDescent="0.2">
      <c r="A893" s="140" t="s">
        <v>792</v>
      </c>
      <c r="B893" s="141">
        <v>1.43254437306372E-2</v>
      </c>
      <c r="D893" s="141"/>
    </row>
    <row r="894" spans="1:4" x14ac:dyDescent="0.2">
      <c r="A894" s="140" t="s">
        <v>6043</v>
      </c>
      <c r="B894" s="141">
        <v>1.42728391222779E-2</v>
      </c>
      <c r="D894" s="141"/>
    </row>
    <row r="895" spans="1:4" x14ac:dyDescent="0.2">
      <c r="A895" s="140" t="s">
        <v>3339</v>
      </c>
      <c r="B895" s="141">
        <v>1.4262060224595099E-2</v>
      </c>
      <c r="D895" s="141"/>
    </row>
    <row r="896" spans="1:4" x14ac:dyDescent="0.2">
      <c r="A896" s="140" t="s">
        <v>6682</v>
      </c>
      <c r="B896" s="141">
        <v>1.42486863928663E-2</v>
      </c>
      <c r="D896" s="141"/>
    </row>
    <row r="897" spans="1:4" x14ac:dyDescent="0.2">
      <c r="A897" s="140" t="s">
        <v>6683</v>
      </c>
      <c r="B897" s="141">
        <v>1.42486863928663E-2</v>
      </c>
      <c r="D897" s="141"/>
    </row>
    <row r="898" spans="1:4" x14ac:dyDescent="0.2">
      <c r="A898" s="140" t="s">
        <v>6684</v>
      </c>
      <c r="B898" s="141">
        <v>1.42486863928663E-2</v>
      </c>
      <c r="D898" s="141"/>
    </row>
    <row r="899" spans="1:4" x14ac:dyDescent="0.2">
      <c r="A899" s="140" t="s">
        <v>6685</v>
      </c>
      <c r="B899" s="141">
        <v>1.42424483767911E-2</v>
      </c>
      <c r="D899" s="141"/>
    </row>
    <row r="900" spans="1:4" x14ac:dyDescent="0.2">
      <c r="A900" s="140" t="s">
        <v>4156</v>
      </c>
      <c r="B900" s="141">
        <v>1.4237290249697001E-2</v>
      </c>
      <c r="D900" s="141"/>
    </row>
    <row r="901" spans="1:4" x14ac:dyDescent="0.2">
      <c r="A901" s="140" t="s">
        <v>6686</v>
      </c>
      <c r="B901" s="141">
        <v>1.42270351079045E-2</v>
      </c>
      <c r="D901" s="141"/>
    </row>
    <row r="902" spans="1:4" x14ac:dyDescent="0.2">
      <c r="A902" s="140" t="s">
        <v>1463</v>
      </c>
      <c r="B902" s="141">
        <v>1.42179233411484E-2</v>
      </c>
      <c r="D902" s="141"/>
    </row>
    <row r="903" spans="1:4" x14ac:dyDescent="0.2">
      <c r="A903" s="140" t="s">
        <v>3484</v>
      </c>
      <c r="B903" s="141">
        <v>1.42006161635793E-2</v>
      </c>
      <c r="D903" s="141"/>
    </row>
    <row r="904" spans="1:4" x14ac:dyDescent="0.2">
      <c r="A904" s="140" t="s">
        <v>6687</v>
      </c>
      <c r="B904" s="141">
        <v>1.41728444513308E-2</v>
      </c>
      <c r="D904" s="141"/>
    </row>
    <row r="905" spans="1:4" x14ac:dyDescent="0.2">
      <c r="A905" s="140" t="s">
        <v>2705</v>
      </c>
      <c r="B905" s="141">
        <v>1.41348792915186E-2</v>
      </c>
      <c r="D905" s="141"/>
    </row>
    <row r="906" spans="1:4" x14ac:dyDescent="0.2">
      <c r="A906" s="140" t="s">
        <v>1128</v>
      </c>
      <c r="B906" s="141">
        <v>1.4115959740486199E-2</v>
      </c>
      <c r="D906" s="141"/>
    </row>
    <row r="907" spans="1:4" x14ac:dyDescent="0.2">
      <c r="A907" s="140" t="s">
        <v>5879</v>
      </c>
      <c r="B907" s="141">
        <v>1.40748216962539E-2</v>
      </c>
      <c r="D907" s="141"/>
    </row>
    <row r="908" spans="1:4" x14ac:dyDescent="0.2">
      <c r="A908" s="140" t="s">
        <v>2620</v>
      </c>
      <c r="B908" s="141">
        <v>1.40300680941266E-2</v>
      </c>
      <c r="D908" s="141"/>
    </row>
    <row r="909" spans="1:4" x14ac:dyDescent="0.2">
      <c r="A909" s="140" t="s">
        <v>4473</v>
      </c>
      <c r="B909" s="141">
        <v>1.4020885563374001E-2</v>
      </c>
      <c r="D909" s="141"/>
    </row>
    <row r="910" spans="1:4" x14ac:dyDescent="0.2">
      <c r="A910" s="140" t="s">
        <v>6688</v>
      </c>
      <c r="B910" s="141">
        <v>1.4019859332221499E-2</v>
      </c>
      <c r="D910" s="141"/>
    </row>
    <row r="911" spans="1:4" x14ac:dyDescent="0.2">
      <c r="A911" s="140" t="s">
        <v>2941</v>
      </c>
      <c r="B911" s="141">
        <v>1.39981091123942E-2</v>
      </c>
      <c r="D911" s="141"/>
    </row>
    <row r="912" spans="1:4" x14ac:dyDescent="0.2">
      <c r="A912" s="140" t="s">
        <v>6689</v>
      </c>
      <c r="B912" s="141">
        <v>1.39903481571879E-2</v>
      </c>
      <c r="D912" s="141"/>
    </row>
    <row r="913" spans="1:4" x14ac:dyDescent="0.2">
      <c r="A913" s="140" t="s">
        <v>3644</v>
      </c>
      <c r="B913" s="141">
        <v>1.3981431716746999E-2</v>
      </c>
      <c r="D913" s="141"/>
    </row>
    <row r="914" spans="1:4" x14ac:dyDescent="0.2">
      <c r="A914" s="140" t="s">
        <v>5904</v>
      </c>
      <c r="B914" s="141">
        <v>1.39458815465893E-2</v>
      </c>
      <c r="D914" s="141"/>
    </row>
    <row r="915" spans="1:4" x14ac:dyDescent="0.2">
      <c r="A915" s="140" t="s">
        <v>5107</v>
      </c>
      <c r="B915" s="141">
        <v>1.3944376169954E-2</v>
      </c>
      <c r="D915" s="141"/>
    </row>
    <row r="916" spans="1:4" x14ac:dyDescent="0.2">
      <c r="A916" s="140" t="s">
        <v>5397</v>
      </c>
      <c r="B916" s="141">
        <v>1.39074386442272E-2</v>
      </c>
      <c r="D916" s="141"/>
    </row>
    <row r="917" spans="1:4" x14ac:dyDescent="0.2">
      <c r="A917" s="140" t="s">
        <v>3515</v>
      </c>
      <c r="B917" s="141">
        <v>1.3887660918658401E-2</v>
      </c>
      <c r="D917" s="141"/>
    </row>
    <row r="918" spans="1:4" x14ac:dyDescent="0.2">
      <c r="A918" s="140" t="s">
        <v>2277</v>
      </c>
      <c r="B918" s="141">
        <v>1.3877966030777801E-2</v>
      </c>
      <c r="D918" s="141"/>
    </row>
    <row r="919" spans="1:4" x14ac:dyDescent="0.2">
      <c r="A919" s="140" t="s">
        <v>3546</v>
      </c>
      <c r="B919" s="141">
        <v>1.38745742667797E-2</v>
      </c>
      <c r="D919" s="141"/>
    </row>
    <row r="920" spans="1:4" x14ac:dyDescent="0.2">
      <c r="A920" s="140" t="s">
        <v>4994</v>
      </c>
      <c r="B920" s="141">
        <v>1.38699810446773E-2</v>
      </c>
      <c r="D920" s="141"/>
    </row>
    <row r="921" spans="1:4" x14ac:dyDescent="0.2">
      <c r="A921" s="140" t="s">
        <v>5563</v>
      </c>
      <c r="B921" s="141">
        <v>1.3860690077077501E-2</v>
      </c>
      <c r="D921" s="141"/>
    </row>
    <row r="922" spans="1:4" x14ac:dyDescent="0.2">
      <c r="A922" s="140" t="s">
        <v>4067</v>
      </c>
      <c r="B922" s="141">
        <v>1.38296523023748E-2</v>
      </c>
      <c r="D922" s="141"/>
    </row>
    <row r="923" spans="1:4" x14ac:dyDescent="0.2">
      <c r="A923" s="140" t="s">
        <v>1192</v>
      </c>
      <c r="B923" s="141">
        <v>1.3826457906539E-2</v>
      </c>
      <c r="D923" s="141"/>
    </row>
    <row r="924" spans="1:4" x14ac:dyDescent="0.2">
      <c r="A924" s="140" t="s">
        <v>3408</v>
      </c>
      <c r="B924" s="141">
        <v>1.377896863679E-2</v>
      </c>
      <c r="D924" s="141"/>
    </row>
    <row r="925" spans="1:4" x14ac:dyDescent="0.2">
      <c r="A925" s="140" t="s">
        <v>6119</v>
      </c>
      <c r="B925" s="141">
        <v>1.3724721254193301E-2</v>
      </c>
      <c r="D925" s="141"/>
    </row>
    <row r="926" spans="1:4" x14ac:dyDescent="0.2">
      <c r="A926" s="140" t="s">
        <v>5888</v>
      </c>
      <c r="B926" s="141">
        <v>1.37076738456398E-2</v>
      </c>
      <c r="D926" s="141"/>
    </row>
    <row r="927" spans="1:4" x14ac:dyDescent="0.2">
      <c r="A927" s="140" t="s">
        <v>6129</v>
      </c>
      <c r="B927" s="141">
        <v>1.37020965737552E-2</v>
      </c>
      <c r="D927" s="141"/>
    </row>
    <row r="928" spans="1:4" x14ac:dyDescent="0.2">
      <c r="A928" s="140" t="s">
        <v>5203</v>
      </c>
      <c r="B928" s="141">
        <v>1.3696322795612699E-2</v>
      </c>
      <c r="D928" s="141"/>
    </row>
    <row r="929" spans="1:4" x14ac:dyDescent="0.2">
      <c r="A929" s="140" t="s">
        <v>4035</v>
      </c>
      <c r="B929" s="141">
        <v>1.3679857394281099E-2</v>
      </c>
      <c r="D929" s="141"/>
    </row>
    <row r="930" spans="1:4" x14ac:dyDescent="0.2">
      <c r="A930" s="140" t="s">
        <v>2092</v>
      </c>
      <c r="B930" s="141">
        <v>1.36498823160761E-2</v>
      </c>
      <c r="D930" s="141"/>
    </row>
    <row r="931" spans="1:4" x14ac:dyDescent="0.2">
      <c r="A931" s="140" t="s">
        <v>4307</v>
      </c>
      <c r="B931" s="141">
        <v>1.3639703727758801E-2</v>
      </c>
      <c r="D931" s="141"/>
    </row>
    <row r="932" spans="1:4" x14ac:dyDescent="0.2">
      <c r="A932" s="140" t="s">
        <v>5881</v>
      </c>
      <c r="B932" s="141">
        <v>1.35857094809351E-2</v>
      </c>
      <c r="D932" s="141"/>
    </row>
    <row r="933" spans="1:4" x14ac:dyDescent="0.2">
      <c r="A933" s="140" t="s">
        <v>6690</v>
      </c>
      <c r="B933" s="141">
        <v>1.3571826478011801E-2</v>
      </c>
      <c r="D933" s="141"/>
    </row>
    <row r="934" spans="1:4" x14ac:dyDescent="0.2">
      <c r="A934" s="140" t="s">
        <v>3087</v>
      </c>
      <c r="B934" s="141">
        <v>1.35563550207049E-2</v>
      </c>
      <c r="D934" s="141"/>
    </row>
    <row r="935" spans="1:4" x14ac:dyDescent="0.2">
      <c r="A935" s="140" t="s">
        <v>2133</v>
      </c>
      <c r="B935" s="141">
        <v>1.35431261565438E-2</v>
      </c>
      <c r="D935" s="141"/>
    </row>
    <row r="936" spans="1:4" x14ac:dyDescent="0.2">
      <c r="A936" s="140" t="s">
        <v>6691</v>
      </c>
      <c r="B936" s="141">
        <v>1.3537744206509199E-2</v>
      </c>
      <c r="D936" s="141"/>
    </row>
    <row r="937" spans="1:4" x14ac:dyDescent="0.2">
      <c r="A937" s="140" t="s">
        <v>6692</v>
      </c>
      <c r="B937" s="141">
        <v>1.3537744206509199E-2</v>
      </c>
      <c r="D937" s="141"/>
    </row>
    <row r="938" spans="1:4" x14ac:dyDescent="0.2">
      <c r="A938" s="140" t="s">
        <v>6693</v>
      </c>
      <c r="B938" s="141">
        <v>1.3537744206509199E-2</v>
      </c>
      <c r="D938" s="141"/>
    </row>
    <row r="939" spans="1:4" x14ac:dyDescent="0.2">
      <c r="A939" s="140" t="s">
        <v>6694</v>
      </c>
      <c r="B939" s="141">
        <v>1.3537744206509199E-2</v>
      </c>
      <c r="D939" s="141"/>
    </row>
    <row r="940" spans="1:4" x14ac:dyDescent="0.2">
      <c r="A940" s="140" t="s">
        <v>3654</v>
      </c>
      <c r="B940" s="141">
        <v>1.35363417020325E-2</v>
      </c>
      <c r="D940" s="141"/>
    </row>
    <row r="941" spans="1:4" x14ac:dyDescent="0.2">
      <c r="A941" s="140" t="s">
        <v>6695</v>
      </c>
      <c r="B941" s="141">
        <v>1.35339649929965E-2</v>
      </c>
      <c r="D941" s="141"/>
    </row>
    <row r="942" spans="1:4" x14ac:dyDescent="0.2">
      <c r="A942" s="140" t="s">
        <v>5998</v>
      </c>
      <c r="B942" s="141">
        <v>1.3533609456598299E-2</v>
      </c>
      <c r="D942" s="141"/>
    </row>
    <row r="943" spans="1:4" x14ac:dyDescent="0.2">
      <c r="A943" s="140" t="s">
        <v>2641</v>
      </c>
      <c r="B943" s="141">
        <v>1.35317714181988E-2</v>
      </c>
      <c r="D943" s="141"/>
    </row>
    <row r="944" spans="1:4" x14ac:dyDescent="0.2">
      <c r="A944" s="140" t="s">
        <v>6696</v>
      </c>
      <c r="B944" s="141">
        <v>1.3528423080585E-2</v>
      </c>
      <c r="D944" s="141"/>
    </row>
    <row r="945" spans="1:4" x14ac:dyDescent="0.2">
      <c r="A945" s="140" t="s">
        <v>3237</v>
      </c>
      <c r="B945" s="141">
        <v>1.3520321322039701E-2</v>
      </c>
      <c r="D945" s="141"/>
    </row>
    <row r="946" spans="1:4" x14ac:dyDescent="0.2">
      <c r="A946" s="140" t="s">
        <v>5857</v>
      </c>
      <c r="B946" s="141">
        <v>1.35059180143228E-2</v>
      </c>
      <c r="D946" s="141"/>
    </row>
    <row r="947" spans="1:4" x14ac:dyDescent="0.2">
      <c r="A947" s="140" t="s">
        <v>4832</v>
      </c>
      <c r="B947" s="141">
        <v>1.3468067890294399E-2</v>
      </c>
      <c r="D947" s="141"/>
    </row>
    <row r="948" spans="1:4" x14ac:dyDescent="0.2">
      <c r="A948" s="140" t="s">
        <v>5929</v>
      </c>
      <c r="B948" s="141">
        <v>1.3411416602248E-2</v>
      </c>
      <c r="D948" s="141"/>
    </row>
    <row r="949" spans="1:4" x14ac:dyDescent="0.2">
      <c r="A949" s="140" t="s">
        <v>1421</v>
      </c>
      <c r="B949" s="141">
        <v>1.3377840256733199E-2</v>
      </c>
      <c r="D949" s="141"/>
    </row>
    <row r="950" spans="1:4" x14ac:dyDescent="0.2">
      <c r="A950" s="140" t="s">
        <v>3438</v>
      </c>
      <c r="B950" s="141">
        <v>1.33546872117088E-2</v>
      </c>
      <c r="D950" s="141"/>
    </row>
    <row r="951" spans="1:4" x14ac:dyDescent="0.2">
      <c r="A951" s="140" t="s">
        <v>4788</v>
      </c>
      <c r="B951" s="141">
        <v>1.3327115045396401E-2</v>
      </c>
      <c r="D951" s="141"/>
    </row>
    <row r="952" spans="1:4" x14ac:dyDescent="0.2">
      <c r="A952" s="140" t="s">
        <v>6697</v>
      </c>
      <c r="B952" s="141">
        <v>1.3327115045396401E-2</v>
      </c>
      <c r="D952" s="141"/>
    </row>
    <row r="953" spans="1:4" x14ac:dyDescent="0.2">
      <c r="A953" s="140" t="s">
        <v>6291</v>
      </c>
      <c r="B953" s="141">
        <v>1.3321221017366301E-2</v>
      </c>
      <c r="D953" s="141"/>
    </row>
    <row r="954" spans="1:4" x14ac:dyDescent="0.2">
      <c r="A954" s="140" t="s">
        <v>2868</v>
      </c>
      <c r="B954" s="141">
        <v>1.3316441485713801E-2</v>
      </c>
      <c r="D954" s="141"/>
    </row>
    <row r="955" spans="1:4" x14ac:dyDescent="0.2">
      <c r="A955" s="140" t="s">
        <v>5928</v>
      </c>
      <c r="B955" s="141">
        <v>1.33142902377752E-2</v>
      </c>
      <c r="D955" s="141"/>
    </row>
    <row r="956" spans="1:4" x14ac:dyDescent="0.2">
      <c r="A956" s="140" t="s">
        <v>5247</v>
      </c>
      <c r="B956" s="141">
        <v>1.3301685254707899E-2</v>
      </c>
      <c r="D956" s="141"/>
    </row>
    <row r="957" spans="1:4" x14ac:dyDescent="0.2">
      <c r="A957" s="140" t="s">
        <v>5695</v>
      </c>
      <c r="B957" s="141">
        <v>1.32952803113547E-2</v>
      </c>
      <c r="D957" s="141"/>
    </row>
    <row r="958" spans="1:4" x14ac:dyDescent="0.2">
      <c r="A958" s="140" t="s">
        <v>6698</v>
      </c>
      <c r="B958" s="141">
        <v>1.3272938988168601E-2</v>
      </c>
      <c r="D958" s="141"/>
    </row>
    <row r="959" spans="1:4" x14ac:dyDescent="0.2">
      <c r="A959" s="140" t="s">
        <v>6699</v>
      </c>
      <c r="B959" s="141">
        <v>1.32523734548386E-2</v>
      </c>
      <c r="D959" s="141"/>
    </row>
    <row r="960" spans="1:4" x14ac:dyDescent="0.2">
      <c r="A960" s="140" t="s">
        <v>6700</v>
      </c>
      <c r="B960" s="141">
        <v>1.32523734548386E-2</v>
      </c>
      <c r="D960" s="141"/>
    </row>
    <row r="961" spans="1:4" x14ac:dyDescent="0.2">
      <c r="A961" s="140" t="s">
        <v>6170</v>
      </c>
      <c r="B961" s="141">
        <v>1.31613935678805E-2</v>
      </c>
      <c r="D961" s="141"/>
    </row>
    <row r="962" spans="1:4" x14ac:dyDescent="0.2">
      <c r="A962" s="140" t="s">
        <v>5940</v>
      </c>
      <c r="B962" s="141">
        <v>1.3134517989951499E-2</v>
      </c>
      <c r="D962" s="141"/>
    </row>
    <row r="963" spans="1:4" x14ac:dyDescent="0.2">
      <c r="A963" s="140" t="s">
        <v>4816</v>
      </c>
      <c r="B963" s="141">
        <v>1.31244506984175E-2</v>
      </c>
      <c r="D963" s="141"/>
    </row>
    <row r="964" spans="1:4" x14ac:dyDescent="0.2">
      <c r="A964" s="140" t="s">
        <v>3142</v>
      </c>
      <c r="B964" s="141">
        <v>1.31209201910709E-2</v>
      </c>
      <c r="D964" s="141"/>
    </row>
    <row r="965" spans="1:4" x14ac:dyDescent="0.2">
      <c r="A965" s="140" t="s">
        <v>6701</v>
      </c>
      <c r="B965" s="141">
        <v>1.30963313522303E-2</v>
      </c>
      <c r="D965" s="141"/>
    </row>
    <row r="966" spans="1:4" x14ac:dyDescent="0.2">
      <c r="A966" s="140" t="s">
        <v>2134</v>
      </c>
      <c r="B966" s="141">
        <v>1.30961656529113E-2</v>
      </c>
      <c r="D966" s="141"/>
    </row>
    <row r="967" spans="1:4" x14ac:dyDescent="0.2">
      <c r="A967" s="140" t="s">
        <v>5500</v>
      </c>
      <c r="B967" s="141">
        <v>1.30961656529113E-2</v>
      </c>
      <c r="D967" s="141"/>
    </row>
    <row r="968" spans="1:4" x14ac:dyDescent="0.2">
      <c r="A968" s="140" t="s">
        <v>6702</v>
      </c>
      <c r="B968" s="141">
        <v>1.30961656529113E-2</v>
      </c>
      <c r="D968" s="141"/>
    </row>
    <row r="969" spans="1:4" x14ac:dyDescent="0.2">
      <c r="A969" s="140" t="s">
        <v>6703</v>
      </c>
      <c r="B969" s="141">
        <v>1.30961656529113E-2</v>
      </c>
      <c r="D969" s="141"/>
    </row>
    <row r="970" spans="1:4" x14ac:dyDescent="0.2">
      <c r="A970" s="140" t="s">
        <v>4892</v>
      </c>
      <c r="B970" s="141">
        <v>1.30918934990634E-2</v>
      </c>
      <c r="D970" s="141"/>
    </row>
    <row r="971" spans="1:4" x14ac:dyDescent="0.2">
      <c r="A971" s="140" t="s">
        <v>2526</v>
      </c>
      <c r="B971" s="141">
        <v>1.3056999048128E-2</v>
      </c>
      <c r="D971" s="141"/>
    </row>
    <row r="972" spans="1:4" x14ac:dyDescent="0.2">
      <c r="A972" s="140" t="s">
        <v>3219</v>
      </c>
      <c r="B972" s="141">
        <v>1.30515137001716E-2</v>
      </c>
      <c r="D972" s="141"/>
    </row>
    <row r="973" spans="1:4" x14ac:dyDescent="0.2">
      <c r="A973" s="140" t="s">
        <v>5551</v>
      </c>
      <c r="B973" s="141">
        <v>1.30337143608594E-2</v>
      </c>
      <c r="D973" s="141"/>
    </row>
    <row r="974" spans="1:4" x14ac:dyDescent="0.2">
      <c r="A974" s="140" t="s">
        <v>3049</v>
      </c>
      <c r="B974" s="141">
        <v>1.3026920167366E-2</v>
      </c>
      <c r="D974" s="141"/>
    </row>
    <row r="975" spans="1:4" x14ac:dyDescent="0.2">
      <c r="A975" s="140" t="s">
        <v>1814</v>
      </c>
      <c r="B975" s="141">
        <v>1.30240963538152E-2</v>
      </c>
      <c r="D975" s="141"/>
    </row>
    <row r="976" spans="1:4" x14ac:dyDescent="0.2">
      <c r="A976" s="140" t="s">
        <v>543</v>
      </c>
      <c r="B976" s="141">
        <v>1.3018063042893499E-2</v>
      </c>
      <c r="D976" s="141"/>
    </row>
    <row r="977" spans="1:4" x14ac:dyDescent="0.2">
      <c r="A977" s="140" t="s">
        <v>3965</v>
      </c>
      <c r="B977" s="141">
        <v>1.29985528231673E-2</v>
      </c>
      <c r="D977" s="141"/>
    </row>
    <row r="978" spans="1:4" x14ac:dyDescent="0.2">
      <c r="A978" s="140" t="s">
        <v>2447</v>
      </c>
      <c r="B978" s="141">
        <v>1.29982122009277E-2</v>
      </c>
      <c r="D978" s="141"/>
    </row>
    <row r="979" spans="1:4" x14ac:dyDescent="0.2">
      <c r="A979" s="140" t="s">
        <v>5479</v>
      </c>
      <c r="B979" s="141">
        <v>1.29868235468163E-2</v>
      </c>
      <c r="D979" s="141"/>
    </row>
    <row r="980" spans="1:4" x14ac:dyDescent="0.2">
      <c r="A980" s="140" t="s">
        <v>4875</v>
      </c>
      <c r="B980" s="141">
        <v>1.29282352358552E-2</v>
      </c>
      <c r="D980" s="141"/>
    </row>
    <row r="981" spans="1:4" x14ac:dyDescent="0.2">
      <c r="A981" s="140" t="s">
        <v>5883</v>
      </c>
      <c r="B981" s="141">
        <v>1.2923127459707799E-2</v>
      </c>
      <c r="D981" s="141"/>
    </row>
    <row r="982" spans="1:4" x14ac:dyDescent="0.2">
      <c r="A982" s="140" t="s">
        <v>6704</v>
      </c>
      <c r="B982" s="141">
        <v>1.29138845753159E-2</v>
      </c>
      <c r="D982" s="141"/>
    </row>
    <row r="983" spans="1:4" x14ac:dyDescent="0.2">
      <c r="A983" s="140" t="s">
        <v>4310</v>
      </c>
      <c r="B983" s="141">
        <v>1.29059736462968E-2</v>
      </c>
      <c r="D983" s="141"/>
    </row>
    <row r="984" spans="1:4" x14ac:dyDescent="0.2">
      <c r="A984" s="140" t="s">
        <v>5835</v>
      </c>
      <c r="B984" s="141">
        <v>1.28341690889789E-2</v>
      </c>
      <c r="D984" s="141"/>
    </row>
    <row r="985" spans="1:4" x14ac:dyDescent="0.2">
      <c r="A985" s="140" t="s">
        <v>3626</v>
      </c>
      <c r="B985" s="141">
        <v>1.2807956538484501E-2</v>
      </c>
      <c r="D985" s="141"/>
    </row>
    <row r="986" spans="1:4" x14ac:dyDescent="0.2">
      <c r="A986" s="140" t="s">
        <v>6705</v>
      </c>
      <c r="B986" s="141">
        <v>1.2763999447129901E-2</v>
      </c>
      <c r="D986" s="141"/>
    </row>
    <row r="987" spans="1:4" x14ac:dyDescent="0.2">
      <c r="A987" s="140" t="s">
        <v>4552</v>
      </c>
      <c r="B987" s="141">
        <v>1.2752170346537301E-2</v>
      </c>
      <c r="D987" s="141"/>
    </row>
    <row r="988" spans="1:4" x14ac:dyDescent="0.2">
      <c r="A988" s="140" t="s">
        <v>2703</v>
      </c>
      <c r="B988" s="141">
        <v>1.27506055079446E-2</v>
      </c>
      <c r="D988" s="141"/>
    </row>
    <row r="989" spans="1:4" x14ac:dyDescent="0.2">
      <c r="A989" s="140" t="s">
        <v>2461</v>
      </c>
      <c r="B989" s="141">
        <v>1.2742764546800499E-2</v>
      </c>
      <c r="D989" s="141"/>
    </row>
    <row r="990" spans="1:4" x14ac:dyDescent="0.2">
      <c r="A990" s="140" t="s">
        <v>4233</v>
      </c>
      <c r="B990" s="141">
        <v>1.27361211161304E-2</v>
      </c>
      <c r="D990" s="141"/>
    </row>
    <row r="991" spans="1:4" x14ac:dyDescent="0.2">
      <c r="A991" s="140" t="s">
        <v>2765</v>
      </c>
      <c r="B991" s="141">
        <v>1.27352674183318E-2</v>
      </c>
      <c r="D991" s="141"/>
    </row>
    <row r="992" spans="1:4" x14ac:dyDescent="0.2">
      <c r="A992" s="140" t="s">
        <v>4199</v>
      </c>
      <c r="B992" s="141">
        <v>1.27199216014535E-2</v>
      </c>
      <c r="D992" s="141"/>
    </row>
    <row r="993" spans="1:4" x14ac:dyDescent="0.2">
      <c r="A993" s="140" t="s">
        <v>3666</v>
      </c>
      <c r="B993" s="141">
        <v>1.2711914883567601E-2</v>
      </c>
      <c r="D993" s="141"/>
    </row>
    <row r="994" spans="1:4" x14ac:dyDescent="0.2">
      <c r="A994" s="140" t="s">
        <v>1170</v>
      </c>
      <c r="B994" s="141">
        <v>1.2694713935336799E-2</v>
      </c>
      <c r="D994" s="141"/>
    </row>
    <row r="995" spans="1:4" x14ac:dyDescent="0.2">
      <c r="A995" s="140" t="s">
        <v>3319</v>
      </c>
      <c r="B995" s="141">
        <v>1.26419607211198E-2</v>
      </c>
      <c r="D995" s="141"/>
    </row>
    <row r="996" spans="1:4" x14ac:dyDescent="0.2">
      <c r="A996" s="140" t="s">
        <v>1508</v>
      </c>
      <c r="B996" s="141">
        <v>1.26413950794749E-2</v>
      </c>
      <c r="D996" s="141"/>
    </row>
    <row r="997" spans="1:4" x14ac:dyDescent="0.2">
      <c r="A997" s="140" t="s">
        <v>6706</v>
      </c>
      <c r="B997" s="141">
        <v>1.26340108819681E-2</v>
      </c>
      <c r="D997" s="141"/>
    </row>
    <row r="998" spans="1:4" x14ac:dyDescent="0.2">
      <c r="A998" s="140" t="s">
        <v>2688</v>
      </c>
      <c r="B998" s="141">
        <v>1.26306832843486E-2</v>
      </c>
      <c r="D998" s="141"/>
    </row>
    <row r="999" spans="1:4" x14ac:dyDescent="0.2">
      <c r="A999" s="140" t="s">
        <v>1778</v>
      </c>
      <c r="B999" s="141">
        <v>1.26293450158126E-2</v>
      </c>
      <c r="D999" s="141"/>
    </row>
    <row r="1000" spans="1:4" x14ac:dyDescent="0.2">
      <c r="A1000" s="140" t="s">
        <v>1562</v>
      </c>
      <c r="B1000" s="141">
        <v>1.2600399524102799E-2</v>
      </c>
      <c r="D1000" s="141"/>
    </row>
    <row r="1001" spans="1:4" x14ac:dyDescent="0.2">
      <c r="A1001" s="140" t="s">
        <v>2293</v>
      </c>
      <c r="B1001" s="141">
        <v>1.2575975714776101E-2</v>
      </c>
      <c r="D1001" s="141"/>
    </row>
    <row r="1002" spans="1:4" x14ac:dyDescent="0.2">
      <c r="A1002" s="140" t="s">
        <v>4297</v>
      </c>
      <c r="B1002" s="141">
        <v>1.25428583502661E-2</v>
      </c>
      <c r="D1002" s="141"/>
    </row>
    <row r="1003" spans="1:4" x14ac:dyDescent="0.2">
      <c r="A1003" s="140" t="s">
        <v>2387</v>
      </c>
      <c r="B1003" s="141">
        <v>1.24449977034623E-2</v>
      </c>
      <c r="D1003" s="141"/>
    </row>
    <row r="1004" spans="1:4" x14ac:dyDescent="0.2">
      <c r="A1004" s="140" t="s">
        <v>6707</v>
      </c>
      <c r="B1004" s="141">
        <v>1.2410585319837599E-2</v>
      </c>
      <c r="D1004" s="141"/>
    </row>
    <row r="1005" spans="1:4" x14ac:dyDescent="0.2">
      <c r="A1005" s="140" t="s">
        <v>1491</v>
      </c>
      <c r="B1005" s="141">
        <v>1.24079596409749E-2</v>
      </c>
      <c r="D1005" s="141"/>
    </row>
    <row r="1006" spans="1:4" x14ac:dyDescent="0.2">
      <c r="A1006" s="140" t="s">
        <v>2222</v>
      </c>
      <c r="B1006" s="141">
        <v>1.2376392947465099E-2</v>
      </c>
      <c r="D1006" s="141"/>
    </row>
    <row r="1007" spans="1:4" x14ac:dyDescent="0.2">
      <c r="A1007" s="140" t="s">
        <v>5800</v>
      </c>
      <c r="B1007" s="141">
        <v>1.23663140631434E-2</v>
      </c>
      <c r="D1007" s="141"/>
    </row>
    <row r="1008" spans="1:4" x14ac:dyDescent="0.2">
      <c r="A1008" s="140" t="s">
        <v>1457</v>
      </c>
      <c r="B1008" s="141">
        <v>1.2356219344446801E-2</v>
      </c>
      <c r="D1008" s="141"/>
    </row>
    <row r="1009" spans="1:4" x14ac:dyDescent="0.2">
      <c r="A1009" s="140" t="s">
        <v>6708</v>
      </c>
      <c r="B1009" s="141">
        <v>1.23481632573868E-2</v>
      </c>
      <c r="D1009" s="141"/>
    </row>
    <row r="1010" spans="1:4" x14ac:dyDescent="0.2">
      <c r="A1010" s="140" t="s">
        <v>6085</v>
      </c>
      <c r="B1010" s="141">
        <v>1.23481632573868E-2</v>
      </c>
      <c r="D1010" s="141"/>
    </row>
    <row r="1011" spans="1:4" x14ac:dyDescent="0.2">
      <c r="A1011" s="140" t="s">
        <v>5980</v>
      </c>
      <c r="B1011" s="141">
        <v>1.23481632573868E-2</v>
      </c>
      <c r="D1011" s="141"/>
    </row>
    <row r="1012" spans="1:4" x14ac:dyDescent="0.2">
      <c r="A1012" s="140" t="s">
        <v>5809</v>
      </c>
      <c r="B1012" s="141">
        <v>1.23481632573868E-2</v>
      </c>
      <c r="D1012" s="141"/>
    </row>
    <row r="1013" spans="1:4" x14ac:dyDescent="0.2">
      <c r="A1013" s="140" t="s">
        <v>5722</v>
      </c>
      <c r="B1013" s="141">
        <v>1.23481632573868E-2</v>
      </c>
      <c r="D1013" s="141"/>
    </row>
    <row r="1014" spans="1:4" x14ac:dyDescent="0.2">
      <c r="A1014" s="140" t="s">
        <v>6709</v>
      </c>
      <c r="B1014" s="141">
        <v>1.23481632573868E-2</v>
      </c>
      <c r="D1014" s="141"/>
    </row>
    <row r="1015" spans="1:4" x14ac:dyDescent="0.2">
      <c r="A1015" s="140" t="s">
        <v>6710</v>
      </c>
      <c r="B1015" s="141">
        <v>1.23481632573868E-2</v>
      </c>
      <c r="D1015" s="141"/>
    </row>
    <row r="1016" spans="1:4" x14ac:dyDescent="0.2">
      <c r="A1016" s="140" t="s">
        <v>6711</v>
      </c>
      <c r="B1016" s="141">
        <v>1.23481632573868E-2</v>
      </c>
      <c r="D1016" s="141"/>
    </row>
    <row r="1017" spans="1:4" x14ac:dyDescent="0.2">
      <c r="A1017" s="140" t="s">
        <v>6712</v>
      </c>
      <c r="B1017" s="141">
        <v>1.23481632573868E-2</v>
      </c>
      <c r="D1017" s="141"/>
    </row>
    <row r="1018" spans="1:4" x14ac:dyDescent="0.2">
      <c r="A1018" s="140" t="s">
        <v>6713</v>
      </c>
      <c r="B1018" s="141">
        <v>1.23481632573868E-2</v>
      </c>
      <c r="D1018" s="141"/>
    </row>
    <row r="1019" spans="1:4" x14ac:dyDescent="0.2">
      <c r="A1019" s="140" t="s">
        <v>5435</v>
      </c>
      <c r="B1019" s="141">
        <v>1.23481632573868E-2</v>
      </c>
      <c r="D1019" s="141"/>
    </row>
    <row r="1020" spans="1:4" x14ac:dyDescent="0.2">
      <c r="A1020" s="140" t="s">
        <v>6714</v>
      </c>
      <c r="B1020" s="141">
        <v>1.23481632573868E-2</v>
      </c>
      <c r="D1020" s="141"/>
    </row>
    <row r="1021" spans="1:4" x14ac:dyDescent="0.2">
      <c r="A1021" s="140" t="s">
        <v>6715</v>
      </c>
      <c r="B1021" s="141">
        <v>1.23481632573868E-2</v>
      </c>
      <c r="D1021" s="141"/>
    </row>
    <row r="1022" spans="1:4" x14ac:dyDescent="0.2">
      <c r="A1022" s="140" t="s">
        <v>6716</v>
      </c>
      <c r="B1022" s="141">
        <v>1.23481632573868E-2</v>
      </c>
      <c r="D1022" s="141"/>
    </row>
    <row r="1023" spans="1:4" x14ac:dyDescent="0.2">
      <c r="A1023" s="140" t="s">
        <v>6717</v>
      </c>
      <c r="B1023" s="141">
        <v>1.23481632573868E-2</v>
      </c>
      <c r="D1023" s="141"/>
    </row>
    <row r="1024" spans="1:4" x14ac:dyDescent="0.2">
      <c r="A1024" s="140" t="s">
        <v>5270</v>
      </c>
      <c r="B1024" s="141">
        <v>1.23481632573868E-2</v>
      </c>
      <c r="D1024" s="141"/>
    </row>
    <row r="1025" spans="1:4" x14ac:dyDescent="0.2">
      <c r="A1025" s="140" t="s">
        <v>6718</v>
      </c>
      <c r="B1025" s="141">
        <v>1.23481632573868E-2</v>
      </c>
      <c r="D1025" s="141"/>
    </row>
    <row r="1026" spans="1:4" x14ac:dyDescent="0.2">
      <c r="A1026" s="140" t="s">
        <v>5129</v>
      </c>
      <c r="B1026" s="141">
        <v>1.23481632573868E-2</v>
      </c>
      <c r="D1026" s="141"/>
    </row>
    <row r="1027" spans="1:4" x14ac:dyDescent="0.2">
      <c r="A1027" s="140" t="s">
        <v>6719</v>
      </c>
      <c r="B1027" s="141">
        <v>1.23481632573868E-2</v>
      </c>
      <c r="D1027" s="141"/>
    </row>
    <row r="1028" spans="1:4" x14ac:dyDescent="0.2">
      <c r="A1028" s="140" t="s">
        <v>6720</v>
      </c>
      <c r="B1028" s="141">
        <v>1.23481632573868E-2</v>
      </c>
      <c r="D1028" s="141"/>
    </row>
    <row r="1029" spans="1:4" x14ac:dyDescent="0.2">
      <c r="A1029" s="140" t="s">
        <v>4943</v>
      </c>
      <c r="B1029" s="141">
        <v>1.23481632573868E-2</v>
      </c>
      <c r="D1029" s="141"/>
    </row>
    <row r="1030" spans="1:4" x14ac:dyDescent="0.2">
      <c r="A1030" s="140" t="s">
        <v>4873</v>
      </c>
      <c r="B1030" s="141">
        <v>1.23481632573868E-2</v>
      </c>
      <c r="D1030" s="141"/>
    </row>
    <row r="1031" spans="1:4" x14ac:dyDescent="0.2">
      <c r="A1031" s="140" t="s">
        <v>4790</v>
      </c>
      <c r="B1031" s="141">
        <v>1.23481632573868E-2</v>
      </c>
      <c r="D1031" s="141"/>
    </row>
    <row r="1032" spans="1:4" x14ac:dyDescent="0.2">
      <c r="A1032" s="140" t="s">
        <v>4678</v>
      </c>
      <c r="B1032" s="141">
        <v>1.23481632573868E-2</v>
      </c>
      <c r="D1032" s="141"/>
    </row>
    <row r="1033" spans="1:4" x14ac:dyDescent="0.2">
      <c r="A1033" s="140" t="s">
        <v>6721</v>
      </c>
      <c r="B1033" s="141">
        <v>1.23481632573868E-2</v>
      </c>
      <c r="D1033" s="141"/>
    </row>
    <row r="1034" spans="1:4" x14ac:dyDescent="0.2">
      <c r="A1034" s="140" t="s">
        <v>6722</v>
      </c>
      <c r="B1034" s="141">
        <v>1.23481632573868E-2</v>
      </c>
      <c r="D1034" s="141"/>
    </row>
    <row r="1035" spans="1:4" x14ac:dyDescent="0.2">
      <c r="A1035" s="140" t="s">
        <v>4520</v>
      </c>
      <c r="B1035" s="141">
        <v>1.23481632573868E-2</v>
      </c>
      <c r="D1035" s="141"/>
    </row>
    <row r="1036" spans="1:4" x14ac:dyDescent="0.2">
      <c r="A1036" s="140" t="s">
        <v>4511</v>
      </c>
      <c r="B1036" s="141">
        <v>1.23481632573868E-2</v>
      </c>
      <c r="D1036" s="141"/>
    </row>
    <row r="1037" spans="1:4" x14ac:dyDescent="0.2">
      <c r="A1037" s="140" t="s">
        <v>4355</v>
      </c>
      <c r="B1037" s="141">
        <v>1.23481632573868E-2</v>
      </c>
      <c r="D1037" s="141"/>
    </row>
    <row r="1038" spans="1:4" x14ac:dyDescent="0.2">
      <c r="A1038" s="140" t="s">
        <v>4348</v>
      </c>
      <c r="B1038" s="141">
        <v>1.23481632573868E-2</v>
      </c>
      <c r="D1038" s="141"/>
    </row>
    <row r="1039" spans="1:4" x14ac:dyDescent="0.2">
      <c r="A1039" s="140" t="s">
        <v>6723</v>
      </c>
      <c r="B1039" s="141">
        <v>1.23481632573868E-2</v>
      </c>
      <c r="D1039" s="141"/>
    </row>
    <row r="1040" spans="1:4" x14ac:dyDescent="0.2">
      <c r="A1040" s="140" t="s">
        <v>6724</v>
      </c>
      <c r="B1040" s="141">
        <v>1.23481632573868E-2</v>
      </c>
      <c r="D1040" s="141"/>
    </row>
    <row r="1041" spans="1:4" x14ac:dyDescent="0.2">
      <c r="A1041" s="140" t="s">
        <v>4119</v>
      </c>
      <c r="B1041" s="141">
        <v>1.23481632573868E-2</v>
      </c>
      <c r="D1041" s="141"/>
    </row>
    <row r="1042" spans="1:4" x14ac:dyDescent="0.2">
      <c r="A1042" s="140" t="s">
        <v>6725</v>
      </c>
      <c r="B1042" s="141">
        <v>1.23481632573868E-2</v>
      </c>
      <c r="D1042" s="141"/>
    </row>
    <row r="1043" spans="1:4" x14ac:dyDescent="0.2">
      <c r="A1043" s="140" t="s">
        <v>4054</v>
      </c>
      <c r="B1043" s="141">
        <v>1.23481632573868E-2</v>
      </c>
      <c r="D1043" s="141"/>
    </row>
    <row r="1044" spans="1:4" x14ac:dyDescent="0.2">
      <c r="A1044" s="140" t="s">
        <v>6726</v>
      </c>
      <c r="B1044" s="141">
        <v>1.23481632573868E-2</v>
      </c>
      <c r="D1044" s="141"/>
    </row>
    <row r="1045" spans="1:4" x14ac:dyDescent="0.2">
      <c r="A1045" s="140" t="s">
        <v>6727</v>
      </c>
      <c r="B1045" s="141">
        <v>1.23481632573868E-2</v>
      </c>
      <c r="D1045" s="141"/>
    </row>
    <row r="1046" spans="1:4" x14ac:dyDescent="0.2">
      <c r="A1046" s="140" t="s">
        <v>6728</v>
      </c>
      <c r="B1046" s="141">
        <v>1.23481632573868E-2</v>
      </c>
      <c r="D1046" s="141"/>
    </row>
    <row r="1047" spans="1:4" x14ac:dyDescent="0.2">
      <c r="A1047" s="140" t="s">
        <v>1758</v>
      </c>
      <c r="B1047" s="141">
        <v>1.23481632573868E-2</v>
      </c>
      <c r="D1047" s="141"/>
    </row>
    <row r="1048" spans="1:4" x14ac:dyDescent="0.2">
      <c r="A1048" s="140" t="s">
        <v>6729</v>
      </c>
      <c r="B1048" s="141">
        <v>1.23481632573868E-2</v>
      </c>
      <c r="D1048" s="141"/>
    </row>
    <row r="1049" spans="1:4" x14ac:dyDescent="0.2">
      <c r="A1049" s="140" t="s">
        <v>6730</v>
      </c>
      <c r="B1049" s="141">
        <v>1.23481632573868E-2</v>
      </c>
      <c r="D1049" s="141"/>
    </row>
    <row r="1050" spans="1:4" x14ac:dyDescent="0.2">
      <c r="A1050" s="140" t="s">
        <v>6731</v>
      </c>
      <c r="B1050" s="141">
        <v>1.23481632573868E-2</v>
      </c>
      <c r="D1050" s="141"/>
    </row>
    <row r="1051" spans="1:4" x14ac:dyDescent="0.2">
      <c r="A1051" s="140" t="s">
        <v>6732</v>
      </c>
      <c r="B1051" s="141">
        <v>1.23481632573868E-2</v>
      </c>
      <c r="D1051" s="141"/>
    </row>
    <row r="1052" spans="1:4" x14ac:dyDescent="0.2">
      <c r="A1052" s="140" t="s">
        <v>6733</v>
      </c>
      <c r="B1052" s="141">
        <v>1.23481632573868E-2</v>
      </c>
      <c r="D1052" s="141"/>
    </row>
    <row r="1053" spans="1:4" x14ac:dyDescent="0.2">
      <c r="A1053" s="140" t="s">
        <v>6734</v>
      </c>
      <c r="B1053" s="141">
        <v>1.23481632573868E-2</v>
      </c>
      <c r="D1053" s="141"/>
    </row>
    <row r="1054" spans="1:4" x14ac:dyDescent="0.2">
      <c r="A1054" s="140" t="s">
        <v>6735</v>
      </c>
      <c r="B1054" s="141">
        <v>1.23481632573868E-2</v>
      </c>
      <c r="D1054" s="141"/>
    </row>
    <row r="1055" spans="1:4" x14ac:dyDescent="0.2">
      <c r="A1055" s="140" t="s">
        <v>6736</v>
      </c>
      <c r="B1055" s="141">
        <v>1.23481632573868E-2</v>
      </c>
      <c r="D1055" s="141"/>
    </row>
    <row r="1056" spans="1:4" x14ac:dyDescent="0.2">
      <c r="A1056" s="140" t="s">
        <v>3854</v>
      </c>
      <c r="B1056" s="141">
        <v>1.23481632573868E-2</v>
      </c>
      <c r="D1056" s="141"/>
    </row>
    <row r="1057" spans="1:4" x14ac:dyDescent="0.2">
      <c r="A1057" s="140" t="s">
        <v>6737</v>
      </c>
      <c r="B1057" s="141">
        <v>1.23481632573868E-2</v>
      </c>
      <c r="D1057" s="141"/>
    </row>
    <row r="1058" spans="1:4" x14ac:dyDescent="0.2">
      <c r="A1058" s="140" t="s">
        <v>3810</v>
      </c>
      <c r="B1058" s="141">
        <v>1.23481632573868E-2</v>
      </c>
      <c r="D1058" s="141"/>
    </row>
    <row r="1059" spans="1:4" x14ac:dyDescent="0.2">
      <c r="A1059" s="140" t="s">
        <v>6738</v>
      </c>
      <c r="B1059" s="141">
        <v>1.23481632573868E-2</v>
      </c>
      <c r="D1059" s="141"/>
    </row>
    <row r="1060" spans="1:4" x14ac:dyDescent="0.2">
      <c r="A1060" s="140" t="s">
        <v>6739</v>
      </c>
      <c r="B1060" s="141">
        <v>1.23481632573868E-2</v>
      </c>
      <c r="D1060" s="141"/>
    </row>
    <row r="1061" spans="1:4" x14ac:dyDescent="0.2">
      <c r="A1061" s="140" t="s">
        <v>3722</v>
      </c>
      <c r="B1061" s="141">
        <v>1.23481632573868E-2</v>
      </c>
      <c r="D1061" s="141"/>
    </row>
    <row r="1062" spans="1:4" x14ac:dyDescent="0.2">
      <c r="A1062" s="140" t="s">
        <v>6740</v>
      </c>
      <c r="B1062" s="141">
        <v>1.23481632573868E-2</v>
      </c>
      <c r="D1062" s="141"/>
    </row>
    <row r="1063" spans="1:4" x14ac:dyDescent="0.2">
      <c r="A1063" s="140" t="s">
        <v>3638</v>
      </c>
      <c r="B1063" s="141">
        <v>1.23481632573868E-2</v>
      </c>
      <c r="D1063" s="141"/>
    </row>
    <row r="1064" spans="1:4" x14ac:dyDescent="0.2">
      <c r="A1064" s="140" t="s">
        <v>6741</v>
      </c>
      <c r="B1064" s="141">
        <v>1.23481632573868E-2</v>
      </c>
      <c r="D1064" s="141"/>
    </row>
    <row r="1065" spans="1:4" x14ac:dyDescent="0.2">
      <c r="A1065" s="140" t="s">
        <v>6742</v>
      </c>
      <c r="B1065" s="141">
        <v>1.23481632573868E-2</v>
      </c>
      <c r="D1065" s="141"/>
    </row>
    <row r="1066" spans="1:4" x14ac:dyDescent="0.2">
      <c r="A1066" s="140" t="s">
        <v>6743</v>
      </c>
      <c r="B1066" s="141">
        <v>1.23481632573868E-2</v>
      </c>
      <c r="D1066" s="141"/>
    </row>
    <row r="1067" spans="1:4" x14ac:dyDescent="0.2">
      <c r="A1067" s="140" t="s">
        <v>6744</v>
      </c>
      <c r="B1067" s="141">
        <v>1.23481632573868E-2</v>
      </c>
      <c r="D1067" s="141"/>
    </row>
    <row r="1068" spans="1:4" x14ac:dyDescent="0.2">
      <c r="A1068" s="140" t="s">
        <v>3476</v>
      </c>
      <c r="B1068" s="141">
        <v>1.23481632573868E-2</v>
      </c>
      <c r="D1068" s="141"/>
    </row>
    <row r="1069" spans="1:4" x14ac:dyDescent="0.2">
      <c r="A1069" s="140" t="s">
        <v>6745</v>
      </c>
      <c r="B1069" s="141">
        <v>1.23481632573868E-2</v>
      </c>
      <c r="D1069" s="141"/>
    </row>
    <row r="1070" spans="1:4" x14ac:dyDescent="0.2">
      <c r="A1070" s="140" t="s">
        <v>6746</v>
      </c>
      <c r="B1070" s="141">
        <v>1.23481632573868E-2</v>
      </c>
      <c r="D1070" s="141"/>
    </row>
    <row r="1071" spans="1:4" x14ac:dyDescent="0.2">
      <c r="A1071" s="140" t="s">
        <v>6747</v>
      </c>
      <c r="B1071" s="141">
        <v>1.23481632573868E-2</v>
      </c>
      <c r="D1071" s="141"/>
    </row>
    <row r="1072" spans="1:4" x14ac:dyDescent="0.2">
      <c r="A1072" s="140" t="s">
        <v>6748</v>
      </c>
      <c r="B1072" s="141">
        <v>1.23481632573868E-2</v>
      </c>
      <c r="D1072" s="141"/>
    </row>
    <row r="1073" spans="1:4" x14ac:dyDescent="0.2">
      <c r="A1073" s="140" t="s">
        <v>3413</v>
      </c>
      <c r="B1073" s="141">
        <v>1.23481632573868E-2</v>
      </c>
      <c r="D1073" s="141"/>
    </row>
    <row r="1074" spans="1:4" x14ac:dyDescent="0.2">
      <c r="A1074" s="140" t="s">
        <v>3325</v>
      </c>
      <c r="B1074" s="141">
        <v>1.23481632573868E-2</v>
      </c>
      <c r="D1074" s="141"/>
    </row>
    <row r="1075" spans="1:4" x14ac:dyDescent="0.2">
      <c r="A1075" s="140" t="s">
        <v>6749</v>
      </c>
      <c r="B1075" s="141">
        <v>1.23481632573868E-2</v>
      </c>
      <c r="D1075" s="141"/>
    </row>
    <row r="1076" spans="1:4" x14ac:dyDescent="0.2">
      <c r="A1076" s="140" t="s">
        <v>6750</v>
      </c>
      <c r="B1076" s="141">
        <v>1.23481632573868E-2</v>
      </c>
      <c r="D1076" s="141"/>
    </row>
    <row r="1077" spans="1:4" x14ac:dyDescent="0.2">
      <c r="A1077" s="140" t="s">
        <v>6751</v>
      </c>
      <c r="B1077" s="141">
        <v>1.23481632573868E-2</v>
      </c>
      <c r="D1077" s="141"/>
    </row>
    <row r="1078" spans="1:4" x14ac:dyDescent="0.2">
      <c r="A1078" s="140" t="s">
        <v>3308</v>
      </c>
      <c r="B1078" s="141">
        <v>1.23481632573868E-2</v>
      </c>
      <c r="D1078" s="141"/>
    </row>
    <row r="1079" spans="1:4" x14ac:dyDescent="0.2">
      <c r="A1079" s="140" t="s">
        <v>6752</v>
      </c>
      <c r="B1079" s="141">
        <v>1.23481632573868E-2</v>
      </c>
      <c r="D1079" s="141"/>
    </row>
    <row r="1080" spans="1:4" x14ac:dyDescent="0.2">
      <c r="A1080" s="140" t="s">
        <v>6753</v>
      </c>
      <c r="B1080" s="141">
        <v>1.23481632573868E-2</v>
      </c>
      <c r="D1080" s="141"/>
    </row>
    <row r="1081" spans="1:4" x14ac:dyDescent="0.2">
      <c r="A1081" s="140" t="s">
        <v>6754</v>
      </c>
      <c r="B1081" s="141">
        <v>1.23481632573868E-2</v>
      </c>
      <c r="D1081" s="141"/>
    </row>
    <row r="1082" spans="1:4" x14ac:dyDescent="0.2">
      <c r="A1082" s="140" t="s">
        <v>6755</v>
      </c>
      <c r="B1082" s="141">
        <v>1.23481632573868E-2</v>
      </c>
      <c r="D1082" s="141"/>
    </row>
    <row r="1083" spans="1:4" x14ac:dyDescent="0.2">
      <c r="A1083" s="140" t="s">
        <v>6756</v>
      </c>
      <c r="B1083" s="141">
        <v>1.23481632573868E-2</v>
      </c>
      <c r="D1083" s="141"/>
    </row>
    <row r="1084" spans="1:4" x14ac:dyDescent="0.2">
      <c r="A1084" s="140" t="s">
        <v>6757</v>
      </c>
      <c r="B1084" s="141">
        <v>1.23481632573868E-2</v>
      </c>
      <c r="D1084" s="141"/>
    </row>
    <row r="1085" spans="1:4" x14ac:dyDescent="0.2">
      <c r="A1085" s="140" t="s">
        <v>6758</v>
      </c>
      <c r="B1085" s="141">
        <v>1.23481632573868E-2</v>
      </c>
      <c r="D1085" s="141"/>
    </row>
    <row r="1086" spans="1:4" x14ac:dyDescent="0.2">
      <c r="A1086" s="140" t="s">
        <v>6759</v>
      </c>
      <c r="B1086" s="141">
        <v>1.23481632573868E-2</v>
      </c>
      <c r="D1086" s="141"/>
    </row>
    <row r="1087" spans="1:4" x14ac:dyDescent="0.2">
      <c r="A1087" s="140" t="s">
        <v>3227</v>
      </c>
      <c r="B1087" s="141">
        <v>1.23481632573868E-2</v>
      </c>
      <c r="D1087" s="141"/>
    </row>
    <row r="1088" spans="1:4" x14ac:dyDescent="0.2">
      <c r="A1088" s="140" t="s">
        <v>3216</v>
      </c>
      <c r="B1088" s="141">
        <v>1.23481632573868E-2</v>
      </c>
      <c r="D1088" s="141"/>
    </row>
    <row r="1089" spans="1:4" x14ac:dyDescent="0.2">
      <c r="A1089" s="140" t="s">
        <v>6760</v>
      </c>
      <c r="B1089" s="141">
        <v>1.23136719780336E-2</v>
      </c>
      <c r="D1089" s="141"/>
    </row>
    <row r="1090" spans="1:4" x14ac:dyDescent="0.2">
      <c r="A1090" s="140" t="s">
        <v>995</v>
      </c>
      <c r="B1090" s="141">
        <v>1.2299073102677201E-2</v>
      </c>
      <c r="D1090" s="141"/>
    </row>
    <row r="1091" spans="1:4" x14ac:dyDescent="0.2">
      <c r="A1091" s="140" t="s">
        <v>6761</v>
      </c>
      <c r="B1091" s="141">
        <v>1.2265732523820801E-2</v>
      </c>
      <c r="D1091" s="141"/>
    </row>
    <row r="1092" spans="1:4" x14ac:dyDescent="0.2">
      <c r="A1092" s="140" t="s">
        <v>2758</v>
      </c>
      <c r="B1092" s="141">
        <v>1.22501429605979E-2</v>
      </c>
      <c r="D1092" s="141"/>
    </row>
    <row r="1093" spans="1:4" x14ac:dyDescent="0.2">
      <c r="A1093" s="140" t="s">
        <v>3346</v>
      </c>
      <c r="B1093" s="141">
        <v>1.2246026161130401E-2</v>
      </c>
      <c r="D1093" s="141"/>
    </row>
    <row r="1094" spans="1:4" x14ac:dyDescent="0.2">
      <c r="A1094" s="140" t="s">
        <v>3954</v>
      </c>
      <c r="B1094" s="141">
        <v>1.22218604220471E-2</v>
      </c>
      <c r="D1094" s="141"/>
    </row>
    <row r="1095" spans="1:4" x14ac:dyDescent="0.2">
      <c r="A1095" s="140" t="s">
        <v>5268</v>
      </c>
      <c r="B1095" s="141">
        <v>1.2212884858592499E-2</v>
      </c>
      <c r="D1095" s="141"/>
    </row>
    <row r="1096" spans="1:4" x14ac:dyDescent="0.2">
      <c r="A1096" s="140" t="s">
        <v>3561</v>
      </c>
      <c r="B1096" s="141">
        <v>1.21455155437595E-2</v>
      </c>
      <c r="D1096" s="141"/>
    </row>
    <row r="1097" spans="1:4" x14ac:dyDescent="0.2">
      <c r="A1097" s="140" t="s">
        <v>6762</v>
      </c>
      <c r="B1097" s="141">
        <v>1.21440145227318E-2</v>
      </c>
      <c r="D1097" s="141"/>
    </row>
    <row r="1098" spans="1:4" x14ac:dyDescent="0.2">
      <c r="A1098" s="140" t="s">
        <v>5954</v>
      </c>
      <c r="B1098" s="141">
        <v>1.2137620960011E-2</v>
      </c>
      <c r="D1098" s="141"/>
    </row>
    <row r="1099" spans="1:4" x14ac:dyDescent="0.2">
      <c r="A1099" s="140" t="s">
        <v>2196</v>
      </c>
      <c r="B1099" s="141">
        <v>1.2122352374042199E-2</v>
      </c>
      <c r="D1099" s="141"/>
    </row>
    <row r="1100" spans="1:4" x14ac:dyDescent="0.2">
      <c r="A1100" s="140" t="s">
        <v>2122</v>
      </c>
      <c r="B1100" s="141">
        <v>1.21144720910946E-2</v>
      </c>
      <c r="D1100" s="141"/>
    </row>
    <row r="1101" spans="1:4" x14ac:dyDescent="0.2">
      <c r="A1101" s="140" t="s">
        <v>1471</v>
      </c>
      <c r="B1101" s="141">
        <v>1.2114232870004999E-2</v>
      </c>
      <c r="D1101" s="141"/>
    </row>
    <row r="1102" spans="1:4" x14ac:dyDescent="0.2">
      <c r="A1102" s="140" t="s">
        <v>2460</v>
      </c>
      <c r="B1102" s="141">
        <v>1.2109409760707001E-2</v>
      </c>
      <c r="D1102" s="141"/>
    </row>
    <row r="1103" spans="1:4" x14ac:dyDescent="0.2">
      <c r="A1103" s="140" t="s">
        <v>6116</v>
      </c>
      <c r="B1103" s="141">
        <v>1.21035167034165E-2</v>
      </c>
      <c r="D1103" s="141"/>
    </row>
    <row r="1104" spans="1:4" x14ac:dyDescent="0.2">
      <c r="A1104" s="140" t="s">
        <v>5720</v>
      </c>
      <c r="B1104" s="141">
        <v>1.2081803259891799E-2</v>
      </c>
      <c r="D1104" s="141"/>
    </row>
    <row r="1105" spans="1:4" x14ac:dyDescent="0.2">
      <c r="A1105" s="140" t="s">
        <v>5611</v>
      </c>
      <c r="B1105" s="141">
        <v>1.2081803259891799E-2</v>
      </c>
      <c r="D1105" s="141"/>
    </row>
    <row r="1106" spans="1:4" x14ac:dyDescent="0.2">
      <c r="A1106" s="140" t="s">
        <v>5305</v>
      </c>
      <c r="B1106" s="141">
        <v>1.2081803259891799E-2</v>
      </c>
      <c r="D1106" s="141"/>
    </row>
    <row r="1107" spans="1:4" x14ac:dyDescent="0.2">
      <c r="A1107" s="140" t="s">
        <v>4803</v>
      </c>
      <c r="B1107" s="141">
        <v>1.2081803259891799E-2</v>
      </c>
      <c r="D1107" s="141"/>
    </row>
    <row r="1108" spans="1:4" x14ac:dyDescent="0.2">
      <c r="A1108" s="140" t="s">
        <v>6763</v>
      </c>
      <c r="B1108" s="141">
        <v>1.2081803259891799E-2</v>
      </c>
      <c r="D1108" s="141"/>
    </row>
    <row r="1109" spans="1:4" x14ac:dyDescent="0.2">
      <c r="A1109" s="140" t="s">
        <v>732</v>
      </c>
      <c r="B1109" s="141">
        <v>1.20584107685641E-2</v>
      </c>
      <c r="D1109" s="141"/>
    </row>
    <row r="1110" spans="1:4" x14ac:dyDescent="0.2">
      <c r="A1110" s="140" t="s">
        <v>3482</v>
      </c>
      <c r="B1110" s="141">
        <v>1.20226180213719E-2</v>
      </c>
      <c r="D1110" s="141"/>
    </row>
    <row r="1111" spans="1:4" x14ac:dyDescent="0.2">
      <c r="A1111" s="140" t="s">
        <v>1783</v>
      </c>
      <c r="B1111" s="141">
        <v>1.2000507409788501E-2</v>
      </c>
      <c r="D1111" s="141"/>
    </row>
    <row r="1112" spans="1:4" x14ac:dyDescent="0.2">
      <c r="A1112" s="140" t="s">
        <v>6012</v>
      </c>
      <c r="B1112" s="141">
        <v>1.19886639719732E-2</v>
      </c>
      <c r="D1112" s="141"/>
    </row>
    <row r="1113" spans="1:4" x14ac:dyDescent="0.2">
      <c r="A1113" s="140" t="s">
        <v>3210</v>
      </c>
      <c r="B1113" s="141">
        <v>1.1978092902745201E-2</v>
      </c>
      <c r="D1113" s="141"/>
    </row>
    <row r="1114" spans="1:4" x14ac:dyDescent="0.2">
      <c r="A1114" s="140" t="s">
        <v>6077</v>
      </c>
      <c r="B1114" s="141">
        <v>1.1974838154448501E-2</v>
      </c>
      <c r="D1114" s="141"/>
    </row>
    <row r="1115" spans="1:4" x14ac:dyDescent="0.2">
      <c r="A1115" s="140" t="s">
        <v>2809</v>
      </c>
      <c r="B1115" s="141">
        <v>1.1966009078951E-2</v>
      </c>
      <c r="D1115" s="141"/>
    </row>
    <row r="1116" spans="1:4" x14ac:dyDescent="0.2">
      <c r="A1116" s="140" t="s">
        <v>5955</v>
      </c>
      <c r="B1116" s="141">
        <v>1.1950357580747299E-2</v>
      </c>
      <c r="D1116" s="141"/>
    </row>
    <row r="1117" spans="1:4" x14ac:dyDescent="0.2">
      <c r="A1117" s="140" t="s">
        <v>6764</v>
      </c>
      <c r="B1117" s="141">
        <v>1.1950357580747299E-2</v>
      </c>
      <c r="D1117" s="141"/>
    </row>
    <row r="1118" spans="1:4" x14ac:dyDescent="0.2">
      <c r="A1118" s="140" t="s">
        <v>6260</v>
      </c>
      <c r="B1118" s="141">
        <v>1.1950357580747299E-2</v>
      </c>
      <c r="D1118" s="141"/>
    </row>
    <row r="1119" spans="1:4" x14ac:dyDescent="0.2">
      <c r="A1119" s="140" t="s">
        <v>3983</v>
      </c>
      <c r="B1119" s="141">
        <v>1.18975046409411E-2</v>
      </c>
      <c r="D1119" s="141"/>
    </row>
    <row r="1120" spans="1:4" x14ac:dyDescent="0.2">
      <c r="A1120" s="140" t="s">
        <v>4623</v>
      </c>
      <c r="B1120" s="141">
        <v>1.18698306171358E-2</v>
      </c>
      <c r="D1120" s="141"/>
    </row>
    <row r="1121" spans="1:4" x14ac:dyDescent="0.2">
      <c r="A1121" s="140" t="s">
        <v>4175</v>
      </c>
      <c r="B1121" s="141">
        <v>1.1867077396722599E-2</v>
      </c>
      <c r="D1121" s="141"/>
    </row>
    <row r="1122" spans="1:4" x14ac:dyDescent="0.2">
      <c r="A1122" s="140" t="s">
        <v>4724</v>
      </c>
      <c r="B1122" s="141">
        <v>1.1816957460534599E-2</v>
      </c>
      <c r="D1122" s="141"/>
    </row>
    <row r="1123" spans="1:4" x14ac:dyDescent="0.2">
      <c r="A1123" s="140" t="s">
        <v>6765</v>
      </c>
      <c r="B1123" s="141">
        <v>1.18031872131922E-2</v>
      </c>
      <c r="D1123" s="141"/>
    </row>
    <row r="1124" spans="1:4" x14ac:dyDescent="0.2">
      <c r="A1124" s="140" t="s">
        <v>6766</v>
      </c>
      <c r="B1124" s="141">
        <v>1.18031872131922E-2</v>
      </c>
      <c r="D1124" s="141"/>
    </row>
    <row r="1125" spans="1:4" x14ac:dyDescent="0.2">
      <c r="A1125" s="140" t="s">
        <v>6767</v>
      </c>
      <c r="B1125" s="141">
        <v>1.18031872131922E-2</v>
      </c>
      <c r="D1125" s="141"/>
    </row>
    <row r="1126" spans="1:4" x14ac:dyDescent="0.2">
      <c r="A1126" s="140" t="s">
        <v>6768</v>
      </c>
      <c r="B1126" s="141">
        <v>1.18031872131922E-2</v>
      </c>
      <c r="D1126" s="141"/>
    </row>
    <row r="1127" spans="1:4" x14ac:dyDescent="0.2">
      <c r="A1127" s="140" t="s">
        <v>6769</v>
      </c>
      <c r="B1127" s="141">
        <v>1.18031872131922E-2</v>
      </c>
      <c r="D1127" s="141"/>
    </row>
    <row r="1128" spans="1:4" x14ac:dyDescent="0.2">
      <c r="A1128" s="140" t="s">
        <v>6770</v>
      </c>
      <c r="B1128" s="141">
        <v>1.18031872131922E-2</v>
      </c>
      <c r="D1128" s="141"/>
    </row>
    <row r="1129" spans="1:4" x14ac:dyDescent="0.2">
      <c r="A1129" s="140" t="s">
        <v>6771</v>
      </c>
      <c r="B1129" s="141">
        <v>1.18031872131922E-2</v>
      </c>
      <c r="D1129" s="141"/>
    </row>
    <row r="1130" spans="1:4" x14ac:dyDescent="0.2">
      <c r="A1130" s="140" t="s">
        <v>6772</v>
      </c>
      <c r="B1130" s="141">
        <v>1.18031872131922E-2</v>
      </c>
      <c r="D1130" s="141"/>
    </row>
    <row r="1131" spans="1:4" x14ac:dyDescent="0.2">
      <c r="A1131" s="140" t="s">
        <v>2830</v>
      </c>
      <c r="B1131" s="141">
        <v>1.1783500112122199E-2</v>
      </c>
      <c r="D1131" s="141"/>
    </row>
    <row r="1132" spans="1:4" x14ac:dyDescent="0.2">
      <c r="A1132" s="140" t="s">
        <v>6773</v>
      </c>
      <c r="B1132" s="141">
        <v>1.1775707726658599E-2</v>
      </c>
      <c r="D1132" s="141"/>
    </row>
    <row r="1133" spans="1:4" x14ac:dyDescent="0.2">
      <c r="A1133" s="140" t="s">
        <v>2197</v>
      </c>
      <c r="B1133" s="141">
        <v>1.1706595207521899E-2</v>
      </c>
      <c r="D1133" s="141"/>
    </row>
    <row r="1134" spans="1:4" x14ac:dyDescent="0.2">
      <c r="A1134" s="140" t="s">
        <v>4991</v>
      </c>
      <c r="B1134" s="141">
        <v>1.1652033680468099E-2</v>
      </c>
      <c r="D1134" s="141"/>
    </row>
    <row r="1135" spans="1:4" x14ac:dyDescent="0.2">
      <c r="A1135" s="140" t="s">
        <v>6774</v>
      </c>
      <c r="B1135" s="141">
        <v>1.16062055009913E-2</v>
      </c>
      <c r="D1135" s="141"/>
    </row>
    <row r="1136" spans="1:4" x14ac:dyDescent="0.2">
      <c r="A1136" s="140" t="s">
        <v>1392</v>
      </c>
      <c r="B1136" s="141">
        <v>1.1594649071174501E-2</v>
      </c>
      <c r="D1136" s="141"/>
    </row>
    <row r="1137" spans="1:4" x14ac:dyDescent="0.2">
      <c r="A1137" s="140" t="s">
        <v>3020</v>
      </c>
      <c r="B1137" s="141">
        <v>1.1565398937098599E-2</v>
      </c>
      <c r="D1137" s="141"/>
    </row>
    <row r="1138" spans="1:4" x14ac:dyDescent="0.2">
      <c r="A1138" s="140" t="s">
        <v>5982</v>
      </c>
      <c r="B1138" s="141">
        <v>1.1560353963587001E-2</v>
      </c>
      <c r="D1138" s="141"/>
    </row>
    <row r="1139" spans="1:4" x14ac:dyDescent="0.2">
      <c r="A1139" s="140" t="s">
        <v>4093</v>
      </c>
      <c r="B1139" s="141">
        <v>1.15549624758002E-2</v>
      </c>
      <c r="D1139" s="141"/>
    </row>
    <row r="1140" spans="1:4" x14ac:dyDescent="0.2">
      <c r="A1140" s="140" t="s">
        <v>5481</v>
      </c>
      <c r="B1140" s="141">
        <v>1.1477291531428201E-2</v>
      </c>
      <c r="D1140" s="141"/>
    </row>
    <row r="1141" spans="1:4" x14ac:dyDescent="0.2">
      <c r="A1141" s="140" t="s">
        <v>4137</v>
      </c>
      <c r="B1141" s="141">
        <v>1.1464981061843699E-2</v>
      </c>
      <c r="D1141" s="141"/>
    </row>
    <row r="1142" spans="1:4" x14ac:dyDescent="0.2">
      <c r="A1142" s="140" t="s">
        <v>6775</v>
      </c>
      <c r="B1142" s="141">
        <v>1.14495679232421E-2</v>
      </c>
      <c r="D1142" s="141"/>
    </row>
    <row r="1143" spans="1:4" x14ac:dyDescent="0.2">
      <c r="A1143" s="140" t="s">
        <v>3790</v>
      </c>
      <c r="B1143" s="141">
        <v>1.1447202790457901E-2</v>
      </c>
      <c r="D1143" s="141"/>
    </row>
    <row r="1144" spans="1:4" x14ac:dyDescent="0.2">
      <c r="A1144" s="140" t="s">
        <v>2589</v>
      </c>
      <c r="B1144" s="141">
        <v>1.1433689952256401E-2</v>
      </c>
      <c r="D1144" s="141"/>
    </row>
    <row r="1145" spans="1:4" x14ac:dyDescent="0.2">
      <c r="A1145" s="140" t="s">
        <v>4641</v>
      </c>
      <c r="B1145" s="141">
        <v>1.14126525845057E-2</v>
      </c>
      <c r="D1145" s="141"/>
    </row>
    <row r="1146" spans="1:4" x14ac:dyDescent="0.2">
      <c r="A1146" s="140" t="s">
        <v>1765</v>
      </c>
      <c r="B1146" s="141">
        <v>1.1405220952532999E-2</v>
      </c>
      <c r="D1146" s="141"/>
    </row>
    <row r="1147" spans="1:4" x14ac:dyDescent="0.2">
      <c r="A1147" s="140" t="s">
        <v>5272</v>
      </c>
      <c r="B1147" s="141">
        <v>1.13935120536346E-2</v>
      </c>
      <c r="D1147" s="141"/>
    </row>
    <row r="1148" spans="1:4" x14ac:dyDescent="0.2">
      <c r="A1148" s="140" t="s">
        <v>2961</v>
      </c>
      <c r="B1148" s="141">
        <v>1.1391014999523901E-2</v>
      </c>
      <c r="D1148" s="141"/>
    </row>
    <row r="1149" spans="1:4" x14ac:dyDescent="0.2">
      <c r="A1149" s="140" t="s">
        <v>1442</v>
      </c>
      <c r="B1149" s="141">
        <v>1.1382900707244299E-2</v>
      </c>
      <c r="D1149" s="141"/>
    </row>
    <row r="1150" spans="1:4" x14ac:dyDescent="0.2">
      <c r="A1150" s="140" t="s">
        <v>2230</v>
      </c>
      <c r="B1150" s="141">
        <v>1.13815025748298E-2</v>
      </c>
      <c r="D1150" s="141"/>
    </row>
    <row r="1151" spans="1:4" x14ac:dyDescent="0.2">
      <c r="A1151" s="140" t="s">
        <v>6171</v>
      </c>
      <c r="B1151" s="141">
        <v>1.13800902418055E-2</v>
      </c>
      <c r="D1151" s="141"/>
    </row>
    <row r="1152" spans="1:4" x14ac:dyDescent="0.2">
      <c r="A1152" s="140" t="s">
        <v>6102</v>
      </c>
      <c r="B1152" s="141">
        <v>1.13703081781032E-2</v>
      </c>
      <c r="D1152" s="141"/>
    </row>
    <row r="1153" spans="1:4" x14ac:dyDescent="0.2">
      <c r="A1153" s="140" t="s">
        <v>2428</v>
      </c>
      <c r="B1153" s="141">
        <v>1.13587481828173E-2</v>
      </c>
      <c r="D1153" s="141"/>
    </row>
    <row r="1154" spans="1:4" x14ac:dyDescent="0.2">
      <c r="A1154" s="140" t="s">
        <v>3710</v>
      </c>
      <c r="B1154" s="141">
        <v>1.13291542472718E-2</v>
      </c>
      <c r="D1154" s="141"/>
    </row>
    <row r="1155" spans="1:4" x14ac:dyDescent="0.2">
      <c r="A1155" s="140" t="s">
        <v>2431</v>
      </c>
      <c r="B1155" s="141">
        <v>1.13174960005589E-2</v>
      </c>
      <c r="D1155" s="141"/>
    </row>
    <row r="1156" spans="1:4" x14ac:dyDescent="0.2">
      <c r="A1156" s="140" t="s">
        <v>6776</v>
      </c>
      <c r="B1156" s="141">
        <v>1.1302835065021799E-2</v>
      </c>
      <c r="D1156" s="141"/>
    </row>
    <row r="1157" spans="1:4" x14ac:dyDescent="0.2">
      <c r="A1157" s="140" t="s">
        <v>6777</v>
      </c>
      <c r="B1157" s="141">
        <v>1.1290485121997601E-2</v>
      </c>
      <c r="D1157" s="141"/>
    </row>
    <row r="1158" spans="1:4" x14ac:dyDescent="0.2">
      <c r="A1158" s="140" t="s">
        <v>2583</v>
      </c>
      <c r="B1158" s="141">
        <v>1.1273975209976399E-2</v>
      </c>
      <c r="D1158" s="141"/>
    </row>
    <row r="1159" spans="1:4" x14ac:dyDescent="0.2">
      <c r="A1159" s="140" t="s">
        <v>2499</v>
      </c>
      <c r="B1159" s="141">
        <v>1.12694459165601E-2</v>
      </c>
      <c r="D1159" s="141"/>
    </row>
    <row r="1160" spans="1:4" x14ac:dyDescent="0.2">
      <c r="A1160" s="140" t="s">
        <v>2822</v>
      </c>
      <c r="B1160" s="141">
        <v>1.1230634303955499E-2</v>
      </c>
      <c r="D1160" s="141"/>
    </row>
    <row r="1161" spans="1:4" x14ac:dyDescent="0.2">
      <c r="A1161" s="140" t="s">
        <v>5701</v>
      </c>
      <c r="B1161" s="141">
        <v>1.12215422130064E-2</v>
      </c>
      <c r="D1161" s="141"/>
    </row>
    <row r="1162" spans="1:4" x14ac:dyDescent="0.2">
      <c r="A1162" s="140" t="s">
        <v>834</v>
      </c>
      <c r="B1162" s="141">
        <v>1.12101474381987E-2</v>
      </c>
      <c r="D1162" s="141"/>
    </row>
    <row r="1163" spans="1:4" x14ac:dyDescent="0.2">
      <c r="A1163" s="140" t="s">
        <v>1426</v>
      </c>
      <c r="B1163" s="141">
        <v>1.1208122101875301E-2</v>
      </c>
      <c r="D1163" s="141"/>
    </row>
    <row r="1164" spans="1:4" x14ac:dyDescent="0.2">
      <c r="A1164" s="140" t="s">
        <v>4178</v>
      </c>
      <c r="B1164" s="141">
        <v>1.11645816742489E-2</v>
      </c>
      <c r="D1164" s="141"/>
    </row>
    <row r="1165" spans="1:4" x14ac:dyDescent="0.2">
      <c r="A1165" s="140" t="s">
        <v>4354</v>
      </c>
      <c r="B1165" s="141">
        <v>1.1147056105729299E-2</v>
      </c>
      <c r="D1165" s="141"/>
    </row>
    <row r="1166" spans="1:4" x14ac:dyDescent="0.2">
      <c r="A1166" s="140" t="s">
        <v>3847</v>
      </c>
      <c r="B1166" s="141">
        <v>1.1136541678714799E-2</v>
      </c>
      <c r="D1166" s="141"/>
    </row>
    <row r="1167" spans="1:4" x14ac:dyDescent="0.2">
      <c r="A1167" s="140" t="s">
        <v>5367</v>
      </c>
      <c r="B1167" s="141">
        <v>1.11123945858782E-2</v>
      </c>
      <c r="D1167" s="141"/>
    </row>
    <row r="1168" spans="1:4" x14ac:dyDescent="0.2">
      <c r="A1168" s="140" t="s">
        <v>6778</v>
      </c>
      <c r="B1168" s="141">
        <v>1.1110521555760301E-2</v>
      </c>
      <c r="D1168" s="141"/>
    </row>
    <row r="1169" spans="1:4" x14ac:dyDescent="0.2">
      <c r="A1169" s="140" t="s">
        <v>3583</v>
      </c>
      <c r="B1169" s="141">
        <v>1.1097013319941401E-2</v>
      </c>
      <c r="D1169" s="141"/>
    </row>
    <row r="1170" spans="1:4" x14ac:dyDescent="0.2">
      <c r="A1170" s="140" t="s">
        <v>3897</v>
      </c>
      <c r="B1170" s="141">
        <v>1.1073624060244799E-2</v>
      </c>
      <c r="D1170" s="141"/>
    </row>
    <row r="1171" spans="1:4" x14ac:dyDescent="0.2">
      <c r="A1171" s="140" t="s">
        <v>6277</v>
      </c>
      <c r="B1171" s="141">
        <v>1.10714021219942E-2</v>
      </c>
      <c r="D1171" s="141"/>
    </row>
    <row r="1172" spans="1:4" x14ac:dyDescent="0.2">
      <c r="A1172" s="140" t="s">
        <v>1588</v>
      </c>
      <c r="B1172" s="141">
        <v>1.1020707833739299E-2</v>
      </c>
      <c r="D1172" s="141"/>
    </row>
    <row r="1173" spans="1:4" x14ac:dyDescent="0.2">
      <c r="A1173" s="140" t="s">
        <v>1160</v>
      </c>
      <c r="B1173" s="141">
        <v>1.1011541078475901E-2</v>
      </c>
      <c r="D1173" s="141"/>
    </row>
    <row r="1174" spans="1:4" x14ac:dyDescent="0.2">
      <c r="A1174" s="140" t="s">
        <v>5536</v>
      </c>
      <c r="B1174" s="141">
        <v>1.0975245202570601E-2</v>
      </c>
      <c r="D1174" s="141"/>
    </row>
    <row r="1175" spans="1:4" x14ac:dyDescent="0.2">
      <c r="A1175" s="140" t="s">
        <v>2610</v>
      </c>
      <c r="B1175" s="141">
        <v>1.09168287720099E-2</v>
      </c>
      <c r="D1175" s="141"/>
    </row>
    <row r="1176" spans="1:4" x14ac:dyDescent="0.2">
      <c r="A1176" s="140" t="s">
        <v>2658</v>
      </c>
      <c r="B1176" s="141">
        <v>1.0907713924391301E-2</v>
      </c>
      <c r="D1176" s="141"/>
    </row>
    <row r="1177" spans="1:4" x14ac:dyDescent="0.2">
      <c r="A1177" s="140" t="s">
        <v>3276</v>
      </c>
      <c r="B1177" s="141">
        <v>1.09044074761029E-2</v>
      </c>
      <c r="D1177" s="141"/>
    </row>
    <row r="1178" spans="1:4" x14ac:dyDescent="0.2">
      <c r="A1178" s="140" t="s">
        <v>6109</v>
      </c>
      <c r="B1178" s="141">
        <v>1.0884622963826199E-2</v>
      </c>
      <c r="D1178" s="141"/>
    </row>
    <row r="1179" spans="1:4" x14ac:dyDescent="0.2">
      <c r="A1179" s="140" t="s">
        <v>2443</v>
      </c>
      <c r="B1179" s="141">
        <v>1.0881396419047701E-2</v>
      </c>
      <c r="D1179" s="141"/>
    </row>
    <row r="1180" spans="1:4" x14ac:dyDescent="0.2">
      <c r="A1180" s="140" t="s">
        <v>4316</v>
      </c>
      <c r="B1180" s="141">
        <v>1.08627758573173E-2</v>
      </c>
      <c r="D1180" s="141"/>
    </row>
    <row r="1181" spans="1:4" x14ac:dyDescent="0.2">
      <c r="A1181" s="140" t="s">
        <v>6779</v>
      </c>
      <c r="B1181" s="141">
        <v>1.08476688431954E-2</v>
      </c>
      <c r="D1181" s="141"/>
    </row>
    <row r="1182" spans="1:4" x14ac:dyDescent="0.2">
      <c r="A1182" s="140" t="s">
        <v>4071</v>
      </c>
      <c r="B1182" s="141">
        <v>1.0842513855233601E-2</v>
      </c>
      <c r="D1182" s="141"/>
    </row>
    <row r="1183" spans="1:4" x14ac:dyDescent="0.2">
      <c r="A1183" s="140" t="s">
        <v>6780</v>
      </c>
      <c r="B1183" s="141">
        <v>1.0833213228339701E-2</v>
      </c>
      <c r="D1183" s="141"/>
    </row>
    <row r="1184" spans="1:4" x14ac:dyDescent="0.2">
      <c r="A1184" s="140" t="s">
        <v>6781</v>
      </c>
      <c r="B1184" s="141">
        <v>1.08060521529192E-2</v>
      </c>
      <c r="D1184" s="141"/>
    </row>
    <row r="1185" spans="1:4" x14ac:dyDescent="0.2">
      <c r="A1185" s="140" t="s">
        <v>6782</v>
      </c>
      <c r="B1185" s="141">
        <v>1.08060521529192E-2</v>
      </c>
      <c r="D1185" s="141"/>
    </row>
    <row r="1186" spans="1:4" x14ac:dyDescent="0.2">
      <c r="A1186" s="140" t="s">
        <v>6783</v>
      </c>
      <c r="B1186" s="141">
        <v>1.08060521529192E-2</v>
      </c>
      <c r="D1186" s="141"/>
    </row>
    <row r="1187" spans="1:4" x14ac:dyDescent="0.2">
      <c r="A1187" s="140" t="s">
        <v>6190</v>
      </c>
      <c r="B1187" s="141">
        <v>1.0796940011479499E-2</v>
      </c>
      <c r="D1187" s="141"/>
    </row>
    <row r="1188" spans="1:4" x14ac:dyDescent="0.2">
      <c r="A1188" s="140" t="s">
        <v>6784</v>
      </c>
      <c r="B1188" s="141">
        <v>1.07879316921416E-2</v>
      </c>
      <c r="D1188" s="141"/>
    </row>
    <row r="1189" spans="1:4" x14ac:dyDescent="0.2">
      <c r="A1189" s="140" t="s">
        <v>6785</v>
      </c>
      <c r="B1189" s="141">
        <v>1.0787712371395501E-2</v>
      </c>
      <c r="D1189" s="141"/>
    </row>
    <row r="1190" spans="1:4" x14ac:dyDescent="0.2">
      <c r="A1190" s="140" t="s">
        <v>6786</v>
      </c>
      <c r="B1190" s="141">
        <v>1.0787712371395501E-2</v>
      </c>
      <c r="D1190" s="141"/>
    </row>
    <row r="1191" spans="1:4" x14ac:dyDescent="0.2">
      <c r="A1191" s="140" t="s">
        <v>6787</v>
      </c>
      <c r="B1191" s="141">
        <v>1.0787712371395501E-2</v>
      </c>
      <c r="D1191" s="141"/>
    </row>
    <row r="1192" spans="1:4" x14ac:dyDescent="0.2">
      <c r="A1192" s="140" t="s">
        <v>2650</v>
      </c>
      <c r="B1192" s="141">
        <v>1.0772095820389301E-2</v>
      </c>
      <c r="D1192" s="141"/>
    </row>
    <row r="1193" spans="1:4" x14ac:dyDescent="0.2">
      <c r="A1193" s="140" t="s">
        <v>6788</v>
      </c>
      <c r="B1193" s="141">
        <v>1.0699089697538499E-2</v>
      </c>
      <c r="D1193" s="141"/>
    </row>
    <row r="1194" spans="1:4" x14ac:dyDescent="0.2">
      <c r="A1194" s="140" t="s">
        <v>2949</v>
      </c>
      <c r="B1194" s="141">
        <v>1.0697374527614999E-2</v>
      </c>
      <c r="D1194" s="141"/>
    </row>
    <row r="1195" spans="1:4" x14ac:dyDescent="0.2">
      <c r="A1195" s="140" t="s">
        <v>4027</v>
      </c>
      <c r="B1195" s="141">
        <v>1.06894421510885E-2</v>
      </c>
      <c r="D1195" s="141"/>
    </row>
    <row r="1196" spans="1:4" x14ac:dyDescent="0.2">
      <c r="A1196" s="140" t="s">
        <v>2644</v>
      </c>
      <c r="B1196" s="141">
        <v>1.06849082519951E-2</v>
      </c>
      <c r="D1196" s="141"/>
    </row>
    <row r="1197" spans="1:4" x14ac:dyDescent="0.2">
      <c r="A1197" s="140" t="s">
        <v>434</v>
      </c>
      <c r="B1197" s="141">
        <v>1.06728239286887E-2</v>
      </c>
      <c r="D1197" s="141"/>
    </row>
    <row r="1198" spans="1:4" x14ac:dyDescent="0.2">
      <c r="A1198" s="140" t="s">
        <v>3187</v>
      </c>
      <c r="B1198" s="141">
        <v>1.06408440919936E-2</v>
      </c>
      <c r="D1198" s="141"/>
    </row>
    <row r="1199" spans="1:4" x14ac:dyDescent="0.2">
      <c r="A1199" s="140" t="s">
        <v>6789</v>
      </c>
      <c r="B1199" s="141">
        <v>1.06128028384783E-2</v>
      </c>
      <c r="D1199" s="141"/>
    </row>
    <row r="1200" spans="1:4" x14ac:dyDescent="0.2">
      <c r="A1200" s="140" t="s">
        <v>3063</v>
      </c>
      <c r="B1200" s="141">
        <v>1.0589285010316399E-2</v>
      </c>
      <c r="D1200" s="141"/>
    </row>
    <row r="1201" spans="1:4" x14ac:dyDescent="0.2">
      <c r="A1201" s="140" t="s">
        <v>3170</v>
      </c>
      <c r="B1201" s="141">
        <v>1.05294949802116E-2</v>
      </c>
      <c r="D1201" s="141"/>
    </row>
    <row r="1202" spans="1:4" x14ac:dyDescent="0.2">
      <c r="A1202" s="140" t="s">
        <v>4097</v>
      </c>
      <c r="B1202" s="141">
        <v>1.0522998191876701E-2</v>
      </c>
      <c r="D1202" s="141"/>
    </row>
    <row r="1203" spans="1:4" x14ac:dyDescent="0.2">
      <c r="A1203" s="140" t="s">
        <v>5737</v>
      </c>
      <c r="B1203" s="141">
        <v>1.0508273491834801E-2</v>
      </c>
      <c r="D1203" s="141"/>
    </row>
    <row r="1204" spans="1:4" x14ac:dyDescent="0.2">
      <c r="A1204" s="140" t="s">
        <v>3362</v>
      </c>
      <c r="B1204" s="141">
        <v>1.05078717390228E-2</v>
      </c>
      <c r="D1204" s="141"/>
    </row>
    <row r="1205" spans="1:4" x14ac:dyDescent="0.2">
      <c r="A1205" s="140" t="s">
        <v>6790</v>
      </c>
      <c r="B1205" s="141">
        <v>1.04538596804962E-2</v>
      </c>
      <c r="D1205" s="141"/>
    </row>
    <row r="1206" spans="1:4" x14ac:dyDescent="0.2">
      <c r="A1206" s="140" t="s">
        <v>4900</v>
      </c>
      <c r="B1206" s="141">
        <v>1.0441272367607699E-2</v>
      </c>
      <c r="D1206" s="141"/>
    </row>
    <row r="1207" spans="1:4" x14ac:dyDescent="0.2">
      <c r="A1207" s="140" t="s">
        <v>3683</v>
      </c>
      <c r="B1207" s="141">
        <v>1.04247020155026E-2</v>
      </c>
      <c r="D1207" s="141"/>
    </row>
    <row r="1208" spans="1:4" x14ac:dyDescent="0.2">
      <c r="A1208" s="140" t="s">
        <v>2792</v>
      </c>
      <c r="B1208" s="141">
        <v>1.0424446891674599E-2</v>
      </c>
      <c r="D1208" s="141"/>
    </row>
    <row r="1209" spans="1:4" x14ac:dyDescent="0.2">
      <c r="A1209" s="140" t="s">
        <v>6061</v>
      </c>
      <c r="B1209" s="141">
        <v>1.04214276969749E-2</v>
      </c>
      <c r="D1209" s="141"/>
    </row>
    <row r="1210" spans="1:4" x14ac:dyDescent="0.2">
      <c r="A1210" s="140" t="s">
        <v>6791</v>
      </c>
      <c r="B1210" s="141">
        <v>1.0395901765391E-2</v>
      </c>
      <c r="D1210" s="141"/>
    </row>
    <row r="1211" spans="1:4" x14ac:dyDescent="0.2">
      <c r="A1211" s="140" t="s">
        <v>6792</v>
      </c>
      <c r="B1211" s="141">
        <v>1.0395901765391E-2</v>
      </c>
      <c r="D1211" s="141"/>
    </row>
    <row r="1212" spans="1:4" x14ac:dyDescent="0.2">
      <c r="A1212" s="140" t="s">
        <v>2932</v>
      </c>
      <c r="B1212" s="141">
        <v>1.03696803391819E-2</v>
      </c>
      <c r="D1212" s="141"/>
    </row>
    <row r="1213" spans="1:4" x14ac:dyDescent="0.2">
      <c r="A1213" s="140" t="s">
        <v>4070</v>
      </c>
      <c r="B1213" s="141">
        <v>1.03628992959231E-2</v>
      </c>
      <c r="D1213" s="141"/>
    </row>
    <row r="1214" spans="1:4" x14ac:dyDescent="0.2">
      <c r="A1214" s="140" t="s">
        <v>6793</v>
      </c>
      <c r="B1214" s="141">
        <v>1.0339647923487801E-2</v>
      </c>
      <c r="D1214" s="141"/>
    </row>
    <row r="1215" spans="1:4" x14ac:dyDescent="0.2">
      <c r="A1215" s="140" t="s">
        <v>5535</v>
      </c>
      <c r="B1215" s="141">
        <v>1.02957875816289E-2</v>
      </c>
      <c r="D1215" s="141"/>
    </row>
    <row r="1216" spans="1:4" x14ac:dyDescent="0.2">
      <c r="A1216" s="140" t="s">
        <v>6794</v>
      </c>
      <c r="B1216" s="141">
        <v>1.02912615102806E-2</v>
      </c>
      <c r="D1216" s="141"/>
    </row>
    <row r="1217" spans="1:4" x14ac:dyDescent="0.2">
      <c r="A1217" s="140" t="s">
        <v>6795</v>
      </c>
      <c r="B1217" s="141">
        <v>1.02912615102806E-2</v>
      </c>
      <c r="D1217" s="141"/>
    </row>
    <row r="1218" spans="1:4" x14ac:dyDescent="0.2">
      <c r="A1218" s="140" t="s">
        <v>6796</v>
      </c>
      <c r="B1218" s="141">
        <v>1.02912615102806E-2</v>
      </c>
      <c r="D1218" s="141"/>
    </row>
    <row r="1219" spans="1:4" x14ac:dyDescent="0.2">
      <c r="A1219" s="140" t="s">
        <v>4615</v>
      </c>
      <c r="B1219" s="141">
        <v>1.02787110980325E-2</v>
      </c>
      <c r="D1219" s="141"/>
    </row>
    <row r="1220" spans="1:4" x14ac:dyDescent="0.2">
      <c r="A1220" s="140" t="s">
        <v>3307</v>
      </c>
      <c r="B1220" s="141">
        <v>1.02787110980325E-2</v>
      </c>
      <c r="D1220" s="141"/>
    </row>
    <row r="1221" spans="1:4" x14ac:dyDescent="0.2">
      <c r="A1221" s="140" t="s">
        <v>2240</v>
      </c>
      <c r="B1221" s="141">
        <v>1.02618306399321E-2</v>
      </c>
      <c r="D1221" s="141"/>
    </row>
    <row r="1222" spans="1:4" x14ac:dyDescent="0.2">
      <c r="A1222" s="140" t="s">
        <v>4439</v>
      </c>
      <c r="B1222" s="141">
        <v>1.0253331457219799E-2</v>
      </c>
      <c r="D1222" s="141"/>
    </row>
    <row r="1223" spans="1:4" x14ac:dyDescent="0.2">
      <c r="A1223" s="140" t="s">
        <v>3105</v>
      </c>
      <c r="B1223" s="141">
        <v>1.02518764530024E-2</v>
      </c>
      <c r="D1223" s="141"/>
    </row>
    <row r="1224" spans="1:4" x14ac:dyDescent="0.2">
      <c r="A1224" s="140" t="s">
        <v>2673</v>
      </c>
      <c r="B1224" s="141">
        <v>1.02383503542645E-2</v>
      </c>
      <c r="D1224" s="141"/>
    </row>
    <row r="1225" spans="1:4" x14ac:dyDescent="0.2">
      <c r="A1225" s="140" t="s">
        <v>3164</v>
      </c>
      <c r="B1225" s="141">
        <v>1.0229454916308899E-2</v>
      </c>
      <c r="D1225" s="141"/>
    </row>
    <row r="1226" spans="1:4" x14ac:dyDescent="0.2">
      <c r="A1226" s="140" t="s">
        <v>1477</v>
      </c>
      <c r="B1226" s="141">
        <v>1.0224357437739201E-2</v>
      </c>
      <c r="D1226" s="141"/>
    </row>
    <row r="1227" spans="1:4" x14ac:dyDescent="0.2">
      <c r="A1227" s="140" t="s">
        <v>1423</v>
      </c>
      <c r="B1227" s="141">
        <v>1.02020798639111E-2</v>
      </c>
      <c r="D1227" s="141"/>
    </row>
    <row r="1228" spans="1:4" x14ac:dyDescent="0.2">
      <c r="A1228" s="140" t="s">
        <v>2073</v>
      </c>
      <c r="B1228" s="141">
        <v>1.02011781129144E-2</v>
      </c>
      <c r="D1228" s="141"/>
    </row>
    <row r="1229" spans="1:4" x14ac:dyDescent="0.2">
      <c r="A1229" s="140" t="s">
        <v>5011</v>
      </c>
      <c r="B1229" s="141">
        <v>1.0200829272474499E-2</v>
      </c>
      <c r="D1229" s="141"/>
    </row>
    <row r="1230" spans="1:4" x14ac:dyDescent="0.2">
      <c r="A1230" s="140" t="s">
        <v>5232</v>
      </c>
      <c r="B1230" s="141">
        <v>1.0197343678925601E-2</v>
      </c>
      <c r="D1230" s="141"/>
    </row>
    <row r="1231" spans="1:4" x14ac:dyDescent="0.2">
      <c r="A1231" s="140" t="s">
        <v>3906</v>
      </c>
      <c r="B1231" s="141">
        <v>1.0177591753047799E-2</v>
      </c>
      <c r="D1231" s="141"/>
    </row>
    <row r="1232" spans="1:4" x14ac:dyDescent="0.2">
      <c r="A1232" s="140" t="s">
        <v>2865</v>
      </c>
      <c r="B1232" s="141">
        <v>1.0170187504814099E-2</v>
      </c>
      <c r="D1232" s="141"/>
    </row>
    <row r="1233" spans="1:4" x14ac:dyDescent="0.2">
      <c r="A1233" s="140" t="s">
        <v>3334</v>
      </c>
      <c r="B1233" s="141">
        <v>1.01548282151908E-2</v>
      </c>
      <c r="D1233" s="141"/>
    </row>
    <row r="1234" spans="1:4" x14ac:dyDescent="0.2">
      <c r="A1234" s="140" t="s">
        <v>2685</v>
      </c>
      <c r="B1234" s="141">
        <v>1.0142513391072199E-2</v>
      </c>
      <c r="D1234" s="141"/>
    </row>
    <row r="1235" spans="1:4" x14ac:dyDescent="0.2">
      <c r="A1235" s="140" t="s">
        <v>6167</v>
      </c>
      <c r="B1235" s="141">
        <v>1.0122722372533199E-2</v>
      </c>
      <c r="D1235" s="141"/>
    </row>
    <row r="1236" spans="1:4" x14ac:dyDescent="0.2">
      <c r="A1236" s="140" t="s">
        <v>6797</v>
      </c>
      <c r="B1236" s="141">
        <v>1.01049067853228E-2</v>
      </c>
      <c r="D1236" s="141"/>
    </row>
    <row r="1237" spans="1:4" x14ac:dyDescent="0.2">
      <c r="A1237" s="140" t="s">
        <v>4239</v>
      </c>
      <c r="B1237" s="141">
        <v>1.01049067853228E-2</v>
      </c>
      <c r="D1237" s="141"/>
    </row>
    <row r="1238" spans="1:4" x14ac:dyDescent="0.2">
      <c r="A1238" s="140" t="s">
        <v>1848</v>
      </c>
      <c r="B1238" s="141">
        <v>1.0090136315464E-2</v>
      </c>
      <c r="D1238" s="141"/>
    </row>
    <row r="1239" spans="1:4" x14ac:dyDescent="0.2">
      <c r="A1239" s="140" t="s">
        <v>2920</v>
      </c>
      <c r="B1239" s="141">
        <v>1.00832821386881E-2</v>
      </c>
      <c r="D1239" s="141"/>
    </row>
    <row r="1240" spans="1:4" x14ac:dyDescent="0.2">
      <c r="A1240" s="140" t="s">
        <v>1811</v>
      </c>
      <c r="B1240" s="141">
        <v>1.0077720201478501E-2</v>
      </c>
      <c r="D1240" s="141"/>
    </row>
    <row r="1241" spans="1:4" x14ac:dyDescent="0.2">
      <c r="A1241" s="140" t="s">
        <v>2696</v>
      </c>
      <c r="B1241" s="141">
        <v>1.0074936923111099E-2</v>
      </c>
      <c r="D1241" s="141"/>
    </row>
    <row r="1242" spans="1:4" x14ac:dyDescent="0.2">
      <c r="A1242" s="140" t="s">
        <v>1486</v>
      </c>
      <c r="B1242" s="141">
        <v>1.0060896114964701E-2</v>
      </c>
      <c r="D1242" s="141"/>
    </row>
    <row r="1243" spans="1:4" x14ac:dyDescent="0.2">
      <c r="A1243" s="140" t="s">
        <v>3566</v>
      </c>
      <c r="B1243" s="141">
        <v>1.00605888169919E-2</v>
      </c>
      <c r="D1243" s="141"/>
    </row>
    <row r="1244" spans="1:4" x14ac:dyDescent="0.2">
      <c r="A1244" s="140" t="s">
        <v>6798</v>
      </c>
      <c r="B1244" s="141">
        <v>1.00316468691839E-2</v>
      </c>
      <c r="D1244" s="141"/>
    </row>
    <row r="1245" spans="1:4" x14ac:dyDescent="0.2">
      <c r="A1245" s="140" t="s">
        <v>2770</v>
      </c>
      <c r="B1245" s="141">
        <v>9.9918975770920699E-3</v>
      </c>
      <c r="D1245" s="141"/>
    </row>
    <row r="1246" spans="1:4" x14ac:dyDescent="0.2">
      <c r="A1246" s="140" t="s">
        <v>5860</v>
      </c>
      <c r="B1246" s="141">
        <v>9.98968975275971E-3</v>
      </c>
      <c r="D1246" s="141"/>
    </row>
    <row r="1247" spans="1:4" x14ac:dyDescent="0.2">
      <c r="A1247" s="140" t="s">
        <v>826</v>
      </c>
      <c r="B1247" s="141">
        <v>9.9849970857710992E-3</v>
      </c>
      <c r="D1247" s="141"/>
    </row>
    <row r="1248" spans="1:4" x14ac:dyDescent="0.2">
      <c r="A1248" s="140" t="s">
        <v>6194</v>
      </c>
      <c r="B1248" s="141">
        <v>9.9744777211388993E-3</v>
      </c>
      <c r="D1248" s="141"/>
    </row>
    <row r="1249" spans="1:4" x14ac:dyDescent="0.2">
      <c r="A1249" s="140" t="s">
        <v>5745</v>
      </c>
      <c r="B1249" s="141">
        <v>9.9545341173469509E-3</v>
      </c>
      <c r="D1249" s="141"/>
    </row>
    <row r="1250" spans="1:4" x14ac:dyDescent="0.2">
      <c r="A1250" s="140" t="s">
        <v>6799</v>
      </c>
      <c r="B1250" s="141">
        <v>9.9485242454612696E-3</v>
      </c>
      <c r="D1250" s="141"/>
    </row>
    <row r="1251" spans="1:4" x14ac:dyDescent="0.2">
      <c r="A1251" s="140" t="s">
        <v>5972</v>
      </c>
      <c r="B1251" s="141">
        <v>9.9478499546804093E-3</v>
      </c>
      <c r="D1251" s="141"/>
    </row>
    <row r="1252" spans="1:4" x14ac:dyDescent="0.2">
      <c r="A1252" s="140" t="s">
        <v>520</v>
      </c>
      <c r="B1252" s="141">
        <v>9.9336983782417898E-3</v>
      </c>
      <c r="D1252" s="141"/>
    </row>
    <row r="1253" spans="1:4" x14ac:dyDescent="0.2">
      <c r="A1253" s="140" t="s">
        <v>3154</v>
      </c>
      <c r="B1253" s="141">
        <v>9.9313398014116306E-3</v>
      </c>
      <c r="D1253" s="141"/>
    </row>
    <row r="1254" spans="1:4" x14ac:dyDescent="0.2">
      <c r="A1254" s="140" t="s">
        <v>6800</v>
      </c>
      <c r="B1254" s="141">
        <v>9.9270591929285397E-3</v>
      </c>
      <c r="D1254" s="141"/>
    </row>
    <row r="1255" spans="1:4" x14ac:dyDescent="0.2">
      <c r="A1255" s="140" t="s">
        <v>6801</v>
      </c>
      <c r="B1255" s="141">
        <v>9.8951293329469694E-3</v>
      </c>
      <c r="D1255" s="141"/>
    </row>
    <row r="1256" spans="1:4" x14ac:dyDescent="0.2">
      <c r="A1256" s="140" t="s">
        <v>2140</v>
      </c>
      <c r="B1256" s="141">
        <v>9.8873134488192994E-3</v>
      </c>
      <c r="D1256" s="141"/>
    </row>
    <row r="1257" spans="1:4" x14ac:dyDescent="0.2">
      <c r="A1257" s="140" t="s">
        <v>3297</v>
      </c>
      <c r="B1257" s="141">
        <v>9.8825255602484393E-3</v>
      </c>
      <c r="D1257" s="141"/>
    </row>
    <row r="1258" spans="1:4" x14ac:dyDescent="0.2">
      <c r="A1258" s="140" t="s">
        <v>2915</v>
      </c>
      <c r="B1258" s="141">
        <v>9.87736844431664E-3</v>
      </c>
      <c r="D1258" s="141"/>
    </row>
    <row r="1259" spans="1:4" x14ac:dyDescent="0.2">
      <c r="A1259" s="140" t="s">
        <v>6318</v>
      </c>
      <c r="B1259" s="141">
        <v>9.8710367462800201E-3</v>
      </c>
      <c r="D1259" s="141"/>
    </row>
    <row r="1260" spans="1:4" x14ac:dyDescent="0.2">
      <c r="A1260" s="140" t="s">
        <v>1557</v>
      </c>
      <c r="B1260" s="141">
        <v>9.8702886838519192E-3</v>
      </c>
      <c r="D1260" s="141"/>
    </row>
    <row r="1261" spans="1:4" x14ac:dyDescent="0.2">
      <c r="A1261" s="140" t="s">
        <v>5901</v>
      </c>
      <c r="B1261" s="141">
        <v>9.8673141219878194E-3</v>
      </c>
      <c r="D1261" s="141"/>
    </row>
    <row r="1262" spans="1:4" x14ac:dyDescent="0.2">
      <c r="A1262" s="140" t="s">
        <v>5361</v>
      </c>
      <c r="B1262" s="141">
        <v>9.8568601534991893E-3</v>
      </c>
      <c r="D1262" s="141"/>
    </row>
    <row r="1263" spans="1:4" x14ac:dyDescent="0.2">
      <c r="A1263" s="140" t="s">
        <v>4065</v>
      </c>
      <c r="B1263" s="141">
        <v>9.8480901113149298E-3</v>
      </c>
      <c r="D1263" s="141"/>
    </row>
    <row r="1264" spans="1:4" x14ac:dyDescent="0.2">
      <c r="A1264" s="140" t="s">
        <v>5932</v>
      </c>
      <c r="B1264" s="141">
        <v>9.8473120733955505E-3</v>
      </c>
      <c r="D1264" s="141"/>
    </row>
    <row r="1265" spans="1:4" x14ac:dyDescent="0.2">
      <c r="A1265" s="140" t="s">
        <v>4584</v>
      </c>
      <c r="B1265" s="141">
        <v>9.8415217884764202E-3</v>
      </c>
      <c r="D1265" s="141"/>
    </row>
    <row r="1266" spans="1:4" x14ac:dyDescent="0.2">
      <c r="A1266" s="140" t="s">
        <v>2335</v>
      </c>
      <c r="B1266" s="141">
        <v>9.8330032665128794E-3</v>
      </c>
      <c r="D1266" s="141"/>
    </row>
    <row r="1267" spans="1:4" x14ac:dyDescent="0.2">
      <c r="A1267" s="140" t="s">
        <v>3437</v>
      </c>
      <c r="B1267" s="141">
        <v>9.8324854016068695E-3</v>
      </c>
      <c r="D1267" s="141"/>
    </row>
    <row r="1268" spans="1:4" x14ac:dyDescent="0.2">
      <c r="A1268" s="140" t="s">
        <v>6802</v>
      </c>
      <c r="B1268" s="141">
        <v>9.8244681430368196E-3</v>
      </c>
      <c r="D1268" s="141"/>
    </row>
    <row r="1269" spans="1:4" x14ac:dyDescent="0.2">
      <c r="A1269" s="140" t="s">
        <v>2702</v>
      </c>
      <c r="B1269" s="141">
        <v>9.8208233690929396E-3</v>
      </c>
      <c r="D1269" s="141"/>
    </row>
    <row r="1270" spans="1:4" x14ac:dyDescent="0.2">
      <c r="A1270" s="140" t="s">
        <v>3037</v>
      </c>
      <c r="B1270" s="141">
        <v>9.7953541006719092E-3</v>
      </c>
      <c r="D1270" s="141"/>
    </row>
    <row r="1271" spans="1:4" x14ac:dyDescent="0.2">
      <c r="A1271" s="140" t="s">
        <v>6803</v>
      </c>
      <c r="B1271" s="141">
        <v>9.79511394449851E-3</v>
      </c>
      <c r="D1271" s="141"/>
    </row>
    <row r="1272" spans="1:4" x14ac:dyDescent="0.2">
      <c r="A1272" s="140" t="s">
        <v>6804</v>
      </c>
      <c r="B1272" s="141">
        <v>9.7948350134782897E-3</v>
      </c>
      <c r="D1272" s="141"/>
    </row>
    <row r="1273" spans="1:4" x14ac:dyDescent="0.2">
      <c r="A1273" s="140" t="s">
        <v>2238</v>
      </c>
      <c r="B1273" s="141">
        <v>9.7809851350373102E-3</v>
      </c>
      <c r="D1273" s="141"/>
    </row>
    <row r="1274" spans="1:4" x14ac:dyDescent="0.2">
      <c r="A1274" s="140" t="s">
        <v>6805</v>
      </c>
      <c r="B1274" s="141">
        <v>9.7799984371408008E-3</v>
      </c>
      <c r="D1274" s="141"/>
    </row>
    <row r="1275" spans="1:4" x14ac:dyDescent="0.2">
      <c r="A1275" s="140" t="s">
        <v>6806</v>
      </c>
      <c r="B1275" s="141">
        <v>9.7799984371408008E-3</v>
      </c>
      <c r="D1275" s="141"/>
    </row>
    <row r="1276" spans="1:4" x14ac:dyDescent="0.2">
      <c r="A1276" s="140" t="s">
        <v>3855</v>
      </c>
      <c r="B1276" s="141">
        <v>9.7756996924345304E-3</v>
      </c>
      <c r="D1276" s="141"/>
    </row>
    <row r="1277" spans="1:4" x14ac:dyDescent="0.2">
      <c r="A1277" s="140" t="s">
        <v>6807</v>
      </c>
      <c r="B1277" s="141">
        <v>9.7725501063180304E-3</v>
      </c>
      <c r="D1277" s="141"/>
    </row>
    <row r="1278" spans="1:4" x14ac:dyDescent="0.2">
      <c r="A1278" s="140" t="s">
        <v>2646</v>
      </c>
      <c r="B1278" s="141">
        <v>9.76472495910005E-3</v>
      </c>
      <c r="D1278" s="141"/>
    </row>
    <row r="1279" spans="1:4" x14ac:dyDescent="0.2">
      <c r="A1279" s="140" t="s">
        <v>3662</v>
      </c>
      <c r="B1279" s="141">
        <v>9.7511053040979408E-3</v>
      </c>
      <c r="D1279" s="141"/>
    </row>
    <row r="1280" spans="1:4" x14ac:dyDescent="0.2">
      <c r="A1280" s="140" t="s">
        <v>6808</v>
      </c>
      <c r="B1280" s="141">
        <v>9.7497407746034593E-3</v>
      </c>
      <c r="D1280" s="141"/>
    </row>
    <row r="1281" spans="1:4" x14ac:dyDescent="0.2">
      <c r="A1281" s="140" t="s">
        <v>1306</v>
      </c>
      <c r="B1281" s="141">
        <v>9.7307479760319199E-3</v>
      </c>
      <c r="D1281" s="141"/>
    </row>
    <row r="1282" spans="1:4" x14ac:dyDescent="0.2">
      <c r="A1282" s="140" t="s">
        <v>4657</v>
      </c>
      <c r="B1282" s="141">
        <v>9.6412321990373105E-3</v>
      </c>
      <c r="D1282" s="141"/>
    </row>
    <row r="1283" spans="1:4" x14ac:dyDescent="0.2">
      <c r="A1283" s="140" t="s">
        <v>3095</v>
      </c>
      <c r="B1283" s="141">
        <v>9.6179581622449495E-3</v>
      </c>
      <c r="D1283" s="141"/>
    </row>
    <row r="1284" spans="1:4" x14ac:dyDescent="0.2">
      <c r="A1284" s="140" t="s">
        <v>5274</v>
      </c>
      <c r="B1284" s="141">
        <v>9.5872724856354997E-3</v>
      </c>
      <c r="D1284" s="141"/>
    </row>
    <row r="1285" spans="1:4" x14ac:dyDescent="0.2">
      <c r="A1285" s="140" t="s">
        <v>6809</v>
      </c>
      <c r="B1285" s="141">
        <v>9.5423596364353196E-3</v>
      </c>
      <c r="D1285" s="141"/>
    </row>
    <row r="1286" spans="1:4" x14ac:dyDescent="0.2">
      <c r="A1286" s="140" t="s">
        <v>6810</v>
      </c>
      <c r="B1286" s="141">
        <v>9.5370702506242504E-3</v>
      </c>
      <c r="D1286" s="141"/>
    </row>
    <row r="1287" spans="1:4" x14ac:dyDescent="0.2">
      <c r="A1287" s="140" t="s">
        <v>2382</v>
      </c>
      <c r="B1287" s="141">
        <v>9.5352086029179897E-3</v>
      </c>
      <c r="D1287" s="141"/>
    </row>
    <row r="1288" spans="1:4" x14ac:dyDescent="0.2">
      <c r="A1288" s="140" t="s">
        <v>4434</v>
      </c>
      <c r="B1288" s="141">
        <v>9.5149143924442101E-3</v>
      </c>
      <c r="D1288" s="141"/>
    </row>
    <row r="1289" spans="1:4" x14ac:dyDescent="0.2">
      <c r="A1289" s="140" t="s">
        <v>6811</v>
      </c>
      <c r="B1289" s="141">
        <v>9.5135915516863304E-3</v>
      </c>
      <c r="D1289" s="141"/>
    </row>
    <row r="1290" spans="1:4" x14ac:dyDescent="0.2">
      <c r="A1290" s="140" t="s">
        <v>2227</v>
      </c>
      <c r="B1290" s="141">
        <v>9.5082351148065292E-3</v>
      </c>
      <c r="D1290" s="141"/>
    </row>
    <row r="1291" spans="1:4" x14ac:dyDescent="0.2">
      <c r="A1291" s="140" t="s">
        <v>6812</v>
      </c>
      <c r="B1291" s="141">
        <v>9.5073830623881705E-3</v>
      </c>
      <c r="D1291" s="141"/>
    </row>
    <row r="1292" spans="1:4" x14ac:dyDescent="0.2">
      <c r="A1292" s="140" t="s">
        <v>6813</v>
      </c>
      <c r="B1292" s="141">
        <v>9.5073830623881705E-3</v>
      </c>
      <c r="D1292" s="141"/>
    </row>
    <row r="1293" spans="1:4" x14ac:dyDescent="0.2">
      <c r="A1293" s="140" t="s">
        <v>6814</v>
      </c>
      <c r="B1293" s="141">
        <v>9.5056417246566702E-3</v>
      </c>
      <c r="D1293" s="141"/>
    </row>
    <row r="1294" spans="1:4" x14ac:dyDescent="0.2">
      <c r="A1294" s="140" t="s">
        <v>3972</v>
      </c>
      <c r="B1294" s="141">
        <v>9.4910785252512297E-3</v>
      </c>
      <c r="D1294" s="141"/>
    </row>
    <row r="1295" spans="1:4" x14ac:dyDescent="0.2">
      <c r="A1295" s="140" t="s">
        <v>5947</v>
      </c>
      <c r="B1295" s="141">
        <v>9.4858748180784505E-3</v>
      </c>
      <c r="D1295" s="141"/>
    </row>
    <row r="1296" spans="1:4" x14ac:dyDescent="0.2">
      <c r="A1296" s="140" t="s">
        <v>2128</v>
      </c>
      <c r="B1296" s="141">
        <v>9.4703989356742999E-3</v>
      </c>
      <c r="D1296" s="141"/>
    </row>
    <row r="1297" spans="1:4" x14ac:dyDescent="0.2">
      <c r="A1297" s="140" t="s">
        <v>365</v>
      </c>
      <c r="B1297" s="141">
        <v>9.4664591896990793E-3</v>
      </c>
      <c r="D1297" s="141"/>
    </row>
    <row r="1298" spans="1:4" x14ac:dyDescent="0.2">
      <c r="A1298" s="140" t="s">
        <v>3242</v>
      </c>
      <c r="B1298" s="141">
        <v>9.4545099949256903E-3</v>
      </c>
      <c r="D1298" s="141"/>
    </row>
    <row r="1299" spans="1:4" x14ac:dyDescent="0.2">
      <c r="A1299" s="140" t="s">
        <v>6815</v>
      </c>
      <c r="B1299" s="141">
        <v>9.4261071256585595E-3</v>
      </c>
      <c r="D1299" s="141"/>
    </row>
    <row r="1300" spans="1:4" x14ac:dyDescent="0.2">
      <c r="A1300" s="140" t="s">
        <v>1279</v>
      </c>
      <c r="B1300" s="141">
        <v>9.4056016871325795E-3</v>
      </c>
      <c r="D1300" s="141"/>
    </row>
    <row r="1301" spans="1:4" x14ac:dyDescent="0.2">
      <c r="A1301" s="140" t="s">
        <v>1500</v>
      </c>
      <c r="B1301" s="141">
        <v>9.3887542436213393E-3</v>
      </c>
      <c r="D1301" s="141"/>
    </row>
    <row r="1302" spans="1:4" x14ac:dyDescent="0.2">
      <c r="A1302" s="140" t="s">
        <v>3158</v>
      </c>
      <c r="B1302" s="141">
        <v>9.3714890363948804E-3</v>
      </c>
      <c r="D1302" s="141"/>
    </row>
    <row r="1303" spans="1:4" x14ac:dyDescent="0.2">
      <c r="A1303" s="140" t="s">
        <v>3870</v>
      </c>
      <c r="B1303" s="141">
        <v>9.3202064575101801E-3</v>
      </c>
      <c r="D1303" s="141"/>
    </row>
    <row r="1304" spans="1:4" x14ac:dyDescent="0.2">
      <c r="A1304" s="140" t="s">
        <v>4015</v>
      </c>
      <c r="B1304" s="141">
        <v>9.31286682085747E-3</v>
      </c>
      <c r="D1304" s="141"/>
    </row>
    <row r="1305" spans="1:4" x14ac:dyDescent="0.2">
      <c r="A1305" s="140" t="s">
        <v>5688</v>
      </c>
      <c r="B1305" s="141">
        <v>9.3007716138911196E-3</v>
      </c>
      <c r="D1305" s="141"/>
    </row>
    <row r="1306" spans="1:4" x14ac:dyDescent="0.2">
      <c r="A1306" s="140" t="s">
        <v>4484</v>
      </c>
      <c r="B1306" s="141">
        <v>9.2723045065113592E-3</v>
      </c>
      <c r="D1306" s="141"/>
    </row>
    <row r="1307" spans="1:4" x14ac:dyDescent="0.2">
      <c r="A1307" s="140" t="s">
        <v>3674</v>
      </c>
      <c r="B1307" s="141">
        <v>9.2608325063478405E-3</v>
      </c>
      <c r="D1307" s="141"/>
    </row>
    <row r="1308" spans="1:4" x14ac:dyDescent="0.2">
      <c r="A1308" s="140" t="s">
        <v>5706</v>
      </c>
      <c r="B1308" s="141">
        <v>9.2242936023488303E-3</v>
      </c>
      <c r="D1308" s="141"/>
    </row>
    <row r="1309" spans="1:4" x14ac:dyDescent="0.2">
      <c r="A1309" s="140" t="s">
        <v>2981</v>
      </c>
      <c r="B1309" s="141">
        <v>9.2193861100144797E-3</v>
      </c>
      <c r="D1309" s="141"/>
    </row>
    <row r="1310" spans="1:4" x14ac:dyDescent="0.2">
      <c r="A1310" s="140" t="s">
        <v>6243</v>
      </c>
      <c r="B1310" s="141">
        <v>9.1991499517140394E-3</v>
      </c>
      <c r="D1310" s="141"/>
    </row>
    <row r="1311" spans="1:4" x14ac:dyDescent="0.2">
      <c r="A1311" s="140" t="s">
        <v>2024</v>
      </c>
      <c r="B1311" s="141">
        <v>9.1855946764203798E-3</v>
      </c>
      <c r="D1311" s="141"/>
    </row>
    <row r="1312" spans="1:4" x14ac:dyDescent="0.2">
      <c r="A1312" s="140" t="s">
        <v>6816</v>
      </c>
      <c r="B1312" s="141">
        <v>9.1773606598835704E-3</v>
      </c>
      <c r="D1312" s="141"/>
    </row>
    <row r="1313" spans="1:4" x14ac:dyDescent="0.2">
      <c r="A1313" s="140" t="s">
        <v>1589</v>
      </c>
      <c r="B1313" s="141">
        <v>9.1756402544265897E-3</v>
      </c>
      <c r="D1313" s="141"/>
    </row>
    <row r="1314" spans="1:4" x14ac:dyDescent="0.2">
      <c r="A1314" s="140" t="s">
        <v>5961</v>
      </c>
      <c r="B1314" s="141">
        <v>9.1716028404731902E-3</v>
      </c>
      <c r="D1314" s="141"/>
    </row>
    <row r="1315" spans="1:4" x14ac:dyDescent="0.2">
      <c r="A1315" s="140" t="s">
        <v>3059</v>
      </c>
      <c r="B1315" s="141">
        <v>9.1624473131265392E-3</v>
      </c>
      <c r="D1315" s="141"/>
    </row>
    <row r="1316" spans="1:4" x14ac:dyDescent="0.2">
      <c r="A1316" s="140" t="s">
        <v>3194</v>
      </c>
      <c r="B1316" s="141">
        <v>9.1414490176245106E-3</v>
      </c>
      <c r="D1316" s="141"/>
    </row>
    <row r="1317" spans="1:4" x14ac:dyDescent="0.2">
      <c r="A1317" s="140" t="s">
        <v>3083</v>
      </c>
      <c r="B1317" s="141">
        <v>9.117871792486E-3</v>
      </c>
      <c r="D1317" s="141"/>
    </row>
    <row r="1318" spans="1:4" x14ac:dyDescent="0.2">
      <c r="A1318" s="140" t="s">
        <v>6817</v>
      </c>
      <c r="B1318" s="141">
        <v>9.1150466919001204E-3</v>
      </c>
      <c r="D1318" s="141"/>
    </row>
    <row r="1319" spans="1:4" x14ac:dyDescent="0.2">
      <c r="A1319" s="140" t="s">
        <v>4089</v>
      </c>
      <c r="B1319" s="141">
        <v>9.1051790478231791E-3</v>
      </c>
      <c r="D1319" s="141"/>
    </row>
    <row r="1320" spans="1:4" x14ac:dyDescent="0.2">
      <c r="A1320" s="140" t="s">
        <v>5652</v>
      </c>
      <c r="B1320" s="141">
        <v>9.1013167632519997E-3</v>
      </c>
      <c r="D1320" s="141"/>
    </row>
    <row r="1321" spans="1:4" x14ac:dyDescent="0.2">
      <c r="A1321" s="140" t="s">
        <v>6342</v>
      </c>
      <c r="B1321" s="141">
        <v>9.0845244699890894E-3</v>
      </c>
      <c r="D1321" s="141"/>
    </row>
    <row r="1322" spans="1:4" x14ac:dyDescent="0.2">
      <c r="A1322" s="140" t="s">
        <v>6024</v>
      </c>
      <c r="B1322" s="141">
        <v>9.0797858328802005E-3</v>
      </c>
      <c r="D1322" s="141"/>
    </row>
    <row r="1323" spans="1:4" x14ac:dyDescent="0.2">
      <c r="A1323" s="140" t="s">
        <v>2252</v>
      </c>
      <c r="B1323" s="141">
        <v>9.0713288202285292E-3</v>
      </c>
      <c r="D1323" s="141"/>
    </row>
    <row r="1324" spans="1:4" x14ac:dyDescent="0.2">
      <c r="A1324" s="140" t="s">
        <v>6818</v>
      </c>
      <c r="B1324" s="141">
        <v>9.0444285740381193E-3</v>
      </c>
      <c r="D1324" s="141"/>
    </row>
    <row r="1325" spans="1:4" x14ac:dyDescent="0.2">
      <c r="A1325" s="140" t="s">
        <v>2850</v>
      </c>
      <c r="B1325" s="141">
        <v>9.0334416546045508E-3</v>
      </c>
      <c r="D1325" s="141"/>
    </row>
    <row r="1326" spans="1:4" x14ac:dyDescent="0.2">
      <c r="A1326" s="140" t="s">
        <v>6819</v>
      </c>
      <c r="B1326" s="141">
        <v>9.0067035144860107E-3</v>
      </c>
      <c r="D1326" s="141"/>
    </row>
    <row r="1327" spans="1:4" x14ac:dyDescent="0.2">
      <c r="A1327" s="140" t="s">
        <v>2517</v>
      </c>
      <c r="B1327" s="141">
        <v>9.0060831575460108E-3</v>
      </c>
      <c r="D1327" s="141"/>
    </row>
    <row r="1328" spans="1:4" x14ac:dyDescent="0.2">
      <c r="A1328" s="140" t="s">
        <v>6820</v>
      </c>
      <c r="B1328" s="141">
        <v>9.0015794466413203E-3</v>
      </c>
      <c r="D1328" s="141"/>
    </row>
    <row r="1329" spans="1:4" x14ac:dyDescent="0.2">
      <c r="A1329" s="140" t="s">
        <v>2194</v>
      </c>
      <c r="B1329" s="141">
        <v>8.9903501418939092E-3</v>
      </c>
      <c r="D1329" s="141"/>
    </row>
    <row r="1330" spans="1:4" x14ac:dyDescent="0.2">
      <c r="A1330" s="140" t="s">
        <v>6821</v>
      </c>
      <c r="B1330" s="141">
        <v>8.9863427740541901E-3</v>
      </c>
      <c r="D1330" s="141"/>
    </row>
    <row r="1331" spans="1:4" x14ac:dyDescent="0.2">
      <c r="A1331" s="140" t="s">
        <v>1102</v>
      </c>
      <c r="B1331" s="141">
        <v>8.9467653416853005E-3</v>
      </c>
      <c r="D1331" s="141"/>
    </row>
    <row r="1332" spans="1:4" x14ac:dyDescent="0.2">
      <c r="A1332" s="140" t="s">
        <v>4673</v>
      </c>
      <c r="B1332" s="141">
        <v>8.9439179448988597E-3</v>
      </c>
      <c r="D1332" s="141"/>
    </row>
    <row r="1333" spans="1:4" x14ac:dyDescent="0.2">
      <c r="A1333" s="140" t="s">
        <v>6203</v>
      </c>
      <c r="B1333" s="141">
        <v>8.9397696447521303E-3</v>
      </c>
      <c r="D1333" s="141"/>
    </row>
    <row r="1334" spans="1:4" x14ac:dyDescent="0.2">
      <c r="A1334" s="140" t="s">
        <v>2754</v>
      </c>
      <c r="B1334" s="141">
        <v>8.9196083920567992E-3</v>
      </c>
      <c r="D1334" s="141"/>
    </row>
    <row r="1335" spans="1:4" x14ac:dyDescent="0.2">
      <c r="A1335" s="140" t="s">
        <v>2562</v>
      </c>
      <c r="B1335" s="141">
        <v>8.9076283102611804E-3</v>
      </c>
      <c r="D1335" s="141"/>
    </row>
    <row r="1336" spans="1:4" x14ac:dyDescent="0.2">
      <c r="A1336" s="140" t="s">
        <v>5137</v>
      </c>
      <c r="B1336" s="141">
        <v>8.8847509229607706E-3</v>
      </c>
      <c r="D1336" s="141"/>
    </row>
    <row r="1337" spans="1:4" x14ac:dyDescent="0.2">
      <c r="A1337" s="140" t="s">
        <v>5936</v>
      </c>
      <c r="B1337" s="141">
        <v>8.8690633161226991E-3</v>
      </c>
      <c r="D1337" s="141"/>
    </row>
    <row r="1338" spans="1:4" x14ac:dyDescent="0.2">
      <c r="A1338" s="140" t="s">
        <v>6009</v>
      </c>
      <c r="B1338" s="141">
        <v>8.8621182039205302E-3</v>
      </c>
      <c r="D1338" s="141"/>
    </row>
    <row r="1339" spans="1:4" x14ac:dyDescent="0.2">
      <c r="A1339" s="140" t="s">
        <v>4135</v>
      </c>
      <c r="B1339" s="141">
        <v>8.8608621392933708E-3</v>
      </c>
      <c r="D1339" s="141"/>
    </row>
    <row r="1340" spans="1:4" x14ac:dyDescent="0.2">
      <c r="A1340" s="140" t="s">
        <v>6242</v>
      </c>
      <c r="B1340" s="141">
        <v>8.8364118434491705E-3</v>
      </c>
      <c r="D1340" s="141"/>
    </row>
    <row r="1341" spans="1:4" x14ac:dyDescent="0.2">
      <c r="A1341" s="140" t="s">
        <v>2058</v>
      </c>
      <c r="B1341" s="141">
        <v>8.82638451009456E-3</v>
      </c>
      <c r="D1341" s="141"/>
    </row>
    <row r="1342" spans="1:4" x14ac:dyDescent="0.2">
      <c r="A1342" s="140" t="s">
        <v>3249</v>
      </c>
      <c r="B1342" s="141">
        <v>8.8221513550823891E-3</v>
      </c>
      <c r="D1342" s="141"/>
    </row>
    <row r="1343" spans="1:4" x14ac:dyDescent="0.2">
      <c r="A1343" s="140" t="s">
        <v>6822</v>
      </c>
      <c r="B1343" s="141">
        <v>8.8132268004249004E-3</v>
      </c>
      <c r="D1343" s="141"/>
    </row>
    <row r="1344" spans="1:4" x14ac:dyDescent="0.2">
      <c r="A1344" s="140" t="s">
        <v>2803</v>
      </c>
      <c r="B1344" s="141">
        <v>8.8124664949511908E-3</v>
      </c>
      <c r="D1344" s="141"/>
    </row>
    <row r="1345" spans="1:4" x14ac:dyDescent="0.2">
      <c r="A1345" s="140" t="s">
        <v>5743</v>
      </c>
      <c r="B1345" s="141">
        <v>8.8030678371130797E-3</v>
      </c>
      <c r="D1345" s="141"/>
    </row>
    <row r="1346" spans="1:4" x14ac:dyDescent="0.2">
      <c r="A1346" s="140" t="s">
        <v>6263</v>
      </c>
      <c r="B1346" s="141">
        <v>8.8027610610730608E-3</v>
      </c>
      <c r="D1346" s="141"/>
    </row>
    <row r="1347" spans="1:4" x14ac:dyDescent="0.2">
      <c r="A1347" s="140" t="s">
        <v>908</v>
      </c>
      <c r="B1347" s="141">
        <v>8.8026410447229891E-3</v>
      </c>
      <c r="D1347" s="141"/>
    </row>
    <row r="1348" spans="1:4" x14ac:dyDescent="0.2">
      <c r="A1348" s="140" t="s">
        <v>3486</v>
      </c>
      <c r="B1348" s="141">
        <v>8.7930821053496203E-3</v>
      </c>
      <c r="D1348" s="141"/>
    </row>
    <row r="1349" spans="1:4" x14ac:dyDescent="0.2">
      <c r="A1349" s="140" t="s">
        <v>1239</v>
      </c>
      <c r="B1349" s="141">
        <v>8.7770254880850697E-3</v>
      </c>
      <c r="D1349" s="141"/>
    </row>
    <row r="1350" spans="1:4" x14ac:dyDescent="0.2">
      <c r="A1350" s="140" t="s">
        <v>6346</v>
      </c>
      <c r="B1350" s="141">
        <v>8.7653870389436898E-3</v>
      </c>
      <c r="D1350" s="141"/>
    </row>
    <row r="1351" spans="1:4" x14ac:dyDescent="0.2">
      <c r="A1351" s="140" t="s">
        <v>2173</v>
      </c>
      <c r="B1351" s="141">
        <v>8.7574265711561506E-3</v>
      </c>
      <c r="D1351" s="141"/>
    </row>
    <row r="1352" spans="1:4" x14ac:dyDescent="0.2">
      <c r="A1352" s="140" t="s">
        <v>6142</v>
      </c>
      <c r="B1352" s="141">
        <v>8.7517102209633095E-3</v>
      </c>
      <c r="D1352" s="141"/>
    </row>
    <row r="1353" spans="1:4" x14ac:dyDescent="0.2">
      <c r="A1353" s="140" t="s">
        <v>2026</v>
      </c>
      <c r="B1353" s="141">
        <v>8.7513475891656499E-3</v>
      </c>
      <c r="D1353" s="141"/>
    </row>
    <row r="1354" spans="1:4" x14ac:dyDescent="0.2">
      <c r="A1354" s="140" t="s">
        <v>3758</v>
      </c>
      <c r="B1354" s="141">
        <v>8.7391870815580006E-3</v>
      </c>
      <c r="D1354" s="141"/>
    </row>
    <row r="1355" spans="1:4" x14ac:dyDescent="0.2">
      <c r="A1355" s="140" t="s">
        <v>3962</v>
      </c>
      <c r="B1355" s="141">
        <v>8.7080665910726201E-3</v>
      </c>
      <c r="D1355" s="141"/>
    </row>
    <row r="1356" spans="1:4" x14ac:dyDescent="0.2">
      <c r="A1356" s="140" t="s">
        <v>4547</v>
      </c>
      <c r="B1356" s="141">
        <v>8.7064763046002299E-3</v>
      </c>
      <c r="D1356" s="141"/>
    </row>
    <row r="1357" spans="1:4" x14ac:dyDescent="0.2">
      <c r="A1357" s="140" t="s">
        <v>972</v>
      </c>
      <c r="B1357" s="141">
        <v>8.7016382383712197E-3</v>
      </c>
      <c r="D1357" s="141"/>
    </row>
    <row r="1358" spans="1:4" x14ac:dyDescent="0.2">
      <c r="A1358" s="140" t="s">
        <v>6141</v>
      </c>
      <c r="B1358" s="141">
        <v>8.6950290176482301E-3</v>
      </c>
      <c r="D1358" s="141"/>
    </row>
    <row r="1359" spans="1:4" x14ac:dyDescent="0.2">
      <c r="A1359" s="140" t="s">
        <v>2465</v>
      </c>
      <c r="B1359" s="141">
        <v>8.6725976478089807E-3</v>
      </c>
      <c r="D1359" s="141"/>
    </row>
    <row r="1360" spans="1:4" x14ac:dyDescent="0.2">
      <c r="A1360" s="140" t="s">
        <v>4842</v>
      </c>
      <c r="B1360" s="141">
        <v>8.6554833611753295E-3</v>
      </c>
      <c r="D1360" s="141"/>
    </row>
    <row r="1361" spans="1:4" x14ac:dyDescent="0.2">
      <c r="A1361" s="140" t="s">
        <v>2761</v>
      </c>
      <c r="B1361" s="141">
        <v>8.6349961370746093E-3</v>
      </c>
      <c r="D1361" s="141"/>
    </row>
    <row r="1362" spans="1:4" x14ac:dyDescent="0.2">
      <c r="A1362" s="140" t="s">
        <v>4888</v>
      </c>
      <c r="B1362" s="141">
        <v>8.6263916372016098E-3</v>
      </c>
      <c r="D1362" s="141"/>
    </row>
    <row r="1363" spans="1:4" x14ac:dyDescent="0.2">
      <c r="A1363" s="140" t="s">
        <v>5999</v>
      </c>
      <c r="B1363" s="141">
        <v>8.6095432590533195E-3</v>
      </c>
      <c r="D1363" s="141"/>
    </row>
    <row r="1364" spans="1:4" x14ac:dyDescent="0.2">
      <c r="A1364" s="140" t="s">
        <v>3270</v>
      </c>
      <c r="B1364" s="141">
        <v>8.6088332319651205E-3</v>
      </c>
      <c r="D1364" s="141"/>
    </row>
    <row r="1365" spans="1:4" x14ac:dyDescent="0.2">
      <c r="A1365" s="140" t="s">
        <v>2698</v>
      </c>
      <c r="B1365" s="141">
        <v>8.6087640441659796E-3</v>
      </c>
      <c r="D1365" s="141"/>
    </row>
    <row r="1366" spans="1:4" x14ac:dyDescent="0.2">
      <c r="A1366" s="140" t="s">
        <v>3452</v>
      </c>
      <c r="B1366" s="141">
        <v>8.6075511230543598E-3</v>
      </c>
      <c r="D1366" s="141"/>
    </row>
    <row r="1367" spans="1:4" x14ac:dyDescent="0.2">
      <c r="A1367" s="140" t="s">
        <v>4122</v>
      </c>
      <c r="B1367" s="141">
        <v>8.5923465790559792E-3</v>
      </c>
      <c r="D1367" s="141"/>
    </row>
    <row r="1368" spans="1:4" x14ac:dyDescent="0.2">
      <c r="A1368" s="140" t="s">
        <v>4164</v>
      </c>
      <c r="B1368" s="141">
        <v>8.5631527873989005E-3</v>
      </c>
      <c r="D1368" s="141"/>
    </row>
    <row r="1369" spans="1:4" x14ac:dyDescent="0.2">
      <c r="A1369" s="140" t="s">
        <v>5935</v>
      </c>
      <c r="B1369" s="141">
        <v>8.5445815929816697E-3</v>
      </c>
      <c r="D1369" s="141"/>
    </row>
    <row r="1370" spans="1:4" x14ac:dyDescent="0.2">
      <c r="A1370" s="140" t="s">
        <v>2528</v>
      </c>
      <c r="B1370" s="141">
        <v>8.5422272979000704E-3</v>
      </c>
      <c r="D1370" s="141"/>
    </row>
    <row r="1371" spans="1:4" x14ac:dyDescent="0.2">
      <c r="A1371" s="140" t="s">
        <v>6823</v>
      </c>
      <c r="B1371" s="141">
        <v>8.5392016993644099E-3</v>
      </c>
      <c r="D1371" s="141"/>
    </row>
    <row r="1372" spans="1:4" x14ac:dyDescent="0.2">
      <c r="A1372" s="140" t="s">
        <v>2458</v>
      </c>
      <c r="B1372" s="141">
        <v>8.5323029778220996E-3</v>
      </c>
      <c r="D1372" s="141"/>
    </row>
    <row r="1373" spans="1:4" x14ac:dyDescent="0.2">
      <c r="A1373" s="140" t="s">
        <v>1124</v>
      </c>
      <c r="B1373" s="141">
        <v>8.5078082337594393E-3</v>
      </c>
      <c r="D1373" s="141"/>
    </row>
    <row r="1374" spans="1:4" x14ac:dyDescent="0.2">
      <c r="A1374" s="140" t="s">
        <v>6086</v>
      </c>
      <c r="B1374" s="141">
        <v>8.4875618617717107E-3</v>
      </c>
      <c r="D1374" s="141"/>
    </row>
    <row r="1375" spans="1:4" x14ac:dyDescent="0.2">
      <c r="A1375" s="140" t="s">
        <v>3784</v>
      </c>
      <c r="B1375" s="141">
        <v>8.4864569280230402E-3</v>
      </c>
      <c r="D1375" s="141"/>
    </row>
    <row r="1376" spans="1:4" x14ac:dyDescent="0.2">
      <c r="A1376" s="140" t="s">
        <v>1425</v>
      </c>
      <c r="B1376" s="141">
        <v>8.4842579160808E-3</v>
      </c>
      <c r="D1376" s="141"/>
    </row>
    <row r="1377" spans="1:4" x14ac:dyDescent="0.2">
      <c r="A1377" s="140" t="s">
        <v>3981</v>
      </c>
      <c r="B1377" s="141">
        <v>8.4702561147377807E-3</v>
      </c>
      <c r="D1377" s="141"/>
    </row>
    <row r="1378" spans="1:4" x14ac:dyDescent="0.2">
      <c r="A1378" s="140" t="s">
        <v>6824</v>
      </c>
      <c r="B1378" s="141">
        <v>8.4663136393141204E-3</v>
      </c>
      <c r="D1378" s="141"/>
    </row>
    <row r="1379" spans="1:4" x14ac:dyDescent="0.2">
      <c r="A1379" s="140" t="s">
        <v>6825</v>
      </c>
      <c r="B1379" s="141">
        <v>8.4663136393141204E-3</v>
      </c>
      <c r="D1379" s="141"/>
    </row>
    <row r="1380" spans="1:4" x14ac:dyDescent="0.2">
      <c r="A1380" s="140" t="s">
        <v>2581</v>
      </c>
      <c r="B1380" s="141">
        <v>8.4604876532272007E-3</v>
      </c>
      <c r="D1380" s="141"/>
    </row>
    <row r="1381" spans="1:4" x14ac:dyDescent="0.2">
      <c r="A1381" s="140" t="s">
        <v>6826</v>
      </c>
      <c r="B1381" s="141">
        <v>8.4513866598599097E-3</v>
      </c>
      <c r="D1381" s="141"/>
    </row>
    <row r="1382" spans="1:4" x14ac:dyDescent="0.2">
      <c r="A1382" s="140" t="s">
        <v>1558</v>
      </c>
      <c r="B1382" s="141">
        <v>8.4360367543927003E-3</v>
      </c>
      <c r="D1382" s="141"/>
    </row>
    <row r="1383" spans="1:4" x14ac:dyDescent="0.2">
      <c r="A1383" s="140" t="s">
        <v>3208</v>
      </c>
      <c r="B1383" s="141">
        <v>8.4181953874355297E-3</v>
      </c>
      <c r="D1383" s="141"/>
    </row>
    <row r="1384" spans="1:4" x14ac:dyDescent="0.2">
      <c r="A1384" s="140" t="s">
        <v>6827</v>
      </c>
      <c r="B1384" s="141">
        <v>8.4015147927278405E-3</v>
      </c>
      <c r="D1384" s="141"/>
    </row>
    <row r="1385" spans="1:4" x14ac:dyDescent="0.2">
      <c r="A1385" s="140" t="s">
        <v>6828</v>
      </c>
      <c r="B1385" s="141">
        <v>8.3941092670121193E-3</v>
      </c>
      <c r="D1385" s="141"/>
    </row>
    <row r="1386" spans="1:4" x14ac:dyDescent="0.2">
      <c r="A1386" s="140" t="s">
        <v>3330</v>
      </c>
      <c r="B1386" s="141">
        <v>8.3931897236504006E-3</v>
      </c>
      <c r="D1386" s="141"/>
    </row>
    <row r="1387" spans="1:4" x14ac:dyDescent="0.2">
      <c r="A1387" s="140" t="s">
        <v>4549</v>
      </c>
      <c r="B1387" s="141">
        <v>8.3925842651844992E-3</v>
      </c>
      <c r="D1387" s="141"/>
    </row>
    <row r="1388" spans="1:4" x14ac:dyDescent="0.2">
      <c r="A1388" s="140" t="s">
        <v>3777</v>
      </c>
      <c r="B1388" s="141">
        <v>8.3896453413570896E-3</v>
      </c>
      <c r="D1388" s="141"/>
    </row>
    <row r="1389" spans="1:4" x14ac:dyDescent="0.2">
      <c r="A1389" s="140" t="s">
        <v>2849</v>
      </c>
      <c r="B1389" s="141">
        <v>8.3889937598947504E-3</v>
      </c>
      <c r="D1389" s="141"/>
    </row>
    <row r="1390" spans="1:4" x14ac:dyDescent="0.2">
      <c r="A1390" s="140" t="s">
        <v>4685</v>
      </c>
      <c r="B1390" s="141">
        <v>8.3831975354383692E-3</v>
      </c>
      <c r="D1390" s="141"/>
    </row>
    <row r="1391" spans="1:4" x14ac:dyDescent="0.2">
      <c r="A1391" s="140" t="s">
        <v>2636</v>
      </c>
      <c r="B1391" s="141">
        <v>8.3746314480927005E-3</v>
      </c>
      <c r="D1391" s="141"/>
    </row>
    <row r="1392" spans="1:4" x14ac:dyDescent="0.2">
      <c r="A1392" s="140" t="s">
        <v>5210</v>
      </c>
      <c r="B1392" s="141">
        <v>8.3721983759561906E-3</v>
      </c>
      <c r="D1392" s="141"/>
    </row>
    <row r="1393" spans="1:4" x14ac:dyDescent="0.2">
      <c r="A1393" s="140" t="s">
        <v>2690</v>
      </c>
      <c r="B1393" s="141">
        <v>8.3714502082440096E-3</v>
      </c>
      <c r="D1393" s="141"/>
    </row>
    <row r="1394" spans="1:4" x14ac:dyDescent="0.2">
      <c r="A1394" s="140" t="s">
        <v>4260</v>
      </c>
      <c r="B1394" s="141">
        <v>8.3696293975680305E-3</v>
      </c>
      <c r="D1394" s="141"/>
    </row>
    <row r="1395" spans="1:4" x14ac:dyDescent="0.2">
      <c r="A1395" s="140" t="s">
        <v>1071</v>
      </c>
      <c r="B1395" s="141">
        <v>8.3681170911338101E-3</v>
      </c>
      <c r="D1395" s="141"/>
    </row>
    <row r="1396" spans="1:4" x14ac:dyDescent="0.2">
      <c r="A1396" s="140" t="s">
        <v>6829</v>
      </c>
      <c r="B1396" s="141">
        <v>8.3586604847971403E-3</v>
      </c>
      <c r="D1396" s="141"/>
    </row>
    <row r="1397" spans="1:4" x14ac:dyDescent="0.2">
      <c r="A1397" s="140" t="s">
        <v>6830</v>
      </c>
      <c r="B1397" s="141">
        <v>8.3540385823647392E-3</v>
      </c>
      <c r="D1397" s="141"/>
    </row>
    <row r="1398" spans="1:4" x14ac:dyDescent="0.2">
      <c r="A1398" s="140" t="s">
        <v>6831</v>
      </c>
      <c r="B1398" s="141">
        <v>8.3132767002623894E-3</v>
      </c>
      <c r="D1398" s="141"/>
    </row>
    <row r="1399" spans="1:4" x14ac:dyDescent="0.2">
      <c r="A1399" s="140" t="s">
        <v>6832</v>
      </c>
      <c r="B1399" s="141">
        <v>8.3132767002623894E-3</v>
      </c>
      <c r="D1399" s="141"/>
    </row>
    <row r="1400" spans="1:4" x14ac:dyDescent="0.2">
      <c r="A1400" s="140" t="s">
        <v>3258</v>
      </c>
      <c r="B1400" s="141">
        <v>8.3132767002623894E-3</v>
      </c>
      <c r="D1400" s="141"/>
    </row>
    <row r="1401" spans="1:4" x14ac:dyDescent="0.2">
      <c r="A1401" s="140" t="s">
        <v>650</v>
      </c>
      <c r="B1401" s="141">
        <v>8.3074598860239796E-3</v>
      </c>
      <c r="D1401" s="141"/>
    </row>
    <row r="1402" spans="1:4" x14ac:dyDescent="0.2">
      <c r="A1402" s="140" t="s">
        <v>5081</v>
      </c>
      <c r="B1402" s="141">
        <v>8.29708028510261E-3</v>
      </c>
      <c r="D1402" s="141"/>
    </row>
    <row r="1403" spans="1:4" x14ac:dyDescent="0.2">
      <c r="A1403" s="140" t="s">
        <v>4648</v>
      </c>
      <c r="B1403" s="141">
        <v>8.29708028510261E-3</v>
      </c>
      <c r="D1403" s="141"/>
    </row>
    <row r="1404" spans="1:4" x14ac:dyDescent="0.2">
      <c r="A1404" s="140" t="s">
        <v>4544</v>
      </c>
      <c r="B1404" s="141">
        <v>8.29708028510261E-3</v>
      </c>
      <c r="D1404" s="141"/>
    </row>
    <row r="1405" spans="1:4" x14ac:dyDescent="0.2">
      <c r="A1405" s="140" t="s">
        <v>1237</v>
      </c>
      <c r="B1405" s="141">
        <v>8.29708028510261E-3</v>
      </c>
      <c r="D1405" s="141"/>
    </row>
    <row r="1406" spans="1:4" x14ac:dyDescent="0.2">
      <c r="A1406" s="140" t="s">
        <v>3562</v>
      </c>
      <c r="B1406" s="141">
        <v>8.2747791209826799E-3</v>
      </c>
      <c r="D1406" s="141"/>
    </row>
    <row r="1407" spans="1:4" x14ac:dyDescent="0.2">
      <c r="A1407" s="140" t="s">
        <v>4682</v>
      </c>
      <c r="B1407" s="141">
        <v>8.2694311825527896E-3</v>
      </c>
      <c r="D1407" s="141"/>
    </row>
    <row r="1408" spans="1:4" x14ac:dyDescent="0.2">
      <c r="A1408" s="140" t="s">
        <v>5971</v>
      </c>
      <c r="B1408" s="141">
        <v>8.2691764768319902E-3</v>
      </c>
      <c r="D1408" s="141"/>
    </row>
    <row r="1409" spans="1:4" x14ac:dyDescent="0.2">
      <c r="A1409" s="140" t="s">
        <v>4699</v>
      </c>
      <c r="B1409" s="141">
        <v>8.2631108555100297E-3</v>
      </c>
      <c r="D1409" s="141"/>
    </row>
    <row r="1410" spans="1:4" x14ac:dyDescent="0.2">
      <c r="A1410" s="140" t="s">
        <v>6833</v>
      </c>
      <c r="B1410" s="141">
        <v>8.2564737375510708E-3</v>
      </c>
      <c r="D1410" s="141"/>
    </row>
    <row r="1411" spans="1:4" x14ac:dyDescent="0.2">
      <c r="A1411" s="140" t="s">
        <v>5603</v>
      </c>
      <c r="B1411" s="141">
        <v>8.2416679812001101E-3</v>
      </c>
      <c r="D1411" s="141"/>
    </row>
    <row r="1412" spans="1:4" x14ac:dyDescent="0.2">
      <c r="A1412" s="140" t="s">
        <v>6834</v>
      </c>
      <c r="B1412" s="141">
        <v>8.1959020560284299E-3</v>
      </c>
      <c r="D1412" s="141"/>
    </row>
    <row r="1413" spans="1:4" x14ac:dyDescent="0.2">
      <c r="A1413" s="140" t="s">
        <v>6334</v>
      </c>
      <c r="B1413" s="141">
        <v>8.1884786587891802E-3</v>
      </c>
      <c r="D1413" s="141"/>
    </row>
    <row r="1414" spans="1:4" x14ac:dyDescent="0.2">
      <c r="A1414" s="140" t="s">
        <v>6835</v>
      </c>
      <c r="B1414" s="141">
        <v>8.1455502639152001E-3</v>
      </c>
      <c r="D1414" s="141"/>
    </row>
    <row r="1415" spans="1:4" x14ac:dyDescent="0.2">
      <c r="A1415" s="140" t="s">
        <v>6289</v>
      </c>
      <c r="B1415" s="141">
        <v>8.1453890359365396E-3</v>
      </c>
      <c r="D1415" s="141"/>
    </row>
    <row r="1416" spans="1:4" x14ac:dyDescent="0.2">
      <c r="A1416" s="140" t="s">
        <v>4058</v>
      </c>
      <c r="B1416" s="141">
        <v>8.1453137927764499E-3</v>
      </c>
      <c r="D1416" s="141"/>
    </row>
    <row r="1417" spans="1:4" x14ac:dyDescent="0.2">
      <c r="A1417" s="140" t="s">
        <v>6836</v>
      </c>
      <c r="B1417" s="141">
        <v>8.1244577761116297E-3</v>
      </c>
      <c r="D1417" s="141"/>
    </row>
    <row r="1418" spans="1:4" x14ac:dyDescent="0.2">
      <c r="A1418" s="140" t="s">
        <v>6837</v>
      </c>
      <c r="B1418" s="141">
        <v>8.1088320055971198E-3</v>
      </c>
      <c r="D1418" s="141"/>
    </row>
    <row r="1419" spans="1:4" x14ac:dyDescent="0.2">
      <c r="A1419" s="140" t="s">
        <v>5160</v>
      </c>
      <c r="B1419" s="141">
        <v>8.07705957568919E-3</v>
      </c>
      <c r="D1419" s="141"/>
    </row>
    <row r="1420" spans="1:4" x14ac:dyDescent="0.2">
      <c r="A1420" s="140" t="s">
        <v>6838</v>
      </c>
      <c r="B1420" s="141">
        <v>8.0745973015895894E-3</v>
      </c>
      <c r="D1420" s="141"/>
    </row>
    <row r="1421" spans="1:4" x14ac:dyDescent="0.2">
      <c r="A1421" s="140" t="s">
        <v>2095</v>
      </c>
      <c r="B1421" s="141">
        <v>8.0617285920356607E-3</v>
      </c>
      <c r="D1421" s="141"/>
    </row>
    <row r="1422" spans="1:4" x14ac:dyDescent="0.2">
      <c r="A1422" s="140" t="s">
        <v>5897</v>
      </c>
      <c r="B1422" s="141">
        <v>8.0477530162188799E-3</v>
      </c>
      <c r="D1422" s="141"/>
    </row>
    <row r="1423" spans="1:4" x14ac:dyDescent="0.2">
      <c r="A1423" s="140" t="s">
        <v>6839</v>
      </c>
      <c r="B1423" s="141">
        <v>8.0415367200896495E-3</v>
      </c>
      <c r="D1423" s="141"/>
    </row>
    <row r="1424" spans="1:4" x14ac:dyDescent="0.2">
      <c r="A1424" s="140" t="s">
        <v>2265</v>
      </c>
      <c r="B1424" s="141">
        <v>8.0320692576333792E-3</v>
      </c>
      <c r="D1424" s="141"/>
    </row>
    <row r="1425" spans="1:4" x14ac:dyDescent="0.2">
      <c r="A1425" s="140" t="s">
        <v>6840</v>
      </c>
      <c r="B1425" s="141">
        <v>8.0171004459826996E-3</v>
      </c>
      <c r="D1425" s="141"/>
    </row>
    <row r="1426" spans="1:4" x14ac:dyDescent="0.2">
      <c r="A1426" s="140" t="s">
        <v>6841</v>
      </c>
      <c r="B1426" s="141">
        <v>8.0171004459826996E-3</v>
      </c>
      <c r="D1426" s="141"/>
    </row>
    <row r="1427" spans="1:4" x14ac:dyDescent="0.2">
      <c r="A1427" s="140" t="s">
        <v>6842</v>
      </c>
      <c r="B1427" s="141">
        <v>8.0171004459826996E-3</v>
      </c>
      <c r="D1427" s="141"/>
    </row>
    <row r="1428" spans="1:4" x14ac:dyDescent="0.2">
      <c r="A1428" s="140" t="s">
        <v>6843</v>
      </c>
      <c r="B1428" s="141">
        <v>8.0171004459826996E-3</v>
      </c>
      <c r="D1428" s="141"/>
    </row>
    <row r="1429" spans="1:4" x14ac:dyDescent="0.2">
      <c r="A1429" s="140" t="s">
        <v>851</v>
      </c>
      <c r="B1429" s="141">
        <v>8.0137146520274007E-3</v>
      </c>
      <c r="D1429" s="141"/>
    </row>
    <row r="1430" spans="1:4" x14ac:dyDescent="0.2">
      <c r="A1430" s="140" t="s">
        <v>4304</v>
      </c>
      <c r="B1430" s="141">
        <v>8.0049264551735992E-3</v>
      </c>
      <c r="D1430" s="141"/>
    </row>
    <row r="1431" spans="1:4" x14ac:dyDescent="0.2">
      <c r="A1431" s="140" t="s">
        <v>6844</v>
      </c>
      <c r="B1431" s="141">
        <v>8.0022800926586209E-3</v>
      </c>
      <c r="D1431" s="141"/>
    </row>
    <row r="1432" spans="1:4" x14ac:dyDescent="0.2">
      <c r="A1432" s="140" t="s">
        <v>6845</v>
      </c>
      <c r="B1432" s="141">
        <v>7.9853065307959499E-3</v>
      </c>
      <c r="D1432" s="141"/>
    </row>
    <row r="1433" spans="1:4" x14ac:dyDescent="0.2">
      <c r="A1433" s="140" t="s">
        <v>4521</v>
      </c>
      <c r="B1433" s="141">
        <v>7.9822654395279007E-3</v>
      </c>
      <c r="D1433" s="141"/>
    </row>
    <row r="1434" spans="1:4" x14ac:dyDescent="0.2">
      <c r="A1434" s="140" t="s">
        <v>4580</v>
      </c>
      <c r="B1434" s="141">
        <v>7.9614300228769905E-3</v>
      </c>
      <c r="D1434" s="141"/>
    </row>
    <row r="1435" spans="1:4" x14ac:dyDescent="0.2">
      <c r="A1435" s="140" t="s">
        <v>6003</v>
      </c>
      <c r="B1435" s="141">
        <v>7.9590041433817704E-3</v>
      </c>
      <c r="D1435" s="141"/>
    </row>
    <row r="1436" spans="1:4" x14ac:dyDescent="0.2">
      <c r="A1436" s="140" t="s">
        <v>2612</v>
      </c>
      <c r="B1436" s="141">
        <v>7.9523656617195501E-3</v>
      </c>
      <c r="D1436" s="141"/>
    </row>
    <row r="1437" spans="1:4" x14ac:dyDescent="0.2">
      <c r="A1437" s="140" t="s">
        <v>5798</v>
      </c>
      <c r="B1437" s="141">
        <v>7.9326425750912907E-3</v>
      </c>
      <c r="D1437" s="141"/>
    </row>
    <row r="1438" spans="1:4" x14ac:dyDescent="0.2">
      <c r="A1438" s="140" t="s">
        <v>4433</v>
      </c>
      <c r="B1438" s="141">
        <v>7.9226769956982305E-3</v>
      </c>
      <c r="D1438" s="141"/>
    </row>
    <row r="1439" spans="1:4" x14ac:dyDescent="0.2">
      <c r="A1439" s="140" t="s">
        <v>5164</v>
      </c>
      <c r="B1439" s="141">
        <v>7.9141419625487208E-3</v>
      </c>
      <c r="D1439" s="141"/>
    </row>
    <row r="1440" spans="1:4" x14ac:dyDescent="0.2">
      <c r="A1440" s="140" t="s">
        <v>5851</v>
      </c>
      <c r="B1440" s="141">
        <v>7.9124166003228906E-3</v>
      </c>
      <c r="D1440" s="141"/>
    </row>
    <row r="1441" spans="1:4" x14ac:dyDescent="0.2">
      <c r="A1441" s="140" t="s">
        <v>6846</v>
      </c>
      <c r="B1441" s="141">
        <v>7.9071282379449895E-3</v>
      </c>
      <c r="D1441" s="141"/>
    </row>
    <row r="1442" spans="1:4" x14ac:dyDescent="0.2">
      <c r="A1442" s="140" t="s">
        <v>3073</v>
      </c>
      <c r="B1442" s="141">
        <v>7.9028739409922506E-3</v>
      </c>
      <c r="D1442" s="141"/>
    </row>
    <row r="1443" spans="1:4" x14ac:dyDescent="0.2">
      <c r="A1443" s="140" t="s">
        <v>6847</v>
      </c>
      <c r="B1443" s="141">
        <v>7.8934300448016102E-3</v>
      </c>
      <c r="D1443" s="141"/>
    </row>
    <row r="1444" spans="1:4" x14ac:dyDescent="0.2">
      <c r="A1444" s="140" t="s">
        <v>2853</v>
      </c>
      <c r="B1444" s="141">
        <v>7.8843046602188604E-3</v>
      </c>
      <c r="D1444" s="141"/>
    </row>
    <row r="1445" spans="1:4" x14ac:dyDescent="0.2">
      <c r="A1445" s="140" t="s">
        <v>5258</v>
      </c>
      <c r="B1445" s="141">
        <v>7.8829065552574497E-3</v>
      </c>
      <c r="D1445" s="141"/>
    </row>
    <row r="1446" spans="1:4" x14ac:dyDescent="0.2">
      <c r="A1446" s="140" t="s">
        <v>4789</v>
      </c>
      <c r="B1446" s="141">
        <v>7.8761487770206799E-3</v>
      </c>
      <c r="D1446" s="141"/>
    </row>
    <row r="1447" spans="1:4" x14ac:dyDescent="0.2">
      <c r="A1447" s="140" t="s">
        <v>6848</v>
      </c>
      <c r="B1447" s="141">
        <v>7.8505919386190996E-3</v>
      </c>
      <c r="D1447" s="141"/>
    </row>
    <row r="1448" spans="1:4" x14ac:dyDescent="0.2">
      <c r="A1448" s="140" t="s">
        <v>6849</v>
      </c>
      <c r="B1448" s="141">
        <v>7.8456075364643496E-3</v>
      </c>
      <c r="D1448" s="141"/>
    </row>
    <row r="1449" spans="1:4" x14ac:dyDescent="0.2">
      <c r="A1449" s="140" t="s">
        <v>3238</v>
      </c>
      <c r="B1449" s="141">
        <v>7.8456075364643496E-3</v>
      </c>
      <c r="D1449" s="141"/>
    </row>
    <row r="1450" spans="1:4" x14ac:dyDescent="0.2">
      <c r="A1450" s="140" t="s">
        <v>3104</v>
      </c>
      <c r="B1450" s="141">
        <v>7.8408233217368006E-3</v>
      </c>
      <c r="D1450" s="141"/>
    </row>
    <row r="1451" spans="1:4" x14ac:dyDescent="0.2">
      <c r="A1451" s="140" t="s">
        <v>6850</v>
      </c>
      <c r="B1451" s="141">
        <v>7.8404313521300596E-3</v>
      </c>
      <c r="D1451" s="141"/>
    </row>
    <row r="1452" spans="1:4" x14ac:dyDescent="0.2">
      <c r="A1452" s="140" t="s">
        <v>4768</v>
      </c>
      <c r="B1452" s="141">
        <v>7.8379106129430505E-3</v>
      </c>
      <c r="D1452" s="141"/>
    </row>
    <row r="1453" spans="1:4" x14ac:dyDescent="0.2">
      <c r="A1453" s="140" t="s">
        <v>2933</v>
      </c>
      <c r="B1453" s="141">
        <v>7.8337595697126998E-3</v>
      </c>
      <c r="D1453" s="141"/>
    </row>
    <row r="1454" spans="1:4" x14ac:dyDescent="0.2">
      <c r="A1454" s="140" t="s">
        <v>1264</v>
      </c>
      <c r="B1454" s="141">
        <v>7.8336314097573103E-3</v>
      </c>
      <c r="D1454" s="141"/>
    </row>
    <row r="1455" spans="1:4" x14ac:dyDescent="0.2">
      <c r="A1455" s="140" t="s">
        <v>4952</v>
      </c>
      <c r="B1455" s="141">
        <v>7.8240043296432405E-3</v>
      </c>
      <c r="D1455" s="141"/>
    </row>
    <row r="1456" spans="1:4" x14ac:dyDescent="0.2">
      <c r="A1456" s="140" t="s">
        <v>1928</v>
      </c>
      <c r="B1456" s="141">
        <v>7.8049774765034299E-3</v>
      </c>
      <c r="D1456" s="141"/>
    </row>
    <row r="1457" spans="1:4" x14ac:dyDescent="0.2">
      <c r="A1457" s="140" t="s">
        <v>6851</v>
      </c>
      <c r="B1457" s="141">
        <v>7.7896749734888597E-3</v>
      </c>
      <c r="D1457" s="141"/>
    </row>
    <row r="1458" spans="1:4" x14ac:dyDescent="0.2">
      <c r="A1458" s="140" t="s">
        <v>4140</v>
      </c>
      <c r="B1458" s="141">
        <v>7.7843636342687103E-3</v>
      </c>
      <c r="D1458" s="141"/>
    </row>
    <row r="1459" spans="1:4" x14ac:dyDescent="0.2">
      <c r="A1459" s="140" t="s">
        <v>3250</v>
      </c>
      <c r="B1459" s="141">
        <v>7.78268330082883E-3</v>
      </c>
      <c r="D1459" s="141"/>
    </row>
    <row r="1460" spans="1:4" x14ac:dyDescent="0.2">
      <c r="A1460" s="140" t="s">
        <v>6852</v>
      </c>
      <c r="B1460" s="141">
        <v>7.7712634126081799E-3</v>
      </c>
      <c r="D1460" s="141"/>
    </row>
    <row r="1461" spans="1:4" x14ac:dyDescent="0.2">
      <c r="A1461" s="140" t="s">
        <v>705</v>
      </c>
      <c r="B1461" s="141">
        <v>7.7272325543313401E-3</v>
      </c>
      <c r="D1461" s="141"/>
    </row>
    <row r="1462" spans="1:4" x14ac:dyDescent="0.2">
      <c r="A1462" s="140" t="s">
        <v>6853</v>
      </c>
      <c r="B1462" s="141">
        <v>7.7265637323751003E-3</v>
      </c>
      <c r="D1462" s="141"/>
    </row>
    <row r="1463" spans="1:4" x14ac:dyDescent="0.2">
      <c r="A1463" s="140" t="s">
        <v>6854</v>
      </c>
      <c r="B1463" s="141">
        <v>7.6961096062586601E-3</v>
      </c>
      <c r="D1463" s="141"/>
    </row>
    <row r="1464" spans="1:4" x14ac:dyDescent="0.2">
      <c r="A1464" s="140" t="s">
        <v>3716</v>
      </c>
      <c r="B1464" s="141">
        <v>7.6753512976051796E-3</v>
      </c>
      <c r="D1464" s="141"/>
    </row>
    <row r="1465" spans="1:4" x14ac:dyDescent="0.2">
      <c r="A1465" s="140" t="s">
        <v>6855</v>
      </c>
      <c r="B1465" s="141">
        <v>7.6664505210130504E-3</v>
      </c>
      <c r="D1465" s="141"/>
    </row>
    <row r="1466" spans="1:4" x14ac:dyDescent="0.2">
      <c r="A1466" s="140" t="s">
        <v>3000</v>
      </c>
      <c r="B1466" s="141">
        <v>7.6593088967231698E-3</v>
      </c>
      <c r="D1466" s="141"/>
    </row>
    <row r="1467" spans="1:4" x14ac:dyDescent="0.2">
      <c r="A1467" s="140" t="s">
        <v>3171</v>
      </c>
      <c r="B1467" s="141">
        <v>7.6370077068796897E-3</v>
      </c>
      <c r="D1467" s="141"/>
    </row>
    <row r="1468" spans="1:4" x14ac:dyDescent="0.2">
      <c r="A1468" s="140" t="s">
        <v>6856</v>
      </c>
      <c r="B1468" s="141">
        <v>7.6041550117344203E-3</v>
      </c>
      <c r="D1468" s="141"/>
    </row>
    <row r="1469" spans="1:4" x14ac:dyDescent="0.2">
      <c r="A1469" s="140" t="s">
        <v>2725</v>
      </c>
      <c r="B1469" s="141">
        <v>7.6023076895517299E-3</v>
      </c>
      <c r="D1469" s="141"/>
    </row>
    <row r="1470" spans="1:4" x14ac:dyDescent="0.2">
      <c r="A1470" s="140" t="s">
        <v>3597</v>
      </c>
      <c r="B1470" s="141">
        <v>7.5854205480264903E-3</v>
      </c>
      <c r="D1470" s="141"/>
    </row>
    <row r="1471" spans="1:4" x14ac:dyDescent="0.2">
      <c r="A1471" s="140" t="s">
        <v>6857</v>
      </c>
      <c r="B1471" s="141">
        <v>7.5639471830667602E-3</v>
      </c>
      <c r="D1471" s="141"/>
    </row>
    <row r="1472" spans="1:4" x14ac:dyDescent="0.2">
      <c r="A1472" s="140" t="s">
        <v>2100</v>
      </c>
      <c r="B1472" s="141">
        <v>7.5599940856835102E-3</v>
      </c>
      <c r="D1472" s="141"/>
    </row>
    <row r="1473" spans="1:4" x14ac:dyDescent="0.2">
      <c r="A1473" s="140" t="s">
        <v>6858</v>
      </c>
      <c r="B1473" s="141">
        <v>7.5584595419404396E-3</v>
      </c>
      <c r="D1473" s="141"/>
    </row>
    <row r="1474" spans="1:4" x14ac:dyDescent="0.2">
      <c r="A1474" s="140" t="s">
        <v>6859</v>
      </c>
      <c r="B1474" s="141">
        <v>7.5456203197159797E-3</v>
      </c>
      <c r="D1474" s="141"/>
    </row>
    <row r="1475" spans="1:4" x14ac:dyDescent="0.2">
      <c r="A1475" s="140" t="s">
        <v>6860</v>
      </c>
      <c r="B1475" s="141">
        <v>7.5410941894711297E-3</v>
      </c>
      <c r="D1475" s="141"/>
    </row>
    <row r="1476" spans="1:4" x14ac:dyDescent="0.2">
      <c r="A1476" s="140" t="s">
        <v>1850</v>
      </c>
      <c r="B1476" s="141">
        <v>7.5330398757999899E-3</v>
      </c>
      <c r="D1476" s="141"/>
    </row>
    <row r="1477" spans="1:4" x14ac:dyDescent="0.2">
      <c r="A1477" s="140" t="s">
        <v>3632</v>
      </c>
      <c r="B1477" s="141">
        <v>7.5318016348925303E-3</v>
      </c>
      <c r="D1477" s="141"/>
    </row>
    <row r="1478" spans="1:4" x14ac:dyDescent="0.2">
      <c r="A1478" s="140" t="s">
        <v>2781</v>
      </c>
      <c r="B1478" s="141">
        <v>7.5148517222409098E-3</v>
      </c>
      <c r="D1478" s="141"/>
    </row>
    <row r="1479" spans="1:4" x14ac:dyDescent="0.2">
      <c r="A1479" s="140" t="s">
        <v>2976</v>
      </c>
      <c r="B1479" s="141">
        <v>7.5069242034721496E-3</v>
      </c>
      <c r="D1479" s="141"/>
    </row>
    <row r="1480" spans="1:4" x14ac:dyDescent="0.2">
      <c r="A1480" s="140" t="s">
        <v>5549</v>
      </c>
      <c r="B1480" s="141">
        <v>7.5049804858857497E-3</v>
      </c>
      <c r="D1480" s="141"/>
    </row>
    <row r="1481" spans="1:4" x14ac:dyDescent="0.2">
      <c r="A1481" s="140" t="s">
        <v>6347</v>
      </c>
      <c r="B1481" s="141">
        <v>7.4890063934254401E-3</v>
      </c>
      <c r="D1481" s="141"/>
    </row>
    <row r="1482" spans="1:4" x14ac:dyDescent="0.2">
      <c r="A1482" s="140" t="s">
        <v>1880</v>
      </c>
      <c r="B1482" s="141">
        <v>7.4889732799124E-3</v>
      </c>
      <c r="D1482" s="141"/>
    </row>
    <row r="1483" spans="1:4" x14ac:dyDescent="0.2">
      <c r="A1483" s="140" t="s">
        <v>4855</v>
      </c>
      <c r="B1483" s="141">
        <v>7.4719870348899202E-3</v>
      </c>
      <c r="D1483" s="141"/>
    </row>
    <row r="1484" spans="1:4" x14ac:dyDescent="0.2">
      <c r="A1484" s="140" t="s">
        <v>2693</v>
      </c>
      <c r="B1484" s="141">
        <v>7.45054654059583E-3</v>
      </c>
      <c r="D1484" s="141"/>
    </row>
    <row r="1485" spans="1:4" x14ac:dyDescent="0.2">
      <c r="A1485" s="140" t="s">
        <v>2819</v>
      </c>
      <c r="B1485" s="141">
        <v>7.4476567305434499E-3</v>
      </c>
      <c r="D1485" s="141"/>
    </row>
    <row r="1486" spans="1:4" x14ac:dyDescent="0.2">
      <c r="A1486" s="140" t="s">
        <v>4403</v>
      </c>
      <c r="B1486" s="141">
        <v>7.4307570481726096E-3</v>
      </c>
      <c r="D1486" s="141"/>
    </row>
    <row r="1487" spans="1:4" x14ac:dyDescent="0.2">
      <c r="A1487" s="140" t="s">
        <v>3159</v>
      </c>
      <c r="B1487" s="141">
        <v>7.4245492027091298E-3</v>
      </c>
      <c r="D1487" s="141"/>
    </row>
    <row r="1488" spans="1:4" x14ac:dyDescent="0.2">
      <c r="A1488" s="140" t="s">
        <v>3686</v>
      </c>
      <c r="B1488" s="141">
        <v>7.4225302722284899E-3</v>
      </c>
      <c r="D1488" s="141"/>
    </row>
    <row r="1489" spans="1:4" x14ac:dyDescent="0.2">
      <c r="A1489" s="140" t="s">
        <v>6861</v>
      </c>
      <c r="B1489" s="141">
        <v>7.4190972765462099E-3</v>
      </c>
      <c r="D1489" s="141"/>
    </row>
    <row r="1490" spans="1:4" x14ac:dyDescent="0.2">
      <c r="A1490" s="140" t="s">
        <v>6862</v>
      </c>
      <c r="B1490" s="141">
        <v>7.4160707933164996E-3</v>
      </c>
      <c r="D1490" s="141"/>
    </row>
    <row r="1491" spans="1:4" x14ac:dyDescent="0.2">
      <c r="A1491" s="140" t="s">
        <v>623</v>
      </c>
      <c r="B1491" s="141">
        <v>7.3982966144879097E-3</v>
      </c>
      <c r="D1491" s="141"/>
    </row>
    <row r="1492" spans="1:4" x14ac:dyDescent="0.2">
      <c r="A1492" s="140" t="s">
        <v>2123</v>
      </c>
      <c r="B1492" s="141">
        <v>7.3802119669138097E-3</v>
      </c>
      <c r="D1492" s="141"/>
    </row>
    <row r="1493" spans="1:4" x14ac:dyDescent="0.2">
      <c r="A1493" s="140" t="s">
        <v>6863</v>
      </c>
      <c r="B1493" s="141">
        <v>7.3723374874906499E-3</v>
      </c>
      <c r="D1493" s="141"/>
    </row>
    <row r="1494" spans="1:4" x14ac:dyDescent="0.2">
      <c r="A1494" s="140" t="s">
        <v>6864</v>
      </c>
      <c r="B1494" s="141">
        <v>7.3723374874906499E-3</v>
      </c>
      <c r="D1494" s="141"/>
    </row>
    <row r="1495" spans="1:4" x14ac:dyDescent="0.2">
      <c r="A1495" s="140" t="s">
        <v>2537</v>
      </c>
      <c r="B1495" s="141">
        <v>7.3097806602170703E-3</v>
      </c>
      <c r="D1495" s="141"/>
    </row>
    <row r="1496" spans="1:4" x14ac:dyDescent="0.2">
      <c r="A1496" s="140" t="s">
        <v>6865</v>
      </c>
      <c r="B1496" s="141">
        <v>7.2970939382251201E-3</v>
      </c>
      <c r="D1496" s="141"/>
    </row>
    <row r="1497" spans="1:4" x14ac:dyDescent="0.2">
      <c r="A1497" s="140" t="s">
        <v>5953</v>
      </c>
      <c r="B1497" s="141">
        <v>7.2783328254090599E-3</v>
      </c>
      <c r="D1497" s="141"/>
    </row>
    <row r="1498" spans="1:4" x14ac:dyDescent="0.2">
      <c r="A1498" s="140" t="s">
        <v>876</v>
      </c>
      <c r="B1498" s="141">
        <v>7.2741217243862599E-3</v>
      </c>
      <c r="D1498" s="141"/>
    </row>
    <row r="1499" spans="1:4" x14ac:dyDescent="0.2">
      <c r="A1499" s="140" t="s">
        <v>6278</v>
      </c>
      <c r="B1499" s="141">
        <v>7.2658011450730496E-3</v>
      </c>
      <c r="D1499" s="141"/>
    </row>
    <row r="1500" spans="1:4" x14ac:dyDescent="0.2">
      <c r="A1500" s="140" t="s">
        <v>6866</v>
      </c>
      <c r="B1500" s="141">
        <v>7.2411146721541404E-3</v>
      </c>
      <c r="D1500" s="141"/>
    </row>
    <row r="1501" spans="1:4" x14ac:dyDescent="0.2">
      <c r="A1501" s="140" t="s">
        <v>3787</v>
      </c>
      <c r="B1501" s="141">
        <v>7.2255394420681603E-3</v>
      </c>
      <c r="D1501" s="141"/>
    </row>
    <row r="1502" spans="1:4" x14ac:dyDescent="0.2">
      <c r="A1502" s="140" t="s">
        <v>3913</v>
      </c>
      <c r="B1502" s="141">
        <v>7.1921908909427096E-3</v>
      </c>
      <c r="D1502" s="141"/>
    </row>
    <row r="1503" spans="1:4" x14ac:dyDescent="0.2">
      <c r="A1503" s="140" t="s">
        <v>3173</v>
      </c>
      <c r="B1503" s="141">
        <v>7.18234653085441E-3</v>
      </c>
      <c r="D1503" s="141"/>
    </row>
    <row r="1504" spans="1:4" x14ac:dyDescent="0.2">
      <c r="A1504" s="140" t="s">
        <v>5190</v>
      </c>
      <c r="B1504" s="141">
        <v>7.1800516962256897E-3</v>
      </c>
      <c r="D1504" s="141"/>
    </row>
    <row r="1505" spans="1:4" x14ac:dyDescent="0.2">
      <c r="A1505" s="140" t="s">
        <v>3183</v>
      </c>
      <c r="B1505" s="141">
        <v>7.1745984428755903E-3</v>
      </c>
      <c r="D1505" s="141"/>
    </row>
    <row r="1506" spans="1:4" x14ac:dyDescent="0.2">
      <c r="A1506" s="140" t="s">
        <v>6867</v>
      </c>
      <c r="B1506" s="141">
        <v>7.1742328268903097E-3</v>
      </c>
      <c r="D1506" s="141"/>
    </row>
    <row r="1507" spans="1:4" x14ac:dyDescent="0.2">
      <c r="A1507" s="140" t="s">
        <v>6868</v>
      </c>
      <c r="B1507" s="141">
        <v>7.17049427807124E-3</v>
      </c>
      <c r="D1507" s="141"/>
    </row>
    <row r="1508" spans="1:4" x14ac:dyDescent="0.2">
      <c r="A1508" s="140" t="s">
        <v>4550</v>
      </c>
      <c r="B1508" s="141">
        <v>7.1665919985512997E-3</v>
      </c>
      <c r="D1508" s="141"/>
    </row>
    <row r="1509" spans="1:4" x14ac:dyDescent="0.2">
      <c r="A1509" s="140" t="s">
        <v>652</v>
      </c>
      <c r="B1509" s="141">
        <v>7.1549881518448996E-3</v>
      </c>
      <c r="D1509" s="141"/>
    </row>
    <row r="1510" spans="1:4" x14ac:dyDescent="0.2">
      <c r="A1510" s="140" t="s">
        <v>6869</v>
      </c>
      <c r="B1510" s="141">
        <v>7.1496794368940304E-3</v>
      </c>
      <c r="D1510" s="141"/>
    </row>
    <row r="1511" spans="1:4" x14ac:dyDescent="0.2">
      <c r="A1511" s="140" t="s">
        <v>6870</v>
      </c>
      <c r="B1511" s="141">
        <v>7.1460278861814799E-3</v>
      </c>
      <c r="D1511" s="141"/>
    </row>
    <row r="1512" spans="1:4" x14ac:dyDescent="0.2">
      <c r="A1512" s="140" t="s">
        <v>5079</v>
      </c>
      <c r="B1512" s="141">
        <v>7.1416561382761801E-3</v>
      </c>
      <c r="D1512" s="141"/>
    </row>
    <row r="1513" spans="1:4" x14ac:dyDescent="0.2">
      <c r="A1513" s="140" t="s">
        <v>6871</v>
      </c>
      <c r="B1513" s="141">
        <v>7.1206188017109004E-3</v>
      </c>
      <c r="D1513" s="141"/>
    </row>
    <row r="1514" spans="1:4" x14ac:dyDescent="0.2">
      <c r="A1514" s="140" t="s">
        <v>5376</v>
      </c>
      <c r="B1514" s="141">
        <v>7.0885021870308301E-3</v>
      </c>
      <c r="D1514" s="141"/>
    </row>
    <row r="1515" spans="1:4" x14ac:dyDescent="0.2">
      <c r="A1515" s="140" t="s">
        <v>4346</v>
      </c>
      <c r="B1515" s="141">
        <v>7.0863811654189703E-3</v>
      </c>
      <c r="D1515" s="141"/>
    </row>
    <row r="1516" spans="1:4" x14ac:dyDescent="0.2">
      <c r="A1516" s="140" t="s">
        <v>2342</v>
      </c>
      <c r="B1516" s="141">
        <v>7.0781258054550397E-3</v>
      </c>
      <c r="D1516" s="141"/>
    </row>
    <row r="1517" spans="1:4" x14ac:dyDescent="0.2">
      <c r="A1517" s="140" t="s">
        <v>2747</v>
      </c>
      <c r="B1517" s="141">
        <v>7.0704406858573899E-3</v>
      </c>
      <c r="D1517" s="141"/>
    </row>
    <row r="1518" spans="1:4" x14ac:dyDescent="0.2">
      <c r="A1518" s="140" t="s">
        <v>1134</v>
      </c>
      <c r="B1518" s="141">
        <v>7.0647230353174401E-3</v>
      </c>
      <c r="D1518" s="141"/>
    </row>
    <row r="1519" spans="1:4" x14ac:dyDescent="0.2">
      <c r="A1519" s="140" t="s">
        <v>6872</v>
      </c>
      <c r="B1519" s="141">
        <v>7.0582002628378701E-3</v>
      </c>
      <c r="D1519" s="141"/>
    </row>
    <row r="1520" spans="1:4" x14ac:dyDescent="0.2">
      <c r="A1520" s="140" t="s">
        <v>6873</v>
      </c>
      <c r="B1520" s="141">
        <v>7.05673500035246E-3</v>
      </c>
      <c r="D1520" s="141"/>
    </row>
    <row r="1521" spans="1:4" x14ac:dyDescent="0.2">
      <c r="A1521" s="140" t="s">
        <v>6874</v>
      </c>
      <c r="B1521" s="141">
        <v>7.0518442301994097E-3</v>
      </c>
      <c r="D1521" s="141"/>
    </row>
    <row r="1522" spans="1:4" x14ac:dyDescent="0.2">
      <c r="A1522" s="140" t="s">
        <v>6875</v>
      </c>
      <c r="B1522" s="141">
        <v>7.04570658690328E-3</v>
      </c>
      <c r="D1522" s="141"/>
    </row>
    <row r="1523" spans="1:4" x14ac:dyDescent="0.2">
      <c r="A1523" s="140" t="s">
        <v>4189</v>
      </c>
      <c r="B1523" s="141">
        <v>7.0377330106446397E-3</v>
      </c>
      <c r="D1523" s="141"/>
    </row>
    <row r="1524" spans="1:4" x14ac:dyDescent="0.2">
      <c r="A1524" s="140" t="s">
        <v>1436</v>
      </c>
      <c r="B1524" s="141">
        <v>7.0151559913146201E-3</v>
      </c>
      <c r="D1524" s="141"/>
    </row>
    <row r="1525" spans="1:4" x14ac:dyDescent="0.2">
      <c r="A1525" s="140" t="s">
        <v>6876</v>
      </c>
      <c r="B1525" s="141">
        <v>7.0031393869596703E-3</v>
      </c>
      <c r="D1525" s="141"/>
    </row>
    <row r="1526" spans="1:4" x14ac:dyDescent="0.2">
      <c r="A1526" s="140" t="s">
        <v>3385</v>
      </c>
      <c r="B1526" s="141">
        <v>7.0028100735611398E-3</v>
      </c>
      <c r="D1526" s="141"/>
    </row>
    <row r="1527" spans="1:4" x14ac:dyDescent="0.2">
      <c r="A1527" s="140" t="s">
        <v>891</v>
      </c>
      <c r="B1527" s="141">
        <v>7.0020633377699901E-3</v>
      </c>
      <c r="D1527" s="141"/>
    </row>
    <row r="1528" spans="1:4" x14ac:dyDescent="0.2">
      <c r="A1528" s="140" t="s">
        <v>925</v>
      </c>
      <c r="B1528" s="141">
        <v>6.9997120682249196E-3</v>
      </c>
      <c r="D1528" s="141"/>
    </row>
    <row r="1529" spans="1:4" x14ac:dyDescent="0.2">
      <c r="A1529" s="140" t="s">
        <v>2138</v>
      </c>
      <c r="B1529" s="141">
        <v>6.9982391209036203E-3</v>
      </c>
      <c r="D1529" s="141"/>
    </row>
    <row r="1530" spans="1:4" x14ac:dyDescent="0.2">
      <c r="A1530" s="140" t="s">
        <v>3581</v>
      </c>
      <c r="B1530" s="141">
        <v>6.9968118005256496E-3</v>
      </c>
      <c r="D1530" s="141"/>
    </row>
    <row r="1531" spans="1:4" x14ac:dyDescent="0.2">
      <c r="A1531" s="140" t="s">
        <v>2923</v>
      </c>
      <c r="B1531" s="141">
        <v>6.9856584605119997E-3</v>
      </c>
      <c r="D1531" s="141"/>
    </row>
    <row r="1532" spans="1:4" x14ac:dyDescent="0.2">
      <c r="A1532" s="140" t="s">
        <v>4339</v>
      </c>
      <c r="B1532" s="141">
        <v>6.9825037167335702E-3</v>
      </c>
      <c r="D1532" s="141"/>
    </row>
    <row r="1533" spans="1:4" x14ac:dyDescent="0.2">
      <c r="A1533" s="140" t="s">
        <v>3918</v>
      </c>
      <c r="B1533" s="141">
        <v>6.9735656515601896E-3</v>
      </c>
      <c r="D1533" s="141"/>
    </row>
    <row r="1534" spans="1:4" x14ac:dyDescent="0.2">
      <c r="A1534" s="140" t="s">
        <v>3266</v>
      </c>
      <c r="B1534" s="141">
        <v>6.9352088061578098E-3</v>
      </c>
      <c r="D1534" s="141"/>
    </row>
    <row r="1535" spans="1:4" x14ac:dyDescent="0.2">
      <c r="A1535" s="140" t="s">
        <v>6877</v>
      </c>
      <c r="B1535" s="141">
        <v>6.92630199212208E-3</v>
      </c>
      <c r="D1535" s="141"/>
    </row>
    <row r="1536" spans="1:4" x14ac:dyDescent="0.2">
      <c r="A1536" s="140" t="s">
        <v>6878</v>
      </c>
      <c r="B1536" s="141">
        <v>6.9049345981257301E-3</v>
      </c>
      <c r="D1536" s="141"/>
    </row>
    <row r="1537" spans="1:4" x14ac:dyDescent="0.2">
      <c r="A1537" s="140" t="s">
        <v>6879</v>
      </c>
      <c r="B1537" s="141">
        <v>6.90228957714311E-3</v>
      </c>
      <c r="D1537" s="141"/>
    </row>
    <row r="1538" spans="1:4" x14ac:dyDescent="0.2">
      <c r="A1538" s="140" t="s">
        <v>3580</v>
      </c>
      <c r="B1538" s="141">
        <v>6.8983456201039102E-3</v>
      </c>
      <c r="D1538" s="141"/>
    </row>
    <row r="1539" spans="1:4" x14ac:dyDescent="0.2">
      <c r="A1539" s="140" t="s">
        <v>6880</v>
      </c>
      <c r="B1539" s="141">
        <v>6.8848065237161497E-3</v>
      </c>
      <c r="D1539" s="141"/>
    </row>
    <row r="1540" spans="1:4" x14ac:dyDescent="0.2">
      <c r="A1540" s="140" t="s">
        <v>996</v>
      </c>
      <c r="B1540" s="141">
        <v>6.8813183466319401E-3</v>
      </c>
      <c r="D1540" s="141"/>
    </row>
    <row r="1541" spans="1:4" x14ac:dyDescent="0.2">
      <c r="A1541" s="140" t="s">
        <v>6881</v>
      </c>
      <c r="B1541" s="141">
        <v>6.8626410373161398E-3</v>
      </c>
      <c r="D1541" s="141"/>
    </row>
    <row r="1542" spans="1:4" x14ac:dyDescent="0.2">
      <c r="A1542" s="140" t="s">
        <v>5747</v>
      </c>
      <c r="B1542" s="141">
        <v>6.8626410373161398E-3</v>
      </c>
      <c r="D1542" s="141"/>
    </row>
    <row r="1543" spans="1:4" x14ac:dyDescent="0.2">
      <c r="A1543" s="140" t="s">
        <v>5746</v>
      </c>
      <c r="B1543" s="141">
        <v>6.8626410373161398E-3</v>
      </c>
      <c r="D1543" s="141"/>
    </row>
    <row r="1544" spans="1:4" x14ac:dyDescent="0.2">
      <c r="A1544" s="140" t="s">
        <v>4993</v>
      </c>
      <c r="B1544" s="141">
        <v>6.8626410373161398E-3</v>
      </c>
      <c r="D1544" s="141"/>
    </row>
    <row r="1545" spans="1:4" x14ac:dyDescent="0.2">
      <c r="A1545" s="140" t="s">
        <v>4334</v>
      </c>
      <c r="B1545" s="141">
        <v>6.8626410373161398E-3</v>
      </c>
      <c r="D1545" s="141"/>
    </row>
    <row r="1546" spans="1:4" x14ac:dyDescent="0.2">
      <c r="A1546" s="140" t="s">
        <v>6882</v>
      </c>
      <c r="B1546" s="141">
        <v>6.8626410373161398E-3</v>
      </c>
      <c r="D1546" s="141"/>
    </row>
    <row r="1547" spans="1:4" x14ac:dyDescent="0.2">
      <c r="A1547" s="140" t="s">
        <v>6883</v>
      </c>
      <c r="B1547" s="141">
        <v>6.8597504265114099E-3</v>
      </c>
      <c r="D1547" s="141"/>
    </row>
    <row r="1548" spans="1:4" x14ac:dyDescent="0.2">
      <c r="A1548" s="140" t="s">
        <v>3370</v>
      </c>
      <c r="B1548" s="141">
        <v>6.8562817057370596E-3</v>
      </c>
      <c r="D1548" s="141"/>
    </row>
    <row r="1549" spans="1:4" x14ac:dyDescent="0.2">
      <c r="A1549" s="140" t="s">
        <v>2136</v>
      </c>
      <c r="B1549" s="141">
        <v>6.8418981980585799E-3</v>
      </c>
      <c r="D1549" s="141"/>
    </row>
    <row r="1550" spans="1:4" x14ac:dyDescent="0.2">
      <c r="A1550" s="140" t="s">
        <v>5766</v>
      </c>
      <c r="B1550" s="141">
        <v>6.8412028359347002E-3</v>
      </c>
      <c r="D1550" s="141"/>
    </row>
    <row r="1551" spans="1:4" x14ac:dyDescent="0.2">
      <c r="A1551" s="140" t="s">
        <v>2563</v>
      </c>
      <c r="B1551" s="141">
        <v>6.8407841488169101E-3</v>
      </c>
      <c r="D1551" s="141"/>
    </row>
    <row r="1552" spans="1:4" x14ac:dyDescent="0.2">
      <c r="A1552" s="140" t="s">
        <v>3041</v>
      </c>
      <c r="B1552" s="141">
        <v>6.8280627565000598E-3</v>
      </c>
      <c r="D1552" s="141"/>
    </row>
    <row r="1553" spans="1:4" x14ac:dyDescent="0.2">
      <c r="A1553" s="140" t="s">
        <v>5430</v>
      </c>
      <c r="B1553" s="141">
        <v>6.8227515471705399E-3</v>
      </c>
      <c r="D1553" s="141"/>
    </row>
    <row r="1554" spans="1:4" x14ac:dyDescent="0.2">
      <c r="A1554" s="140" t="s">
        <v>1826</v>
      </c>
      <c r="B1554" s="141">
        <v>6.80015230811188E-3</v>
      </c>
      <c r="D1554" s="141"/>
    </row>
    <row r="1555" spans="1:4" x14ac:dyDescent="0.2">
      <c r="A1555" s="140" t="s">
        <v>6084</v>
      </c>
      <c r="B1555" s="141">
        <v>6.7997008127501602E-3</v>
      </c>
      <c r="D1555" s="141"/>
    </row>
    <row r="1556" spans="1:4" x14ac:dyDescent="0.2">
      <c r="A1556" s="140" t="s">
        <v>6884</v>
      </c>
      <c r="B1556" s="141">
        <v>6.7997008127501602E-3</v>
      </c>
      <c r="D1556" s="141"/>
    </row>
    <row r="1557" spans="1:4" x14ac:dyDescent="0.2">
      <c r="A1557" s="140" t="s">
        <v>6885</v>
      </c>
      <c r="B1557" s="141">
        <v>6.7997008127501602E-3</v>
      </c>
      <c r="D1557" s="141"/>
    </row>
    <row r="1558" spans="1:4" x14ac:dyDescent="0.2">
      <c r="A1558" s="140" t="s">
        <v>6886</v>
      </c>
      <c r="B1558" s="141">
        <v>6.7997008127501602E-3</v>
      </c>
      <c r="D1558" s="141"/>
    </row>
    <row r="1559" spans="1:4" x14ac:dyDescent="0.2">
      <c r="A1559" s="140" t="s">
        <v>3009</v>
      </c>
      <c r="B1559" s="141">
        <v>6.7631498420571397E-3</v>
      </c>
      <c r="D1559" s="141"/>
    </row>
    <row r="1560" spans="1:4" x14ac:dyDescent="0.2">
      <c r="A1560" s="140" t="s">
        <v>2922</v>
      </c>
      <c r="B1560" s="141">
        <v>6.74214802236907E-3</v>
      </c>
      <c r="D1560" s="141"/>
    </row>
    <row r="1561" spans="1:4" x14ac:dyDescent="0.2">
      <c r="A1561" s="140" t="s">
        <v>5369</v>
      </c>
      <c r="B1561" s="141">
        <v>6.7344665721423896E-3</v>
      </c>
      <c r="D1561" s="141"/>
    </row>
    <row r="1562" spans="1:4" x14ac:dyDescent="0.2">
      <c r="A1562" s="140" t="s">
        <v>6887</v>
      </c>
      <c r="B1562" s="141">
        <v>6.7279434763129198E-3</v>
      </c>
      <c r="D1562" s="141"/>
    </row>
    <row r="1563" spans="1:4" x14ac:dyDescent="0.2">
      <c r="A1563" s="140" t="s">
        <v>6888</v>
      </c>
      <c r="B1563" s="141">
        <v>6.72711328741692E-3</v>
      </c>
      <c r="D1563" s="141"/>
    </row>
    <row r="1564" spans="1:4" x14ac:dyDescent="0.2">
      <c r="A1564" s="140" t="s">
        <v>3373</v>
      </c>
      <c r="B1564" s="141">
        <v>6.7166074826825297E-3</v>
      </c>
      <c r="D1564" s="141"/>
    </row>
    <row r="1565" spans="1:4" x14ac:dyDescent="0.2">
      <c r="A1565" s="140" t="s">
        <v>3554</v>
      </c>
      <c r="B1565" s="141">
        <v>6.7154728257041397E-3</v>
      </c>
      <c r="D1565" s="141"/>
    </row>
    <row r="1566" spans="1:4" x14ac:dyDescent="0.2">
      <c r="A1566" s="140" t="s">
        <v>5365</v>
      </c>
      <c r="B1566" s="141">
        <v>6.6954265844330202E-3</v>
      </c>
      <c r="D1566" s="141"/>
    </row>
    <row r="1567" spans="1:4" x14ac:dyDescent="0.2">
      <c r="A1567" s="140" t="s">
        <v>5244</v>
      </c>
      <c r="B1567" s="141">
        <v>6.6917476979505199E-3</v>
      </c>
      <c r="D1567" s="141"/>
    </row>
    <row r="1568" spans="1:4" x14ac:dyDescent="0.2">
      <c r="A1568" s="140" t="s">
        <v>4913</v>
      </c>
      <c r="B1568" s="141">
        <v>6.6824068314995299E-3</v>
      </c>
      <c r="D1568" s="141"/>
    </row>
    <row r="1569" spans="1:4" x14ac:dyDescent="0.2">
      <c r="A1569" s="140" t="s">
        <v>2231</v>
      </c>
      <c r="B1569" s="141">
        <v>6.6787680987723296E-3</v>
      </c>
      <c r="D1569" s="141"/>
    </row>
    <row r="1570" spans="1:4" x14ac:dyDescent="0.2">
      <c r="A1570" s="140" t="s">
        <v>6317</v>
      </c>
      <c r="B1570" s="141">
        <v>6.6762541159138796E-3</v>
      </c>
      <c r="D1570" s="141"/>
    </row>
    <row r="1571" spans="1:4" x14ac:dyDescent="0.2">
      <c r="A1571" s="140" t="s">
        <v>6889</v>
      </c>
      <c r="B1571" s="141">
        <v>6.6693070970928296E-3</v>
      </c>
      <c r="D1571" s="141"/>
    </row>
    <row r="1572" spans="1:4" x14ac:dyDescent="0.2">
      <c r="A1572" s="140" t="s">
        <v>1356</v>
      </c>
      <c r="B1572" s="141">
        <v>6.6576932831903897E-3</v>
      </c>
      <c r="D1572" s="141"/>
    </row>
    <row r="1573" spans="1:4" x14ac:dyDescent="0.2">
      <c r="A1573" s="140" t="s">
        <v>3235</v>
      </c>
      <c r="B1573" s="141">
        <v>6.6509581420568899E-3</v>
      </c>
      <c r="D1573" s="141"/>
    </row>
    <row r="1574" spans="1:4" x14ac:dyDescent="0.2">
      <c r="A1574" s="140" t="s">
        <v>5658</v>
      </c>
      <c r="B1574" s="141">
        <v>6.6479053156004598E-3</v>
      </c>
      <c r="D1574" s="141"/>
    </row>
    <row r="1575" spans="1:4" x14ac:dyDescent="0.2">
      <c r="A1575" s="140" t="s">
        <v>2152</v>
      </c>
      <c r="B1575" s="141">
        <v>6.6426605563228002E-3</v>
      </c>
      <c r="D1575" s="141"/>
    </row>
    <row r="1576" spans="1:4" x14ac:dyDescent="0.2">
      <c r="A1576" s="140" t="s">
        <v>2533</v>
      </c>
      <c r="B1576" s="141">
        <v>6.6372981132682496E-3</v>
      </c>
      <c r="D1576" s="141"/>
    </row>
    <row r="1577" spans="1:4" x14ac:dyDescent="0.2">
      <c r="A1577" s="140" t="s">
        <v>2638</v>
      </c>
      <c r="B1577" s="141">
        <v>6.6365070636153402E-3</v>
      </c>
      <c r="D1577" s="141"/>
    </row>
    <row r="1578" spans="1:4" x14ac:dyDescent="0.2">
      <c r="A1578" s="140" t="s">
        <v>5960</v>
      </c>
      <c r="B1578" s="141">
        <v>6.6357100359726298E-3</v>
      </c>
      <c r="D1578" s="141"/>
    </row>
    <row r="1579" spans="1:4" x14ac:dyDescent="0.2">
      <c r="A1579" s="140" t="s">
        <v>832</v>
      </c>
      <c r="B1579" s="141">
        <v>6.6340708285804904E-3</v>
      </c>
      <c r="D1579" s="141"/>
    </row>
    <row r="1580" spans="1:4" x14ac:dyDescent="0.2">
      <c r="A1580" s="140" t="s">
        <v>5771</v>
      </c>
      <c r="B1580" s="141">
        <v>6.6335630929234297E-3</v>
      </c>
      <c r="D1580" s="141"/>
    </row>
    <row r="1581" spans="1:4" x14ac:dyDescent="0.2">
      <c r="A1581" s="140" t="s">
        <v>3093</v>
      </c>
      <c r="B1581" s="141">
        <v>6.6149807375701798E-3</v>
      </c>
      <c r="D1581" s="141"/>
    </row>
    <row r="1582" spans="1:4" x14ac:dyDescent="0.2">
      <c r="A1582" s="140" t="s">
        <v>567</v>
      </c>
      <c r="B1582" s="141">
        <v>6.6110277436072003E-3</v>
      </c>
      <c r="D1582" s="141"/>
    </row>
    <row r="1583" spans="1:4" x14ac:dyDescent="0.2">
      <c r="A1583" s="140" t="s">
        <v>2407</v>
      </c>
      <c r="B1583" s="141">
        <v>6.6060112418366698E-3</v>
      </c>
      <c r="D1583" s="141"/>
    </row>
    <row r="1584" spans="1:4" x14ac:dyDescent="0.2">
      <c r="A1584" s="140" t="s">
        <v>3001</v>
      </c>
      <c r="B1584" s="141">
        <v>6.6051934904674597E-3</v>
      </c>
      <c r="D1584" s="141"/>
    </row>
    <row r="1585" spans="1:4" x14ac:dyDescent="0.2">
      <c r="A1585" s="140" t="s">
        <v>6890</v>
      </c>
      <c r="B1585" s="141">
        <v>6.5981060869623404E-3</v>
      </c>
      <c r="D1585" s="141"/>
    </row>
    <row r="1586" spans="1:4" x14ac:dyDescent="0.2">
      <c r="A1586" s="140" t="s">
        <v>3078</v>
      </c>
      <c r="B1586" s="141">
        <v>6.5932930594303401E-3</v>
      </c>
      <c r="D1586" s="141"/>
    </row>
    <row r="1587" spans="1:4" x14ac:dyDescent="0.2">
      <c r="A1587" s="140" t="s">
        <v>4293</v>
      </c>
      <c r="B1587" s="141">
        <v>6.5919943154898698E-3</v>
      </c>
      <c r="D1587" s="141"/>
    </row>
    <row r="1588" spans="1:4" x14ac:dyDescent="0.2">
      <c r="A1588" s="140" t="s">
        <v>1490</v>
      </c>
      <c r="B1588" s="141">
        <v>6.57903003661983E-3</v>
      </c>
      <c r="D1588" s="141"/>
    </row>
    <row r="1589" spans="1:4" x14ac:dyDescent="0.2">
      <c r="A1589" s="140" t="s">
        <v>3125</v>
      </c>
      <c r="B1589" s="141">
        <v>6.54420235816334E-3</v>
      </c>
      <c r="D1589" s="141"/>
    </row>
    <row r="1590" spans="1:4" x14ac:dyDescent="0.2">
      <c r="A1590" s="140" t="s">
        <v>3568</v>
      </c>
      <c r="B1590" s="141">
        <v>6.5439352806880898E-3</v>
      </c>
      <c r="D1590" s="141"/>
    </row>
    <row r="1591" spans="1:4" x14ac:dyDescent="0.2">
      <c r="A1591" s="140" t="s">
        <v>610</v>
      </c>
      <c r="B1591" s="141">
        <v>6.5347016138943403E-3</v>
      </c>
      <c r="D1591" s="141"/>
    </row>
    <row r="1592" spans="1:4" x14ac:dyDescent="0.2">
      <c r="A1592" s="140" t="s">
        <v>3287</v>
      </c>
      <c r="B1592" s="141">
        <v>6.5275216349480903E-3</v>
      </c>
      <c r="D1592" s="141"/>
    </row>
    <row r="1593" spans="1:4" x14ac:dyDescent="0.2">
      <c r="A1593" s="140" t="s">
        <v>6172</v>
      </c>
      <c r="B1593" s="141">
        <v>6.5272521903287396E-3</v>
      </c>
      <c r="D1593" s="141"/>
    </row>
    <row r="1594" spans="1:4" x14ac:dyDescent="0.2">
      <c r="A1594" s="140" t="s">
        <v>4844</v>
      </c>
      <c r="B1594" s="141">
        <v>6.5200126100461199E-3</v>
      </c>
      <c r="D1594" s="141"/>
    </row>
    <row r="1595" spans="1:4" x14ac:dyDescent="0.2">
      <c r="A1595" s="140" t="s">
        <v>3080</v>
      </c>
      <c r="B1595" s="141">
        <v>6.5198690500903001E-3</v>
      </c>
      <c r="D1595" s="141"/>
    </row>
    <row r="1596" spans="1:4" x14ac:dyDescent="0.2">
      <c r="A1596" s="140" t="s">
        <v>4864</v>
      </c>
      <c r="B1596" s="141">
        <v>6.5167128194112802E-3</v>
      </c>
      <c r="D1596" s="141"/>
    </row>
    <row r="1597" spans="1:4" x14ac:dyDescent="0.2">
      <c r="A1597" s="140" t="s">
        <v>4232</v>
      </c>
      <c r="B1597" s="141">
        <v>6.5088823761662497E-3</v>
      </c>
      <c r="D1597" s="141"/>
    </row>
    <row r="1598" spans="1:4" x14ac:dyDescent="0.2">
      <c r="A1598" s="140" t="s">
        <v>2419</v>
      </c>
      <c r="B1598" s="141">
        <v>6.5055433017203396E-3</v>
      </c>
      <c r="D1598" s="141"/>
    </row>
    <row r="1599" spans="1:4" x14ac:dyDescent="0.2">
      <c r="A1599" s="140" t="s">
        <v>1520</v>
      </c>
      <c r="B1599" s="141">
        <v>6.4880143271141503E-3</v>
      </c>
      <c r="D1599" s="141"/>
    </row>
    <row r="1600" spans="1:4" x14ac:dyDescent="0.2">
      <c r="A1600" s="140" t="s">
        <v>6891</v>
      </c>
      <c r="B1600" s="141">
        <v>6.4817633506919596E-3</v>
      </c>
      <c r="D1600" s="141"/>
    </row>
    <row r="1601" spans="1:4" x14ac:dyDescent="0.2">
      <c r="A1601" s="140" t="s">
        <v>1806</v>
      </c>
      <c r="B1601" s="141">
        <v>6.4753275406148397E-3</v>
      </c>
      <c r="D1601" s="141"/>
    </row>
    <row r="1602" spans="1:4" x14ac:dyDescent="0.2">
      <c r="A1602" s="140" t="s">
        <v>624</v>
      </c>
      <c r="B1602" s="141">
        <v>6.4669254610554604E-3</v>
      </c>
      <c r="D1602" s="141"/>
    </row>
    <row r="1603" spans="1:4" x14ac:dyDescent="0.2">
      <c r="A1603" s="140" t="s">
        <v>2842</v>
      </c>
      <c r="B1603" s="141">
        <v>6.4513686477295903E-3</v>
      </c>
      <c r="D1603" s="141"/>
    </row>
    <row r="1604" spans="1:4" x14ac:dyDescent="0.2">
      <c r="A1604" s="140" t="s">
        <v>4964</v>
      </c>
      <c r="B1604" s="141">
        <v>6.4425415015452996E-3</v>
      </c>
      <c r="D1604" s="141"/>
    </row>
    <row r="1605" spans="1:4" x14ac:dyDescent="0.2">
      <c r="A1605" s="140" t="s">
        <v>6049</v>
      </c>
      <c r="B1605" s="141">
        <v>6.43799289290517E-3</v>
      </c>
      <c r="D1605" s="141"/>
    </row>
    <row r="1606" spans="1:4" x14ac:dyDescent="0.2">
      <c r="A1606" s="140" t="s">
        <v>2271</v>
      </c>
      <c r="B1606" s="141">
        <v>6.4341662483773498E-3</v>
      </c>
      <c r="D1606" s="141"/>
    </row>
    <row r="1607" spans="1:4" x14ac:dyDescent="0.2">
      <c r="A1607" s="140" t="s">
        <v>6892</v>
      </c>
      <c r="B1607" s="141">
        <v>6.4285111052569304E-3</v>
      </c>
      <c r="D1607" s="141"/>
    </row>
    <row r="1608" spans="1:4" x14ac:dyDescent="0.2">
      <c r="A1608" s="140" t="s">
        <v>4515</v>
      </c>
      <c r="B1608" s="141">
        <v>6.4239121243056703E-3</v>
      </c>
      <c r="D1608" s="141"/>
    </row>
    <row r="1609" spans="1:4" x14ac:dyDescent="0.2">
      <c r="A1609" s="140" t="s">
        <v>6893</v>
      </c>
      <c r="B1609" s="141">
        <v>6.4114873072569504E-3</v>
      </c>
      <c r="D1609" s="141"/>
    </row>
    <row r="1610" spans="1:4" x14ac:dyDescent="0.2">
      <c r="A1610" s="140" t="s">
        <v>6097</v>
      </c>
      <c r="B1610" s="141">
        <v>6.4103157469078296E-3</v>
      </c>
      <c r="D1610" s="141"/>
    </row>
    <row r="1611" spans="1:4" x14ac:dyDescent="0.2">
      <c r="A1611" s="140" t="s">
        <v>2863</v>
      </c>
      <c r="B1611" s="141">
        <v>6.4028465218661504E-3</v>
      </c>
      <c r="D1611" s="141"/>
    </row>
    <row r="1612" spans="1:4" x14ac:dyDescent="0.2">
      <c r="A1612" s="140" t="s">
        <v>5957</v>
      </c>
      <c r="B1612" s="141">
        <v>6.3957932932595099E-3</v>
      </c>
      <c r="D1612" s="141"/>
    </row>
    <row r="1613" spans="1:4" x14ac:dyDescent="0.2">
      <c r="A1613" s="140" t="s">
        <v>6894</v>
      </c>
      <c r="B1613" s="141">
        <v>6.3887352397178302E-3</v>
      </c>
      <c r="D1613" s="141"/>
    </row>
    <row r="1614" spans="1:4" x14ac:dyDescent="0.2">
      <c r="A1614" s="140" t="s">
        <v>2494</v>
      </c>
      <c r="B1614" s="141">
        <v>6.3853939777414803E-3</v>
      </c>
      <c r="D1614" s="141"/>
    </row>
    <row r="1615" spans="1:4" x14ac:dyDescent="0.2">
      <c r="A1615" s="140" t="s">
        <v>6895</v>
      </c>
      <c r="B1615" s="141">
        <v>6.3596411920395597E-3</v>
      </c>
      <c r="D1615" s="141"/>
    </row>
    <row r="1616" spans="1:4" x14ac:dyDescent="0.2">
      <c r="A1616" s="140" t="s">
        <v>5018</v>
      </c>
      <c r="B1616" s="141">
        <v>6.3532480579421603E-3</v>
      </c>
      <c r="D1616" s="141"/>
    </row>
    <row r="1617" spans="1:4" x14ac:dyDescent="0.2">
      <c r="A1617" s="140" t="s">
        <v>5460</v>
      </c>
      <c r="B1617" s="141">
        <v>6.3467165790371399E-3</v>
      </c>
      <c r="D1617" s="141"/>
    </row>
    <row r="1618" spans="1:4" x14ac:dyDescent="0.2">
      <c r="A1618" s="140" t="s">
        <v>6896</v>
      </c>
      <c r="B1618" s="141">
        <v>6.3414376045849499E-3</v>
      </c>
      <c r="D1618" s="141"/>
    </row>
    <row r="1619" spans="1:4" x14ac:dyDescent="0.2">
      <c r="A1619" s="140" t="s">
        <v>3021</v>
      </c>
      <c r="B1619" s="141">
        <v>6.3388996248484797E-3</v>
      </c>
      <c r="D1619" s="141"/>
    </row>
    <row r="1620" spans="1:4" x14ac:dyDescent="0.2">
      <c r="A1620" s="140" t="s">
        <v>1197</v>
      </c>
      <c r="B1620" s="141">
        <v>6.3273448636548798E-3</v>
      </c>
      <c r="D1620" s="141"/>
    </row>
    <row r="1621" spans="1:4" x14ac:dyDescent="0.2">
      <c r="A1621" s="140" t="s">
        <v>6897</v>
      </c>
      <c r="B1621" s="141">
        <v>6.3256974586392697E-3</v>
      </c>
      <c r="D1621" s="141"/>
    </row>
    <row r="1622" spans="1:4" x14ac:dyDescent="0.2">
      <c r="A1622" s="140" t="s">
        <v>3964</v>
      </c>
      <c r="B1622" s="141">
        <v>6.3225869765986898E-3</v>
      </c>
      <c r="D1622" s="141"/>
    </row>
    <row r="1623" spans="1:4" x14ac:dyDescent="0.2">
      <c r="A1623" s="140" t="s">
        <v>4080</v>
      </c>
      <c r="B1623" s="141">
        <v>6.3185323036100702E-3</v>
      </c>
      <c r="D1623" s="141"/>
    </row>
    <row r="1624" spans="1:4" x14ac:dyDescent="0.2">
      <c r="A1624" s="140" t="s">
        <v>3302</v>
      </c>
      <c r="B1624" s="141">
        <v>6.3100270481063299E-3</v>
      </c>
      <c r="D1624" s="141"/>
    </row>
    <row r="1625" spans="1:4" x14ac:dyDescent="0.2">
      <c r="A1625" s="140" t="s">
        <v>6898</v>
      </c>
      <c r="B1625" s="141">
        <v>6.2927036678043302E-3</v>
      </c>
      <c r="D1625" s="141"/>
    </row>
    <row r="1626" spans="1:4" x14ac:dyDescent="0.2">
      <c r="A1626" s="140" t="s">
        <v>2978</v>
      </c>
      <c r="B1626" s="141">
        <v>6.2924719415040102E-3</v>
      </c>
      <c r="D1626" s="141"/>
    </row>
    <row r="1627" spans="1:4" x14ac:dyDescent="0.2">
      <c r="A1627" s="140" t="s">
        <v>6899</v>
      </c>
      <c r="B1627" s="141">
        <v>6.2772614953642896E-3</v>
      </c>
      <c r="D1627" s="141"/>
    </row>
    <row r="1628" spans="1:4" x14ac:dyDescent="0.2">
      <c r="A1628" s="140" t="s">
        <v>2561</v>
      </c>
      <c r="B1628" s="141">
        <v>6.2726138779688302E-3</v>
      </c>
      <c r="D1628" s="141"/>
    </row>
    <row r="1629" spans="1:4" x14ac:dyDescent="0.2">
      <c r="A1629" s="140" t="s">
        <v>1253</v>
      </c>
      <c r="B1629" s="141">
        <v>6.2685542945858002E-3</v>
      </c>
      <c r="D1629" s="141"/>
    </row>
    <row r="1630" spans="1:4" x14ac:dyDescent="0.2">
      <c r="A1630" s="140" t="s">
        <v>982</v>
      </c>
      <c r="B1630" s="141">
        <v>6.2607553984432799E-3</v>
      </c>
      <c r="D1630" s="141"/>
    </row>
    <row r="1631" spans="1:4" x14ac:dyDescent="0.2">
      <c r="A1631" s="140" t="s">
        <v>6900</v>
      </c>
      <c r="B1631" s="141">
        <v>6.2538561175832204E-3</v>
      </c>
      <c r="D1631" s="141"/>
    </row>
    <row r="1632" spans="1:4" x14ac:dyDescent="0.2">
      <c r="A1632" s="140" t="s">
        <v>4013</v>
      </c>
      <c r="B1632" s="141">
        <v>6.2297964022905898E-3</v>
      </c>
      <c r="D1632" s="141"/>
    </row>
    <row r="1633" spans="1:4" x14ac:dyDescent="0.2">
      <c r="A1633" s="140" t="s">
        <v>399</v>
      </c>
      <c r="B1633" s="141">
        <v>6.2265642760757599E-3</v>
      </c>
      <c r="D1633" s="141"/>
    </row>
    <row r="1634" spans="1:4" x14ac:dyDescent="0.2">
      <c r="A1634" s="140" t="s">
        <v>1923</v>
      </c>
      <c r="B1634" s="141">
        <v>6.2167014009252303E-3</v>
      </c>
      <c r="D1634" s="141"/>
    </row>
    <row r="1635" spans="1:4" x14ac:dyDescent="0.2">
      <c r="A1635" s="140" t="s">
        <v>1096</v>
      </c>
      <c r="B1635" s="141">
        <v>6.1937924971659604E-3</v>
      </c>
      <c r="D1635" s="141"/>
    </row>
    <row r="1636" spans="1:4" x14ac:dyDescent="0.2">
      <c r="A1636" s="140" t="s">
        <v>2732</v>
      </c>
      <c r="B1636" s="141">
        <v>6.1861157435673698E-3</v>
      </c>
      <c r="D1636" s="141"/>
    </row>
    <row r="1637" spans="1:4" x14ac:dyDescent="0.2">
      <c r="A1637" s="140" t="s">
        <v>3233</v>
      </c>
      <c r="B1637" s="141">
        <v>6.1852152262349804E-3</v>
      </c>
      <c r="D1637" s="141"/>
    </row>
    <row r="1638" spans="1:4" x14ac:dyDescent="0.2">
      <c r="A1638" s="140" t="s">
        <v>6901</v>
      </c>
      <c r="B1638" s="141">
        <v>6.1828561651945304E-3</v>
      </c>
      <c r="D1638" s="141"/>
    </row>
    <row r="1639" spans="1:4" x14ac:dyDescent="0.2">
      <c r="A1639" s="140" t="s">
        <v>6902</v>
      </c>
      <c r="B1639" s="141">
        <v>6.1828561651945304E-3</v>
      </c>
      <c r="D1639" s="141"/>
    </row>
    <row r="1640" spans="1:4" x14ac:dyDescent="0.2">
      <c r="A1640" s="140" t="s">
        <v>6903</v>
      </c>
      <c r="B1640" s="141">
        <v>6.1828561651945304E-3</v>
      </c>
      <c r="D1640" s="141"/>
    </row>
    <row r="1641" spans="1:4" x14ac:dyDescent="0.2">
      <c r="A1641" s="140" t="s">
        <v>2595</v>
      </c>
      <c r="B1641" s="141">
        <v>6.1749565199967302E-3</v>
      </c>
      <c r="D1641" s="141"/>
    </row>
    <row r="1642" spans="1:4" x14ac:dyDescent="0.2">
      <c r="A1642" s="140" t="s">
        <v>2162</v>
      </c>
      <c r="B1642" s="141">
        <v>6.1664371922788798E-3</v>
      </c>
      <c r="D1642" s="141"/>
    </row>
    <row r="1643" spans="1:4" x14ac:dyDescent="0.2">
      <c r="A1643" s="140" t="s">
        <v>2303</v>
      </c>
      <c r="B1643" s="141">
        <v>6.1660153160673498E-3</v>
      </c>
      <c r="D1643" s="141"/>
    </row>
    <row r="1644" spans="1:4" x14ac:dyDescent="0.2">
      <c r="A1644" s="140" t="s">
        <v>1314</v>
      </c>
      <c r="B1644" s="141">
        <v>6.1569124033259799E-3</v>
      </c>
      <c r="D1644" s="141"/>
    </row>
    <row r="1645" spans="1:4" x14ac:dyDescent="0.2">
      <c r="A1645" s="140" t="s">
        <v>3936</v>
      </c>
      <c r="B1645" s="141">
        <v>6.1554745858864402E-3</v>
      </c>
      <c r="D1645" s="141"/>
    </row>
    <row r="1646" spans="1:4" x14ac:dyDescent="0.2">
      <c r="A1646" s="140" t="s">
        <v>5937</v>
      </c>
      <c r="B1646" s="141">
        <v>6.1514284363941296E-3</v>
      </c>
      <c r="D1646" s="141"/>
    </row>
    <row r="1647" spans="1:4" x14ac:dyDescent="0.2">
      <c r="A1647" s="140" t="s">
        <v>6904</v>
      </c>
      <c r="B1647" s="141">
        <v>6.1396357505269497E-3</v>
      </c>
      <c r="D1647" s="141"/>
    </row>
    <row r="1648" spans="1:4" x14ac:dyDescent="0.2">
      <c r="A1648" s="140" t="s">
        <v>4220</v>
      </c>
      <c r="B1648" s="141">
        <v>6.1373601055161103E-3</v>
      </c>
      <c r="D1648" s="141"/>
    </row>
    <row r="1649" spans="1:4" x14ac:dyDescent="0.2">
      <c r="A1649" s="140" t="s">
        <v>1252</v>
      </c>
      <c r="B1649" s="141">
        <v>6.1346535574356899E-3</v>
      </c>
      <c r="D1649" s="141"/>
    </row>
    <row r="1650" spans="1:4" x14ac:dyDescent="0.2">
      <c r="A1650" s="140" t="s">
        <v>6905</v>
      </c>
      <c r="B1650" s="141">
        <v>6.13394719738335E-3</v>
      </c>
      <c r="D1650" s="141"/>
    </row>
    <row r="1651" spans="1:4" x14ac:dyDescent="0.2">
      <c r="A1651" s="140" t="s">
        <v>6906</v>
      </c>
      <c r="B1651" s="141">
        <v>6.1259506416351502E-3</v>
      </c>
      <c r="D1651" s="141"/>
    </row>
    <row r="1652" spans="1:4" x14ac:dyDescent="0.2">
      <c r="A1652" s="140" t="s">
        <v>6907</v>
      </c>
      <c r="B1652" s="141">
        <v>6.12456214609717E-3</v>
      </c>
      <c r="D1652" s="141"/>
    </row>
    <row r="1653" spans="1:4" x14ac:dyDescent="0.2">
      <c r="A1653" s="140" t="s">
        <v>4108</v>
      </c>
      <c r="B1653" s="141">
        <v>6.1170206338047803E-3</v>
      </c>
      <c r="D1653" s="141"/>
    </row>
    <row r="1654" spans="1:4" x14ac:dyDescent="0.2">
      <c r="A1654" s="140" t="s">
        <v>4020</v>
      </c>
      <c r="B1654" s="141">
        <v>6.1161098524470103E-3</v>
      </c>
      <c r="D1654" s="141"/>
    </row>
    <row r="1655" spans="1:4" x14ac:dyDescent="0.2">
      <c r="A1655" s="140" t="s">
        <v>2666</v>
      </c>
      <c r="B1655" s="141">
        <v>6.1091012637007197E-3</v>
      </c>
      <c r="D1655" s="141"/>
    </row>
    <row r="1656" spans="1:4" x14ac:dyDescent="0.2">
      <c r="A1656" s="140" t="s">
        <v>5366</v>
      </c>
      <c r="B1656" s="141">
        <v>6.1079319560823197E-3</v>
      </c>
      <c r="D1656" s="141"/>
    </row>
    <row r="1657" spans="1:4" x14ac:dyDescent="0.2">
      <c r="A1657" s="140" t="s">
        <v>5447</v>
      </c>
      <c r="B1657" s="141">
        <v>6.1071210226465097E-3</v>
      </c>
      <c r="D1657" s="141"/>
    </row>
    <row r="1658" spans="1:4" x14ac:dyDescent="0.2">
      <c r="A1658" s="140" t="s">
        <v>3643</v>
      </c>
      <c r="B1658" s="141">
        <v>6.1047636087523003E-3</v>
      </c>
      <c r="D1658" s="141"/>
    </row>
    <row r="1659" spans="1:4" x14ac:dyDescent="0.2">
      <c r="A1659" s="140" t="s">
        <v>4042</v>
      </c>
      <c r="B1659" s="141">
        <v>6.10118074829073E-3</v>
      </c>
      <c r="D1659" s="141"/>
    </row>
    <row r="1660" spans="1:4" x14ac:dyDescent="0.2">
      <c r="A1660" s="140" t="s">
        <v>5626</v>
      </c>
      <c r="B1660" s="141">
        <v>6.0910568494246704E-3</v>
      </c>
      <c r="D1660" s="141"/>
    </row>
    <row r="1661" spans="1:4" x14ac:dyDescent="0.2">
      <c r="A1661" s="140" t="s">
        <v>4997</v>
      </c>
      <c r="B1661" s="141">
        <v>6.0881605102903703E-3</v>
      </c>
      <c r="D1661" s="141"/>
    </row>
    <row r="1662" spans="1:4" x14ac:dyDescent="0.2">
      <c r="A1662" s="140" t="s">
        <v>6908</v>
      </c>
      <c r="B1662" s="141">
        <v>6.0781615073738898E-3</v>
      </c>
      <c r="D1662" s="141"/>
    </row>
    <row r="1663" spans="1:4" x14ac:dyDescent="0.2">
      <c r="A1663" s="140" t="s">
        <v>6909</v>
      </c>
      <c r="B1663" s="141">
        <v>6.0735990682214101E-3</v>
      </c>
      <c r="D1663" s="141"/>
    </row>
    <row r="1664" spans="1:4" x14ac:dyDescent="0.2">
      <c r="A1664" s="140" t="s">
        <v>6910</v>
      </c>
      <c r="B1664" s="141">
        <v>6.0672523465675997E-3</v>
      </c>
      <c r="D1664" s="141"/>
    </row>
    <row r="1665" spans="1:4" x14ac:dyDescent="0.2">
      <c r="A1665" s="140" t="s">
        <v>3677</v>
      </c>
      <c r="B1665" s="141">
        <v>6.0656836577539499E-3</v>
      </c>
      <c r="D1665" s="141"/>
    </row>
    <row r="1666" spans="1:4" x14ac:dyDescent="0.2">
      <c r="A1666" s="140" t="s">
        <v>4176</v>
      </c>
      <c r="B1666" s="141">
        <v>6.0620759342381696E-3</v>
      </c>
      <c r="D1666" s="141"/>
    </row>
    <row r="1667" spans="1:4" x14ac:dyDescent="0.2">
      <c r="A1667" s="140" t="s">
        <v>4573</v>
      </c>
      <c r="B1667" s="141">
        <v>6.06029858512778E-3</v>
      </c>
      <c r="D1667" s="141"/>
    </row>
    <row r="1668" spans="1:4" x14ac:dyDescent="0.2">
      <c r="A1668" s="140" t="s">
        <v>6095</v>
      </c>
      <c r="B1668" s="141">
        <v>6.0602684347626102E-3</v>
      </c>
      <c r="D1668" s="141"/>
    </row>
    <row r="1669" spans="1:4" x14ac:dyDescent="0.2">
      <c r="A1669" s="140" t="s">
        <v>2974</v>
      </c>
      <c r="B1669" s="141">
        <v>6.0582712758019703E-3</v>
      </c>
      <c r="D1669" s="141"/>
    </row>
    <row r="1670" spans="1:4" x14ac:dyDescent="0.2">
      <c r="A1670" s="140" t="s">
        <v>3140</v>
      </c>
      <c r="B1670" s="141">
        <v>6.0466091220178902E-3</v>
      </c>
      <c r="D1670" s="141"/>
    </row>
    <row r="1671" spans="1:4" x14ac:dyDescent="0.2">
      <c r="A1671" s="140" t="s">
        <v>6911</v>
      </c>
      <c r="B1671" s="141">
        <v>6.0346672930097897E-3</v>
      </c>
      <c r="D1671" s="141"/>
    </row>
    <row r="1672" spans="1:4" x14ac:dyDescent="0.2">
      <c r="A1672" s="140" t="s">
        <v>1480</v>
      </c>
      <c r="B1672" s="141">
        <v>6.0320429975376797E-3</v>
      </c>
      <c r="D1672" s="141"/>
    </row>
    <row r="1673" spans="1:4" x14ac:dyDescent="0.2">
      <c r="A1673" s="140" t="s">
        <v>6312</v>
      </c>
      <c r="B1673" s="141">
        <v>6.0312654438632101E-3</v>
      </c>
      <c r="D1673" s="141"/>
    </row>
    <row r="1674" spans="1:4" x14ac:dyDescent="0.2">
      <c r="A1674" s="140" t="s">
        <v>4367</v>
      </c>
      <c r="B1674" s="141">
        <v>6.02922420077074E-3</v>
      </c>
      <c r="D1674" s="141"/>
    </row>
    <row r="1675" spans="1:4" x14ac:dyDescent="0.2">
      <c r="A1675" s="140" t="s">
        <v>2993</v>
      </c>
      <c r="B1675" s="141">
        <v>6.0288070227029799E-3</v>
      </c>
      <c r="D1675" s="141"/>
    </row>
    <row r="1676" spans="1:4" x14ac:dyDescent="0.2">
      <c r="A1676" s="140" t="s">
        <v>3321</v>
      </c>
      <c r="B1676" s="141">
        <v>6.0234026492605001E-3</v>
      </c>
      <c r="D1676" s="141"/>
    </row>
    <row r="1677" spans="1:4" x14ac:dyDescent="0.2">
      <c r="A1677" s="140" t="s">
        <v>6912</v>
      </c>
      <c r="B1677" s="141">
        <v>6.0218508169991103E-3</v>
      </c>
      <c r="D1677" s="141"/>
    </row>
    <row r="1678" spans="1:4" x14ac:dyDescent="0.2">
      <c r="A1678" s="140" t="s">
        <v>6913</v>
      </c>
      <c r="B1678" s="141">
        <v>6.0135971623777604E-3</v>
      </c>
      <c r="D1678" s="141"/>
    </row>
    <row r="1679" spans="1:4" x14ac:dyDescent="0.2">
      <c r="A1679" s="140" t="s">
        <v>1610</v>
      </c>
      <c r="B1679" s="141">
        <v>6.0132034050982101E-3</v>
      </c>
      <c r="D1679" s="141"/>
    </row>
    <row r="1680" spans="1:4" x14ac:dyDescent="0.2">
      <c r="A1680" s="140" t="s">
        <v>2261</v>
      </c>
      <c r="B1680" s="141">
        <v>6.0046321374073201E-3</v>
      </c>
      <c r="D1680" s="141"/>
    </row>
    <row r="1681" spans="1:4" x14ac:dyDescent="0.2">
      <c r="A1681" s="140" t="s">
        <v>4104</v>
      </c>
      <c r="B1681" s="141">
        <v>6.0040794213279697E-3</v>
      </c>
      <c r="D1681" s="141"/>
    </row>
    <row r="1682" spans="1:4" x14ac:dyDescent="0.2">
      <c r="A1682" s="140" t="s">
        <v>3031</v>
      </c>
      <c r="B1682" s="141">
        <v>6.0029478620165404E-3</v>
      </c>
      <c r="D1682" s="141"/>
    </row>
    <row r="1683" spans="1:4" x14ac:dyDescent="0.2">
      <c r="A1683" s="140" t="s">
        <v>6914</v>
      </c>
      <c r="B1683" s="141">
        <v>6.0010032613077103E-3</v>
      </c>
      <c r="D1683" s="141"/>
    </row>
    <row r="1684" spans="1:4" x14ac:dyDescent="0.2">
      <c r="A1684" s="140" t="s">
        <v>2542</v>
      </c>
      <c r="B1684" s="141">
        <v>5.9977910357244804E-3</v>
      </c>
      <c r="D1684" s="141"/>
    </row>
    <row r="1685" spans="1:4" x14ac:dyDescent="0.2">
      <c r="A1685" s="140" t="s">
        <v>5214</v>
      </c>
      <c r="B1685" s="141">
        <v>5.9953073251758898E-3</v>
      </c>
      <c r="D1685" s="141"/>
    </row>
    <row r="1686" spans="1:4" x14ac:dyDescent="0.2">
      <c r="A1686" s="140" t="s">
        <v>5823</v>
      </c>
      <c r="B1686" s="141">
        <v>5.9864872958085803E-3</v>
      </c>
      <c r="D1686" s="141"/>
    </row>
    <row r="1687" spans="1:4" x14ac:dyDescent="0.2">
      <c r="A1687" s="140" t="s">
        <v>3655</v>
      </c>
      <c r="B1687" s="141">
        <v>5.9832965369456103E-3</v>
      </c>
      <c r="D1687" s="141"/>
    </row>
    <row r="1688" spans="1:4" x14ac:dyDescent="0.2">
      <c r="A1688" s="140" t="s">
        <v>6055</v>
      </c>
      <c r="B1688" s="141">
        <v>5.9832922155891102E-3</v>
      </c>
      <c r="D1688" s="141"/>
    </row>
    <row r="1689" spans="1:4" x14ac:dyDescent="0.2">
      <c r="A1689" s="140" t="s">
        <v>3191</v>
      </c>
      <c r="B1689" s="141">
        <v>5.9756715598225296E-3</v>
      </c>
      <c r="D1689" s="141"/>
    </row>
    <row r="1690" spans="1:4" x14ac:dyDescent="0.2">
      <c r="A1690" s="140" t="s">
        <v>894</v>
      </c>
      <c r="B1690" s="141">
        <v>5.9732144428858098E-3</v>
      </c>
      <c r="D1690" s="141"/>
    </row>
    <row r="1691" spans="1:4" x14ac:dyDescent="0.2">
      <c r="A1691" s="140" t="s">
        <v>2785</v>
      </c>
      <c r="B1691" s="141">
        <v>5.9708518345860297E-3</v>
      </c>
      <c r="D1691" s="141"/>
    </row>
    <row r="1692" spans="1:4" x14ac:dyDescent="0.2">
      <c r="A1692" s="140" t="s">
        <v>5734</v>
      </c>
      <c r="B1692" s="141">
        <v>5.9651373343951996E-3</v>
      </c>
      <c r="D1692" s="141"/>
    </row>
    <row r="1693" spans="1:4" x14ac:dyDescent="0.2">
      <c r="A1693" s="140" t="s">
        <v>3141</v>
      </c>
      <c r="B1693" s="141">
        <v>5.9579516566901202E-3</v>
      </c>
      <c r="D1693" s="141"/>
    </row>
    <row r="1694" spans="1:4" x14ac:dyDescent="0.2">
      <c r="A1694" s="140" t="s">
        <v>3295</v>
      </c>
      <c r="B1694" s="141">
        <v>5.9562684640134499E-3</v>
      </c>
      <c r="D1694" s="141"/>
    </row>
    <row r="1695" spans="1:4" x14ac:dyDescent="0.2">
      <c r="A1695" s="140" t="s">
        <v>751</v>
      </c>
      <c r="B1695" s="141">
        <v>5.95210445467605E-3</v>
      </c>
      <c r="D1695" s="141"/>
    </row>
    <row r="1696" spans="1:4" x14ac:dyDescent="0.2">
      <c r="A1696" s="140" t="s">
        <v>2963</v>
      </c>
      <c r="B1696" s="141">
        <v>5.9463130758799602E-3</v>
      </c>
      <c r="D1696" s="141"/>
    </row>
    <row r="1697" spans="1:4" x14ac:dyDescent="0.2">
      <c r="A1697" s="140" t="s">
        <v>3569</v>
      </c>
      <c r="B1697" s="141">
        <v>5.93806197313988E-3</v>
      </c>
      <c r="D1697" s="141"/>
    </row>
    <row r="1698" spans="1:4" x14ac:dyDescent="0.2">
      <c r="A1698" s="140" t="s">
        <v>4375</v>
      </c>
      <c r="B1698" s="141">
        <v>5.9313383664464196E-3</v>
      </c>
      <c r="D1698" s="141"/>
    </row>
    <row r="1699" spans="1:4" x14ac:dyDescent="0.2">
      <c r="A1699" s="140" t="s">
        <v>2030</v>
      </c>
      <c r="B1699" s="141">
        <v>5.9300222723397897E-3</v>
      </c>
      <c r="D1699" s="141"/>
    </row>
    <row r="1700" spans="1:4" x14ac:dyDescent="0.2">
      <c r="A1700" s="140" t="s">
        <v>2960</v>
      </c>
      <c r="B1700" s="141">
        <v>5.92605053261563E-3</v>
      </c>
      <c r="D1700" s="141"/>
    </row>
    <row r="1701" spans="1:4" x14ac:dyDescent="0.2">
      <c r="A1701" s="140" t="s">
        <v>6915</v>
      </c>
      <c r="B1701" s="141">
        <v>5.9065555432535298E-3</v>
      </c>
      <c r="D1701" s="141"/>
    </row>
    <row r="1702" spans="1:4" x14ac:dyDescent="0.2">
      <c r="A1702" s="140" t="s">
        <v>6916</v>
      </c>
      <c r="B1702" s="141">
        <v>5.8984778685471804E-3</v>
      </c>
      <c r="D1702" s="141"/>
    </row>
    <row r="1703" spans="1:4" x14ac:dyDescent="0.2">
      <c r="A1703" s="140" t="s">
        <v>5765</v>
      </c>
      <c r="B1703" s="141">
        <v>5.8875647451519198E-3</v>
      </c>
      <c r="D1703" s="141"/>
    </row>
    <row r="1704" spans="1:4" x14ac:dyDescent="0.2">
      <c r="A1704" s="140" t="s">
        <v>2487</v>
      </c>
      <c r="B1704" s="141">
        <v>5.88196540074498E-3</v>
      </c>
      <c r="D1704" s="141"/>
    </row>
    <row r="1705" spans="1:4" x14ac:dyDescent="0.2">
      <c r="A1705" s="140" t="s">
        <v>6917</v>
      </c>
      <c r="B1705" s="141">
        <v>5.8808186133897699E-3</v>
      </c>
      <c r="D1705" s="141"/>
    </row>
    <row r="1706" spans="1:4" x14ac:dyDescent="0.2">
      <c r="A1706" s="140" t="s">
        <v>1608</v>
      </c>
      <c r="B1706" s="141">
        <v>5.8778614086413602E-3</v>
      </c>
      <c r="D1706" s="141"/>
    </row>
    <row r="1707" spans="1:4" x14ac:dyDescent="0.2">
      <c r="A1707" s="140" t="s">
        <v>6281</v>
      </c>
      <c r="B1707" s="141">
        <v>5.8748392248665401E-3</v>
      </c>
      <c r="D1707" s="141"/>
    </row>
    <row r="1708" spans="1:4" x14ac:dyDescent="0.2">
      <c r="A1708" s="140" t="s">
        <v>5121</v>
      </c>
      <c r="B1708" s="141">
        <v>5.8738261747825196E-3</v>
      </c>
      <c r="D1708" s="141"/>
    </row>
    <row r="1709" spans="1:4" x14ac:dyDescent="0.2">
      <c r="A1709" s="140" t="s">
        <v>6918</v>
      </c>
      <c r="B1709" s="141">
        <v>5.8722784121634604E-3</v>
      </c>
      <c r="D1709" s="141"/>
    </row>
    <row r="1710" spans="1:4" x14ac:dyDescent="0.2">
      <c r="A1710" s="140" t="s">
        <v>3622</v>
      </c>
      <c r="B1710" s="141">
        <v>5.8712929424365101E-3</v>
      </c>
      <c r="D1710" s="141"/>
    </row>
    <row r="1711" spans="1:4" x14ac:dyDescent="0.2">
      <c r="A1711" s="140" t="s">
        <v>2660</v>
      </c>
      <c r="B1711" s="141">
        <v>5.8700312910551396E-3</v>
      </c>
      <c r="D1711" s="141"/>
    </row>
    <row r="1712" spans="1:4" x14ac:dyDescent="0.2">
      <c r="A1712" s="140" t="s">
        <v>6919</v>
      </c>
      <c r="B1712" s="141">
        <v>5.8624289697325003E-3</v>
      </c>
      <c r="D1712" s="141"/>
    </row>
    <row r="1713" spans="1:4" x14ac:dyDescent="0.2">
      <c r="A1713" s="140" t="s">
        <v>2289</v>
      </c>
      <c r="B1713" s="141">
        <v>5.85480146153281E-3</v>
      </c>
      <c r="D1713" s="141"/>
    </row>
    <row r="1714" spans="1:4" x14ac:dyDescent="0.2">
      <c r="A1714" s="140" t="s">
        <v>2090</v>
      </c>
      <c r="B1714" s="141">
        <v>5.8443817487331302E-3</v>
      </c>
      <c r="D1714" s="141"/>
    </row>
    <row r="1715" spans="1:4" x14ac:dyDescent="0.2">
      <c r="A1715" s="140" t="s">
        <v>2799</v>
      </c>
      <c r="B1715" s="141">
        <v>5.8413557974379597E-3</v>
      </c>
      <c r="D1715" s="141"/>
    </row>
    <row r="1716" spans="1:4" x14ac:dyDescent="0.2">
      <c r="A1716" s="140" t="s">
        <v>3273</v>
      </c>
      <c r="B1716" s="141">
        <v>5.8291231447978398E-3</v>
      </c>
      <c r="D1716" s="141"/>
    </row>
    <row r="1717" spans="1:4" x14ac:dyDescent="0.2">
      <c r="A1717" s="140" t="s">
        <v>2574</v>
      </c>
      <c r="B1717" s="141">
        <v>5.8232038372569303E-3</v>
      </c>
      <c r="D1717" s="141"/>
    </row>
    <row r="1718" spans="1:4" x14ac:dyDescent="0.2">
      <c r="A1718" s="140" t="s">
        <v>4412</v>
      </c>
      <c r="B1718" s="141">
        <v>5.7986197407196996E-3</v>
      </c>
      <c r="D1718" s="141"/>
    </row>
    <row r="1719" spans="1:4" x14ac:dyDescent="0.2">
      <c r="A1719" s="140" t="s">
        <v>6920</v>
      </c>
      <c r="B1719" s="141">
        <v>5.7881327813266098E-3</v>
      </c>
      <c r="D1719" s="141"/>
    </row>
    <row r="1720" spans="1:4" x14ac:dyDescent="0.2">
      <c r="A1720" s="140" t="s">
        <v>6921</v>
      </c>
      <c r="B1720" s="141">
        <v>5.7863018310164403E-3</v>
      </c>
      <c r="D1720" s="141"/>
    </row>
    <row r="1721" spans="1:4" x14ac:dyDescent="0.2">
      <c r="A1721" s="140" t="s">
        <v>6922</v>
      </c>
      <c r="B1721" s="141">
        <v>5.7802073078260397E-3</v>
      </c>
      <c r="D1721" s="141"/>
    </row>
    <row r="1722" spans="1:4" x14ac:dyDescent="0.2">
      <c r="A1722" s="140" t="s">
        <v>6923</v>
      </c>
      <c r="B1722" s="141">
        <v>5.7778294418199304E-3</v>
      </c>
      <c r="D1722" s="141"/>
    </row>
    <row r="1723" spans="1:4" x14ac:dyDescent="0.2">
      <c r="A1723" s="140" t="s">
        <v>628</v>
      </c>
      <c r="B1723" s="141">
        <v>5.7695331379850603E-3</v>
      </c>
      <c r="D1723" s="141"/>
    </row>
    <row r="1724" spans="1:4" x14ac:dyDescent="0.2">
      <c r="A1724" s="140" t="s">
        <v>6924</v>
      </c>
      <c r="B1724" s="141">
        <v>5.7659022016473402E-3</v>
      </c>
      <c r="D1724" s="141"/>
    </row>
    <row r="1725" spans="1:4" x14ac:dyDescent="0.2">
      <c r="A1725" s="140" t="s">
        <v>5183</v>
      </c>
      <c r="B1725" s="141">
        <v>5.7646456934978604E-3</v>
      </c>
      <c r="D1725" s="141"/>
    </row>
    <row r="1726" spans="1:4" x14ac:dyDescent="0.2">
      <c r="A1726" s="140" t="s">
        <v>1295</v>
      </c>
      <c r="B1726" s="141">
        <v>5.7627576521470996E-3</v>
      </c>
      <c r="D1726" s="141"/>
    </row>
    <row r="1727" spans="1:4" x14ac:dyDescent="0.2">
      <c r="A1727" s="140" t="s">
        <v>4968</v>
      </c>
      <c r="B1727" s="141">
        <v>5.7610365723423504E-3</v>
      </c>
      <c r="D1727" s="141"/>
    </row>
    <row r="1728" spans="1:4" x14ac:dyDescent="0.2">
      <c r="A1728" s="140" t="s">
        <v>6925</v>
      </c>
      <c r="B1728" s="141">
        <v>5.7566830227354197E-3</v>
      </c>
      <c r="D1728" s="141"/>
    </row>
    <row r="1729" spans="1:4" x14ac:dyDescent="0.2">
      <c r="A1729" s="140" t="s">
        <v>4387</v>
      </c>
      <c r="B1729" s="141">
        <v>5.7318076563495799E-3</v>
      </c>
      <c r="D1729" s="141"/>
    </row>
    <row r="1730" spans="1:4" x14ac:dyDescent="0.2">
      <c r="A1730" s="140" t="s">
        <v>3202</v>
      </c>
      <c r="B1730" s="141">
        <v>5.7210854465261397E-3</v>
      </c>
      <c r="D1730" s="141"/>
    </row>
    <row r="1731" spans="1:4" x14ac:dyDescent="0.2">
      <c r="A1731" s="140" t="s">
        <v>5704</v>
      </c>
      <c r="B1731" s="141">
        <v>5.7202197394285396E-3</v>
      </c>
      <c r="D1731" s="141"/>
    </row>
    <row r="1732" spans="1:4" x14ac:dyDescent="0.2">
      <c r="A1732" s="140" t="s">
        <v>6926</v>
      </c>
      <c r="B1732" s="141">
        <v>5.7202197394285396E-3</v>
      </c>
      <c r="D1732" s="141"/>
    </row>
    <row r="1733" spans="1:4" x14ac:dyDescent="0.2">
      <c r="A1733" s="140" t="s">
        <v>6927</v>
      </c>
      <c r="B1733" s="141">
        <v>5.7202197394285396E-3</v>
      </c>
      <c r="D1733" s="141"/>
    </row>
    <row r="1734" spans="1:4" x14ac:dyDescent="0.2">
      <c r="A1734" s="140" t="s">
        <v>4404</v>
      </c>
      <c r="B1734" s="141">
        <v>5.7202197394285396E-3</v>
      </c>
      <c r="D1734" s="141"/>
    </row>
    <row r="1735" spans="1:4" x14ac:dyDescent="0.2">
      <c r="A1735" s="140" t="s">
        <v>4141</v>
      </c>
      <c r="B1735" s="141">
        <v>5.7202197394285396E-3</v>
      </c>
      <c r="D1735" s="141"/>
    </row>
    <row r="1736" spans="1:4" x14ac:dyDescent="0.2">
      <c r="A1736" s="140" t="s">
        <v>4114</v>
      </c>
      <c r="B1736" s="141">
        <v>5.7202197394285396E-3</v>
      </c>
      <c r="D1736" s="141"/>
    </row>
    <row r="1737" spans="1:4" x14ac:dyDescent="0.2">
      <c r="A1737" s="140" t="s">
        <v>1323</v>
      </c>
      <c r="B1737" s="141">
        <v>5.7201531938711001E-3</v>
      </c>
      <c r="D1737" s="141"/>
    </row>
    <row r="1738" spans="1:4" x14ac:dyDescent="0.2">
      <c r="A1738" s="140" t="s">
        <v>4345</v>
      </c>
      <c r="B1738" s="141">
        <v>5.7177080918006601E-3</v>
      </c>
      <c r="D1738" s="141"/>
    </row>
    <row r="1739" spans="1:4" x14ac:dyDescent="0.2">
      <c r="A1739" s="140" t="s">
        <v>6928</v>
      </c>
      <c r="B1739" s="141">
        <v>5.7073624920412598E-3</v>
      </c>
      <c r="D1739" s="141"/>
    </row>
    <row r="1740" spans="1:4" x14ac:dyDescent="0.2">
      <c r="A1740" s="140" t="s">
        <v>3885</v>
      </c>
      <c r="B1740" s="141">
        <v>5.7062849373658298E-3</v>
      </c>
      <c r="D1740" s="141"/>
    </row>
    <row r="1741" spans="1:4" x14ac:dyDescent="0.2">
      <c r="A1741" s="140" t="s">
        <v>2586</v>
      </c>
      <c r="B1741" s="141">
        <v>5.7049632609505602E-3</v>
      </c>
      <c r="D1741" s="141"/>
    </row>
    <row r="1742" spans="1:4" x14ac:dyDescent="0.2">
      <c r="A1742" s="140" t="s">
        <v>5205</v>
      </c>
      <c r="B1742" s="141">
        <v>5.6971934089729099E-3</v>
      </c>
      <c r="D1742" s="141"/>
    </row>
    <row r="1743" spans="1:4" x14ac:dyDescent="0.2">
      <c r="A1743" s="140" t="s">
        <v>3840</v>
      </c>
      <c r="B1743" s="141">
        <v>5.6916112868419097E-3</v>
      </c>
      <c r="D1743" s="141"/>
    </row>
    <row r="1744" spans="1:4" x14ac:dyDescent="0.2">
      <c r="A1744" s="140" t="s">
        <v>4024</v>
      </c>
      <c r="B1744" s="141">
        <v>5.67612720254784E-3</v>
      </c>
      <c r="D1744" s="141"/>
    </row>
    <row r="1745" spans="1:4" x14ac:dyDescent="0.2">
      <c r="A1745" s="140" t="s">
        <v>2573</v>
      </c>
      <c r="B1745" s="141">
        <v>5.6737730832923799E-3</v>
      </c>
      <c r="D1745" s="141"/>
    </row>
    <row r="1746" spans="1:4" x14ac:dyDescent="0.2">
      <c r="A1746" s="140" t="s">
        <v>2695</v>
      </c>
      <c r="B1746" s="141">
        <v>5.6676299549221001E-3</v>
      </c>
      <c r="D1746" s="141"/>
    </row>
    <row r="1747" spans="1:4" x14ac:dyDescent="0.2">
      <c r="A1747" s="140" t="s">
        <v>5354</v>
      </c>
      <c r="B1747" s="141">
        <v>5.6626368961133497E-3</v>
      </c>
      <c r="D1747" s="141"/>
    </row>
    <row r="1748" spans="1:4" x14ac:dyDescent="0.2">
      <c r="A1748" s="140" t="s">
        <v>1892</v>
      </c>
      <c r="B1748" s="141">
        <v>5.6622210992805398E-3</v>
      </c>
      <c r="D1748" s="141"/>
    </row>
    <row r="1749" spans="1:4" x14ac:dyDescent="0.2">
      <c r="A1749" s="140" t="s">
        <v>1417</v>
      </c>
      <c r="B1749" s="141">
        <v>5.6608402993549699E-3</v>
      </c>
      <c r="D1749" s="141"/>
    </row>
    <row r="1750" spans="1:4" x14ac:dyDescent="0.2">
      <c r="A1750" s="140" t="s">
        <v>3949</v>
      </c>
      <c r="B1750" s="141">
        <v>5.6590566878602601E-3</v>
      </c>
      <c r="D1750" s="141"/>
    </row>
    <row r="1751" spans="1:4" x14ac:dyDescent="0.2">
      <c r="A1751" s="140" t="s">
        <v>4121</v>
      </c>
      <c r="B1751" s="141">
        <v>5.6519159255381101E-3</v>
      </c>
      <c r="D1751" s="141"/>
    </row>
    <row r="1752" spans="1:4" x14ac:dyDescent="0.2">
      <c r="A1752" s="140" t="s">
        <v>6252</v>
      </c>
      <c r="B1752" s="141">
        <v>5.64873942226813E-3</v>
      </c>
      <c r="D1752" s="141"/>
    </row>
    <row r="1753" spans="1:4" x14ac:dyDescent="0.2">
      <c r="A1753" s="140" t="s">
        <v>1456</v>
      </c>
      <c r="B1753" s="141">
        <v>5.6486295813213804E-3</v>
      </c>
      <c r="D1753" s="141"/>
    </row>
    <row r="1754" spans="1:4" x14ac:dyDescent="0.2">
      <c r="A1754" s="140" t="s">
        <v>6929</v>
      </c>
      <c r="B1754" s="141">
        <v>5.64781526716082E-3</v>
      </c>
      <c r="D1754" s="141"/>
    </row>
    <row r="1755" spans="1:4" x14ac:dyDescent="0.2">
      <c r="A1755" s="140" t="s">
        <v>3032</v>
      </c>
      <c r="B1755" s="141">
        <v>5.6472622181467404E-3</v>
      </c>
      <c r="D1755" s="141"/>
    </row>
    <row r="1756" spans="1:4" x14ac:dyDescent="0.2">
      <c r="A1756" s="140" t="s">
        <v>2917</v>
      </c>
      <c r="B1756" s="141">
        <v>5.6430233449593498E-3</v>
      </c>
      <c r="D1756" s="141"/>
    </row>
    <row r="1757" spans="1:4" x14ac:dyDescent="0.2">
      <c r="A1757" s="140" t="s">
        <v>1294</v>
      </c>
      <c r="B1757" s="141">
        <v>5.6286373339936597E-3</v>
      </c>
      <c r="D1757" s="141"/>
    </row>
    <row r="1758" spans="1:4" x14ac:dyDescent="0.2">
      <c r="A1758" s="140" t="s">
        <v>3565</v>
      </c>
      <c r="B1758" s="141">
        <v>5.6212919175841697E-3</v>
      </c>
      <c r="D1758" s="141"/>
    </row>
    <row r="1759" spans="1:4" x14ac:dyDescent="0.2">
      <c r="A1759" s="140" t="s">
        <v>2327</v>
      </c>
      <c r="B1759" s="141">
        <v>5.6185245966387104E-3</v>
      </c>
      <c r="D1759" s="141"/>
    </row>
    <row r="1760" spans="1:4" x14ac:dyDescent="0.2">
      <c r="A1760" s="140" t="s">
        <v>410</v>
      </c>
      <c r="B1760" s="141">
        <v>5.5812821090962597E-3</v>
      </c>
      <c r="D1760" s="141"/>
    </row>
    <row r="1761" spans="1:4" x14ac:dyDescent="0.2">
      <c r="A1761" s="140" t="s">
        <v>6930</v>
      </c>
      <c r="B1761" s="141">
        <v>5.5736127539931903E-3</v>
      </c>
      <c r="D1761" s="141"/>
    </row>
    <row r="1762" spans="1:4" x14ac:dyDescent="0.2">
      <c r="A1762" s="140" t="s">
        <v>3818</v>
      </c>
      <c r="B1762" s="141">
        <v>5.5715623259820699E-3</v>
      </c>
      <c r="D1762" s="141"/>
    </row>
    <row r="1763" spans="1:4" x14ac:dyDescent="0.2">
      <c r="A1763" s="140" t="s">
        <v>5642</v>
      </c>
      <c r="B1763" s="141">
        <v>5.5683374165719597E-3</v>
      </c>
      <c r="D1763" s="141"/>
    </row>
    <row r="1764" spans="1:4" x14ac:dyDescent="0.2">
      <c r="A1764" s="140" t="s">
        <v>2567</v>
      </c>
      <c r="B1764" s="141">
        <v>5.5665864540459502E-3</v>
      </c>
      <c r="D1764" s="141"/>
    </row>
    <row r="1765" spans="1:4" x14ac:dyDescent="0.2">
      <c r="A1765" s="140" t="s">
        <v>350</v>
      </c>
      <c r="B1765" s="141">
        <v>5.5599338940561099E-3</v>
      </c>
      <c r="D1765" s="141"/>
    </row>
    <row r="1766" spans="1:4" x14ac:dyDescent="0.2">
      <c r="A1766" s="140" t="s">
        <v>3310</v>
      </c>
      <c r="B1766" s="141">
        <v>5.5499189816576302E-3</v>
      </c>
      <c r="D1766" s="141"/>
    </row>
    <row r="1767" spans="1:4" x14ac:dyDescent="0.2">
      <c r="A1767" s="140" t="s">
        <v>5821</v>
      </c>
      <c r="B1767" s="141">
        <v>5.5489564641632702E-3</v>
      </c>
      <c r="D1767" s="141"/>
    </row>
    <row r="1768" spans="1:4" x14ac:dyDescent="0.2">
      <c r="A1768" s="140" t="s">
        <v>5648</v>
      </c>
      <c r="B1768" s="141">
        <v>5.5424778051107503E-3</v>
      </c>
      <c r="D1768" s="141"/>
    </row>
    <row r="1769" spans="1:4" x14ac:dyDescent="0.2">
      <c r="A1769" s="140" t="s">
        <v>4383</v>
      </c>
      <c r="B1769" s="141">
        <v>5.5419820144811298E-3</v>
      </c>
      <c r="D1769" s="141"/>
    </row>
    <row r="1770" spans="1:4" x14ac:dyDescent="0.2">
      <c r="A1770" s="140" t="s">
        <v>5392</v>
      </c>
      <c r="B1770" s="141">
        <v>5.5358782669524499E-3</v>
      </c>
      <c r="D1770" s="141"/>
    </row>
    <row r="1771" spans="1:4" x14ac:dyDescent="0.2">
      <c r="A1771" s="140" t="s">
        <v>4628</v>
      </c>
      <c r="B1771" s="141">
        <v>5.5349110959524699E-3</v>
      </c>
      <c r="D1771" s="141"/>
    </row>
    <row r="1772" spans="1:4" x14ac:dyDescent="0.2">
      <c r="A1772" s="140" t="s">
        <v>6931</v>
      </c>
      <c r="B1772" s="141">
        <v>5.5092878435702196E-3</v>
      </c>
      <c r="D1772" s="141"/>
    </row>
    <row r="1773" spans="1:4" x14ac:dyDescent="0.2">
      <c r="A1773" s="140" t="s">
        <v>5589</v>
      </c>
      <c r="B1773" s="141">
        <v>5.5084548715438704E-3</v>
      </c>
      <c r="D1773" s="141"/>
    </row>
    <row r="1774" spans="1:4" x14ac:dyDescent="0.2">
      <c r="A1774" s="140" t="s">
        <v>3153</v>
      </c>
      <c r="B1774" s="141">
        <v>5.5004015925781196E-3</v>
      </c>
      <c r="D1774" s="141"/>
    </row>
    <row r="1775" spans="1:4" x14ac:dyDescent="0.2">
      <c r="A1775" s="140" t="s">
        <v>6932</v>
      </c>
      <c r="B1775" s="141">
        <v>5.4900565548896196E-3</v>
      </c>
      <c r="D1775" s="141"/>
    </row>
    <row r="1776" spans="1:4" x14ac:dyDescent="0.2">
      <c r="A1776" s="140" t="s">
        <v>5439</v>
      </c>
      <c r="B1776" s="141">
        <v>5.47639814452039E-3</v>
      </c>
      <c r="D1776" s="141"/>
    </row>
    <row r="1777" spans="1:4" x14ac:dyDescent="0.2">
      <c r="A1777" s="140" t="s">
        <v>1060</v>
      </c>
      <c r="B1777" s="141">
        <v>5.4742223576286098E-3</v>
      </c>
      <c r="D1777" s="141"/>
    </row>
    <row r="1778" spans="1:4" x14ac:dyDescent="0.2">
      <c r="A1778" s="140" t="s">
        <v>3917</v>
      </c>
      <c r="B1778" s="141">
        <v>5.4679046871544601E-3</v>
      </c>
      <c r="D1778" s="141"/>
    </row>
    <row r="1779" spans="1:4" x14ac:dyDescent="0.2">
      <c r="A1779" s="140" t="s">
        <v>6933</v>
      </c>
      <c r="B1779" s="141">
        <v>5.4651821735898897E-3</v>
      </c>
      <c r="D1779" s="141"/>
    </row>
    <row r="1780" spans="1:4" x14ac:dyDescent="0.2">
      <c r="A1780" s="140" t="s">
        <v>1324</v>
      </c>
      <c r="B1780" s="141">
        <v>5.4627388239442201E-3</v>
      </c>
      <c r="D1780" s="141"/>
    </row>
    <row r="1781" spans="1:4" x14ac:dyDescent="0.2">
      <c r="A1781" s="140" t="s">
        <v>895</v>
      </c>
      <c r="B1781" s="141">
        <v>5.4601075111834199E-3</v>
      </c>
      <c r="D1781" s="141"/>
    </row>
    <row r="1782" spans="1:4" x14ac:dyDescent="0.2">
      <c r="A1782" s="140" t="s">
        <v>6934</v>
      </c>
      <c r="B1782" s="141">
        <v>5.45965754679945E-3</v>
      </c>
      <c r="D1782" s="141"/>
    </row>
    <row r="1783" spans="1:4" x14ac:dyDescent="0.2">
      <c r="A1783" s="140" t="s">
        <v>4292</v>
      </c>
      <c r="B1783" s="141">
        <v>5.4483914345474296E-3</v>
      </c>
      <c r="D1783" s="141"/>
    </row>
    <row r="1784" spans="1:4" x14ac:dyDescent="0.2">
      <c r="A1784" s="140" t="s">
        <v>2977</v>
      </c>
      <c r="B1784" s="141">
        <v>5.4386361836901804E-3</v>
      </c>
      <c r="D1784" s="141"/>
    </row>
    <row r="1785" spans="1:4" x14ac:dyDescent="0.2">
      <c r="A1785" s="140" t="s">
        <v>6935</v>
      </c>
      <c r="B1785" s="141">
        <v>5.4359375606751496E-3</v>
      </c>
      <c r="D1785" s="141"/>
    </row>
    <row r="1786" spans="1:4" x14ac:dyDescent="0.2">
      <c r="A1786" s="140" t="s">
        <v>6053</v>
      </c>
      <c r="B1786" s="141">
        <v>5.4353644363895597E-3</v>
      </c>
      <c r="D1786" s="141"/>
    </row>
    <row r="1787" spans="1:4" x14ac:dyDescent="0.2">
      <c r="A1787" s="140" t="s">
        <v>1492</v>
      </c>
      <c r="B1787" s="141">
        <v>5.4254492095619604E-3</v>
      </c>
      <c r="D1787" s="141"/>
    </row>
    <row r="1788" spans="1:4" x14ac:dyDescent="0.2">
      <c r="A1788" s="140" t="s">
        <v>4237</v>
      </c>
      <c r="B1788" s="141">
        <v>5.4206495685363296E-3</v>
      </c>
      <c r="D1788" s="141"/>
    </row>
    <row r="1789" spans="1:4" x14ac:dyDescent="0.2">
      <c r="A1789" s="140" t="s">
        <v>2829</v>
      </c>
      <c r="B1789" s="141">
        <v>5.3930084046698596E-3</v>
      </c>
      <c r="D1789" s="141"/>
    </row>
    <row r="1790" spans="1:4" x14ac:dyDescent="0.2">
      <c r="A1790" s="140" t="s">
        <v>6936</v>
      </c>
      <c r="B1790" s="141">
        <v>5.3893849429167504E-3</v>
      </c>
      <c r="D1790" s="141"/>
    </row>
    <row r="1791" spans="1:4" x14ac:dyDescent="0.2">
      <c r="A1791" s="140" t="s">
        <v>6937</v>
      </c>
      <c r="B1791" s="141">
        <v>5.3893849429167504E-3</v>
      </c>
      <c r="D1791" s="141"/>
    </row>
    <row r="1792" spans="1:4" x14ac:dyDescent="0.2">
      <c r="A1792" s="140" t="s">
        <v>6938</v>
      </c>
      <c r="B1792" s="141">
        <v>5.3868249751394398E-3</v>
      </c>
      <c r="D1792" s="141"/>
    </row>
    <row r="1793" spans="1:4" x14ac:dyDescent="0.2">
      <c r="A1793" s="140" t="s">
        <v>2146</v>
      </c>
      <c r="B1793" s="141">
        <v>5.3812624866719904E-3</v>
      </c>
      <c r="D1793" s="141"/>
    </row>
    <row r="1794" spans="1:4" x14ac:dyDescent="0.2">
      <c r="A1794" s="140" t="s">
        <v>2979</v>
      </c>
      <c r="B1794" s="141">
        <v>5.3772230539482803E-3</v>
      </c>
      <c r="D1794" s="141"/>
    </row>
    <row r="1795" spans="1:4" x14ac:dyDescent="0.2">
      <c r="A1795" s="140" t="s">
        <v>2591</v>
      </c>
      <c r="B1795" s="141">
        <v>5.3771206868249702E-3</v>
      </c>
      <c r="D1795" s="141"/>
    </row>
    <row r="1796" spans="1:4" x14ac:dyDescent="0.2">
      <c r="A1796" s="140" t="s">
        <v>2296</v>
      </c>
      <c r="B1796" s="141">
        <v>5.3731463660026896E-3</v>
      </c>
      <c r="D1796" s="141"/>
    </row>
    <row r="1797" spans="1:4" x14ac:dyDescent="0.2">
      <c r="A1797" s="140" t="s">
        <v>3681</v>
      </c>
      <c r="B1797" s="141">
        <v>5.3719914341284402E-3</v>
      </c>
      <c r="D1797" s="141"/>
    </row>
    <row r="1798" spans="1:4" x14ac:dyDescent="0.2">
      <c r="A1798" s="140" t="s">
        <v>1548</v>
      </c>
      <c r="B1798" s="141">
        <v>5.3673894514580404E-3</v>
      </c>
      <c r="D1798" s="141"/>
    </row>
    <row r="1799" spans="1:4" x14ac:dyDescent="0.2">
      <c r="A1799" s="140" t="s">
        <v>6272</v>
      </c>
      <c r="B1799" s="141">
        <v>5.36412739108708E-3</v>
      </c>
      <c r="D1799" s="141"/>
    </row>
    <row r="1800" spans="1:4" x14ac:dyDescent="0.2">
      <c r="A1800" s="140" t="s">
        <v>2102</v>
      </c>
      <c r="B1800" s="141">
        <v>5.3620114714799201E-3</v>
      </c>
      <c r="D1800" s="141"/>
    </row>
    <row r="1801" spans="1:4" x14ac:dyDescent="0.2">
      <c r="A1801" s="140" t="s">
        <v>6939</v>
      </c>
      <c r="B1801" s="141">
        <v>5.3439646843420202E-3</v>
      </c>
      <c r="D1801" s="141"/>
    </row>
    <row r="1802" spans="1:4" x14ac:dyDescent="0.2">
      <c r="A1802" s="140" t="s">
        <v>1407</v>
      </c>
      <c r="B1802" s="141">
        <v>5.3423576820252998E-3</v>
      </c>
      <c r="D1802" s="141"/>
    </row>
    <row r="1803" spans="1:4" x14ac:dyDescent="0.2">
      <c r="A1803" s="140" t="s">
        <v>2958</v>
      </c>
      <c r="B1803" s="141">
        <v>5.3394631298427E-3</v>
      </c>
      <c r="D1803" s="141"/>
    </row>
    <row r="1804" spans="1:4" x14ac:dyDescent="0.2">
      <c r="A1804" s="140" t="s">
        <v>1473</v>
      </c>
      <c r="B1804" s="141">
        <v>5.3368343016499198E-3</v>
      </c>
      <c r="D1804" s="141"/>
    </row>
    <row r="1805" spans="1:4" x14ac:dyDescent="0.2">
      <c r="A1805" s="140" t="s">
        <v>3129</v>
      </c>
      <c r="B1805" s="141">
        <v>5.3326338466861004E-3</v>
      </c>
      <c r="D1805" s="141"/>
    </row>
    <row r="1806" spans="1:4" x14ac:dyDescent="0.2">
      <c r="A1806" s="140" t="s">
        <v>1466</v>
      </c>
      <c r="B1806" s="141">
        <v>5.3305781135871101E-3</v>
      </c>
      <c r="D1806" s="141"/>
    </row>
    <row r="1807" spans="1:4" x14ac:dyDescent="0.2">
      <c r="A1807" s="140" t="s">
        <v>6940</v>
      </c>
      <c r="B1807" s="141">
        <v>5.32466879069336E-3</v>
      </c>
      <c r="D1807" s="141"/>
    </row>
    <row r="1808" spans="1:4" x14ac:dyDescent="0.2">
      <c r="A1808" s="140" t="s">
        <v>5599</v>
      </c>
      <c r="B1808" s="141">
        <v>5.3202534875452599E-3</v>
      </c>
      <c r="D1808" s="141"/>
    </row>
    <row r="1809" spans="1:4" x14ac:dyDescent="0.2">
      <c r="A1809" s="140" t="s">
        <v>2969</v>
      </c>
      <c r="B1809" s="141">
        <v>5.3192472087861204E-3</v>
      </c>
      <c r="D1809" s="141"/>
    </row>
    <row r="1810" spans="1:4" x14ac:dyDescent="0.2">
      <c r="A1810" s="140" t="s">
        <v>6941</v>
      </c>
      <c r="B1810" s="141">
        <v>5.3190216297590099E-3</v>
      </c>
      <c r="D1810" s="141"/>
    </row>
    <row r="1811" spans="1:4" x14ac:dyDescent="0.2">
      <c r="A1811" s="140" t="s">
        <v>6942</v>
      </c>
      <c r="B1811" s="141">
        <v>5.3187883947842501E-3</v>
      </c>
      <c r="D1811" s="141"/>
    </row>
    <row r="1812" spans="1:4" x14ac:dyDescent="0.2">
      <c r="A1812" s="140" t="s">
        <v>5596</v>
      </c>
      <c r="B1812" s="141">
        <v>5.3179349693154698E-3</v>
      </c>
      <c r="D1812" s="141"/>
    </row>
    <row r="1813" spans="1:4" x14ac:dyDescent="0.2">
      <c r="A1813" s="140" t="s">
        <v>6943</v>
      </c>
      <c r="B1813" s="141">
        <v>5.3178810585040497E-3</v>
      </c>
      <c r="D1813" s="141"/>
    </row>
    <row r="1814" spans="1:4" x14ac:dyDescent="0.2">
      <c r="A1814" s="140" t="s">
        <v>1690</v>
      </c>
      <c r="B1814" s="141">
        <v>5.3168739103372801E-3</v>
      </c>
      <c r="D1814" s="141"/>
    </row>
    <row r="1815" spans="1:4" x14ac:dyDescent="0.2">
      <c r="A1815" s="140" t="s">
        <v>6944</v>
      </c>
      <c r="B1815" s="141">
        <v>5.3116321939989403E-3</v>
      </c>
      <c r="D1815" s="141"/>
    </row>
    <row r="1816" spans="1:4" x14ac:dyDescent="0.2">
      <c r="A1816" s="140" t="s">
        <v>3805</v>
      </c>
      <c r="B1816" s="141">
        <v>5.3105534699297002E-3</v>
      </c>
      <c r="D1816" s="141"/>
    </row>
    <row r="1817" spans="1:4" x14ac:dyDescent="0.2">
      <c r="A1817" s="140" t="s">
        <v>871</v>
      </c>
      <c r="B1817" s="141">
        <v>5.2918605386729099E-3</v>
      </c>
      <c r="D1817" s="141"/>
    </row>
    <row r="1818" spans="1:4" x14ac:dyDescent="0.2">
      <c r="A1818" s="140" t="s">
        <v>2449</v>
      </c>
      <c r="B1818" s="141">
        <v>5.2782111037659703E-3</v>
      </c>
      <c r="D1818" s="141"/>
    </row>
    <row r="1819" spans="1:4" x14ac:dyDescent="0.2">
      <c r="A1819" s="140" t="s">
        <v>664</v>
      </c>
      <c r="B1819" s="141">
        <v>5.2729241090104396E-3</v>
      </c>
      <c r="D1819" s="141"/>
    </row>
    <row r="1820" spans="1:4" x14ac:dyDescent="0.2">
      <c r="A1820" s="140" t="s">
        <v>6945</v>
      </c>
      <c r="B1820" s="141">
        <v>5.2670331736862901E-3</v>
      </c>
      <c r="D1820" s="141"/>
    </row>
    <row r="1821" spans="1:4" x14ac:dyDescent="0.2">
      <c r="A1821" s="140" t="s">
        <v>6946</v>
      </c>
      <c r="B1821" s="141">
        <v>5.2594374003573302E-3</v>
      </c>
      <c r="D1821" s="141"/>
    </row>
    <row r="1822" spans="1:4" x14ac:dyDescent="0.2">
      <c r="A1822" s="140" t="s">
        <v>6947</v>
      </c>
      <c r="B1822" s="141">
        <v>5.2489761569487498E-3</v>
      </c>
      <c r="D1822" s="141"/>
    </row>
    <row r="1823" spans="1:4" x14ac:dyDescent="0.2">
      <c r="A1823" s="140" t="s">
        <v>6948</v>
      </c>
      <c r="B1823" s="141">
        <v>5.2489761569487498E-3</v>
      </c>
      <c r="D1823" s="141"/>
    </row>
    <row r="1824" spans="1:4" x14ac:dyDescent="0.2">
      <c r="A1824" s="140" t="s">
        <v>6949</v>
      </c>
      <c r="B1824" s="141">
        <v>5.2489761569487498E-3</v>
      </c>
      <c r="D1824" s="141"/>
    </row>
    <row r="1825" spans="1:4" x14ac:dyDescent="0.2">
      <c r="A1825" s="140" t="s">
        <v>6950</v>
      </c>
      <c r="B1825" s="141">
        <v>5.2489761569487498E-3</v>
      </c>
      <c r="D1825" s="141"/>
    </row>
    <row r="1826" spans="1:4" x14ac:dyDescent="0.2">
      <c r="A1826" s="140" t="s">
        <v>3890</v>
      </c>
      <c r="B1826" s="141">
        <v>5.2489761569487498E-3</v>
      </c>
      <c r="D1826" s="141"/>
    </row>
    <row r="1827" spans="1:4" x14ac:dyDescent="0.2">
      <c r="A1827" s="140" t="s">
        <v>2167</v>
      </c>
      <c r="B1827" s="141">
        <v>5.2487860751370199E-3</v>
      </c>
      <c r="D1827" s="141"/>
    </row>
    <row r="1828" spans="1:4" x14ac:dyDescent="0.2">
      <c r="A1828" s="140" t="s">
        <v>6002</v>
      </c>
      <c r="B1828" s="141">
        <v>5.2479562760917803E-3</v>
      </c>
      <c r="D1828" s="141"/>
    </row>
    <row r="1829" spans="1:4" x14ac:dyDescent="0.2">
      <c r="A1829" s="140" t="s">
        <v>3414</v>
      </c>
      <c r="B1829" s="141">
        <v>5.2469344137442801E-3</v>
      </c>
      <c r="D1829" s="141"/>
    </row>
    <row r="1830" spans="1:4" x14ac:dyDescent="0.2">
      <c r="A1830" s="140" t="s">
        <v>5967</v>
      </c>
      <c r="B1830" s="141">
        <v>5.2466110982104597E-3</v>
      </c>
      <c r="D1830" s="141"/>
    </row>
    <row r="1831" spans="1:4" x14ac:dyDescent="0.2">
      <c r="A1831" s="140" t="s">
        <v>1212</v>
      </c>
      <c r="B1831" s="141">
        <v>5.2438317881535797E-3</v>
      </c>
      <c r="D1831" s="141"/>
    </row>
    <row r="1832" spans="1:4" x14ac:dyDescent="0.2">
      <c r="A1832" s="140" t="s">
        <v>3955</v>
      </c>
      <c r="B1832" s="141">
        <v>5.2387859357617703E-3</v>
      </c>
      <c r="D1832" s="141"/>
    </row>
    <row r="1833" spans="1:4" x14ac:dyDescent="0.2">
      <c r="A1833" s="140" t="s">
        <v>5559</v>
      </c>
      <c r="B1833" s="141">
        <v>5.2329587971784598E-3</v>
      </c>
      <c r="D1833" s="141"/>
    </row>
    <row r="1834" spans="1:4" x14ac:dyDescent="0.2">
      <c r="A1834" s="140" t="s">
        <v>3728</v>
      </c>
      <c r="B1834" s="141">
        <v>5.2329587971784598E-3</v>
      </c>
      <c r="D1834" s="141"/>
    </row>
    <row r="1835" spans="1:4" x14ac:dyDescent="0.2">
      <c r="A1835" s="140" t="s">
        <v>6951</v>
      </c>
      <c r="B1835" s="141">
        <v>5.2329587971784598E-3</v>
      </c>
      <c r="D1835" s="141"/>
    </row>
    <row r="1836" spans="1:4" x14ac:dyDescent="0.2">
      <c r="A1836" s="140" t="s">
        <v>5812</v>
      </c>
      <c r="B1836" s="141">
        <v>5.2318588961348701E-3</v>
      </c>
      <c r="D1836" s="141"/>
    </row>
    <row r="1837" spans="1:4" x14ac:dyDescent="0.2">
      <c r="A1837" s="140" t="s">
        <v>2081</v>
      </c>
      <c r="B1837" s="141">
        <v>5.2286430639261897E-3</v>
      </c>
      <c r="D1837" s="141"/>
    </row>
    <row r="1838" spans="1:4" x14ac:dyDescent="0.2">
      <c r="A1838" s="140" t="s">
        <v>5996</v>
      </c>
      <c r="B1838" s="141">
        <v>5.22288424959112E-3</v>
      </c>
      <c r="D1838" s="141"/>
    </row>
    <row r="1839" spans="1:4" x14ac:dyDescent="0.2">
      <c r="A1839" s="140" t="s">
        <v>1647</v>
      </c>
      <c r="B1839" s="141">
        <v>5.2210825032779897E-3</v>
      </c>
      <c r="D1839" s="141"/>
    </row>
    <row r="1840" spans="1:4" x14ac:dyDescent="0.2">
      <c r="A1840" s="140" t="s">
        <v>5716</v>
      </c>
      <c r="B1840" s="141">
        <v>5.2192826807654696E-3</v>
      </c>
      <c r="D1840" s="141"/>
    </row>
    <row r="1841" spans="1:4" x14ac:dyDescent="0.2">
      <c r="A1841" s="140" t="s">
        <v>2108</v>
      </c>
      <c r="B1841" s="141">
        <v>5.2161753081332004E-3</v>
      </c>
      <c r="D1841" s="141"/>
    </row>
    <row r="1842" spans="1:4" x14ac:dyDescent="0.2">
      <c r="A1842" s="140" t="s">
        <v>2726</v>
      </c>
      <c r="B1842" s="141">
        <v>5.2151469673027001E-3</v>
      </c>
      <c r="D1842" s="141"/>
    </row>
    <row r="1843" spans="1:4" x14ac:dyDescent="0.2">
      <c r="A1843" s="140" t="s">
        <v>1879</v>
      </c>
      <c r="B1843" s="141">
        <v>5.2077657994247604E-3</v>
      </c>
      <c r="D1843" s="141"/>
    </row>
    <row r="1844" spans="1:4" x14ac:dyDescent="0.2">
      <c r="A1844" s="140" t="s">
        <v>2857</v>
      </c>
      <c r="B1844" s="141">
        <v>5.2016310916116202E-3</v>
      </c>
      <c r="D1844" s="141"/>
    </row>
    <row r="1845" spans="1:4" x14ac:dyDescent="0.2">
      <c r="A1845" s="140" t="s">
        <v>6130</v>
      </c>
      <c r="B1845" s="141">
        <v>5.1977654490590296E-3</v>
      </c>
      <c r="D1845" s="141"/>
    </row>
    <row r="1846" spans="1:4" x14ac:dyDescent="0.2">
      <c r="A1846" s="140" t="s">
        <v>3324</v>
      </c>
      <c r="B1846" s="141">
        <v>5.1977654490590296E-3</v>
      </c>
      <c r="D1846" s="141"/>
    </row>
    <row r="1847" spans="1:4" x14ac:dyDescent="0.2">
      <c r="A1847" s="140" t="s">
        <v>4072</v>
      </c>
      <c r="B1847" s="141">
        <v>5.1919300678530201E-3</v>
      </c>
      <c r="D1847" s="141"/>
    </row>
    <row r="1848" spans="1:4" x14ac:dyDescent="0.2">
      <c r="A1848" s="140" t="s">
        <v>6952</v>
      </c>
      <c r="B1848" s="141">
        <v>5.1881284283539697E-3</v>
      </c>
      <c r="D1848" s="141"/>
    </row>
    <row r="1849" spans="1:4" x14ac:dyDescent="0.2">
      <c r="A1849" s="140" t="s">
        <v>3816</v>
      </c>
      <c r="B1849" s="141">
        <v>5.1832049072398599E-3</v>
      </c>
      <c r="D1849" s="141"/>
    </row>
    <row r="1850" spans="1:4" x14ac:dyDescent="0.2">
      <c r="A1850" s="140" t="s">
        <v>5785</v>
      </c>
      <c r="B1850" s="141">
        <v>5.1666041526952401E-3</v>
      </c>
      <c r="D1850" s="141"/>
    </row>
    <row r="1851" spans="1:4" x14ac:dyDescent="0.2">
      <c r="A1851" s="140" t="s">
        <v>1270</v>
      </c>
      <c r="B1851" s="141">
        <v>5.1658857665525396E-3</v>
      </c>
      <c r="D1851" s="141"/>
    </row>
    <row r="1852" spans="1:4" x14ac:dyDescent="0.2">
      <c r="A1852" s="140" t="s">
        <v>6953</v>
      </c>
      <c r="B1852" s="141">
        <v>5.1535984018223902E-3</v>
      </c>
      <c r="D1852" s="141"/>
    </row>
    <row r="1853" spans="1:4" x14ac:dyDescent="0.2">
      <c r="A1853" s="140" t="s">
        <v>6033</v>
      </c>
      <c r="B1853" s="141">
        <v>5.1510864562198397E-3</v>
      </c>
      <c r="D1853" s="141"/>
    </row>
    <row r="1854" spans="1:4" x14ac:dyDescent="0.2">
      <c r="A1854" s="140" t="s">
        <v>3358</v>
      </c>
      <c r="B1854" s="141">
        <v>5.1340747301656803E-3</v>
      </c>
      <c r="D1854" s="141"/>
    </row>
    <row r="1855" spans="1:4" x14ac:dyDescent="0.2">
      <c r="A1855" s="140" t="s">
        <v>6954</v>
      </c>
      <c r="B1855" s="141">
        <v>5.1314683226960697E-3</v>
      </c>
      <c r="D1855" s="141"/>
    </row>
    <row r="1856" spans="1:4" x14ac:dyDescent="0.2">
      <c r="A1856" s="140" t="s">
        <v>1835</v>
      </c>
      <c r="B1856" s="141">
        <v>5.1299672471357798E-3</v>
      </c>
      <c r="D1856" s="141"/>
    </row>
    <row r="1857" spans="1:4" x14ac:dyDescent="0.2">
      <c r="A1857" s="140" t="s">
        <v>2345</v>
      </c>
      <c r="B1857" s="141">
        <v>5.12943980445552E-3</v>
      </c>
      <c r="D1857" s="141"/>
    </row>
    <row r="1858" spans="1:4" x14ac:dyDescent="0.2">
      <c r="A1858" s="140" t="s">
        <v>6300</v>
      </c>
      <c r="B1858" s="141">
        <v>5.1253588138186904E-3</v>
      </c>
      <c r="D1858" s="141"/>
    </row>
    <row r="1859" spans="1:4" x14ac:dyDescent="0.2">
      <c r="A1859" s="140" t="s">
        <v>5416</v>
      </c>
      <c r="B1859" s="141">
        <v>5.1044210204292499E-3</v>
      </c>
      <c r="D1859" s="141"/>
    </row>
    <row r="1860" spans="1:4" x14ac:dyDescent="0.2">
      <c r="A1860" s="140" t="s">
        <v>4351</v>
      </c>
      <c r="B1860" s="141">
        <v>5.1002357882749903E-3</v>
      </c>
      <c r="D1860" s="141"/>
    </row>
    <row r="1861" spans="1:4" x14ac:dyDescent="0.2">
      <c r="A1861" s="140" t="s">
        <v>6955</v>
      </c>
      <c r="B1861" s="141">
        <v>5.0982973742534302E-3</v>
      </c>
      <c r="D1861" s="141"/>
    </row>
    <row r="1862" spans="1:4" x14ac:dyDescent="0.2">
      <c r="A1862" s="140" t="s">
        <v>5945</v>
      </c>
      <c r="B1862" s="141">
        <v>5.0892182457732502E-3</v>
      </c>
      <c r="D1862" s="141"/>
    </row>
    <row r="1863" spans="1:4" x14ac:dyDescent="0.2">
      <c r="A1863" s="140" t="s">
        <v>2302</v>
      </c>
      <c r="B1863" s="141">
        <v>5.0889632430064398E-3</v>
      </c>
      <c r="D1863" s="141"/>
    </row>
    <row r="1864" spans="1:4" x14ac:dyDescent="0.2">
      <c r="A1864" s="140" t="s">
        <v>5091</v>
      </c>
      <c r="B1864" s="141">
        <v>5.08531640880333E-3</v>
      </c>
      <c r="D1864" s="141"/>
    </row>
    <row r="1865" spans="1:4" x14ac:dyDescent="0.2">
      <c r="A1865" s="140" t="s">
        <v>2937</v>
      </c>
      <c r="B1865" s="141">
        <v>5.0728974909992003E-3</v>
      </c>
      <c r="D1865" s="141"/>
    </row>
    <row r="1866" spans="1:4" x14ac:dyDescent="0.2">
      <c r="A1866" s="140" t="s">
        <v>1542</v>
      </c>
      <c r="B1866" s="141">
        <v>5.0715033829448596E-3</v>
      </c>
      <c r="D1866" s="141"/>
    </row>
    <row r="1867" spans="1:4" x14ac:dyDescent="0.2">
      <c r="A1867" s="140" t="s">
        <v>4585</v>
      </c>
      <c r="B1867" s="141">
        <v>5.0683556883197997E-3</v>
      </c>
      <c r="D1867" s="141"/>
    </row>
    <row r="1868" spans="1:4" x14ac:dyDescent="0.2">
      <c r="A1868" s="140" t="s">
        <v>2534</v>
      </c>
      <c r="B1868" s="141">
        <v>5.0633195045425398E-3</v>
      </c>
      <c r="D1868" s="141"/>
    </row>
    <row r="1869" spans="1:4" x14ac:dyDescent="0.2">
      <c r="A1869" s="140" t="s">
        <v>6956</v>
      </c>
      <c r="B1869" s="141">
        <v>5.0478362616095699E-3</v>
      </c>
      <c r="D1869" s="141"/>
    </row>
    <row r="1870" spans="1:4" x14ac:dyDescent="0.2">
      <c r="A1870" s="140" t="s">
        <v>4009</v>
      </c>
      <c r="B1870" s="141">
        <v>5.04557058302084E-3</v>
      </c>
      <c r="D1870" s="141"/>
    </row>
    <row r="1871" spans="1:4" x14ac:dyDescent="0.2">
      <c r="A1871" s="140" t="s">
        <v>6957</v>
      </c>
      <c r="B1871" s="141">
        <v>5.0422053083598499E-3</v>
      </c>
      <c r="D1871" s="141"/>
    </row>
    <row r="1872" spans="1:4" x14ac:dyDescent="0.2">
      <c r="A1872" s="140" t="s">
        <v>4846</v>
      </c>
      <c r="B1872" s="141">
        <v>5.0379095173068503E-3</v>
      </c>
      <c r="D1872" s="141"/>
    </row>
    <row r="1873" spans="1:4" x14ac:dyDescent="0.2">
      <c r="A1873" s="140" t="s">
        <v>6958</v>
      </c>
      <c r="B1873" s="141">
        <v>5.0359191153928002E-3</v>
      </c>
      <c r="D1873" s="141"/>
    </row>
    <row r="1874" spans="1:4" x14ac:dyDescent="0.2">
      <c r="A1874" s="140" t="s">
        <v>657</v>
      </c>
      <c r="B1874" s="141">
        <v>5.0307572278064398E-3</v>
      </c>
      <c r="D1874" s="141"/>
    </row>
    <row r="1875" spans="1:4" x14ac:dyDescent="0.2">
      <c r="A1875" s="140" t="s">
        <v>6959</v>
      </c>
      <c r="B1875" s="141">
        <v>5.0248394421625901E-3</v>
      </c>
      <c r="D1875" s="141"/>
    </row>
    <row r="1876" spans="1:4" x14ac:dyDescent="0.2">
      <c r="A1876" s="140" t="s">
        <v>6960</v>
      </c>
      <c r="B1876" s="141">
        <v>5.0183317632282298E-3</v>
      </c>
      <c r="D1876" s="141"/>
    </row>
    <row r="1877" spans="1:4" x14ac:dyDescent="0.2">
      <c r="A1877" s="140" t="s">
        <v>5323</v>
      </c>
      <c r="B1877" s="141">
        <v>5.0176475921383202E-3</v>
      </c>
      <c r="D1877" s="141"/>
    </row>
    <row r="1878" spans="1:4" x14ac:dyDescent="0.2">
      <c r="A1878" s="140" t="s">
        <v>6961</v>
      </c>
      <c r="B1878" s="141">
        <v>5.0154332802212296E-3</v>
      </c>
      <c r="D1878" s="141"/>
    </row>
    <row r="1879" spans="1:4" x14ac:dyDescent="0.2">
      <c r="A1879" s="140" t="s">
        <v>5813</v>
      </c>
      <c r="B1879" s="141">
        <v>5.0104263931015402E-3</v>
      </c>
      <c r="D1879" s="141"/>
    </row>
    <row r="1880" spans="1:4" x14ac:dyDescent="0.2">
      <c r="A1880" s="140" t="s">
        <v>1671</v>
      </c>
      <c r="B1880" s="141">
        <v>5.0039097380429097E-3</v>
      </c>
      <c r="D1880" s="141"/>
    </row>
    <row r="1881" spans="1:4" x14ac:dyDescent="0.2">
      <c r="A1881" s="140" t="s">
        <v>6962</v>
      </c>
      <c r="B1881" s="141">
        <v>4.9879278453087402E-3</v>
      </c>
      <c r="D1881" s="141"/>
    </row>
    <row r="1882" spans="1:4" x14ac:dyDescent="0.2">
      <c r="A1882" s="140" t="s">
        <v>5006</v>
      </c>
      <c r="B1882" s="141">
        <v>4.9879278453087402E-3</v>
      </c>
      <c r="D1882" s="141"/>
    </row>
    <row r="1883" spans="1:4" x14ac:dyDescent="0.2">
      <c r="A1883" s="140" t="s">
        <v>6963</v>
      </c>
      <c r="B1883" s="141">
        <v>4.9879278453087402E-3</v>
      </c>
      <c r="D1883" s="141"/>
    </row>
    <row r="1884" spans="1:4" x14ac:dyDescent="0.2">
      <c r="A1884" s="140" t="s">
        <v>1915</v>
      </c>
      <c r="B1884" s="141">
        <v>4.9811726601466898E-3</v>
      </c>
      <c r="D1884" s="141"/>
    </row>
    <row r="1885" spans="1:4" x14ac:dyDescent="0.2">
      <c r="A1885" s="140" t="s">
        <v>6029</v>
      </c>
      <c r="B1885" s="141">
        <v>4.9674942663835197E-3</v>
      </c>
      <c r="D1885" s="141"/>
    </row>
    <row r="1886" spans="1:4" x14ac:dyDescent="0.2">
      <c r="A1886" s="140" t="s">
        <v>6964</v>
      </c>
      <c r="B1886" s="141">
        <v>4.96264016491396E-3</v>
      </c>
      <c r="D1886" s="141"/>
    </row>
    <row r="1887" spans="1:4" x14ac:dyDescent="0.2">
      <c r="A1887" s="140" t="s">
        <v>6965</v>
      </c>
      <c r="B1887" s="141">
        <v>4.9592541317399997E-3</v>
      </c>
      <c r="D1887" s="141"/>
    </row>
    <row r="1888" spans="1:4" x14ac:dyDescent="0.2">
      <c r="A1888" s="140" t="s">
        <v>6966</v>
      </c>
      <c r="B1888" s="141">
        <v>4.9540086627905397E-3</v>
      </c>
      <c r="D1888" s="141"/>
    </row>
    <row r="1889" spans="1:4" x14ac:dyDescent="0.2">
      <c r="A1889" s="140" t="s">
        <v>4485</v>
      </c>
      <c r="B1889" s="141">
        <v>4.94060568624768E-3</v>
      </c>
      <c r="D1889" s="141"/>
    </row>
    <row r="1890" spans="1:4" x14ac:dyDescent="0.2">
      <c r="A1890" s="140" t="s">
        <v>3676</v>
      </c>
      <c r="B1890" s="141">
        <v>4.9372453284239103E-3</v>
      </c>
      <c r="D1890" s="141"/>
    </row>
    <row r="1891" spans="1:4" x14ac:dyDescent="0.2">
      <c r="A1891" s="140" t="s">
        <v>3134</v>
      </c>
      <c r="B1891" s="141">
        <v>4.9276393995565503E-3</v>
      </c>
      <c r="D1891" s="141"/>
    </row>
    <row r="1892" spans="1:4" x14ac:dyDescent="0.2">
      <c r="A1892" s="140" t="s">
        <v>5767</v>
      </c>
      <c r="B1892" s="141">
        <v>4.9246484024418899E-3</v>
      </c>
      <c r="D1892" s="141"/>
    </row>
    <row r="1893" spans="1:4" x14ac:dyDescent="0.2">
      <c r="A1893" s="140" t="s">
        <v>2166</v>
      </c>
      <c r="B1893" s="141">
        <v>4.9240451003264903E-3</v>
      </c>
      <c r="D1893" s="141"/>
    </row>
    <row r="1894" spans="1:4" x14ac:dyDescent="0.2">
      <c r="A1894" s="140" t="s">
        <v>6967</v>
      </c>
      <c r="B1894" s="141">
        <v>4.9195273556830801E-3</v>
      </c>
      <c r="D1894" s="141"/>
    </row>
    <row r="1895" spans="1:4" x14ac:dyDescent="0.2">
      <c r="A1895" s="140" t="s">
        <v>6968</v>
      </c>
      <c r="B1895" s="141">
        <v>4.9195273556830801E-3</v>
      </c>
      <c r="D1895" s="141"/>
    </row>
    <row r="1896" spans="1:4" x14ac:dyDescent="0.2">
      <c r="A1896" s="140" t="s">
        <v>2767</v>
      </c>
      <c r="B1896" s="141">
        <v>4.8916811358236398E-3</v>
      </c>
      <c r="D1896" s="141"/>
    </row>
    <row r="1897" spans="1:4" x14ac:dyDescent="0.2">
      <c r="A1897" s="140" t="s">
        <v>6969</v>
      </c>
      <c r="B1897" s="141">
        <v>4.8882784546458499E-3</v>
      </c>
      <c r="D1897" s="141"/>
    </row>
    <row r="1898" spans="1:4" x14ac:dyDescent="0.2">
      <c r="A1898" s="140" t="s">
        <v>6057</v>
      </c>
      <c r="B1898" s="141">
        <v>4.8809032978213403E-3</v>
      </c>
      <c r="D1898" s="141"/>
    </row>
    <row r="1899" spans="1:4" x14ac:dyDescent="0.2">
      <c r="A1899" s="140" t="s">
        <v>3215</v>
      </c>
      <c r="B1899" s="141">
        <v>4.8765559839708903E-3</v>
      </c>
      <c r="D1899" s="141"/>
    </row>
    <row r="1900" spans="1:4" x14ac:dyDescent="0.2">
      <c r="A1900" s="140" t="s">
        <v>2727</v>
      </c>
      <c r="B1900" s="141">
        <v>4.8731895816149602E-3</v>
      </c>
      <c r="D1900" s="141"/>
    </row>
    <row r="1901" spans="1:4" x14ac:dyDescent="0.2">
      <c r="A1901" s="140" t="s">
        <v>1154</v>
      </c>
      <c r="B1901" s="141">
        <v>4.8619282780249101E-3</v>
      </c>
      <c r="D1901" s="141"/>
    </row>
    <row r="1902" spans="1:4" x14ac:dyDescent="0.2">
      <c r="A1902" s="140" t="s">
        <v>5757</v>
      </c>
      <c r="B1902" s="141">
        <v>4.8565111408672102E-3</v>
      </c>
      <c r="D1902" s="141"/>
    </row>
    <row r="1903" spans="1:4" x14ac:dyDescent="0.2">
      <c r="A1903" s="140" t="s">
        <v>5069</v>
      </c>
      <c r="B1903" s="141">
        <v>4.8548261926800703E-3</v>
      </c>
      <c r="D1903" s="141"/>
    </row>
    <row r="1904" spans="1:4" x14ac:dyDescent="0.2">
      <c r="A1904" s="140" t="s">
        <v>2285</v>
      </c>
      <c r="B1904" s="141">
        <v>4.8213692654134896E-3</v>
      </c>
      <c r="D1904" s="141"/>
    </row>
    <row r="1905" spans="1:4" x14ac:dyDescent="0.2">
      <c r="A1905" s="140" t="s">
        <v>3850</v>
      </c>
      <c r="B1905" s="141">
        <v>4.8184131171606802E-3</v>
      </c>
      <c r="D1905" s="141"/>
    </row>
    <row r="1906" spans="1:4" x14ac:dyDescent="0.2">
      <c r="A1906" s="140" t="s">
        <v>4490</v>
      </c>
      <c r="B1906" s="141">
        <v>4.8155307431500304E-3</v>
      </c>
      <c r="D1906" s="141"/>
    </row>
    <row r="1907" spans="1:4" x14ac:dyDescent="0.2">
      <c r="A1907" s="140" t="s">
        <v>6970</v>
      </c>
      <c r="B1907" s="141">
        <v>4.8155307431500304E-3</v>
      </c>
      <c r="D1907" s="141"/>
    </row>
    <row r="1908" spans="1:4" x14ac:dyDescent="0.2">
      <c r="A1908" s="140" t="s">
        <v>6971</v>
      </c>
      <c r="B1908" s="141">
        <v>4.8155307431500304E-3</v>
      </c>
      <c r="D1908" s="141"/>
    </row>
    <row r="1909" spans="1:4" x14ac:dyDescent="0.2">
      <c r="A1909" s="140" t="s">
        <v>2661</v>
      </c>
      <c r="B1909" s="141">
        <v>4.8144594108392603E-3</v>
      </c>
      <c r="D1909" s="141"/>
    </row>
    <row r="1910" spans="1:4" x14ac:dyDescent="0.2">
      <c r="A1910" s="140" t="s">
        <v>940</v>
      </c>
      <c r="B1910" s="141">
        <v>4.8067544050003604E-3</v>
      </c>
      <c r="D1910" s="141"/>
    </row>
    <row r="1911" spans="1:4" x14ac:dyDescent="0.2">
      <c r="A1911" s="140" t="s">
        <v>1821</v>
      </c>
      <c r="B1911" s="141">
        <v>4.8030900852114198E-3</v>
      </c>
      <c r="D1911" s="141"/>
    </row>
    <row r="1912" spans="1:4" x14ac:dyDescent="0.2">
      <c r="A1912" s="140" t="s">
        <v>5412</v>
      </c>
      <c r="B1912" s="141">
        <v>4.7956012761655002E-3</v>
      </c>
      <c r="D1912" s="141"/>
    </row>
    <row r="1913" spans="1:4" x14ac:dyDescent="0.2">
      <c r="A1913" s="140" t="s">
        <v>2751</v>
      </c>
      <c r="B1913" s="141">
        <v>4.78844324382689E-3</v>
      </c>
      <c r="D1913" s="141"/>
    </row>
    <row r="1914" spans="1:4" x14ac:dyDescent="0.2">
      <c r="A1914" s="140" t="s">
        <v>2985</v>
      </c>
      <c r="B1914" s="141">
        <v>4.7877862114213002E-3</v>
      </c>
      <c r="D1914" s="141"/>
    </row>
    <row r="1915" spans="1:4" x14ac:dyDescent="0.2">
      <c r="A1915" s="140" t="s">
        <v>6972</v>
      </c>
      <c r="B1915" s="141">
        <v>4.7682943660255304E-3</v>
      </c>
      <c r="D1915" s="141"/>
    </row>
    <row r="1916" spans="1:4" x14ac:dyDescent="0.2">
      <c r="A1916" s="140" t="s">
        <v>6973</v>
      </c>
      <c r="B1916" s="141">
        <v>4.7679768895714601E-3</v>
      </c>
      <c r="D1916" s="141"/>
    </row>
    <row r="1917" spans="1:4" x14ac:dyDescent="0.2">
      <c r="A1917" s="140" t="s">
        <v>4656</v>
      </c>
      <c r="B1917" s="141">
        <v>4.7578159955935801E-3</v>
      </c>
      <c r="D1917" s="141"/>
    </row>
    <row r="1918" spans="1:4" x14ac:dyDescent="0.2">
      <c r="A1918" s="140" t="s">
        <v>890</v>
      </c>
      <c r="B1918" s="141">
        <v>4.7518722819459604E-3</v>
      </c>
      <c r="D1918" s="141"/>
    </row>
    <row r="1919" spans="1:4" x14ac:dyDescent="0.2">
      <c r="A1919" s="140" t="s">
        <v>2489</v>
      </c>
      <c r="B1919" s="141">
        <v>4.7424611861917503E-3</v>
      </c>
      <c r="D1919" s="141"/>
    </row>
    <row r="1920" spans="1:4" x14ac:dyDescent="0.2">
      <c r="A1920" s="140" t="s">
        <v>3752</v>
      </c>
      <c r="B1920" s="141">
        <v>4.7398724582356803E-3</v>
      </c>
      <c r="D1920" s="141"/>
    </row>
    <row r="1921" spans="1:4" x14ac:dyDescent="0.2">
      <c r="A1921" s="140" t="s">
        <v>2472</v>
      </c>
      <c r="B1921" s="141">
        <v>4.7291563015847702E-3</v>
      </c>
      <c r="D1921" s="141"/>
    </row>
    <row r="1922" spans="1:4" x14ac:dyDescent="0.2">
      <c r="A1922" s="140" t="s">
        <v>4414</v>
      </c>
      <c r="B1922" s="141">
        <v>4.7246813192854996E-3</v>
      </c>
      <c r="D1922" s="141"/>
    </row>
    <row r="1923" spans="1:4" x14ac:dyDescent="0.2">
      <c r="A1923" s="140" t="s">
        <v>4717</v>
      </c>
      <c r="B1923" s="141">
        <v>4.7243830938034003E-3</v>
      </c>
      <c r="D1923" s="141"/>
    </row>
    <row r="1924" spans="1:4" x14ac:dyDescent="0.2">
      <c r="A1924" s="140" t="s">
        <v>6974</v>
      </c>
      <c r="B1924" s="141">
        <v>4.7241118005324802E-3</v>
      </c>
      <c r="D1924" s="141"/>
    </row>
    <row r="1925" spans="1:4" x14ac:dyDescent="0.2">
      <c r="A1925" s="140" t="s">
        <v>6975</v>
      </c>
      <c r="B1925" s="141">
        <v>4.7196161580111799E-3</v>
      </c>
      <c r="D1925" s="141"/>
    </row>
    <row r="1926" spans="1:4" x14ac:dyDescent="0.2">
      <c r="A1926" s="140" t="s">
        <v>4077</v>
      </c>
      <c r="B1926" s="141">
        <v>4.7176544820821797E-3</v>
      </c>
      <c r="D1926" s="141"/>
    </row>
    <row r="1927" spans="1:4" x14ac:dyDescent="0.2">
      <c r="A1927" s="140" t="s">
        <v>5370</v>
      </c>
      <c r="B1927" s="141">
        <v>4.7166672458133201E-3</v>
      </c>
      <c r="D1927" s="141"/>
    </row>
    <row r="1928" spans="1:4" x14ac:dyDescent="0.2">
      <c r="A1928" s="140" t="s">
        <v>1824</v>
      </c>
      <c r="B1928" s="141">
        <v>4.71314315890371E-3</v>
      </c>
      <c r="D1928" s="141"/>
    </row>
    <row r="1929" spans="1:4" x14ac:dyDescent="0.2">
      <c r="A1929" s="140" t="s">
        <v>629</v>
      </c>
      <c r="B1929" s="141">
        <v>4.7104537698663797E-3</v>
      </c>
      <c r="D1929" s="141"/>
    </row>
    <row r="1930" spans="1:4" x14ac:dyDescent="0.2">
      <c r="A1930" s="140" t="s">
        <v>1101</v>
      </c>
      <c r="B1930" s="141">
        <v>4.7030564625130901E-3</v>
      </c>
      <c r="D1930" s="141"/>
    </row>
    <row r="1931" spans="1:4" x14ac:dyDescent="0.2">
      <c r="A1931" s="140" t="s">
        <v>4536</v>
      </c>
      <c r="B1931" s="141">
        <v>4.6996228276267697E-3</v>
      </c>
      <c r="D1931" s="141"/>
    </row>
    <row r="1932" spans="1:4" x14ac:dyDescent="0.2">
      <c r="A1932" s="140" t="s">
        <v>6285</v>
      </c>
      <c r="B1932" s="141">
        <v>4.6977828360328603E-3</v>
      </c>
      <c r="D1932" s="141"/>
    </row>
    <row r="1933" spans="1:4" x14ac:dyDescent="0.2">
      <c r="A1933" s="140" t="s">
        <v>2288</v>
      </c>
      <c r="B1933" s="141">
        <v>4.6969546317111397E-3</v>
      </c>
      <c r="D1933" s="141"/>
    </row>
    <row r="1934" spans="1:4" x14ac:dyDescent="0.2">
      <c r="A1934" s="140" t="s">
        <v>4621</v>
      </c>
      <c r="B1934" s="141">
        <v>4.6898851396692202E-3</v>
      </c>
      <c r="D1934" s="141"/>
    </row>
    <row r="1935" spans="1:4" x14ac:dyDescent="0.2">
      <c r="A1935" s="140" t="s">
        <v>3318</v>
      </c>
      <c r="B1935" s="141">
        <v>4.6856220332048204E-3</v>
      </c>
      <c r="D1935" s="141"/>
    </row>
    <row r="1936" spans="1:4" x14ac:dyDescent="0.2">
      <c r="A1936" s="140" t="s">
        <v>2602</v>
      </c>
      <c r="B1936" s="141">
        <v>4.6832751659266897E-3</v>
      </c>
      <c r="D1936" s="141"/>
    </row>
    <row r="1937" spans="1:4" x14ac:dyDescent="0.2">
      <c r="A1937" s="140" t="s">
        <v>6976</v>
      </c>
      <c r="B1937" s="141">
        <v>4.6792974978148404E-3</v>
      </c>
      <c r="D1937" s="141"/>
    </row>
    <row r="1938" spans="1:4" x14ac:dyDescent="0.2">
      <c r="A1938" s="140" t="s">
        <v>3372</v>
      </c>
      <c r="B1938" s="141">
        <v>4.66257502785876E-3</v>
      </c>
      <c r="D1938" s="141"/>
    </row>
    <row r="1939" spans="1:4" x14ac:dyDescent="0.2">
      <c r="A1939" s="140" t="s">
        <v>4061</v>
      </c>
      <c r="B1939" s="141">
        <v>4.6583267453174301E-3</v>
      </c>
      <c r="D1939" s="141"/>
    </row>
    <row r="1940" spans="1:4" x14ac:dyDescent="0.2">
      <c r="A1940" s="140" t="s">
        <v>4781</v>
      </c>
      <c r="B1940" s="141">
        <v>4.6522343900019299E-3</v>
      </c>
      <c r="D1940" s="141"/>
    </row>
    <row r="1941" spans="1:4" x14ac:dyDescent="0.2">
      <c r="A1941" s="140" t="s">
        <v>5508</v>
      </c>
      <c r="B1941" s="141">
        <v>4.64918487972434E-3</v>
      </c>
      <c r="D1941" s="141"/>
    </row>
    <row r="1942" spans="1:4" x14ac:dyDescent="0.2">
      <c r="A1942" s="140" t="s">
        <v>3669</v>
      </c>
      <c r="B1942" s="141">
        <v>4.6489524696214099E-3</v>
      </c>
      <c r="D1942" s="141"/>
    </row>
    <row r="1943" spans="1:4" x14ac:dyDescent="0.2">
      <c r="A1943" s="140" t="s">
        <v>2970</v>
      </c>
      <c r="B1943" s="141">
        <v>4.6482300907029102E-3</v>
      </c>
      <c r="D1943" s="141"/>
    </row>
    <row r="1944" spans="1:4" x14ac:dyDescent="0.2">
      <c r="A1944" s="140" t="s">
        <v>1404</v>
      </c>
      <c r="B1944" s="141">
        <v>4.6400292146217296E-3</v>
      </c>
      <c r="D1944" s="141"/>
    </row>
    <row r="1945" spans="1:4" x14ac:dyDescent="0.2">
      <c r="A1945" s="140" t="s">
        <v>2852</v>
      </c>
      <c r="B1945" s="141">
        <v>4.6368430479861696E-3</v>
      </c>
      <c r="D1945" s="141"/>
    </row>
    <row r="1946" spans="1:4" x14ac:dyDescent="0.2">
      <c r="A1946" s="140" t="s">
        <v>6977</v>
      </c>
      <c r="B1946" s="141">
        <v>4.6364705134924397E-3</v>
      </c>
      <c r="D1946" s="141"/>
    </row>
    <row r="1947" spans="1:4" x14ac:dyDescent="0.2">
      <c r="A1947" s="140" t="s">
        <v>2511</v>
      </c>
      <c r="B1947" s="141">
        <v>4.6336481735401299E-3</v>
      </c>
      <c r="D1947" s="141"/>
    </row>
    <row r="1948" spans="1:4" x14ac:dyDescent="0.2">
      <c r="A1948" s="140" t="s">
        <v>6978</v>
      </c>
      <c r="B1948" s="141">
        <v>4.63001874629922E-3</v>
      </c>
      <c r="D1948" s="141"/>
    </row>
    <row r="1949" spans="1:4" x14ac:dyDescent="0.2">
      <c r="A1949" s="140" t="s">
        <v>1153</v>
      </c>
      <c r="B1949" s="141">
        <v>4.6293766047722602E-3</v>
      </c>
      <c r="D1949" s="141"/>
    </row>
    <row r="1950" spans="1:4" x14ac:dyDescent="0.2">
      <c r="A1950" s="140" t="s">
        <v>2495</v>
      </c>
      <c r="B1950" s="141">
        <v>4.6278746563399803E-3</v>
      </c>
      <c r="D1950" s="141"/>
    </row>
    <row r="1951" spans="1:4" x14ac:dyDescent="0.2">
      <c r="A1951" s="140" t="s">
        <v>6979</v>
      </c>
      <c r="B1951" s="141">
        <v>4.6214668178896096E-3</v>
      </c>
      <c r="D1951" s="141"/>
    </row>
    <row r="1952" spans="1:4" x14ac:dyDescent="0.2">
      <c r="A1952" s="140" t="s">
        <v>2716</v>
      </c>
      <c r="B1952" s="141">
        <v>4.6133621814613496E-3</v>
      </c>
      <c r="D1952" s="141"/>
    </row>
    <row r="1953" spans="1:4" x14ac:dyDescent="0.2">
      <c r="A1953" s="140" t="s">
        <v>817</v>
      </c>
      <c r="B1953" s="141">
        <v>4.6100485197104199E-3</v>
      </c>
      <c r="D1953" s="141"/>
    </row>
    <row r="1954" spans="1:4" x14ac:dyDescent="0.2">
      <c r="A1954" s="140" t="s">
        <v>6980</v>
      </c>
      <c r="B1954" s="141">
        <v>4.6037869428316898E-3</v>
      </c>
      <c r="D1954" s="141"/>
    </row>
    <row r="1955" spans="1:4" x14ac:dyDescent="0.2">
      <c r="A1955" s="140" t="s">
        <v>883</v>
      </c>
      <c r="B1955" s="141">
        <v>4.5902664281213101E-3</v>
      </c>
      <c r="D1955" s="141"/>
    </row>
    <row r="1956" spans="1:4" x14ac:dyDescent="0.2">
      <c r="A1956" s="140" t="s">
        <v>6981</v>
      </c>
      <c r="B1956" s="141">
        <v>4.5840406375806204E-3</v>
      </c>
      <c r="D1956" s="141"/>
    </row>
    <row r="1957" spans="1:4" x14ac:dyDescent="0.2">
      <c r="A1957" s="140" t="s">
        <v>608</v>
      </c>
      <c r="B1957" s="141">
        <v>4.5645389747514297E-3</v>
      </c>
      <c r="D1957" s="141"/>
    </row>
    <row r="1958" spans="1:4" x14ac:dyDescent="0.2">
      <c r="A1958" s="140" t="s">
        <v>6982</v>
      </c>
      <c r="B1958" s="141">
        <v>4.5634719153952097E-3</v>
      </c>
      <c r="D1958" s="141"/>
    </row>
    <row r="1959" spans="1:4" x14ac:dyDescent="0.2">
      <c r="A1959" s="140" t="s">
        <v>2456</v>
      </c>
      <c r="B1959" s="141">
        <v>4.5557167868690504E-3</v>
      </c>
      <c r="D1959" s="141"/>
    </row>
    <row r="1960" spans="1:4" x14ac:dyDescent="0.2">
      <c r="A1960" s="140" t="s">
        <v>1276</v>
      </c>
      <c r="B1960" s="141">
        <v>4.5542270112301003E-3</v>
      </c>
      <c r="D1960" s="141"/>
    </row>
    <row r="1961" spans="1:4" x14ac:dyDescent="0.2">
      <c r="A1961" s="140" t="s">
        <v>6341</v>
      </c>
      <c r="B1961" s="141">
        <v>4.5463404735866702E-3</v>
      </c>
      <c r="D1961" s="141"/>
    </row>
    <row r="1962" spans="1:4" x14ac:dyDescent="0.2">
      <c r="A1962" s="140" t="s">
        <v>2531</v>
      </c>
      <c r="B1962" s="141">
        <v>4.5348754027581904E-3</v>
      </c>
      <c r="D1962" s="141"/>
    </row>
    <row r="1963" spans="1:4" x14ac:dyDescent="0.2">
      <c r="A1963" s="140" t="s">
        <v>6983</v>
      </c>
      <c r="B1963" s="141">
        <v>4.5233761438938404E-3</v>
      </c>
      <c r="D1963" s="141"/>
    </row>
    <row r="1964" spans="1:4" x14ac:dyDescent="0.2">
      <c r="A1964" s="140" t="s">
        <v>4425</v>
      </c>
      <c r="B1964" s="141">
        <v>4.5233761438938404E-3</v>
      </c>
      <c r="D1964" s="141"/>
    </row>
    <row r="1965" spans="1:4" x14ac:dyDescent="0.2">
      <c r="A1965" s="140" t="s">
        <v>6984</v>
      </c>
      <c r="B1965" s="141">
        <v>4.5233761438938404E-3</v>
      </c>
      <c r="D1965" s="141"/>
    </row>
    <row r="1966" spans="1:4" x14ac:dyDescent="0.2">
      <c r="A1966" s="140" t="s">
        <v>2391</v>
      </c>
      <c r="B1966" s="141">
        <v>4.5197837792596302E-3</v>
      </c>
      <c r="D1966" s="141"/>
    </row>
    <row r="1967" spans="1:4" x14ac:dyDescent="0.2">
      <c r="A1967" s="140" t="s">
        <v>4650</v>
      </c>
      <c r="B1967" s="141">
        <v>4.5141845635086001E-3</v>
      </c>
      <c r="D1967" s="141"/>
    </row>
    <row r="1968" spans="1:4" x14ac:dyDescent="0.2">
      <c r="A1968" s="140" t="s">
        <v>2334</v>
      </c>
      <c r="B1968" s="141">
        <v>4.5113562239714701E-3</v>
      </c>
      <c r="D1968" s="141"/>
    </row>
    <row r="1969" spans="1:4" x14ac:dyDescent="0.2">
      <c r="A1969" s="140" t="s">
        <v>6985</v>
      </c>
      <c r="B1969" s="141">
        <v>4.5104438428639803E-3</v>
      </c>
      <c r="D1969" s="141"/>
    </row>
    <row r="1970" spans="1:4" x14ac:dyDescent="0.2">
      <c r="A1970" s="140" t="s">
        <v>5359</v>
      </c>
      <c r="B1970" s="141">
        <v>4.4987538454208404E-3</v>
      </c>
      <c r="D1970" s="141"/>
    </row>
    <row r="1971" spans="1:4" x14ac:dyDescent="0.2">
      <c r="A1971" s="140" t="s">
        <v>6986</v>
      </c>
      <c r="B1971" s="141">
        <v>4.4933050834292301E-3</v>
      </c>
      <c r="D1971" s="141"/>
    </row>
    <row r="1972" spans="1:4" x14ac:dyDescent="0.2">
      <c r="A1972" s="140" t="s">
        <v>3086</v>
      </c>
      <c r="B1972" s="141">
        <v>4.4800630883469698E-3</v>
      </c>
      <c r="D1972" s="141"/>
    </row>
    <row r="1973" spans="1:4" x14ac:dyDescent="0.2">
      <c r="A1973" s="140" t="s">
        <v>1019</v>
      </c>
      <c r="B1973" s="141">
        <v>4.4651583992083698E-3</v>
      </c>
      <c r="D1973" s="141"/>
    </row>
    <row r="1974" spans="1:4" x14ac:dyDescent="0.2">
      <c r="A1974" s="140" t="s">
        <v>6987</v>
      </c>
      <c r="B1974" s="141">
        <v>4.4633431235981697E-3</v>
      </c>
      <c r="D1974" s="141"/>
    </row>
    <row r="1975" spans="1:4" x14ac:dyDescent="0.2">
      <c r="A1975" s="140" t="s">
        <v>6112</v>
      </c>
      <c r="B1975" s="141">
        <v>4.4619903239966202E-3</v>
      </c>
      <c r="D1975" s="141"/>
    </row>
    <row r="1976" spans="1:4" x14ac:dyDescent="0.2">
      <c r="A1976" s="140" t="s">
        <v>3196</v>
      </c>
      <c r="B1976" s="141">
        <v>4.4578710756330697E-3</v>
      </c>
      <c r="D1976" s="141"/>
    </row>
    <row r="1977" spans="1:4" x14ac:dyDescent="0.2">
      <c r="A1977" s="140" t="s">
        <v>5855</v>
      </c>
      <c r="B1977" s="141">
        <v>4.4479432348481099E-3</v>
      </c>
      <c r="D1977" s="141"/>
    </row>
    <row r="1978" spans="1:4" x14ac:dyDescent="0.2">
      <c r="A1978" s="140" t="s">
        <v>3401</v>
      </c>
      <c r="B1978" s="141">
        <v>4.4468481740502098E-3</v>
      </c>
      <c r="D1978" s="141"/>
    </row>
    <row r="1979" spans="1:4" x14ac:dyDescent="0.2">
      <c r="A1979" s="140" t="s">
        <v>5531</v>
      </c>
      <c r="B1979" s="141">
        <v>4.44041791779417E-3</v>
      </c>
      <c r="D1979" s="141"/>
    </row>
    <row r="1980" spans="1:4" x14ac:dyDescent="0.2">
      <c r="A1980" s="140" t="s">
        <v>4610</v>
      </c>
      <c r="B1980" s="141">
        <v>4.4397250811642804E-3</v>
      </c>
      <c r="D1980" s="141"/>
    </row>
    <row r="1981" spans="1:4" x14ac:dyDescent="0.2">
      <c r="A1981" s="140" t="s">
        <v>5965</v>
      </c>
      <c r="B1981" s="141">
        <v>4.4392596448338704E-3</v>
      </c>
      <c r="D1981" s="141"/>
    </row>
    <row r="1982" spans="1:4" x14ac:dyDescent="0.2">
      <c r="A1982" s="140" t="s">
        <v>1376</v>
      </c>
      <c r="B1982" s="141">
        <v>4.4358714978162796E-3</v>
      </c>
      <c r="D1982" s="141"/>
    </row>
    <row r="1983" spans="1:4" x14ac:dyDescent="0.2">
      <c r="A1983" s="140" t="s">
        <v>4961</v>
      </c>
      <c r="B1983" s="141">
        <v>4.4345875156988701E-3</v>
      </c>
      <c r="D1983" s="141"/>
    </row>
    <row r="1984" spans="1:4" x14ac:dyDescent="0.2">
      <c r="A1984" s="140" t="s">
        <v>6046</v>
      </c>
      <c r="B1984" s="141">
        <v>4.4323403599562002E-3</v>
      </c>
      <c r="D1984" s="141"/>
    </row>
    <row r="1985" spans="1:4" x14ac:dyDescent="0.2">
      <c r="A1985" s="140" t="s">
        <v>6988</v>
      </c>
      <c r="B1985" s="141">
        <v>4.4247034216095297E-3</v>
      </c>
      <c r="D1985" s="141"/>
    </row>
    <row r="1986" spans="1:4" x14ac:dyDescent="0.2">
      <c r="A1986" s="140" t="s">
        <v>1487</v>
      </c>
      <c r="B1986" s="141">
        <v>4.4212074297125797E-3</v>
      </c>
      <c r="D1986" s="141"/>
    </row>
    <row r="1987" spans="1:4" x14ac:dyDescent="0.2">
      <c r="A1987" s="140" t="s">
        <v>4792</v>
      </c>
      <c r="B1987" s="141">
        <v>4.4207624804114597E-3</v>
      </c>
      <c r="D1987" s="141"/>
    </row>
    <row r="1988" spans="1:4" x14ac:dyDescent="0.2">
      <c r="A1988" s="140" t="s">
        <v>3360</v>
      </c>
      <c r="B1988" s="141">
        <v>4.41991691853162E-3</v>
      </c>
      <c r="D1988" s="141"/>
    </row>
    <row r="1989" spans="1:4" x14ac:dyDescent="0.2">
      <c r="A1989" s="140" t="s">
        <v>3271</v>
      </c>
      <c r="B1989" s="141">
        <v>4.4183418510737602E-3</v>
      </c>
      <c r="D1989" s="141"/>
    </row>
    <row r="1990" spans="1:4" x14ac:dyDescent="0.2">
      <c r="A1990" s="140" t="s">
        <v>1633</v>
      </c>
      <c r="B1990" s="141">
        <v>4.41735853240139E-3</v>
      </c>
      <c r="D1990" s="141"/>
    </row>
    <row r="1991" spans="1:4" x14ac:dyDescent="0.2">
      <c r="A1991" s="140" t="s">
        <v>2228</v>
      </c>
      <c r="B1991" s="141">
        <v>4.4153201728837996E-3</v>
      </c>
      <c r="D1991" s="141"/>
    </row>
    <row r="1992" spans="1:4" x14ac:dyDescent="0.2">
      <c r="A1992" s="140" t="s">
        <v>4523</v>
      </c>
      <c r="B1992" s="141">
        <v>4.4100597716848896E-3</v>
      </c>
      <c r="D1992" s="141"/>
    </row>
    <row r="1993" spans="1:4" x14ac:dyDescent="0.2">
      <c r="A1993" s="140" t="s">
        <v>6989</v>
      </c>
      <c r="B1993" s="141">
        <v>4.4093517026950997E-3</v>
      </c>
      <c r="D1993" s="141"/>
    </row>
    <row r="1994" spans="1:4" x14ac:dyDescent="0.2">
      <c r="A1994" s="140" t="s">
        <v>1000</v>
      </c>
      <c r="B1994" s="141">
        <v>4.4066106826793896E-3</v>
      </c>
      <c r="D1994" s="141"/>
    </row>
    <row r="1995" spans="1:4" x14ac:dyDescent="0.2">
      <c r="A1995" s="140" t="s">
        <v>5797</v>
      </c>
      <c r="B1995" s="141">
        <v>4.3848305252830603E-3</v>
      </c>
      <c r="D1995" s="141"/>
    </row>
    <row r="1996" spans="1:4" x14ac:dyDescent="0.2">
      <c r="A1996" s="140" t="s">
        <v>2587</v>
      </c>
      <c r="B1996" s="141">
        <v>4.3843330399900597E-3</v>
      </c>
      <c r="D1996" s="141"/>
    </row>
    <row r="1997" spans="1:4" x14ac:dyDescent="0.2">
      <c r="A1997" s="140" t="s">
        <v>3480</v>
      </c>
      <c r="B1997" s="141">
        <v>4.3826046287011996E-3</v>
      </c>
      <c r="D1997" s="141"/>
    </row>
    <row r="1998" spans="1:4" x14ac:dyDescent="0.2">
      <c r="A1998" s="140" t="s">
        <v>2711</v>
      </c>
      <c r="B1998" s="141">
        <v>4.3777757524831604E-3</v>
      </c>
      <c r="D1998" s="141"/>
    </row>
    <row r="1999" spans="1:4" x14ac:dyDescent="0.2">
      <c r="A1999" s="140" t="s">
        <v>6990</v>
      </c>
      <c r="B1999" s="141">
        <v>4.37335741370189E-3</v>
      </c>
      <c r="D1999" s="141"/>
    </row>
    <row r="2000" spans="1:4" x14ac:dyDescent="0.2">
      <c r="A2000" s="140" t="s">
        <v>3218</v>
      </c>
      <c r="B2000" s="141">
        <v>4.36596583100858E-3</v>
      </c>
      <c r="D2000" s="141"/>
    </row>
    <row r="2001" spans="1:4" x14ac:dyDescent="0.2">
      <c r="A2001" s="140" t="s">
        <v>6991</v>
      </c>
      <c r="B2001" s="141">
        <v>4.3656819262718402E-3</v>
      </c>
      <c r="D2001" s="141"/>
    </row>
    <row r="2002" spans="1:4" x14ac:dyDescent="0.2">
      <c r="A2002" s="140" t="s">
        <v>1687</v>
      </c>
      <c r="B2002" s="141">
        <v>4.3651046046688704E-3</v>
      </c>
      <c r="D2002" s="141"/>
    </row>
    <row r="2003" spans="1:4" x14ac:dyDescent="0.2">
      <c r="A2003" s="140" t="s">
        <v>3711</v>
      </c>
      <c r="B2003" s="141">
        <v>4.3544169968038199E-3</v>
      </c>
      <c r="D2003" s="141"/>
    </row>
    <row r="2004" spans="1:4" x14ac:dyDescent="0.2">
      <c r="A2004" s="140" t="s">
        <v>2855</v>
      </c>
      <c r="B2004" s="141">
        <v>4.3495678946144497E-3</v>
      </c>
      <c r="D2004" s="141"/>
    </row>
    <row r="2005" spans="1:4" x14ac:dyDescent="0.2">
      <c r="A2005" s="140" t="s">
        <v>2378</v>
      </c>
      <c r="B2005" s="141">
        <v>4.3465908180984102E-3</v>
      </c>
      <c r="D2005" s="141"/>
    </row>
    <row r="2006" spans="1:4" x14ac:dyDescent="0.2">
      <c r="A2006" s="140" t="s">
        <v>951</v>
      </c>
      <c r="B2006" s="141">
        <v>4.3465385404142503E-3</v>
      </c>
      <c r="D2006" s="141"/>
    </row>
    <row r="2007" spans="1:4" x14ac:dyDescent="0.2">
      <c r="A2007" s="140" t="s">
        <v>6992</v>
      </c>
      <c r="B2007" s="141">
        <v>4.3437127122808103E-3</v>
      </c>
      <c r="D2007" s="141"/>
    </row>
    <row r="2008" spans="1:4" x14ac:dyDescent="0.2">
      <c r="A2008" s="140" t="s">
        <v>6993</v>
      </c>
      <c r="B2008" s="141">
        <v>4.3437127122808103E-3</v>
      </c>
      <c r="D2008" s="141"/>
    </row>
    <row r="2009" spans="1:4" x14ac:dyDescent="0.2">
      <c r="A2009" s="140" t="s">
        <v>2287</v>
      </c>
      <c r="B2009" s="141">
        <v>4.3404685576890296E-3</v>
      </c>
      <c r="D2009" s="141"/>
    </row>
    <row r="2010" spans="1:4" x14ac:dyDescent="0.2">
      <c r="A2010" s="140" t="s">
        <v>6994</v>
      </c>
      <c r="B2010" s="141">
        <v>4.3397116611835502E-3</v>
      </c>
      <c r="D2010" s="141"/>
    </row>
    <row r="2011" spans="1:4" x14ac:dyDescent="0.2">
      <c r="A2011" s="140" t="s">
        <v>2579</v>
      </c>
      <c r="B2011" s="141">
        <v>4.3294871033660396E-3</v>
      </c>
      <c r="D2011" s="141"/>
    </row>
    <row r="2012" spans="1:4" x14ac:dyDescent="0.2">
      <c r="A2012" s="140" t="s">
        <v>3247</v>
      </c>
      <c r="B2012" s="141">
        <v>4.3286159240703897E-3</v>
      </c>
      <c r="D2012" s="141"/>
    </row>
    <row r="2013" spans="1:4" x14ac:dyDescent="0.2">
      <c r="A2013" s="140" t="s">
        <v>4314</v>
      </c>
      <c r="B2013" s="141">
        <v>4.32330302116587E-3</v>
      </c>
      <c r="D2013" s="141"/>
    </row>
    <row r="2014" spans="1:4" x14ac:dyDescent="0.2">
      <c r="A2014" s="140" t="s">
        <v>2742</v>
      </c>
      <c r="B2014" s="141">
        <v>4.3228008310723298E-3</v>
      </c>
      <c r="D2014" s="141"/>
    </row>
    <row r="2015" spans="1:4" x14ac:dyDescent="0.2">
      <c r="A2015" s="140" t="s">
        <v>1374</v>
      </c>
      <c r="B2015" s="141">
        <v>4.3208235783829098E-3</v>
      </c>
      <c r="D2015" s="141"/>
    </row>
    <row r="2016" spans="1:4" x14ac:dyDescent="0.2">
      <c r="A2016" s="140" t="s">
        <v>1117</v>
      </c>
      <c r="B2016" s="141">
        <v>4.3199141930070498E-3</v>
      </c>
      <c r="D2016" s="141"/>
    </row>
    <row r="2017" spans="1:4" x14ac:dyDescent="0.2">
      <c r="A2017" s="140" t="s">
        <v>6995</v>
      </c>
      <c r="B2017" s="141">
        <v>4.3154707648197501E-3</v>
      </c>
      <c r="D2017" s="141"/>
    </row>
    <row r="2018" spans="1:4" x14ac:dyDescent="0.2">
      <c r="A2018" s="140" t="s">
        <v>5036</v>
      </c>
      <c r="B2018" s="141">
        <v>4.3135711298452296E-3</v>
      </c>
      <c r="D2018" s="141"/>
    </row>
    <row r="2019" spans="1:4" x14ac:dyDescent="0.2">
      <c r="A2019" s="140" t="s">
        <v>2793</v>
      </c>
      <c r="B2019" s="141">
        <v>4.3091654927612504E-3</v>
      </c>
      <c r="D2019" s="141"/>
    </row>
    <row r="2020" spans="1:4" x14ac:dyDescent="0.2">
      <c r="A2020" s="140" t="s">
        <v>1653</v>
      </c>
      <c r="B2020" s="141">
        <v>4.3061308449732303E-3</v>
      </c>
      <c r="D2020" s="141"/>
    </row>
    <row r="2021" spans="1:4" x14ac:dyDescent="0.2">
      <c r="A2021" s="140" t="s">
        <v>3599</v>
      </c>
      <c r="B2021" s="141">
        <v>4.2940233650317298E-3</v>
      </c>
      <c r="D2021" s="141"/>
    </row>
    <row r="2022" spans="1:4" x14ac:dyDescent="0.2">
      <c r="A2022" s="140" t="s">
        <v>6996</v>
      </c>
      <c r="B2022" s="141">
        <v>4.2927209275052504E-3</v>
      </c>
      <c r="D2022" s="141"/>
    </row>
    <row r="2023" spans="1:4" x14ac:dyDescent="0.2">
      <c r="A2023" s="140" t="s">
        <v>3200</v>
      </c>
      <c r="B2023" s="141">
        <v>4.29005230924629E-3</v>
      </c>
      <c r="D2023" s="141"/>
    </row>
    <row r="2024" spans="1:4" x14ac:dyDescent="0.2">
      <c r="A2024" s="140" t="s">
        <v>5641</v>
      </c>
      <c r="B2024" s="141">
        <v>4.2871345558243498E-3</v>
      </c>
      <c r="D2024" s="141"/>
    </row>
    <row r="2025" spans="1:4" x14ac:dyDescent="0.2">
      <c r="A2025" s="140" t="s">
        <v>6997</v>
      </c>
      <c r="B2025" s="141">
        <v>4.2847576908091097E-3</v>
      </c>
      <c r="D2025" s="141"/>
    </row>
    <row r="2026" spans="1:4" x14ac:dyDescent="0.2">
      <c r="A2026" s="140" t="s">
        <v>6998</v>
      </c>
      <c r="B2026" s="141">
        <v>4.2773284154798696E-3</v>
      </c>
      <c r="D2026" s="141"/>
    </row>
    <row r="2027" spans="1:4" x14ac:dyDescent="0.2">
      <c r="A2027" s="140" t="s">
        <v>5597</v>
      </c>
      <c r="B2027" s="141">
        <v>4.2761652517980999E-3</v>
      </c>
      <c r="D2027" s="141"/>
    </row>
    <row r="2028" spans="1:4" x14ac:dyDescent="0.2">
      <c r="A2028" s="140" t="s">
        <v>6999</v>
      </c>
      <c r="B2028" s="141">
        <v>4.2680716652003601E-3</v>
      </c>
      <c r="D2028" s="141"/>
    </row>
    <row r="2029" spans="1:4" x14ac:dyDescent="0.2">
      <c r="A2029" s="140" t="s">
        <v>1080</v>
      </c>
      <c r="B2029" s="141">
        <v>4.2615815040211004E-3</v>
      </c>
      <c r="D2029" s="141"/>
    </row>
    <row r="2030" spans="1:4" x14ac:dyDescent="0.2">
      <c r="A2030" s="140" t="s">
        <v>2320</v>
      </c>
      <c r="B2030" s="141">
        <v>4.25562348503381E-3</v>
      </c>
      <c r="D2030" s="141"/>
    </row>
    <row r="2031" spans="1:4" x14ac:dyDescent="0.2">
      <c r="A2031" s="140" t="s">
        <v>7000</v>
      </c>
      <c r="B2031" s="141">
        <v>4.2314993309139097E-3</v>
      </c>
      <c r="D2031" s="141"/>
    </row>
    <row r="2032" spans="1:4" x14ac:dyDescent="0.2">
      <c r="A2032" s="140" t="s">
        <v>3244</v>
      </c>
      <c r="B2032" s="141">
        <v>4.2260260754717997E-3</v>
      </c>
      <c r="D2032" s="141"/>
    </row>
    <row r="2033" spans="1:4" x14ac:dyDescent="0.2">
      <c r="A2033" s="140" t="s">
        <v>2520</v>
      </c>
      <c r="B2033" s="141">
        <v>4.2253146553449103E-3</v>
      </c>
      <c r="D2033" s="141"/>
    </row>
    <row r="2034" spans="1:4" x14ac:dyDescent="0.2">
      <c r="A2034" s="140" t="s">
        <v>4992</v>
      </c>
      <c r="B2034" s="141">
        <v>4.22429494895331E-3</v>
      </c>
      <c r="D2034" s="141"/>
    </row>
    <row r="2035" spans="1:4" x14ac:dyDescent="0.2">
      <c r="A2035" s="140" t="s">
        <v>5685</v>
      </c>
      <c r="B2035" s="141">
        <v>4.2220647761905799E-3</v>
      </c>
      <c r="D2035" s="141"/>
    </row>
    <row r="2036" spans="1:4" x14ac:dyDescent="0.2">
      <c r="A2036" s="140" t="s">
        <v>7001</v>
      </c>
      <c r="B2036" s="141">
        <v>4.2173222181107603E-3</v>
      </c>
      <c r="D2036" s="141"/>
    </row>
    <row r="2037" spans="1:4" x14ac:dyDescent="0.2">
      <c r="A2037" s="140" t="s">
        <v>3530</v>
      </c>
      <c r="B2037" s="141">
        <v>4.2113923567287902E-3</v>
      </c>
      <c r="D2037" s="141"/>
    </row>
    <row r="2038" spans="1:4" x14ac:dyDescent="0.2">
      <c r="A2038" s="140" t="s">
        <v>1006</v>
      </c>
      <c r="B2038" s="141">
        <v>4.2083379863076496E-3</v>
      </c>
      <c r="D2038" s="141"/>
    </row>
    <row r="2039" spans="1:4" x14ac:dyDescent="0.2">
      <c r="A2039" s="140" t="s">
        <v>2930</v>
      </c>
      <c r="B2039" s="141">
        <v>4.2058580323797697E-3</v>
      </c>
      <c r="D2039" s="141"/>
    </row>
    <row r="2040" spans="1:4" x14ac:dyDescent="0.2">
      <c r="A2040" s="140" t="s">
        <v>4295</v>
      </c>
      <c r="B2040" s="141">
        <v>4.2029397037398903E-3</v>
      </c>
      <c r="D2040" s="141"/>
    </row>
    <row r="2041" spans="1:4" x14ac:dyDescent="0.2">
      <c r="A2041" s="140" t="s">
        <v>5906</v>
      </c>
      <c r="B2041" s="141">
        <v>4.20125666921494E-3</v>
      </c>
      <c r="D2041" s="141"/>
    </row>
    <row r="2042" spans="1:4" x14ac:dyDescent="0.2">
      <c r="A2042" s="140" t="s">
        <v>5794</v>
      </c>
      <c r="B2042" s="141">
        <v>4.1975827926260204E-3</v>
      </c>
      <c r="D2042" s="141"/>
    </row>
    <row r="2043" spans="1:4" x14ac:dyDescent="0.2">
      <c r="A2043" s="140" t="s">
        <v>1419</v>
      </c>
      <c r="B2043" s="141">
        <v>4.1975827926260204E-3</v>
      </c>
      <c r="D2043" s="141"/>
    </row>
    <row r="2044" spans="1:4" x14ac:dyDescent="0.2">
      <c r="A2044" s="140" t="s">
        <v>7002</v>
      </c>
      <c r="B2044" s="141">
        <v>4.1920819351758997E-3</v>
      </c>
      <c r="D2044" s="141"/>
    </row>
    <row r="2045" spans="1:4" x14ac:dyDescent="0.2">
      <c r="A2045" s="140" t="s">
        <v>3448</v>
      </c>
      <c r="B2045" s="141">
        <v>4.1920819351758997E-3</v>
      </c>
      <c r="D2045" s="141"/>
    </row>
    <row r="2046" spans="1:4" x14ac:dyDescent="0.2">
      <c r="A2046" s="140" t="s">
        <v>1309</v>
      </c>
      <c r="B2046" s="141">
        <v>4.1878520797779097E-3</v>
      </c>
      <c r="D2046" s="141"/>
    </row>
    <row r="2047" spans="1:4" x14ac:dyDescent="0.2">
      <c r="A2047" s="140" t="s">
        <v>4805</v>
      </c>
      <c r="B2047" s="141">
        <v>4.1841094346466001E-3</v>
      </c>
      <c r="D2047" s="141"/>
    </row>
    <row r="2048" spans="1:4" x14ac:dyDescent="0.2">
      <c r="A2048" s="140" t="s">
        <v>5242</v>
      </c>
      <c r="B2048" s="141">
        <v>4.1834213868971399E-3</v>
      </c>
      <c r="D2048" s="141"/>
    </row>
    <row r="2049" spans="1:4" x14ac:dyDescent="0.2">
      <c r="A2049" s="140" t="s">
        <v>1861</v>
      </c>
      <c r="B2049" s="141">
        <v>4.1833085729340398E-3</v>
      </c>
      <c r="D2049" s="141"/>
    </row>
    <row r="2050" spans="1:4" x14ac:dyDescent="0.2">
      <c r="A2050" s="140" t="s">
        <v>2450</v>
      </c>
      <c r="B2050" s="141">
        <v>4.17556808405965E-3</v>
      </c>
      <c r="D2050" s="141"/>
    </row>
    <row r="2051" spans="1:4" x14ac:dyDescent="0.2">
      <c r="A2051" s="140" t="s">
        <v>2997</v>
      </c>
      <c r="B2051" s="141">
        <v>4.1753854986976303E-3</v>
      </c>
      <c r="D2051" s="141"/>
    </row>
    <row r="2052" spans="1:4" x14ac:dyDescent="0.2">
      <c r="A2052" s="140" t="s">
        <v>992</v>
      </c>
      <c r="B2052" s="141">
        <v>4.17355774415544E-3</v>
      </c>
      <c r="D2052" s="141"/>
    </row>
    <row r="2053" spans="1:4" x14ac:dyDescent="0.2">
      <c r="A2053" s="140" t="s">
        <v>3552</v>
      </c>
      <c r="B2053" s="141">
        <v>4.1706274067031899E-3</v>
      </c>
      <c r="D2053" s="141"/>
    </row>
    <row r="2054" spans="1:4" x14ac:dyDescent="0.2">
      <c r="A2054" s="140" t="s">
        <v>7003</v>
      </c>
      <c r="B2054" s="141">
        <v>4.1702141770626096E-3</v>
      </c>
      <c r="D2054" s="141"/>
    </row>
    <row r="2055" spans="1:4" x14ac:dyDescent="0.2">
      <c r="A2055" s="140" t="s">
        <v>7004</v>
      </c>
      <c r="B2055" s="141">
        <v>4.1702141770626096E-3</v>
      </c>
      <c r="D2055" s="141"/>
    </row>
    <row r="2056" spans="1:4" x14ac:dyDescent="0.2">
      <c r="A2056" s="140" t="s">
        <v>2934</v>
      </c>
      <c r="B2056" s="141">
        <v>4.1685810471327302E-3</v>
      </c>
      <c r="D2056" s="141"/>
    </row>
    <row r="2057" spans="1:4" x14ac:dyDescent="0.2">
      <c r="A2057" s="140" t="s">
        <v>2615</v>
      </c>
      <c r="B2057" s="141">
        <v>4.1577619241820697E-3</v>
      </c>
      <c r="D2057" s="141"/>
    </row>
    <row r="2058" spans="1:4" x14ac:dyDescent="0.2">
      <c r="A2058" s="140" t="s">
        <v>3181</v>
      </c>
      <c r="B2058" s="141">
        <v>4.1551409050742897E-3</v>
      </c>
      <c r="D2058" s="141"/>
    </row>
    <row r="2059" spans="1:4" x14ac:dyDescent="0.2">
      <c r="A2059" s="140" t="s">
        <v>2416</v>
      </c>
      <c r="B2059" s="141">
        <v>4.1550526390197202E-3</v>
      </c>
      <c r="D2059" s="141"/>
    </row>
    <row r="2060" spans="1:4" x14ac:dyDescent="0.2">
      <c r="A2060" s="140" t="s">
        <v>731</v>
      </c>
      <c r="B2060" s="141">
        <v>4.1434487489515103E-3</v>
      </c>
      <c r="D2060" s="141"/>
    </row>
    <row r="2061" spans="1:4" x14ac:dyDescent="0.2">
      <c r="A2061" s="140" t="s">
        <v>4302</v>
      </c>
      <c r="B2061" s="141">
        <v>4.1387028763852102E-3</v>
      </c>
      <c r="D2061" s="141"/>
    </row>
    <row r="2062" spans="1:4" x14ac:dyDescent="0.2">
      <c r="A2062" s="140" t="s">
        <v>3143</v>
      </c>
      <c r="B2062" s="141">
        <v>4.1375898532443603E-3</v>
      </c>
      <c r="D2062" s="141"/>
    </row>
    <row r="2063" spans="1:4" x14ac:dyDescent="0.2">
      <c r="A2063" s="140" t="s">
        <v>4811</v>
      </c>
      <c r="B2063" s="141">
        <v>4.1357873646302003E-3</v>
      </c>
      <c r="D2063" s="141"/>
    </row>
    <row r="2064" spans="1:4" x14ac:dyDescent="0.2">
      <c r="A2064" s="140" t="s">
        <v>5464</v>
      </c>
      <c r="B2064" s="141">
        <v>4.1335744254862097E-3</v>
      </c>
      <c r="D2064" s="141"/>
    </row>
    <row r="2065" spans="1:4" x14ac:dyDescent="0.2">
      <c r="A2065" s="140" t="s">
        <v>4052</v>
      </c>
      <c r="B2065" s="141">
        <v>4.1330074489446802E-3</v>
      </c>
      <c r="D2065" s="141"/>
    </row>
    <row r="2066" spans="1:4" x14ac:dyDescent="0.2">
      <c r="A2066" s="140" t="s">
        <v>5714</v>
      </c>
      <c r="B2066" s="141">
        <v>4.12988478139954E-3</v>
      </c>
      <c r="D2066" s="141"/>
    </row>
    <row r="2067" spans="1:4" x14ac:dyDescent="0.2">
      <c r="A2067" s="140" t="s">
        <v>4877</v>
      </c>
      <c r="B2067" s="141">
        <v>4.1256250116907499E-3</v>
      </c>
      <c r="D2067" s="141"/>
    </row>
    <row r="2068" spans="1:4" x14ac:dyDescent="0.2">
      <c r="A2068" s="140" t="s">
        <v>2503</v>
      </c>
      <c r="B2068" s="141">
        <v>4.1240977865027399E-3</v>
      </c>
      <c r="D2068" s="141"/>
    </row>
    <row r="2069" spans="1:4" x14ac:dyDescent="0.2">
      <c r="A2069" s="140" t="s">
        <v>7005</v>
      </c>
      <c r="B2069" s="141">
        <v>4.11735200139683E-3</v>
      </c>
      <c r="D2069" s="141"/>
    </row>
    <row r="2070" spans="1:4" x14ac:dyDescent="0.2">
      <c r="A2070" s="140" t="s">
        <v>2752</v>
      </c>
      <c r="B2070" s="141">
        <v>4.1154134615796704E-3</v>
      </c>
      <c r="D2070" s="141"/>
    </row>
    <row r="2071" spans="1:4" x14ac:dyDescent="0.2">
      <c r="A2071" s="140" t="s">
        <v>7006</v>
      </c>
      <c r="B2071" s="141">
        <v>4.1121797661180801E-3</v>
      </c>
      <c r="D2071" s="141"/>
    </row>
    <row r="2072" spans="1:4" x14ac:dyDescent="0.2">
      <c r="A2072" s="140" t="s">
        <v>7007</v>
      </c>
      <c r="B2072" s="141">
        <v>4.1121797661180801E-3</v>
      </c>
      <c r="D2072" s="141"/>
    </row>
    <row r="2073" spans="1:4" x14ac:dyDescent="0.2">
      <c r="A2073" s="140" t="s">
        <v>7008</v>
      </c>
      <c r="B2073" s="141">
        <v>4.1121797661180801E-3</v>
      </c>
      <c r="D2073" s="141"/>
    </row>
    <row r="2074" spans="1:4" x14ac:dyDescent="0.2">
      <c r="A2074" s="140" t="s">
        <v>7009</v>
      </c>
      <c r="B2074" s="141">
        <v>4.1121797661180801E-3</v>
      </c>
      <c r="D2074" s="141"/>
    </row>
    <row r="2075" spans="1:4" x14ac:dyDescent="0.2">
      <c r="A2075" s="140" t="s">
        <v>4955</v>
      </c>
      <c r="B2075" s="141">
        <v>4.1121797661180801E-3</v>
      </c>
      <c r="D2075" s="141"/>
    </row>
    <row r="2076" spans="1:4" x14ac:dyDescent="0.2">
      <c r="A2076" s="140" t="s">
        <v>7010</v>
      </c>
      <c r="B2076" s="141">
        <v>4.1121797661180801E-3</v>
      </c>
      <c r="D2076" s="141"/>
    </row>
    <row r="2077" spans="1:4" x14ac:dyDescent="0.2">
      <c r="A2077" s="140" t="s">
        <v>7011</v>
      </c>
      <c r="B2077" s="141">
        <v>4.1121797661180801E-3</v>
      </c>
      <c r="D2077" s="141"/>
    </row>
    <row r="2078" spans="1:4" x14ac:dyDescent="0.2">
      <c r="A2078" s="140" t="s">
        <v>7012</v>
      </c>
      <c r="B2078" s="141">
        <v>4.1121797661180801E-3</v>
      </c>
      <c r="D2078" s="141"/>
    </row>
    <row r="2079" spans="1:4" x14ac:dyDescent="0.2">
      <c r="A2079" s="140" t="s">
        <v>7013</v>
      </c>
      <c r="B2079" s="141">
        <v>4.1121797661180801E-3</v>
      </c>
      <c r="D2079" s="141"/>
    </row>
    <row r="2080" spans="1:4" x14ac:dyDescent="0.2">
      <c r="A2080" s="140" t="s">
        <v>4342</v>
      </c>
      <c r="B2080" s="141">
        <v>4.0969063556047696E-3</v>
      </c>
      <c r="D2080" s="141"/>
    </row>
    <row r="2081" spans="1:4" x14ac:dyDescent="0.2">
      <c r="A2081" s="140" t="s">
        <v>5246</v>
      </c>
      <c r="B2081" s="141">
        <v>4.0944460675433197E-3</v>
      </c>
      <c r="D2081" s="141"/>
    </row>
    <row r="2082" spans="1:4" x14ac:dyDescent="0.2">
      <c r="A2082" s="140" t="s">
        <v>904</v>
      </c>
      <c r="B2082" s="141">
        <v>4.0681677155251497E-3</v>
      </c>
      <c r="D2082" s="141"/>
    </row>
    <row r="2083" spans="1:4" x14ac:dyDescent="0.2">
      <c r="A2083" s="140" t="s">
        <v>4040</v>
      </c>
      <c r="B2083" s="141">
        <v>4.0675630327827996E-3</v>
      </c>
      <c r="D2083" s="141"/>
    </row>
    <row r="2084" spans="1:4" x14ac:dyDescent="0.2">
      <c r="A2084" s="140" t="s">
        <v>7014</v>
      </c>
      <c r="B2084" s="141">
        <v>4.0653913870643604E-3</v>
      </c>
      <c r="D2084" s="141"/>
    </row>
    <row r="2085" spans="1:4" x14ac:dyDescent="0.2">
      <c r="A2085" s="140" t="s">
        <v>1973</v>
      </c>
      <c r="B2085" s="141">
        <v>4.0639709915558098E-3</v>
      </c>
      <c r="D2085" s="141"/>
    </row>
    <row r="2086" spans="1:4" x14ac:dyDescent="0.2">
      <c r="A2086" s="140" t="s">
        <v>2867</v>
      </c>
      <c r="B2086" s="141">
        <v>4.0638892113688697E-3</v>
      </c>
      <c r="D2086" s="141"/>
    </row>
    <row r="2087" spans="1:4" x14ac:dyDescent="0.2">
      <c r="A2087" s="140" t="s">
        <v>5110</v>
      </c>
      <c r="B2087" s="141">
        <v>4.0633817940067601E-3</v>
      </c>
      <c r="D2087" s="141"/>
    </row>
    <row r="2088" spans="1:4" x14ac:dyDescent="0.2">
      <c r="A2088" s="140" t="s">
        <v>4917</v>
      </c>
      <c r="B2088" s="141">
        <v>4.0615338864862004E-3</v>
      </c>
      <c r="D2088" s="141"/>
    </row>
    <row r="2089" spans="1:4" x14ac:dyDescent="0.2">
      <c r="A2089" s="140" t="s">
        <v>5451</v>
      </c>
      <c r="B2089" s="141">
        <v>4.0603532824287697E-3</v>
      </c>
      <c r="D2089" s="141"/>
    </row>
    <row r="2090" spans="1:4" x14ac:dyDescent="0.2">
      <c r="A2090" s="140" t="s">
        <v>7015</v>
      </c>
      <c r="B2090" s="141">
        <v>4.0500987570048002E-3</v>
      </c>
      <c r="D2090" s="141"/>
    </row>
    <row r="2091" spans="1:4" x14ac:dyDescent="0.2">
      <c r="A2091" s="140" t="s">
        <v>3802</v>
      </c>
      <c r="B2091" s="141">
        <v>4.0495376765171398E-3</v>
      </c>
      <c r="D2091" s="141"/>
    </row>
    <row r="2092" spans="1:4" x14ac:dyDescent="0.2">
      <c r="A2092" s="140" t="s">
        <v>5810</v>
      </c>
      <c r="B2092" s="141">
        <v>4.0392223347409297E-3</v>
      </c>
      <c r="D2092" s="141"/>
    </row>
    <row r="2093" spans="1:4" x14ac:dyDescent="0.2">
      <c r="A2093" s="140" t="s">
        <v>2621</v>
      </c>
      <c r="B2093" s="141">
        <v>4.0278270366656196E-3</v>
      </c>
      <c r="D2093" s="141"/>
    </row>
    <row r="2094" spans="1:4" x14ac:dyDescent="0.2">
      <c r="A2094" s="140" t="s">
        <v>3788</v>
      </c>
      <c r="B2094" s="141">
        <v>4.0263360271310398E-3</v>
      </c>
      <c r="D2094" s="141"/>
    </row>
    <row r="2095" spans="1:4" x14ac:dyDescent="0.2">
      <c r="A2095" s="140" t="s">
        <v>5628</v>
      </c>
      <c r="B2095" s="141">
        <v>4.0248528898878203E-3</v>
      </c>
      <c r="D2095" s="141"/>
    </row>
    <row r="2096" spans="1:4" x14ac:dyDescent="0.2">
      <c r="A2096" s="140" t="s">
        <v>7016</v>
      </c>
      <c r="B2096" s="141">
        <v>4.0248528898878203E-3</v>
      </c>
      <c r="D2096" s="141"/>
    </row>
    <row r="2097" spans="1:4" x14ac:dyDescent="0.2">
      <c r="A2097" s="140" t="s">
        <v>7017</v>
      </c>
      <c r="B2097" s="141">
        <v>4.0178953304909303E-3</v>
      </c>
      <c r="D2097" s="141"/>
    </row>
    <row r="2098" spans="1:4" x14ac:dyDescent="0.2">
      <c r="A2098" s="140" t="s">
        <v>5718</v>
      </c>
      <c r="B2098" s="141">
        <v>4.0143677905943604E-3</v>
      </c>
      <c r="D2098" s="141"/>
    </row>
    <row r="2099" spans="1:4" x14ac:dyDescent="0.2">
      <c r="A2099" s="140" t="s">
        <v>4545</v>
      </c>
      <c r="B2099" s="141">
        <v>4.01059100909649E-3</v>
      </c>
      <c r="D2099" s="141"/>
    </row>
    <row r="2100" spans="1:4" x14ac:dyDescent="0.2">
      <c r="A2100" s="140" t="s">
        <v>7018</v>
      </c>
      <c r="B2100" s="141">
        <v>4.0071449792957597E-3</v>
      </c>
      <c r="D2100" s="141"/>
    </row>
    <row r="2101" spans="1:4" x14ac:dyDescent="0.2">
      <c r="A2101" s="140" t="s">
        <v>2843</v>
      </c>
      <c r="B2101" s="141">
        <v>4.0035596056393896E-3</v>
      </c>
      <c r="D2101" s="141"/>
    </row>
    <row r="2102" spans="1:4" x14ac:dyDescent="0.2">
      <c r="A2102" s="140" t="s">
        <v>5191</v>
      </c>
      <c r="B2102" s="141">
        <v>3.9936071829541602E-3</v>
      </c>
      <c r="D2102" s="141"/>
    </row>
    <row r="2103" spans="1:4" x14ac:dyDescent="0.2">
      <c r="A2103" s="140" t="s">
        <v>4041</v>
      </c>
      <c r="B2103" s="141">
        <v>3.9935969896729897E-3</v>
      </c>
      <c r="D2103" s="141"/>
    </row>
    <row r="2104" spans="1:4" x14ac:dyDescent="0.2">
      <c r="A2104" s="140" t="s">
        <v>7019</v>
      </c>
      <c r="B2104" s="141">
        <v>3.9922203733998999E-3</v>
      </c>
      <c r="D2104" s="141"/>
    </row>
    <row r="2105" spans="1:4" x14ac:dyDescent="0.2">
      <c r="A2105" s="140" t="s">
        <v>1358</v>
      </c>
      <c r="B2105" s="141">
        <v>3.9819118723980603E-3</v>
      </c>
      <c r="D2105" s="141"/>
    </row>
    <row r="2106" spans="1:4" x14ac:dyDescent="0.2">
      <c r="A2106" s="140" t="s">
        <v>4915</v>
      </c>
      <c r="B2106" s="141">
        <v>3.9805237576025602E-3</v>
      </c>
      <c r="D2106" s="141"/>
    </row>
    <row r="2107" spans="1:4" x14ac:dyDescent="0.2">
      <c r="A2107" s="140" t="s">
        <v>3053</v>
      </c>
      <c r="B2107" s="141">
        <v>3.9762227988904501E-3</v>
      </c>
      <c r="D2107" s="141"/>
    </row>
    <row r="2108" spans="1:4" x14ac:dyDescent="0.2">
      <c r="A2108" s="140" t="s">
        <v>2828</v>
      </c>
      <c r="B2108" s="141">
        <v>3.9761481407639201E-3</v>
      </c>
      <c r="D2108" s="141"/>
    </row>
    <row r="2109" spans="1:4" x14ac:dyDescent="0.2">
      <c r="A2109" s="140" t="s">
        <v>4595</v>
      </c>
      <c r="B2109" s="141">
        <v>3.9724383998679296E-3</v>
      </c>
      <c r="D2109" s="141"/>
    </row>
    <row r="2110" spans="1:4" x14ac:dyDescent="0.2">
      <c r="A2110" s="140" t="s">
        <v>2575</v>
      </c>
      <c r="B2110" s="141">
        <v>3.9712192642518901E-3</v>
      </c>
      <c r="D2110" s="141"/>
    </row>
    <row r="2111" spans="1:4" x14ac:dyDescent="0.2">
      <c r="A2111" s="140" t="s">
        <v>7020</v>
      </c>
      <c r="B2111" s="141">
        <v>3.9655687439050496E-3</v>
      </c>
      <c r="D2111" s="141"/>
    </row>
    <row r="2112" spans="1:4" x14ac:dyDescent="0.2">
      <c r="A2112" s="140" t="s">
        <v>3533</v>
      </c>
      <c r="B2112" s="141">
        <v>3.9585442084256904E-3</v>
      </c>
      <c r="D2112" s="141"/>
    </row>
    <row r="2113" spans="1:4" x14ac:dyDescent="0.2">
      <c r="A2113" s="140" t="s">
        <v>2916</v>
      </c>
      <c r="B2113" s="141">
        <v>3.9530301743199601E-3</v>
      </c>
      <c r="D2113" s="141"/>
    </row>
    <row r="2114" spans="1:4" x14ac:dyDescent="0.2">
      <c r="A2114" s="140" t="s">
        <v>1214</v>
      </c>
      <c r="B2114" s="141">
        <v>3.9426671996818999E-3</v>
      </c>
      <c r="D2114" s="141"/>
    </row>
    <row r="2115" spans="1:4" x14ac:dyDescent="0.2">
      <c r="A2115" s="140" t="s">
        <v>7021</v>
      </c>
      <c r="B2115" s="141">
        <v>3.9415886440131902E-3</v>
      </c>
      <c r="D2115" s="141"/>
    </row>
    <row r="2116" spans="1:4" x14ac:dyDescent="0.2">
      <c r="A2116" s="140" t="s">
        <v>7022</v>
      </c>
      <c r="B2116" s="141">
        <v>3.9357298748605597E-3</v>
      </c>
      <c r="D2116" s="141"/>
    </row>
    <row r="2117" spans="1:4" x14ac:dyDescent="0.2">
      <c r="A2117" s="140" t="s">
        <v>7023</v>
      </c>
      <c r="B2117" s="141">
        <v>3.9357298748605597E-3</v>
      </c>
      <c r="D2117" s="141"/>
    </row>
    <row r="2118" spans="1:4" x14ac:dyDescent="0.2">
      <c r="A2118" s="140" t="s">
        <v>5466</v>
      </c>
      <c r="B2118" s="141">
        <v>3.9342289100137897E-3</v>
      </c>
      <c r="D2118" s="141"/>
    </row>
    <row r="2119" spans="1:4" x14ac:dyDescent="0.2">
      <c r="A2119" s="140" t="s">
        <v>2550</v>
      </c>
      <c r="B2119" s="141">
        <v>3.9284507434088397E-3</v>
      </c>
      <c r="D2119" s="141"/>
    </row>
    <row r="2120" spans="1:4" x14ac:dyDescent="0.2">
      <c r="A2120" s="140" t="s">
        <v>2651</v>
      </c>
      <c r="B2120" s="141">
        <v>3.9276049717247496E-3</v>
      </c>
      <c r="D2120" s="141"/>
    </row>
    <row r="2121" spans="1:4" x14ac:dyDescent="0.2">
      <c r="A2121" s="140" t="s">
        <v>3923</v>
      </c>
      <c r="B2121" s="141">
        <v>3.9260337380065497E-3</v>
      </c>
      <c r="D2121" s="141"/>
    </row>
    <row r="2122" spans="1:4" x14ac:dyDescent="0.2">
      <c r="A2122" s="140" t="s">
        <v>1543</v>
      </c>
      <c r="B2122" s="141">
        <v>3.9167466210887399E-3</v>
      </c>
      <c r="D2122" s="141"/>
    </row>
    <row r="2123" spans="1:4" x14ac:dyDescent="0.2">
      <c r="A2123" s="140" t="s">
        <v>1177</v>
      </c>
      <c r="B2123" s="141">
        <v>3.9166556952769703E-3</v>
      </c>
      <c r="D2123" s="141"/>
    </row>
    <row r="2124" spans="1:4" x14ac:dyDescent="0.2">
      <c r="A2124" s="140" t="s">
        <v>3366</v>
      </c>
      <c r="B2124" s="141">
        <v>3.9111258078033196E-3</v>
      </c>
      <c r="D2124" s="141"/>
    </row>
    <row r="2125" spans="1:4" x14ac:dyDescent="0.2">
      <c r="A2125" s="140" t="s">
        <v>2959</v>
      </c>
      <c r="B2125" s="141">
        <v>3.9052554420331898E-3</v>
      </c>
      <c r="D2125" s="141"/>
    </row>
    <row r="2126" spans="1:4" x14ac:dyDescent="0.2">
      <c r="A2126" s="140" t="s">
        <v>4899</v>
      </c>
      <c r="B2126" s="141">
        <v>3.9042576767860798E-3</v>
      </c>
      <c r="D2126" s="141"/>
    </row>
    <row r="2127" spans="1:4" x14ac:dyDescent="0.2">
      <c r="A2127" s="140" t="s">
        <v>7024</v>
      </c>
      <c r="B2127" s="141">
        <v>3.8994307370187101E-3</v>
      </c>
      <c r="D2127" s="141"/>
    </row>
    <row r="2128" spans="1:4" x14ac:dyDescent="0.2">
      <c r="A2128" s="140" t="s">
        <v>7025</v>
      </c>
      <c r="B2128" s="141">
        <v>3.89872560619637E-3</v>
      </c>
      <c r="D2128" s="141"/>
    </row>
    <row r="2129" spans="1:4" x14ac:dyDescent="0.2">
      <c r="A2129" s="140" t="s">
        <v>6063</v>
      </c>
      <c r="B2129" s="141">
        <v>3.8980805260585998E-3</v>
      </c>
      <c r="D2129" s="141"/>
    </row>
    <row r="2130" spans="1:4" x14ac:dyDescent="0.2">
      <c r="A2130" s="140" t="s">
        <v>7026</v>
      </c>
      <c r="B2130" s="141">
        <v>3.8850607322950502E-3</v>
      </c>
      <c r="D2130" s="141"/>
    </row>
    <row r="2131" spans="1:4" x14ac:dyDescent="0.2">
      <c r="A2131" s="140" t="s">
        <v>1147</v>
      </c>
      <c r="B2131" s="141">
        <v>3.8783013708011899E-3</v>
      </c>
      <c r="D2131" s="141"/>
    </row>
    <row r="2132" spans="1:4" x14ac:dyDescent="0.2">
      <c r="A2132" s="140" t="s">
        <v>3152</v>
      </c>
      <c r="B2132" s="141">
        <v>3.8676745041077401E-3</v>
      </c>
      <c r="D2132" s="141"/>
    </row>
    <row r="2133" spans="1:4" x14ac:dyDescent="0.2">
      <c r="A2133" s="140" t="s">
        <v>5675</v>
      </c>
      <c r="B2133" s="141">
        <v>3.8638866140922302E-3</v>
      </c>
      <c r="D2133" s="141"/>
    </row>
    <row r="2134" spans="1:4" x14ac:dyDescent="0.2">
      <c r="A2134" s="140" t="s">
        <v>4719</v>
      </c>
      <c r="B2134" s="141">
        <v>3.8638866140922302E-3</v>
      </c>
      <c r="D2134" s="141"/>
    </row>
    <row r="2135" spans="1:4" x14ac:dyDescent="0.2">
      <c r="A2135" s="140" t="s">
        <v>4522</v>
      </c>
      <c r="B2135" s="141">
        <v>3.8638866140922302E-3</v>
      </c>
      <c r="D2135" s="141"/>
    </row>
    <row r="2136" spans="1:4" x14ac:dyDescent="0.2">
      <c r="A2136" s="140" t="s">
        <v>4478</v>
      </c>
      <c r="B2136" s="141">
        <v>3.8638866140922302E-3</v>
      </c>
      <c r="D2136" s="141"/>
    </row>
    <row r="2137" spans="1:4" x14ac:dyDescent="0.2">
      <c r="A2137" s="140" t="s">
        <v>4198</v>
      </c>
      <c r="B2137" s="141">
        <v>3.8638866140922302E-3</v>
      </c>
      <c r="D2137" s="141"/>
    </row>
    <row r="2138" spans="1:4" x14ac:dyDescent="0.2">
      <c r="A2138" s="140" t="s">
        <v>4038</v>
      </c>
      <c r="B2138" s="141">
        <v>3.8638866140922302E-3</v>
      </c>
      <c r="D2138" s="141"/>
    </row>
    <row r="2139" spans="1:4" x14ac:dyDescent="0.2">
      <c r="A2139" s="140" t="s">
        <v>4019</v>
      </c>
      <c r="B2139" s="141">
        <v>3.8638866140922302E-3</v>
      </c>
      <c r="D2139" s="141"/>
    </row>
    <row r="2140" spans="1:4" x14ac:dyDescent="0.2">
      <c r="A2140" s="140" t="s">
        <v>3984</v>
      </c>
      <c r="B2140" s="141">
        <v>3.8638866140922302E-3</v>
      </c>
      <c r="D2140" s="141"/>
    </row>
    <row r="2141" spans="1:4" x14ac:dyDescent="0.2">
      <c r="A2141" s="140" t="s">
        <v>3912</v>
      </c>
      <c r="B2141" s="141">
        <v>3.8638866140922302E-3</v>
      </c>
      <c r="D2141" s="141"/>
    </row>
    <row r="2142" spans="1:4" x14ac:dyDescent="0.2">
      <c r="A2142" s="140" t="s">
        <v>3911</v>
      </c>
      <c r="B2142" s="141">
        <v>3.8638866140922302E-3</v>
      </c>
      <c r="D2142" s="141"/>
    </row>
    <row r="2143" spans="1:4" x14ac:dyDescent="0.2">
      <c r="A2143" s="140" t="s">
        <v>3905</v>
      </c>
      <c r="B2143" s="141">
        <v>3.8638866140922302E-3</v>
      </c>
      <c r="D2143" s="141"/>
    </row>
    <row r="2144" spans="1:4" x14ac:dyDescent="0.2">
      <c r="A2144" s="140" t="s">
        <v>3901</v>
      </c>
      <c r="B2144" s="141">
        <v>3.8638866140922302E-3</v>
      </c>
      <c r="D2144" s="141"/>
    </row>
    <row r="2145" spans="1:4" x14ac:dyDescent="0.2">
      <c r="A2145" s="140" t="s">
        <v>3824</v>
      </c>
      <c r="B2145" s="141">
        <v>3.8638866140922302E-3</v>
      </c>
      <c r="D2145" s="141"/>
    </row>
    <row r="2146" spans="1:4" x14ac:dyDescent="0.2">
      <c r="A2146" s="140" t="s">
        <v>3814</v>
      </c>
      <c r="B2146" s="141">
        <v>3.8638866140922302E-3</v>
      </c>
      <c r="D2146" s="141"/>
    </row>
    <row r="2147" spans="1:4" x14ac:dyDescent="0.2">
      <c r="A2147" s="140" t="s">
        <v>7027</v>
      </c>
      <c r="B2147" s="141">
        <v>3.8638866140922302E-3</v>
      </c>
      <c r="D2147" s="141"/>
    </row>
    <row r="2148" spans="1:4" x14ac:dyDescent="0.2">
      <c r="A2148" s="140" t="s">
        <v>670</v>
      </c>
      <c r="B2148" s="141">
        <v>3.8637978108457299E-3</v>
      </c>
      <c r="D2148" s="141"/>
    </row>
    <row r="2149" spans="1:4" x14ac:dyDescent="0.2">
      <c r="A2149" s="140" t="s">
        <v>3165</v>
      </c>
      <c r="B2149" s="141">
        <v>3.8636422777122799E-3</v>
      </c>
      <c r="D2149" s="141"/>
    </row>
    <row r="2150" spans="1:4" x14ac:dyDescent="0.2">
      <c r="A2150" s="140" t="s">
        <v>3547</v>
      </c>
      <c r="B2150" s="141">
        <v>3.8622769791457402E-3</v>
      </c>
      <c r="D2150" s="141"/>
    </row>
    <row r="2151" spans="1:4" x14ac:dyDescent="0.2">
      <c r="A2151" s="140" t="s">
        <v>7028</v>
      </c>
      <c r="B2151" s="141">
        <v>3.8617857376127E-3</v>
      </c>
      <c r="D2151" s="141"/>
    </row>
    <row r="2152" spans="1:4" x14ac:dyDescent="0.2">
      <c r="A2152" s="140" t="s">
        <v>2570</v>
      </c>
      <c r="B2152" s="141">
        <v>3.8588019059513398E-3</v>
      </c>
      <c r="D2152" s="141"/>
    </row>
    <row r="2153" spans="1:4" x14ac:dyDescent="0.2">
      <c r="A2153" s="140" t="s">
        <v>3996</v>
      </c>
      <c r="B2153" s="141">
        <v>3.8563768490657399E-3</v>
      </c>
      <c r="D2153" s="141"/>
    </row>
    <row r="2154" spans="1:4" x14ac:dyDescent="0.2">
      <c r="A2154" s="140" t="s">
        <v>7029</v>
      </c>
      <c r="B2154" s="141">
        <v>3.85300265645485E-3</v>
      </c>
      <c r="D2154" s="141"/>
    </row>
    <row r="2155" spans="1:4" x14ac:dyDescent="0.2">
      <c r="A2155" s="140" t="s">
        <v>1335</v>
      </c>
      <c r="B2155" s="141">
        <v>3.8503139082724101E-3</v>
      </c>
      <c r="D2155" s="141"/>
    </row>
    <row r="2156" spans="1:4" x14ac:dyDescent="0.2">
      <c r="A2156" s="140" t="s">
        <v>7030</v>
      </c>
      <c r="B2156" s="141">
        <v>3.8406855519057602E-3</v>
      </c>
      <c r="D2156" s="141"/>
    </row>
    <row r="2157" spans="1:4" x14ac:dyDescent="0.2">
      <c r="A2157" s="140" t="s">
        <v>7031</v>
      </c>
      <c r="B2157" s="141">
        <v>3.8352324922362002E-3</v>
      </c>
      <c r="D2157" s="141"/>
    </row>
    <row r="2158" spans="1:4" x14ac:dyDescent="0.2">
      <c r="A2158" s="140" t="s">
        <v>7032</v>
      </c>
      <c r="B2158" s="141">
        <v>3.8336942153667599E-3</v>
      </c>
      <c r="D2158" s="141"/>
    </row>
    <row r="2159" spans="1:4" x14ac:dyDescent="0.2">
      <c r="A2159" s="140" t="s">
        <v>3939</v>
      </c>
      <c r="B2159" s="141">
        <v>3.8309902840929898E-3</v>
      </c>
      <c r="D2159" s="141"/>
    </row>
    <row r="2160" spans="1:4" x14ac:dyDescent="0.2">
      <c r="A2160" s="140" t="s">
        <v>2804</v>
      </c>
      <c r="B2160" s="141">
        <v>3.83032840879812E-3</v>
      </c>
      <c r="D2160" s="141"/>
    </row>
    <row r="2161" spans="1:4" x14ac:dyDescent="0.2">
      <c r="A2161" s="140" t="s">
        <v>5278</v>
      </c>
      <c r="B2161" s="141">
        <v>3.8226805003384401E-3</v>
      </c>
      <c r="D2161" s="141"/>
    </row>
    <row r="2162" spans="1:4" x14ac:dyDescent="0.2">
      <c r="A2162" s="140" t="s">
        <v>2290</v>
      </c>
      <c r="B2162" s="141">
        <v>3.8175131334631201E-3</v>
      </c>
      <c r="D2162" s="141"/>
    </row>
    <row r="2163" spans="1:4" x14ac:dyDescent="0.2">
      <c r="A2163" s="140" t="s">
        <v>2170</v>
      </c>
      <c r="B2163" s="141">
        <v>3.8159268752096099E-3</v>
      </c>
      <c r="D2163" s="141"/>
    </row>
    <row r="2164" spans="1:4" x14ac:dyDescent="0.2">
      <c r="A2164" s="140" t="s">
        <v>3952</v>
      </c>
      <c r="B2164" s="141">
        <v>3.8149856716841002E-3</v>
      </c>
      <c r="D2164" s="141"/>
    </row>
    <row r="2165" spans="1:4" x14ac:dyDescent="0.2">
      <c r="A2165" s="140" t="s">
        <v>7033</v>
      </c>
      <c r="B2165" s="141">
        <v>3.8095188593292501E-3</v>
      </c>
      <c r="D2165" s="141"/>
    </row>
    <row r="2166" spans="1:4" x14ac:dyDescent="0.2">
      <c r="A2166" s="140" t="s">
        <v>7034</v>
      </c>
      <c r="B2166" s="141">
        <v>3.8095188593292501E-3</v>
      </c>
      <c r="D2166" s="141"/>
    </row>
    <row r="2167" spans="1:4" x14ac:dyDescent="0.2">
      <c r="A2167" s="140" t="s">
        <v>6328</v>
      </c>
      <c r="B2167" s="141">
        <v>3.8077266739347999E-3</v>
      </c>
      <c r="D2167" s="141"/>
    </row>
    <row r="2168" spans="1:4" x14ac:dyDescent="0.2">
      <c r="A2168" s="140" t="s">
        <v>7035</v>
      </c>
      <c r="B2168" s="141">
        <v>3.8034701617434899E-3</v>
      </c>
      <c r="D2168" s="141"/>
    </row>
    <row r="2169" spans="1:4" x14ac:dyDescent="0.2">
      <c r="A2169" s="140" t="s">
        <v>2321</v>
      </c>
      <c r="B2169" s="141">
        <v>3.7975741904466599E-3</v>
      </c>
      <c r="D2169" s="141"/>
    </row>
    <row r="2170" spans="1:4" x14ac:dyDescent="0.2">
      <c r="A2170" s="140" t="s">
        <v>7036</v>
      </c>
      <c r="B2170" s="141">
        <v>3.7929131203497299E-3</v>
      </c>
      <c r="D2170" s="141"/>
    </row>
    <row r="2171" spans="1:4" x14ac:dyDescent="0.2">
      <c r="A2171" s="140" t="s">
        <v>1468</v>
      </c>
      <c r="B2171" s="141">
        <v>3.78714713470451E-3</v>
      </c>
      <c r="D2171" s="141"/>
    </row>
    <row r="2172" spans="1:4" x14ac:dyDescent="0.2">
      <c r="A2172" s="140" t="s">
        <v>3246</v>
      </c>
      <c r="B2172" s="141">
        <v>3.7848131692204E-3</v>
      </c>
      <c r="D2172" s="141"/>
    </row>
    <row r="2173" spans="1:4" x14ac:dyDescent="0.2">
      <c r="A2173" s="140" t="s">
        <v>2519</v>
      </c>
      <c r="B2173" s="141">
        <v>3.7839372692813401E-3</v>
      </c>
      <c r="D2173" s="141"/>
    </row>
    <row r="2174" spans="1:4" x14ac:dyDescent="0.2">
      <c r="A2174" s="140" t="s">
        <v>7037</v>
      </c>
      <c r="B2174" s="141">
        <v>3.7817135912079202E-3</v>
      </c>
      <c r="D2174" s="141"/>
    </row>
    <row r="2175" spans="1:4" x14ac:dyDescent="0.2">
      <c r="A2175" s="140" t="s">
        <v>7038</v>
      </c>
      <c r="B2175" s="141">
        <v>3.7810898248445898E-3</v>
      </c>
      <c r="D2175" s="141"/>
    </row>
    <row r="2176" spans="1:4" x14ac:dyDescent="0.2">
      <c r="A2176" s="140" t="s">
        <v>3958</v>
      </c>
      <c r="B2176" s="141">
        <v>3.7741831094414099E-3</v>
      </c>
      <c r="D2176" s="141"/>
    </row>
    <row r="2177" spans="1:4" x14ac:dyDescent="0.2">
      <c r="A2177" s="140" t="s">
        <v>7039</v>
      </c>
      <c r="B2177" s="141">
        <v>3.7703714016900998E-3</v>
      </c>
      <c r="D2177" s="141"/>
    </row>
    <row r="2178" spans="1:4" x14ac:dyDescent="0.2">
      <c r="A2178" s="140" t="s">
        <v>5038</v>
      </c>
      <c r="B2178" s="141">
        <v>3.7703714016900998E-3</v>
      </c>
      <c r="D2178" s="141"/>
    </row>
    <row r="2179" spans="1:4" x14ac:dyDescent="0.2">
      <c r="A2179" s="140" t="s">
        <v>7040</v>
      </c>
      <c r="B2179" s="141">
        <v>3.7703714016900998E-3</v>
      </c>
      <c r="D2179" s="141"/>
    </row>
    <row r="2180" spans="1:4" x14ac:dyDescent="0.2">
      <c r="A2180" s="140" t="s">
        <v>7041</v>
      </c>
      <c r="B2180" s="141">
        <v>3.7703714016900998E-3</v>
      </c>
      <c r="D2180" s="141"/>
    </row>
    <row r="2181" spans="1:4" x14ac:dyDescent="0.2">
      <c r="A2181" s="140" t="s">
        <v>7042</v>
      </c>
      <c r="B2181" s="141">
        <v>3.7703714016900998E-3</v>
      </c>
      <c r="D2181" s="141"/>
    </row>
    <row r="2182" spans="1:4" x14ac:dyDescent="0.2">
      <c r="A2182" s="140" t="s">
        <v>7043</v>
      </c>
      <c r="B2182" s="141">
        <v>3.7703714016900998E-3</v>
      </c>
      <c r="D2182" s="141"/>
    </row>
    <row r="2183" spans="1:4" x14ac:dyDescent="0.2">
      <c r="A2183" s="140" t="s">
        <v>4276</v>
      </c>
      <c r="B2183" s="141">
        <v>3.7703714016900998E-3</v>
      </c>
      <c r="D2183" s="141"/>
    </row>
    <row r="2184" spans="1:4" x14ac:dyDescent="0.2">
      <c r="A2184" s="140" t="s">
        <v>3988</v>
      </c>
      <c r="B2184" s="141">
        <v>3.7703714016900998E-3</v>
      </c>
      <c r="D2184" s="141"/>
    </row>
    <row r="2185" spans="1:4" x14ac:dyDescent="0.2">
      <c r="A2185" s="140" t="s">
        <v>7044</v>
      </c>
      <c r="B2185" s="141">
        <v>3.7703714016900998E-3</v>
      </c>
      <c r="D2185" s="141"/>
    </row>
    <row r="2186" spans="1:4" x14ac:dyDescent="0.2">
      <c r="A2186" s="140" t="s">
        <v>3602</v>
      </c>
      <c r="B2186" s="141">
        <v>3.7703714016900998E-3</v>
      </c>
      <c r="D2186" s="141"/>
    </row>
    <row r="2187" spans="1:4" x14ac:dyDescent="0.2">
      <c r="A2187" s="140" t="s">
        <v>7045</v>
      </c>
      <c r="B2187" s="141">
        <v>3.7703714016900998E-3</v>
      </c>
      <c r="D2187" s="141"/>
    </row>
    <row r="2188" spans="1:4" x14ac:dyDescent="0.2">
      <c r="A2188" s="140" t="s">
        <v>7046</v>
      </c>
      <c r="B2188" s="141">
        <v>3.7703714016900998E-3</v>
      </c>
      <c r="D2188" s="141"/>
    </row>
    <row r="2189" spans="1:4" x14ac:dyDescent="0.2">
      <c r="A2189" s="140" t="s">
        <v>7047</v>
      </c>
      <c r="B2189" s="141">
        <v>3.7703714016900998E-3</v>
      </c>
      <c r="D2189" s="141"/>
    </row>
    <row r="2190" spans="1:4" x14ac:dyDescent="0.2">
      <c r="A2190" s="140" t="s">
        <v>3778</v>
      </c>
      <c r="B2190" s="141">
        <v>3.7688098796998999E-3</v>
      </c>
      <c r="D2190" s="141"/>
    </row>
    <row r="2191" spans="1:4" x14ac:dyDescent="0.2">
      <c r="A2191" s="140" t="s">
        <v>2143</v>
      </c>
      <c r="B2191" s="141">
        <v>3.7638065966920401E-3</v>
      </c>
      <c r="D2191" s="141"/>
    </row>
    <row r="2192" spans="1:4" x14ac:dyDescent="0.2">
      <c r="A2192" s="140" t="s">
        <v>7048</v>
      </c>
      <c r="B2192" s="141">
        <v>3.7602742599052801E-3</v>
      </c>
      <c r="D2192" s="141"/>
    </row>
    <row r="2193" spans="1:4" x14ac:dyDescent="0.2">
      <c r="A2193" s="140" t="s">
        <v>4018</v>
      </c>
      <c r="B2193" s="141">
        <v>3.7582043136647099E-3</v>
      </c>
      <c r="D2193" s="141"/>
    </row>
    <row r="2194" spans="1:4" x14ac:dyDescent="0.2">
      <c r="A2194" s="140" t="s">
        <v>4031</v>
      </c>
      <c r="B2194" s="141">
        <v>3.7545589821570101E-3</v>
      </c>
      <c r="D2194" s="141"/>
    </row>
    <row r="2195" spans="1:4" x14ac:dyDescent="0.2">
      <c r="A2195" s="140" t="s">
        <v>1679</v>
      </c>
      <c r="B2195" s="141">
        <v>3.7533778216198399E-3</v>
      </c>
      <c r="D2195" s="141"/>
    </row>
    <row r="2196" spans="1:4" x14ac:dyDescent="0.2">
      <c r="A2196" s="140" t="s">
        <v>4219</v>
      </c>
      <c r="B2196" s="141">
        <v>3.7481740802899699E-3</v>
      </c>
      <c r="D2196" s="141"/>
    </row>
    <row r="2197" spans="1:4" x14ac:dyDescent="0.2">
      <c r="A2197" s="140" t="s">
        <v>2332</v>
      </c>
      <c r="B2197" s="141">
        <v>3.74726033621995E-3</v>
      </c>
      <c r="D2197" s="141"/>
    </row>
    <row r="2198" spans="1:4" x14ac:dyDescent="0.2">
      <c r="A2198" s="140" t="s">
        <v>3647</v>
      </c>
      <c r="B2198" s="141">
        <v>3.7447131550129098E-3</v>
      </c>
      <c r="D2198" s="141"/>
    </row>
    <row r="2199" spans="1:4" x14ac:dyDescent="0.2">
      <c r="A2199" s="140" t="s">
        <v>4835</v>
      </c>
      <c r="B2199" s="141">
        <v>3.74437271473999E-3</v>
      </c>
      <c r="D2199" s="141"/>
    </row>
    <row r="2200" spans="1:4" x14ac:dyDescent="0.2">
      <c r="A2200" s="140" t="s">
        <v>5021</v>
      </c>
      <c r="B2200" s="141">
        <v>3.74020719785205E-3</v>
      </c>
      <c r="D2200" s="141"/>
    </row>
    <row r="2201" spans="1:4" x14ac:dyDescent="0.2">
      <c r="A2201" s="140" t="s">
        <v>633</v>
      </c>
      <c r="B2201" s="141">
        <v>3.7388611164831998E-3</v>
      </c>
      <c r="D2201" s="141"/>
    </row>
    <row r="2202" spans="1:4" x14ac:dyDescent="0.2">
      <c r="A2202" s="140" t="s">
        <v>5565</v>
      </c>
      <c r="B2202" s="141">
        <v>3.7357242883510199E-3</v>
      </c>
      <c r="D2202" s="141"/>
    </row>
    <row r="2203" spans="1:4" x14ac:dyDescent="0.2">
      <c r="A2203" s="140" t="s">
        <v>7049</v>
      </c>
      <c r="B2203" s="141">
        <v>3.73426118422649E-3</v>
      </c>
      <c r="D2203" s="141"/>
    </row>
    <row r="2204" spans="1:4" x14ac:dyDescent="0.2">
      <c r="A2204" s="140" t="s">
        <v>7050</v>
      </c>
      <c r="B2204" s="141">
        <v>3.7310093918427002E-3</v>
      </c>
      <c r="D2204" s="141"/>
    </row>
    <row r="2205" spans="1:4" x14ac:dyDescent="0.2">
      <c r="A2205" s="140" t="s">
        <v>5342</v>
      </c>
      <c r="B2205" s="141">
        <v>3.7228155724057599E-3</v>
      </c>
      <c r="D2205" s="141"/>
    </row>
    <row r="2206" spans="1:4" x14ac:dyDescent="0.2">
      <c r="A2206" s="140" t="s">
        <v>1655</v>
      </c>
      <c r="B2206" s="141">
        <v>3.7195971756406399E-3</v>
      </c>
      <c r="D2206" s="141"/>
    </row>
    <row r="2207" spans="1:4" x14ac:dyDescent="0.2">
      <c r="A2207" s="140" t="s">
        <v>7051</v>
      </c>
      <c r="B2207" s="141">
        <v>3.7168451828686702E-3</v>
      </c>
      <c r="D2207" s="141"/>
    </row>
    <row r="2208" spans="1:4" x14ac:dyDescent="0.2">
      <c r="A2208" s="140" t="s">
        <v>7052</v>
      </c>
      <c r="B2208" s="141">
        <v>3.7168451828686702E-3</v>
      </c>
      <c r="D2208" s="141"/>
    </row>
    <row r="2209" spans="1:4" x14ac:dyDescent="0.2">
      <c r="A2209" s="140" t="s">
        <v>3845</v>
      </c>
      <c r="B2209" s="141">
        <v>3.7154692901309001E-3</v>
      </c>
      <c r="D2209" s="141"/>
    </row>
    <row r="2210" spans="1:4" x14ac:dyDescent="0.2">
      <c r="A2210" s="140" t="s">
        <v>2671</v>
      </c>
      <c r="B2210" s="141">
        <v>3.7087250869499398E-3</v>
      </c>
      <c r="D2210" s="141"/>
    </row>
    <row r="2211" spans="1:4" x14ac:dyDescent="0.2">
      <c r="A2211" s="140" t="s">
        <v>3702</v>
      </c>
      <c r="B2211" s="141">
        <v>3.70565113190562E-3</v>
      </c>
      <c r="D2211" s="141"/>
    </row>
    <row r="2212" spans="1:4" x14ac:dyDescent="0.2">
      <c r="A2212" s="140" t="s">
        <v>7053</v>
      </c>
      <c r="B2212" s="141">
        <v>3.7052220728111701E-3</v>
      </c>
      <c r="D2212" s="141"/>
    </row>
    <row r="2213" spans="1:4" x14ac:dyDescent="0.2">
      <c r="A2213" s="140" t="s">
        <v>5452</v>
      </c>
      <c r="B2213" s="141">
        <v>3.6994022702262698E-3</v>
      </c>
      <c r="D2213" s="141"/>
    </row>
    <row r="2214" spans="1:4" x14ac:dyDescent="0.2">
      <c r="A2214" s="140" t="s">
        <v>6064</v>
      </c>
      <c r="B2214" s="141">
        <v>3.6974883376966802E-3</v>
      </c>
      <c r="D2214" s="141"/>
    </row>
    <row r="2215" spans="1:4" x14ac:dyDescent="0.2">
      <c r="A2215" s="140" t="s">
        <v>1084</v>
      </c>
      <c r="B2215" s="141">
        <v>3.6972545871475E-3</v>
      </c>
      <c r="D2215" s="141"/>
    </row>
    <row r="2216" spans="1:4" x14ac:dyDescent="0.2">
      <c r="A2216" s="140" t="s">
        <v>2393</v>
      </c>
      <c r="B2216" s="141">
        <v>3.6951763369943002E-3</v>
      </c>
      <c r="D2216" s="141"/>
    </row>
    <row r="2217" spans="1:4" x14ac:dyDescent="0.2">
      <c r="A2217" s="140" t="s">
        <v>5311</v>
      </c>
      <c r="B2217" s="141">
        <v>3.6885900056772901E-3</v>
      </c>
      <c r="D2217" s="141"/>
    </row>
    <row r="2218" spans="1:4" x14ac:dyDescent="0.2">
      <c r="A2218" s="140" t="s">
        <v>2022</v>
      </c>
      <c r="B2218" s="141">
        <v>3.6866119962195199E-3</v>
      </c>
      <c r="D2218" s="141"/>
    </row>
    <row r="2219" spans="1:4" x14ac:dyDescent="0.2">
      <c r="A2219" s="140" t="s">
        <v>7054</v>
      </c>
      <c r="B2219" s="141">
        <v>3.6860643996749999E-3</v>
      </c>
      <c r="D2219" s="141"/>
    </row>
    <row r="2220" spans="1:4" x14ac:dyDescent="0.2">
      <c r="A2220" s="140" t="s">
        <v>4744</v>
      </c>
      <c r="B2220" s="141">
        <v>3.68280986834262E-3</v>
      </c>
      <c r="D2220" s="141"/>
    </row>
    <row r="2221" spans="1:4" x14ac:dyDescent="0.2">
      <c r="A2221" s="140" t="s">
        <v>7055</v>
      </c>
      <c r="B2221" s="141">
        <v>3.68039295712438E-3</v>
      </c>
      <c r="D2221" s="141"/>
    </row>
    <row r="2222" spans="1:4" x14ac:dyDescent="0.2">
      <c r="A2222" s="140" t="s">
        <v>6022</v>
      </c>
      <c r="B2222" s="141">
        <v>3.66749858596792E-3</v>
      </c>
      <c r="D2222" s="141"/>
    </row>
    <row r="2223" spans="1:4" x14ac:dyDescent="0.2">
      <c r="A2223" s="140" t="s">
        <v>7056</v>
      </c>
      <c r="B2223" s="141">
        <v>3.66749858596792E-3</v>
      </c>
      <c r="D2223" s="141"/>
    </row>
    <row r="2224" spans="1:4" x14ac:dyDescent="0.2">
      <c r="A2224" s="140" t="s">
        <v>3168</v>
      </c>
      <c r="B2224" s="141">
        <v>3.6671194603633299E-3</v>
      </c>
      <c r="D2224" s="141"/>
    </row>
    <row r="2225" spans="1:4" x14ac:dyDescent="0.2">
      <c r="A2225" s="140" t="s">
        <v>3883</v>
      </c>
      <c r="B2225" s="141">
        <v>3.6666608440815299E-3</v>
      </c>
      <c r="D2225" s="141"/>
    </row>
    <row r="2226" spans="1:4" x14ac:dyDescent="0.2">
      <c r="A2226" s="140" t="s">
        <v>7057</v>
      </c>
      <c r="B2226" s="141">
        <v>3.6655792568053699E-3</v>
      </c>
      <c r="D2226" s="141"/>
    </row>
    <row r="2227" spans="1:4" x14ac:dyDescent="0.2">
      <c r="A2227" s="140" t="s">
        <v>2521</v>
      </c>
      <c r="B2227" s="141">
        <v>3.6655590890245899E-3</v>
      </c>
      <c r="D2227" s="141"/>
    </row>
    <row r="2228" spans="1:4" x14ac:dyDescent="0.2">
      <c r="A2228" s="140" t="s">
        <v>1860</v>
      </c>
      <c r="B2228" s="141">
        <v>3.6645747055169902E-3</v>
      </c>
      <c r="D2228" s="141"/>
    </row>
    <row r="2229" spans="1:4" x14ac:dyDescent="0.2">
      <c r="A2229" s="140" t="s">
        <v>1920</v>
      </c>
      <c r="B2229" s="141">
        <v>3.6552593661449799E-3</v>
      </c>
      <c r="D2229" s="141"/>
    </row>
    <row r="2230" spans="1:4" x14ac:dyDescent="0.2">
      <c r="A2230" s="140" t="s">
        <v>7058</v>
      </c>
      <c r="B2230" s="141">
        <v>3.6520725344821301E-3</v>
      </c>
      <c r="D2230" s="141"/>
    </row>
    <row r="2231" spans="1:4" x14ac:dyDescent="0.2">
      <c r="A2231" s="140" t="s">
        <v>6123</v>
      </c>
      <c r="B2231" s="141">
        <v>3.65042375105967E-3</v>
      </c>
      <c r="D2231" s="141"/>
    </row>
    <row r="2232" spans="1:4" x14ac:dyDescent="0.2">
      <c r="A2232" s="140" t="s">
        <v>1768</v>
      </c>
      <c r="B2232" s="141">
        <v>3.6446712875342901E-3</v>
      </c>
      <c r="D2232" s="141"/>
    </row>
    <row r="2233" spans="1:4" x14ac:dyDescent="0.2">
      <c r="A2233" s="140" t="s">
        <v>7059</v>
      </c>
      <c r="B2233" s="141">
        <v>3.6416790992122999E-3</v>
      </c>
      <c r="D2233" s="141"/>
    </row>
    <row r="2234" spans="1:4" x14ac:dyDescent="0.2">
      <c r="A2234" s="140" t="s">
        <v>1661</v>
      </c>
      <c r="B2234" s="141">
        <v>3.6330011866555099E-3</v>
      </c>
      <c r="D2234" s="141"/>
    </row>
    <row r="2235" spans="1:4" x14ac:dyDescent="0.2">
      <c r="A2235" s="140" t="s">
        <v>7060</v>
      </c>
      <c r="B2235" s="141">
        <v>3.6309165824526899E-3</v>
      </c>
      <c r="D2235" s="141"/>
    </row>
    <row r="2236" spans="1:4" x14ac:dyDescent="0.2">
      <c r="A2236" s="140" t="s">
        <v>3342</v>
      </c>
      <c r="B2236" s="141">
        <v>3.6309165824526899E-3</v>
      </c>
      <c r="D2236" s="141"/>
    </row>
    <row r="2237" spans="1:4" x14ac:dyDescent="0.2">
      <c r="A2237" s="140" t="s">
        <v>3332</v>
      </c>
      <c r="B2237" s="141">
        <v>3.6243259958735198E-3</v>
      </c>
      <c r="D2237" s="141"/>
    </row>
    <row r="2238" spans="1:4" x14ac:dyDescent="0.2">
      <c r="A2238" s="140" t="s">
        <v>1397</v>
      </c>
      <c r="B2238" s="141">
        <v>3.62260362021769E-3</v>
      </c>
      <c r="D2238" s="141"/>
    </row>
    <row r="2239" spans="1:4" x14ac:dyDescent="0.2">
      <c r="A2239" s="140" t="s">
        <v>7061</v>
      </c>
      <c r="B2239" s="141">
        <v>3.6208030300400101E-3</v>
      </c>
      <c r="D2239" s="141"/>
    </row>
    <row r="2240" spans="1:4" x14ac:dyDescent="0.2">
      <c r="A2240" s="140" t="s">
        <v>6324</v>
      </c>
      <c r="B2240" s="141">
        <v>3.6170155325143602E-3</v>
      </c>
      <c r="D2240" s="141"/>
    </row>
    <row r="2241" spans="1:4" x14ac:dyDescent="0.2">
      <c r="A2241" s="140" t="s">
        <v>7062</v>
      </c>
      <c r="B2241" s="141">
        <v>3.6150129964727501E-3</v>
      </c>
      <c r="D2241" s="141"/>
    </row>
    <row r="2242" spans="1:4" x14ac:dyDescent="0.2">
      <c r="A2242" s="140" t="s">
        <v>7063</v>
      </c>
      <c r="B2242" s="141">
        <v>3.6139015208296E-3</v>
      </c>
      <c r="D2242" s="141"/>
    </row>
    <row r="2243" spans="1:4" x14ac:dyDescent="0.2">
      <c r="A2243" s="140" t="s">
        <v>2548</v>
      </c>
      <c r="B2243" s="141">
        <v>3.6084379632006099E-3</v>
      </c>
      <c r="D2243" s="141"/>
    </row>
    <row r="2244" spans="1:4" x14ac:dyDescent="0.2">
      <c r="A2244" s="140" t="s">
        <v>7064</v>
      </c>
      <c r="B2244" s="141">
        <v>3.6081839072860701E-3</v>
      </c>
      <c r="D2244" s="141"/>
    </row>
    <row r="2245" spans="1:4" x14ac:dyDescent="0.2">
      <c r="A2245" s="140" t="s">
        <v>5690</v>
      </c>
      <c r="B2245" s="141">
        <v>3.6042088836659601E-3</v>
      </c>
      <c r="D2245" s="141"/>
    </row>
    <row r="2246" spans="1:4" x14ac:dyDescent="0.2">
      <c r="A2246" s="140" t="s">
        <v>2957</v>
      </c>
      <c r="B2246" s="141">
        <v>3.5963565395132199E-3</v>
      </c>
      <c r="D2246" s="141"/>
    </row>
    <row r="2247" spans="1:4" x14ac:dyDescent="0.2">
      <c r="A2247" s="140" t="s">
        <v>4651</v>
      </c>
      <c r="B2247" s="141">
        <v>3.5899156614930699E-3</v>
      </c>
      <c r="D2247" s="141"/>
    </row>
    <row r="2248" spans="1:4" x14ac:dyDescent="0.2">
      <c r="A2248" s="140" t="s">
        <v>7065</v>
      </c>
      <c r="B2248" s="141">
        <v>3.5899156614930699E-3</v>
      </c>
      <c r="D2248" s="141"/>
    </row>
    <row r="2249" spans="1:4" x14ac:dyDescent="0.2">
      <c r="A2249" s="140" t="s">
        <v>7066</v>
      </c>
      <c r="B2249" s="141">
        <v>3.5899156614930699E-3</v>
      </c>
      <c r="D2249" s="141"/>
    </row>
    <row r="2250" spans="1:4" x14ac:dyDescent="0.2">
      <c r="A2250" s="140" t="s">
        <v>3615</v>
      </c>
      <c r="B2250" s="141">
        <v>3.5899156614930699E-3</v>
      </c>
      <c r="D2250" s="141"/>
    </row>
    <row r="2251" spans="1:4" x14ac:dyDescent="0.2">
      <c r="A2251" s="140" t="s">
        <v>3149</v>
      </c>
      <c r="B2251" s="141">
        <v>3.5899156614930699E-3</v>
      </c>
      <c r="D2251" s="141"/>
    </row>
    <row r="2252" spans="1:4" x14ac:dyDescent="0.2">
      <c r="A2252" s="140" t="s">
        <v>5775</v>
      </c>
      <c r="B2252" s="141">
        <v>3.5881151912014798E-3</v>
      </c>
      <c r="D2252" s="141"/>
    </row>
    <row r="2253" spans="1:4" x14ac:dyDescent="0.2">
      <c r="A2253" s="140" t="s">
        <v>3534</v>
      </c>
      <c r="B2253" s="141">
        <v>3.5871966801042602E-3</v>
      </c>
      <c r="D2253" s="141"/>
    </row>
    <row r="2254" spans="1:4" x14ac:dyDescent="0.2">
      <c r="A2254" s="140" t="s">
        <v>5530</v>
      </c>
      <c r="B2254" s="141">
        <v>3.5836136561212999E-3</v>
      </c>
      <c r="D2254" s="141"/>
    </row>
    <row r="2255" spans="1:4" x14ac:dyDescent="0.2">
      <c r="A2255" s="140" t="s">
        <v>5668</v>
      </c>
      <c r="B2255" s="141">
        <v>3.5834098306964501E-3</v>
      </c>
      <c r="D2255" s="141"/>
    </row>
    <row r="2256" spans="1:4" x14ac:dyDescent="0.2">
      <c r="A2256" s="140" t="s">
        <v>3323</v>
      </c>
      <c r="B2256" s="141">
        <v>3.5785218775244102E-3</v>
      </c>
      <c r="D2256" s="141"/>
    </row>
    <row r="2257" spans="1:4" x14ac:dyDescent="0.2">
      <c r="A2257" s="140" t="s">
        <v>4014</v>
      </c>
      <c r="B2257" s="141">
        <v>3.5761656854272602E-3</v>
      </c>
      <c r="D2257" s="141"/>
    </row>
    <row r="2258" spans="1:4" x14ac:dyDescent="0.2">
      <c r="A2258" s="140" t="s">
        <v>7067</v>
      </c>
      <c r="B2258" s="141">
        <v>3.5755444205496198E-3</v>
      </c>
      <c r="D2258" s="141"/>
    </row>
    <row r="2259" spans="1:4" x14ac:dyDescent="0.2">
      <c r="A2259" s="140" t="s">
        <v>4499</v>
      </c>
      <c r="B2259" s="141">
        <v>3.57056987194094E-3</v>
      </c>
      <c r="D2259" s="141"/>
    </row>
    <row r="2260" spans="1:4" x14ac:dyDescent="0.2">
      <c r="A2260" s="140" t="s">
        <v>3634</v>
      </c>
      <c r="B2260" s="141">
        <v>3.5675113953199098E-3</v>
      </c>
      <c r="D2260" s="141"/>
    </row>
    <row r="2261" spans="1:4" x14ac:dyDescent="0.2">
      <c r="A2261" s="140" t="s">
        <v>5423</v>
      </c>
      <c r="B2261" s="141">
        <v>3.56656723679975E-3</v>
      </c>
      <c r="D2261" s="141"/>
    </row>
    <row r="2262" spans="1:4" x14ac:dyDescent="0.2">
      <c r="A2262" s="140" t="s">
        <v>7068</v>
      </c>
      <c r="B2262" s="141">
        <v>3.56616332333826E-3</v>
      </c>
      <c r="D2262" s="141"/>
    </row>
    <row r="2263" spans="1:4" x14ac:dyDescent="0.2">
      <c r="A2263" s="140" t="s">
        <v>7069</v>
      </c>
      <c r="B2263" s="141">
        <v>3.56616332333826E-3</v>
      </c>
      <c r="D2263" s="141"/>
    </row>
    <row r="2264" spans="1:4" x14ac:dyDescent="0.2">
      <c r="A2264" s="140" t="s">
        <v>3139</v>
      </c>
      <c r="B2264" s="141">
        <v>3.5517534523845499E-3</v>
      </c>
      <c r="D2264" s="141"/>
    </row>
    <row r="2265" spans="1:4" x14ac:dyDescent="0.2">
      <c r="A2265" s="140" t="s">
        <v>5731</v>
      </c>
      <c r="B2265" s="141">
        <v>3.5464119873228599E-3</v>
      </c>
      <c r="D2265" s="141"/>
    </row>
    <row r="2266" spans="1:4" x14ac:dyDescent="0.2">
      <c r="A2266" s="140" t="s">
        <v>4936</v>
      </c>
      <c r="B2266" s="141">
        <v>3.5457841141786199E-3</v>
      </c>
      <c r="D2266" s="141"/>
    </row>
    <row r="2267" spans="1:4" x14ac:dyDescent="0.2">
      <c r="A2267" s="140" t="s">
        <v>3742</v>
      </c>
      <c r="B2267" s="141">
        <v>3.5426880867645001E-3</v>
      </c>
      <c r="D2267" s="141"/>
    </row>
    <row r="2268" spans="1:4" x14ac:dyDescent="0.2">
      <c r="A2268" s="140" t="s">
        <v>7070</v>
      </c>
      <c r="B2268" s="141">
        <v>3.5409915844458002E-3</v>
      </c>
      <c r="D2268" s="141"/>
    </row>
    <row r="2269" spans="1:4" x14ac:dyDescent="0.2">
      <c r="A2269" s="140" t="s">
        <v>7071</v>
      </c>
      <c r="B2269" s="141">
        <v>3.5385212326566099E-3</v>
      </c>
      <c r="D2269" s="141"/>
    </row>
    <row r="2270" spans="1:4" x14ac:dyDescent="0.2">
      <c r="A2270" s="140" t="s">
        <v>5124</v>
      </c>
      <c r="B2270" s="141">
        <v>3.53418418020787E-3</v>
      </c>
      <c r="D2270" s="141"/>
    </row>
    <row r="2271" spans="1:4" x14ac:dyDescent="0.2">
      <c r="A2271" s="140" t="s">
        <v>7072</v>
      </c>
      <c r="B2271" s="141">
        <v>3.5222494886064399E-3</v>
      </c>
      <c r="D2271" s="141"/>
    </row>
    <row r="2272" spans="1:4" x14ac:dyDescent="0.2">
      <c r="A2272" s="140" t="s">
        <v>2491</v>
      </c>
      <c r="B2272" s="141">
        <v>3.5125440160872099E-3</v>
      </c>
      <c r="D2272" s="141"/>
    </row>
    <row r="2273" spans="1:4" x14ac:dyDescent="0.2">
      <c r="A2273" s="140" t="s">
        <v>7073</v>
      </c>
      <c r="B2273" s="141">
        <v>3.5119527718138902E-3</v>
      </c>
      <c r="D2273" s="141"/>
    </row>
    <row r="2274" spans="1:4" x14ac:dyDescent="0.2">
      <c r="A2274" s="140" t="s">
        <v>7074</v>
      </c>
      <c r="B2274" s="141">
        <v>3.5119527718138902E-3</v>
      </c>
      <c r="D2274" s="141"/>
    </row>
    <row r="2275" spans="1:4" x14ac:dyDescent="0.2">
      <c r="A2275" s="140" t="s">
        <v>4358</v>
      </c>
      <c r="B2275" s="141">
        <v>3.5119527718138902E-3</v>
      </c>
      <c r="D2275" s="141"/>
    </row>
    <row r="2276" spans="1:4" x14ac:dyDescent="0.2">
      <c r="A2276" s="140" t="s">
        <v>3985</v>
      </c>
      <c r="B2276" s="141">
        <v>3.5023907260261799E-3</v>
      </c>
      <c r="D2276" s="141"/>
    </row>
    <row r="2277" spans="1:4" x14ac:dyDescent="0.2">
      <c r="A2277" s="140" t="s">
        <v>4063</v>
      </c>
      <c r="B2277" s="141">
        <v>3.50004070492556E-3</v>
      </c>
      <c r="D2277" s="141"/>
    </row>
    <row r="2278" spans="1:4" x14ac:dyDescent="0.2">
      <c r="A2278" s="140" t="s">
        <v>2182</v>
      </c>
      <c r="B2278" s="141">
        <v>3.4957917420721501E-3</v>
      </c>
      <c r="D2278" s="141"/>
    </row>
    <row r="2279" spans="1:4" x14ac:dyDescent="0.2">
      <c r="A2279" s="140" t="s">
        <v>2674</v>
      </c>
      <c r="B2279" s="141">
        <v>3.4949840083858298E-3</v>
      </c>
      <c r="D2279" s="141"/>
    </row>
    <row r="2280" spans="1:4" x14ac:dyDescent="0.2">
      <c r="A2280" s="140" t="s">
        <v>3057</v>
      </c>
      <c r="B2280" s="141">
        <v>3.4945850148261699E-3</v>
      </c>
      <c r="D2280" s="141"/>
    </row>
    <row r="2281" spans="1:4" x14ac:dyDescent="0.2">
      <c r="A2281" s="140" t="s">
        <v>7075</v>
      </c>
      <c r="B2281" s="141">
        <v>3.4879028574300698E-3</v>
      </c>
      <c r="D2281" s="141"/>
    </row>
    <row r="2282" spans="1:4" x14ac:dyDescent="0.2">
      <c r="A2282" s="140" t="s">
        <v>3146</v>
      </c>
      <c r="B2282" s="141">
        <v>3.4844597729883201E-3</v>
      </c>
      <c r="D2282" s="141"/>
    </row>
    <row r="2283" spans="1:4" x14ac:dyDescent="0.2">
      <c r="A2283" s="140" t="s">
        <v>4868</v>
      </c>
      <c r="B2283" s="141">
        <v>3.4817122862214498E-3</v>
      </c>
      <c r="D2283" s="141"/>
    </row>
    <row r="2284" spans="1:4" x14ac:dyDescent="0.2">
      <c r="A2284" s="140" t="s">
        <v>7076</v>
      </c>
      <c r="B2284" s="141">
        <v>3.47997515633494E-3</v>
      </c>
      <c r="D2284" s="141"/>
    </row>
    <row r="2285" spans="1:4" x14ac:dyDescent="0.2">
      <c r="A2285" s="140" t="s">
        <v>4752</v>
      </c>
      <c r="B2285" s="141">
        <v>3.47922243711145E-3</v>
      </c>
      <c r="D2285" s="141"/>
    </row>
    <row r="2286" spans="1:4" x14ac:dyDescent="0.2">
      <c r="A2286" s="140" t="s">
        <v>3592</v>
      </c>
      <c r="B2286" s="141">
        <v>3.4788789787734802E-3</v>
      </c>
      <c r="D2286" s="141"/>
    </row>
    <row r="2287" spans="1:4" x14ac:dyDescent="0.2">
      <c r="A2287" s="140" t="s">
        <v>1190</v>
      </c>
      <c r="B2287" s="141">
        <v>3.4773875092207001E-3</v>
      </c>
      <c r="D2287" s="141"/>
    </row>
    <row r="2288" spans="1:4" x14ac:dyDescent="0.2">
      <c r="A2288" s="140" t="s">
        <v>2640</v>
      </c>
      <c r="B2288" s="141">
        <v>3.47531308385195E-3</v>
      </c>
      <c r="D2288" s="141"/>
    </row>
    <row r="2289" spans="1:4" x14ac:dyDescent="0.2">
      <c r="A2289" s="140" t="s">
        <v>7077</v>
      </c>
      <c r="B2289" s="141">
        <v>3.4744944559370302E-3</v>
      </c>
      <c r="D2289" s="141"/>
    </row>
    <row r="2290" spans="1:4" x14ac:dyDescent="0.2">
      <c r="A2290" s="140" t="s">
        <v>7078</v>
      </c>
      <c r="B2290" s="141">
        <v>3.4744944559370302E-3</v>
      </c>
      <c r="D2290" s="141"/>
    </row>
    <row r="2291" spans="1:4" x14ac:dyDescent="0.2">
      <c r="A2291" s="140" t="s">
        <v>4227</v>
      </c>
      <c r="B2291" s="141">
        <v>3.4744532337464499E-3</v>
      </c>
      <c r="D2291" s="141"/>
    </row>
    <row r="2292" spans="1:4" x14ac:dyDescent="0.2">
      <c r="A2292" s="140" t="s">
        <v>7079</v>
      </c>
      <c r="B2292" s="141">
        <v>3.47158392345615E-3</v>
      </c>
      <c r="D2292" s="141"/>
    </row>
    <row r="2293" spans="1:4" x14ac:dyDescent="0.2">
      <c r="A2293" s="140" t="s">
        <v>1763</v>
      </c>
      <c r="B2293" s="141">
        <v>3.4659035964772198E-3</v>
      </c>
      <c r="D2293" s="141"/>
    </row>
    <row r="2294" spans="1:4" x14ac:dyDescent="0.2">
      <c r="A2294" s="140" t="s">
        <v>4064</v>
      </c>
      <c r="B2294" s="141">
        <v>3.46411313648616E-3</v>
      </c>
      <c r="D2294" s="141"/>
    </row>
    <row r="2295" spans="1:4" x14ac:dyDescent="0.2">
      <c r="A2295" s="140" t="s">
        <v>4770</v>
      </c>
      <c r="B2295" s="141">
        <v>3.4587741718703998E-3</v>
      </c>
      <c r="D2295" s="141"/>
    </row>
    <row r="2296" spans="1:4" x14ac:dyDescent="0.2">
      <c r="A2296" s="140" t="s">
        <v>3898</v>
      </c>
      <c r="B2296" s="141">
        <v>3.4511633415089502E-3</v>
      </c>
      <c r="D2296" s="141"/>
    </row>
    <row r="2297" spans="1:4" x14ac:dyDescent="0.2">
      <c r="A2297" s="140" t="s">
        <v>1919</v>
      </c>
      <c r="B2297" s="141">
        <v>3.4488059995098201E-3</v>
      </c>
      <c r="D2297" s="141"/>
    </row>
    <row r="2298" spans="1:4" x14ac:dyDescent="0.2">
      <c r="A2298" s="140" t="s">
        <v>7080</v>
      </c>
      <c r="B2298" s="141">
        <v>3.4445218387659298E-3</v>
      </c>
      <c r="D2298" s="141"/>
    </row>
    <row r="2299" spans="1:4" x14ac:dyDescent="0.2">
      <c r="A2299" s="140" t="s">
        <v>1554</v>
      </c>
      <c r="B2299" s="141">
        <v>3.4438009980815401E-3</v>
      </c>
      <c r="D2299" s="141"/>
    </row>
    <row r="2300" spans="1:4" x14ac:dyDescent="0.2">
      <c r="A2300" s="140" t="s">
        <v>7081</v>
      </c>
      <c r="B2300" s="141">
        <v>3.4437624119859301E-3</v>
      </c>
      <c r="D2300" s="141"/>
    </row>
    <row r="2301" spans="1:4" x14ac:dyDescent="0.2">
      <c r="A2301" s="140" t="s">
        <v>7082</v>
      </c>
      <c r="B2301" s="141">
        <v>3.4434065662034101E-3</v>
      </c>
      <c r="D2301" s="141"/>
    </row>
    <row r="2302" spans="1:4" x14ac:dyDescent="0.2">
      <c r="A2302" s="140" t="s">
        <v>4454</v>
      </c>
      <c r="B2302" s="141">
        <v>3.4434065662034101E-3</v>
      </c>
      <c r="D2302" s="141"/>
    </row>
    <row r="2303" spans="1:4" x14ac:dyDescent="0.2">
      <c r="A2303" s="140" t="s">
        <v>2988</v>
      </c>
      <c r="B2303" s="141">
        <v>3.4382433676785401E-3</v>
      </c>
      <c r="D2303" s="141"/>
    </row>
    <row r="2304" spans="1:4" x14ac:dyDescent="0.2">
      <c r="A2304" s="140" t="s">
        <v>2398</v>
      </c>
      <c r="B2304" s="141">
        <v>3.4227166727717798E-3</v>
      </c>
      <c r="D2304" s="141"/>
    </row>
    <row r="2305" spans="1:4" x14ac:dyDescent="0.2">
      <c r="A2305" s="140" t="s">
        <v>3935</v>
      </c>
      <c r="B2305" s="141">
        <v>3.42188993667028E-3</v>
      </c>
      <c r="D2305" s="141"/>
    </row>
    <row r="2306" spans="1:4" x14ac:dyDescent="0.2">
      <c r="A2306" s="140" t="s">
        <v>4452</v>
      </c>
      <c r="B2306" s="141">
        <v>3.4152951453507098E-3</v>
      </c>
      <c r="D2306" s="141"/>
    </row>
    <row r="2307" spans="1:4" x14ac:dyDescent="0.2">
      <c r="A2307" s="140" t="s">
        <v>5128</v>
      </c>
      <c r="B2307" s="141">
        <v>3.4143617678920098E-3</v>
      </c>
      <c r="D2307" s="141"/>
    </row>
    <row r="2308" spans="1:4" x14ac:dyDescent="0.2">
      <c r="A2308" s="140" t="s">
        <v>1209</v>
      </c>
      <c r="B2308" s="141">
        <v>3.4143068568128401E-3</v>
      </c>
      <c r="D2308" s="141"/>
    </row>
    <row r="2309" spans="1:4" x14ac:dyDescent="0.2">
      <c r="A2309" s="140" t="s">
        <v>6209</v>
      </c>
      <c r="B2309" s="141">
        <v>3.4118125156466401E-3</v>
      </c>
      <c r="D2309" s="141"/>
    </row>
    <row r="2310" spans="1:4" x14ac:dyDescent="0.2">
      <c r="A2310" s="140" t="s">
        <v>2808</v>
      </c>
      <c r="B2310" s="141">
        <v>3.40351209302024E-3</v>
      </c>
      <c r="D2310" s="141"/>
    </row>
    <row r="2311" spans="1:4" x14ac:dyDescent="0.2">
      <c r="A2311" s="140" t="s">
        <v>5266</v>
      </c>
      <c r="B2311" s="141">
        <v>3.3991761712487598E-3</v>
      </c>
      <c r="D2311" s="141"/>
    </row>
    <row r="2312" spans="1:4" x14ac:dyDescent="0.2">
      <c r="A2312" s="140" t="s">
        <v>345</v>
      </c>
      <c r="B2312" s="141">
        <v>3.3944063925273101E-3</v>
      </c>
      <c r="D2312" s="141"/>
    </row>
    <row r="2313" spans="1:4" x14ac:dyDescent="0.2">
      <c r="A2313" s="140" t="s">
        <v>3058</v>
      </c>
      <c r="B2313" s="141">
        <v>3.39383994002045E-3</v>
      </c>
      <c r="D2313" s="141"/>
    </row>
    <row r="2314" spans="1:4" x14ac:dyDescent="0.2">
      <c r="A2314" s="140" t="s">
        <v>839</v>
      </c>
      <c r="B2314" s="141">
        <v>3.3936234781178401E-3</v>
      </c>
      <c r="D2314" s="141"/>
    </row>
    <row r="2315" spans="1:4" x14ac:dyDescent="0.2">
      <c r="A2315" s="140" t="s">
        <v>5065</v>
      </c>
      <c r="B2315" s="141">
        <v>3.3917145417814601E-3</v>
      </c>
      <c r="D2315" s="141"/>
    </row>
    <row r="2316" spans="1:4" x14ac:dyDescent="0.2">
      <c r="A2316" s="140" t="s">
        <v>3953</v>
      </c>
      <c r="B2316" s="141">
        <v>3.3917145417814601E-3</v>
      </c>
      <c r="D2316" s="141"/>
    </row>
    <row r="2317" spans="1:4" x14ac:dyDescent="0.2">
      <c r="A2317" s="140" t="s">
        <v>4062</v>
      </c>
      <c r="B2317" s="141">
        <v>3.38544139132812E-3</v>
      </c>
      <c r="D2317" s="141"/>
    </row>
    <row r="2318" spans="1:4" x14ac:dyDescent="0.2">
      <c r="A2318" s="140" t="s">
        <v>4837</v>
      </c>
      <c r="B2318" s="141">
        <v>3.38411046909479E-3</v>
      </c>
      <c r="D2318" s="141"/>
    </row>
    <row r="2319" spans="1:4" x14ac:dyDescent="0.2">
      <c r="A2319" s="140" t="s">
        <v>5934</v>
      </c>
      <c r="B2319" s="141">
        <v>3.38079800379444E-3</v>
      </c>
      <c r="D2319" s="141"/>
    </row>
    <row r="2320" spans="1:4" x14ac:dyDescent="0.2">
      <c r="A2320" s="140" t="s">
        <v>5229</v>
      </c>
      <c r="B2320" s="141">
        <v>3.3791983790998599E-3</v>
      </c>
      <c r="D2320" s="141"/>
    </row>
    <row r="2321" spans="1:4" x14ac:dyDescent="0.2">
      <c r="A2321" s="140" t="s">
        <v>4513</v>
      </c>
      <c r="B2321" s="141">
        <v>3.3771514191168299E-3</v>
      </c>
      <c r="D2321" s="141"/>
    </row>
    <row r="2322" spans="1:4" x14ac:dyDescent="0.2">
      <c r="A2322" s="140" t="s">
        <v>7083</v>
      </c>
      <c r="B2322" s="141">
        <v>3.3743998173435602E-3</v>
      </c>
      <c r="D2322" s="141"/>
    </row>
    <row r="2323" spans="1:4" x14ac:dyDescent="0.2">
      <c r="A2323" s="140" t="s">
        <v>3522</v>
      </c>
      <c r="B2323" s="141">
        <v>3.3740594225535798E-3</v>
      </c>
      <c r="D2323" s="141"/>
    </row>
    <row r="2324" spans="1:4" x14ac:dyDescent="0.2">
      <c r="A2324" s="140" t="s">
        <v>7084</v>
      </c>
      <c r="B2324" s="141">
        <v>3.3655158756354399E-3</v>
      </c>
      <c r="D2324" s="141"/>
    </row>
    <row r="2325" spans="1:4" x14ac:dyDescent="0.2">
      <c r="A2325" s="140" t="s">
        <v>7085</v>
      </c>
      <c r="B2325" s="141">
        <v>3.3655158756354399E-3</v>
      </c>
      <c r="D2325" s="141"/>
    </row>
    <row r="2326" spans="1:4" x14ac:dyDescent="0.2">
      <c r="A2326" s="140" t="s">
        <v>2825</v>
      </c>
      <c r="B2326" s="141">
        <v>3.36395094334478E-3</v>
      </c>
      <c r="D2326" s="141"/>
    </row>
    <row r="2327" spans="1:4" x14ac:dyDescent="0.2">
      <c r="A2327" s="140" t="s">
        <v>4251</v>
      </c>
      <c r="B2327" s="141">
        <v>3.36273180530382E-3</v>
      </c>
      <c r="D2327" s="141"/>
    </row>
    <row r="2328" spans="1:4" x14ac:dyDescent="0.2">
      <c r="A2328" s="140" t="s">
        <v>3862</v>
      </c>
      <c r="B2328" s="141">
        <v>3.36150743242023E-3</v>
      </c>
      <c r="D2328" s="141"/>
    </row>
    <row r="2329" spans="1:4" x14ac:dyDescent="0.2">
      <c r="A2329" s="140" t="s">
        <v>1963</v>
      </c>
      <c r="B2329" s="141">
        <v>3.35904774667141E-3</v>
      </c>
      <c r="D2329" s="141"/>
    </row>
    <row r="2330" spans="1:4" x14ac:dyDescent="0.2">
      <c r="A2330" s="140" t="s">
        <v>2488</v>
      </c>
      <c r="B2330" s="141">
        <v>3.3581802959842702E-3</v>
      </c>
      <c r="D2330" s="141"/>
    </row>
    <row r="2331" spans="1:4" x14ac:dyDescent="0.2">
      <c r="A2331" s="140" t="s">
        <v>2968</v>
      </c>
      <c r="B2331" s="141">
        <v>3.3542107060678499E-3</v>
      </c>
      <c r="D2331" s="141"/>
    </row>
    <row r="2332" spans="1:4" x14ac:dyDescent="0.2">
      <c r="A2332" s="140" t="s">
        <v>3894</v>
      </c>
      <c r="B2332" s="141">
        <v>3.3523656845758001E-3</v>
      </c>
      <c r="D2332" s="141"/>
    </row>
    <row r="2333" spans="1:4" x14ac:dyDescent="0.2">
      <c r="A2333" s="140" t="s">
        <v>3167</v>
      </c>
      <c r="B2333" s="141">
        <v>3.3427715191204099E-3</v>
      </c>
      <c r="D2333" s="141"/>
    </row>
    <row r="2334" spans="1:4" x14ac:dyDescent="0.2">
      <c r="A2334" s="140" t="s">
        <v>627</v>
      </c>
      <c r="B2334" s="141">
        <v>3.34266544409065E-3</v>
      </c>
      <c r="D2334" s="141"/>
    </row>
    <row r="2335" spans="1:4" x14ac:dyDescent="0.2">
      <c r="A2335" s="140" t="s">
        <v>4775</v>
      </c>
      <c r="B2335" s="141">
        <v>3.33756173001656E-3</v>
      </c>
      <c r="D2335" s="141"/>
    </row>
    <row r="2336" spans="1:4" x14ac:dyDescent="0.2">
      <c r="A2336" s="140" t="s">
        <v>2694</v>
      </c>
      <c r="B2336" s="141">
        <v>3.3343664878470098E-3</v>
      </c>
      <c r="D2336" s="141"/>
    </row>
    <row r="2337" spans="1:4" x14ac:dyDescent="0.2">
      <c r="A2337" s="140" t="s">
        <v>4987</v>
      </c>
      <c r="B2337" s="141">
        <v>3.32995432034057E-3</v>
      </c>
      <c r="D2337" s="141"/>
    </row>
    <row r="2338" spans="1:4" x14ac:dyDescent="0.2">
      <c r="A2338" s="140" t="s">
        <v>3709</v>
      </c>
      <c r="B2338" s="141">
        <v>3.3284911857156402E-3</v>
      </c>
      <c r="D2338" s="141"/>
    </row>
    <row r="2339" spans="1:4" x14ac:dyDescent="0.2">
      <c r="A2339" s="140" t="s">
        <v>4476</v>
      </c>
      <c r="B2339" s="141">
        <v>3.3277282262391601E-3</v>
      </c>
      <c r="D2339" s="141"/>
    </row>
    <row r="2340" spans="1:4" x14ac:dyDescent="0.2">
      <c r="A2340" s="140" t="s">
        <v>7086</v>
      </c>
      <c r="B2340" s="141">
        <v>3.3273388348712702E-3</v>
      </c>
      <c r="D2340" s="141"/>
    </row>
    <row r="2341" spans="1:4" x14ac:dyDescent="0.2">
      <c r="A2341" s="140" t="s">
        <v>1498</v>
      </c>
      <c r="B2341" s="141">
        <v>3.32724974329166E-3</v>
      </c>
      <c r="D2341" s="141"/>
    </row>
    <row r="2342" spans="1:4" x14ac:dyDescent="0.2">
      <c r="A2342" s="140" t="s">
        <v>7087</v>
      </c>
      <c r="B2342" s="141">
        <v>3.3213048431436701E-3</v>
      </c>
      <c r="D2342" s="141"/>
    </row>
    <row r="2343" spans="1:4" x14ac:dyDescent="0.2">
      <c r="A2343" s="140" t="s">
        <v>7088</v>
      </c>
      <c r="B2343" s="141">
        <v>3.3213048431436701E-3</v>
      </c>
      <c r="D2343" s="141"/>
    </row>
    <row r="2344" spans="1:4" x14ac:dyDescent="0.2">
      <c r="A2344" s="140" t="s">
        <v>3130</v>
      </c>
      <c r="B2344" s="141">
        <v>3.3213048431436701E-3</v>
      </c>
      <c r="D2344" s="141"/>
    </row>
    <row r="2345" spans="1:4" x14ac:dyDescent="0.2">
      <c r="A2345" s="140" t="s">
        <v>7089</v>
      </c>
      <c r="B2345" s="141">
        <v>3.3213048431436701E-3</v>
      </c>
      <c r="D2345" s="141"/>
    </row>
    <row r="2346" spans="1:4" x14ac:dyDescent="0.2">
      <c r="A2346" s="140" t="s">
        <v>2216</v>
      </c>
      <c r="B2346" s="141">
        <v>3.3189618078299302E-3</v>
      </c>
      <c r="D2346" s="141"/>
    </row>
    <row r="2347" spans="1:4" x14ac:dyDescent="0.2">
      <c r="A2347" s="140" t="s">
        <v>2480</v>
      </c>
      <c r="B2347" s="141">
        <v>3.3189547169057902E-3</v>
      </c>
      <c r="D2347" s="141"/>
    </row>
    <row r="2348" spans="1:4" x14ac:dyDescent="0.2">
      <c r="A2348" s="140" t="s">
        <v>4157</v>
      </c>
      <c r="B2348" s="141">
        <v>3.3152653937775002E-3</v>
      </c>
      <c r="D2348" s="141"/>
    </row>
    <row r="2349" spans="1:4" x14ac:dyDescent="0.2">
      <c r="A2349" s="140" t="s">
        <v>2801</v>
      </c>
      <c r="B2349" s="141">
        <v>3.3150786165751598E-3</v>
      </c>
      <c r="D2349" s="141"/>
    </row>
    <row r="2350" spans="1:4" x14ac:dyDescent="0.2">
      <c r="A2350" s="140" t="s">
        <v>5552</v>
      </c>
      <c r="B2350" s="141">
        <v>3.31384509870725E-3</v>
      </c>
      <c r="D2350" s="141"/>
    </row>
    <row r="2351" spans="1:4" x14ac:dyDescent="0.2">
      <c r="A2351" s="140" t="s">
        <v>5076</v>
      </c>
      <c r="B2351" s="141">
        <v>3.3104016020953199E-3</v>
      </c>
      <c r="D2351" s="141"/>
    </row>
    <row r="2352" spans="1:4" x14ac:dyDescent="0.2">
      <c r="A2352" s="140" t="s">
        <v>7090</v>
      </c>
      <c r="B2352" s="141">
        <v>3.30901663327287E-3</v>
      </c>
      <c r="D2352" s="141"/>
    </row>
    <row r="2353" spans="1:4" x14ac:dyDescent="0.2">
      <c r="A2353" s="140" t="s">
        <v>3773</v>
      </c>
      <c r="B2353" s="141">
        <v>3.30209813583065E-3</v>
      </c>
      <c r="D2353" s="141"/>
    </row>
    <row r="2354" spans="1:4" x14ac:dyDescent="0.2">
      <c r="A2354" s="140" t="s">
        <v>7091</v>
      </c>
      <c r="B2354" s="141">
        <v>3.30048141001067E-3</v>
      </c>
      <c r="D2354" s="141"/>
    </row>
    <row r="2355" spans="1:4" x14ac:dyDescent="0.2">
      <c r="A2355" s="140" t="s">
        <v>4328</v>
      </c>
      <c r="B2355" s="141">
        <v>3.2963932492416199E-3</v>
      </c>
      <c r="D2355" s="141"/>
    </row>
    <row r="2356" spans="1:4" x14ac:dyDescent="0.2">
      <c r="A2356" s="140" t="s">
        <v>5988</v>
      </c>
      <c r="B2356" s="141">
        <v>3.2921782643324702E-3</v>
      </c>
      <c r="D2356" s="141"/>
    </row>
    <row r="2357" spans="1:4" x14ac:dyDescent="0.2">
      <c r="A2357" s="140" t="s">
        <v>4555</v>
      </c>
      <c r="B2357" s="141">
        <v>3.2756574311502201E-3</v>
      </c>
      <c r="D2357" s="141"/>
    </row>
    <row r="2358" spans="1:4" x14ac:dyDescent="0.2">
      <c r="A2358" s="140" t="s">
        <v>7092</v>
      </c>
      <c r="B2358" s="141">
        <v>3.2756574311502201E-3</v>
      </c>
      <c r="D2358" s="141"/>
    </row>
    <row r="2359" spans="1:4" x14ac:dyDescent="0.2">
      <c r="A2359" s="140" t="s">
        <v>3481</v>
      </c>
      <c r="B2359" s="141">
        <v>3.2661327416005199E-3</v>
      </c>
      <c r="D2359" s="141"/>
    </row>
    <row r="2360" spans="1:4" x14ac:dyDescent="0.2">
      <c r="A2360" s="140" t="s">
        <v>7093</v>
      </c>
      <c r="B2360" s="141">
        <v>3.2544701805960401E-3</v>
      </c>
      <c r="D2360" s="141"/>
    </row>
    <row r="2361" spans="1:4" x14ac:dyDescent="0.2">
      <c r="A2361" s="140" t="s">
        <v>7094</v>
      </c>
      <c r="B2361" s="141">
        <v>3.2491685125006502E-3</v>
      </c>
      <c r="D2361" s="141"/>
    </row>
    <row r="2362" spans="1:4" x14ac:dyDescent="0.2">
      <c r="A2362" s="140" t="s">
        <v>7095</v>
      </c>
      <c r="B2362" s="141">
        <v>3.2491685125006502E-3</v>
      </c>
      <c r="D2362" s="141"/>
    </row>
    <row r="2363" spans="1:4" x14ac:dyDescent="0.2">
      <c r="A2363" s="140" t="s">
        <v>7096</v>
      </c>
      <c r="B2363" s="141">
        <v>3.2491685125006502E-3</v>
      </c>
      <c r="D2363" s="141"/>
    </row>
    <row r="2364" spans="1:4" x14ac:dyDescent="0.2">
      <c r="A2364" s="140" t="s">
        <v>7097</v>
      </c>
      <c r="B2364" s="141">
        <v>3.2491685125006502E-3</v>
      </c>
      <c r="D2364" s="141"/>
    </row>
    <row r="2365" spans="1:4" x14ac:dyDescent="0.2">
      <c r="A2365" s="140" t="s">
        <v>6158</v>
      </c>
      <c r="B2365" s="141">
        <v>3.2491685125006502E-3</v>
      </c>
      <c r="D2365" s="141"/>
    </row>
    <row r="2366" spans="1:4" x14ac:dyDescent="0.2">
      <c r="A2366" s="140" t="s">
        <v>6156</v>
      </c>
      <c r="B2366" s="141">
        <v>3.2491685125006502E-3</v>
      </c>
      <c r="D2366" s="141"/>
    </row>
    <row r="2367" spans="1:4" x14ac:dyDescent="0.2">
      <c r="A2367" s="140" t="s">
        <v>6155</v>
      </c>
      <c r="B2367" s="141">
        <v>3.2491685125006502E-3</v>
      </c>
      <c r="D2367" s="141"/>
    </row>
    <row r="2368" spans="1:4" x14ac:dyDescent="0.2">
      <c r="A2368" s="140" t="s">
        <v>6150</v>
      </c>
      <c r="B2368" s="141">
        <v>3.2491685125006502E-3</v>
      </c>
      <c r="D2368" s="141"/>
    </row>
    <row r="2369" spans="1:4" x14ac:dyDescent="0.2">
      <c r="A2369" s="140" t="s">
        <v>7098</v>
      </c>
      <c r="B2369" s="141">
        <v>3.2491685125006502E-3</v>
      </c>
      <c r="D2369" s="141"/>
    </row>
    <row r="2370" spans="1:4" x14ac:dyDescent="0.2">
      <c r="A2370" s="140" t="s">
        <v>5782</v>
      </c>
      <c r="B2370" s="141">
        <v>3.2491685125006502E-3</v>
      </c>
      <c r="D2370" s="141"/>
    </row>
    <row r="2371" spans="1:4" x14ac:dyDescent="0.2">
      <c r="A2371" s="140" t="s">
        <v>7099</v>
      </c>
      <c r="B2371" s="141">
        <v>3.2491685125006502E-3</v>
      </c>
      <c r="D2371" s="141"/>
    </row>
    <row r="2372" spans="1:4" x14ac:dyDescent="0.2">
      <c r="A2372" s="140" t="s">
        <v>7100</v>
      </c>
      <c r="B2372" s="141">
        <v>3.2491685125006502E-3</v>
      </c>
      <c r="D2372" s="141"/>
    </row>
    <row r="2373" spans="1:4" x14ac:dyDescent="0.2">
      <c r="A2373" s="140" t="s">
        <v>6117</v>
      </c>
      <c r="B2373" s="141">
        <v>3.2491685125006502E-3</v>
      </c>
      <c r="D2373" s="141"/>
    </row>
    <row r="2374" spans="1:4" x14ac:dyDescent="0.2">
      <c r="A2374" s="140" t="s">
        <v>6115</v>
      </c>
      <c r="B2374" s="141">
        <v>3.2491685125006502E-3</v>
      </c>
      <c r="D2374" s="141"/>
    </row>
    <row r="2375" spans="1:4" x14ac:dyDescent="0.2">
      <c r="A2375" s="140" t="s">
        <v>7101</v>
      </c>
      <c r="B2375" s="141">
        <v>3.2491685125006502E-3</v>
      </c>
      <c r="D2375" s="141"/>
    </row>
    <row r="2376" spans="1:4" x14ac:dyDescent="0.2">
      <c r="A2376" s="140" t="s">
        <v>6096</v>
      </c>
      <c r="B2376" s="141">
        <v>3.2491685125006502E-3</v>
      </c>
      <c r="D2376" s="141"/>
    </row>
    <row r="2377" spans="1:4" x14ac:dyDescent="0.2">
      <c r="A2377" s="140" t="s">
        <v>6092</v>
      </c>
      <c r="B2377" s="141">
        <v>3.2491685125006502E-3</v>
      </c>
      <c r="D2377" s="141"/>
    </row>
    <row r="2378" spans="1:4" x14ac:dyDescent="0.2">
      <c r="A2378" s="140" t="s">
        <v>7102</v>
      </c>
      <c r="B2378" s="141">
        <v>3.2491685125006502E-3</v>
      </c>
      <c r="D2378" s="141"/>
    </row>
    <row r="2379" spans="1:4" x14ac:dyDescent="0.2">
      <c r="A2379" s="140" t="s">
        <v>6062</v>
      </c>
      <c r="B2379" s="141">
        <v>3.2491685125006502E-3</v>
      </c>
      <c r="D2379" s="141"/>
    </row>
    <row r="2380" spans="1:4" x14ac:dyDescent="0.2">
      <c r="A2380" s="140" t="s">
        <v>6052</v>
      </c>
      <c r="B2380" s="141">
        <v>3.2491685125006502E-3</v>
      </c>
      <c r="D2380" s="141"/>
    </row>
    <row r="2381" spans="1:4" x14ac:dyDescent="0.2">
      <c r="A2381" s="140" t="s">
        <v>7103</v>
      </c>
      <c r="B2381" s="141">
        <v>3.2491685125006502E-3</v>
      </c>
      <c r="D2381" s="141"/>
    </row>
    <row r="2382" spans="1:4" x14ac:dyDescent="0.2">
      <c r="A2382" s="140" t="s">
        <v>7104</v>
      </c>
      <c r="B2382" s="141">
        <v>3.2491685125006502E-3</v>
      </c>
      <c r="D2382" s="141"/>
    </row>
    <row r="2383" spans="1:4" x14ac:dyDescent="0.2">
      <c r="A2383" s="140" t="s">
        <v>6011</v>
      </c>
      <c r="B2383" s="141">
        <v>3.2491685125006502E-3</v>
      </c>
      <c r="D2383" s="141"/>
    </row>
    <row r="2384" spans="1:4" x14ac:dyDescent="0.2">
      <c r="A2384" s="140" t="s">
        <v>7105</v>
      </c>
      <c r="B2384" s="141">
        <v>3.2491685125006502E-3</v>
      </c>
      <c r="D2384" s="141"/>
    </row>
    <row r="2385" spans="1:4" x14ac:dyDescent="0.2">
      <c r="A2385" s="140" t="s">
        <v>6006</v>
      </c>
      <c r="B2385" s="141">
        <v>3.2491685125006502E-3</v>
      </c>
      <c r="D2385" s="141"/>
    </row>
    <row r="2386" spans="1:4" x14ac:dyDescent="0.2">
      <c r="A2386" s="140" t="s">
        <v>7106</v>
      </c>
      <c r="B2386" s="141">
        <v>3.2491685125006502E-3</v>
      </c>
      <c r="D2386" s="141"/>
    </row>
    <row r="2387" spans="1:4" x14ac:dyDescent="0.2">
      <c r="A2387" s="140" t="s">
        <v>5987</v>
      </c>
      <c r="B2387" s="141">
        <v>3.2491685125006502E-3</v>
      </c>
      <c r="D2387" s="141"/>
    </row>
    <row r="2388" spans="1:4" x14ac:dyDescent="0.2">
      <c r="A2388" s="140" t="s">
        <v>7107</v>
      </c>
      <c r="B2388" s="141">
        <v>3.2491685125006502E-3</v>
      </c>
      <c r="D2388" s="141"/>
    </row>
    <row r="2389" spans="1:4" x14ac:dyDescent="0.2">
      <c r="A2389" s="140" t="s">
        <v>7108</v>
      </c>
      <c r="B2389" s="141">
        <v>3.2491685125006502E-3</v>
      </c>
      <c r="D2389" s="141"/>
    </row>
    <row r="2390" spans="1:4" x14ac:dyDescent="0.2">
      <c r="A2390" s="140" t="s">
        <v>7109</v>
      </c>
      <c r="B2390" s="141">
        <v>3.2491685125006502E-3</v>
      </c>
      <c r="D2390" s="141"/>
    </row>
    <row r="2391" spans="1:4" x14ac:dyDescent="0.2">
      <c r="A2391" s="140" t="s">
        <v>7110</v>
      </c>
      <c r="B2391" s="141">
        <v>3.2491685125006502E-3</v>
      </c>
      <c r="D2391" s="141"/>
    </row>
    <row r="2392" spans="1:4" x14ac:dyDescent="0.2">
      <c r="A2392" s="140" t="s">
        <v>7111</v>
      </c>
      <c r="B2392" s="141">
        <v>3.2491685125006502E-3</v>
      </c>
      <c r="D2392" s="141"/>
    </row>
    <row r="2393" spans="1:4" x14ac:dyDescent="0.2">
      <c r="A2393" s="140" t="s">
        <v>7112</v>
      </c>
      <c r="B2393" s="141">
        <v>3.2491685125006502E-3</v>
      </c>
      <c r="D2393" s="141"/>
    </row>
    <row r="2394" spans="1:4" x14ac:dyDescent="0.2">
      <c r="A2394" s="140" t="s">
        <v>5859</v>
      </c>
      <c r="B2394" s="141">
        <v>3.2491685125006502E-3</v>
      </c>
      <c r="D2394" s="141"/>
    </row>
    <row r="2395" spans="1:4" x14ac:dyDescent="0.2">
      <c r="A2395" s="140" t="s">
        <v>7113</v>
      </c>
      <c r="B2395" s="141">
        <v>3.2491685125006502E-3</v>
      </c>
      <c r="D2395" s="141"/>
    </row>
    <row r="2396" spans="1:4" x14ac:dyDescent="0.2">
      <c r="A2396" s="140" t="s">
        <v>7114</v>
      </c>
      <c r="B2396" s="141">
        <v>3.2491685125006502E-3</v>
      </c>
      <c r="D2396" s="141"/>
    </row>
    <row r="2397" spans="1:4" x14ac:dyDescent="0.2">
      <c r="A2397" s="140" t="s">
        <v>5803</v>
      </c>
      <c r="B2397" s="141">
        <v>3.2491685125006502E-3</v>
      </c>
      <c r="D2397" s="141"/>
    </row>
    <row r="2398" spans="1:4" x14ac:dyDescent="0.2">
      <c r="A2398" s="140" t="s">
        <v>7115</v>
      </c>
      <c r="B2398" s="141">
        <v>3.2491685125006502E-3</v>
      </c>
      <c r="D2398" s="141"/>
    </row>
    <row r="2399" spans="1:4" x14ac:dyDescent="0.2">
      <c r="A2399" s="140" t="s">
        <v>7116</v>
      </c>
      <c r="B2399" s="141">
        <v>3.2491685125006502E-3</v>
      </c>
      <c r="D2399" s="141"/>
    </row>
    <row r="2400" spans="1:4" x14ac:dyDescent="0.2">
      <c r="A2400" s="140" t="s">
        <v>7117</v>
      </c>
      <c r="B2400" s="141">
        <v>3.2491685125006502E-3</v>
      </c>
      <c r="D2400" s="141"/>
    </row>
    <row r="2401" spans="1:4" x14ac:dyDescent="0.2">
      <c r="A2401" s="140" t="s">
        <v>7118</v>
      </c>
      <c r="B2401" s="141">
        <v>3.2491685125006502E-3</v>
      </c>
      <c r="D2401" s="141"/>
    </row>
    <row r="2402" spans="1:4" x14ac:dyDescent="0.2">
      <c r="A2402" s="140" t="s">
        <v>5770</v>
      </c>
      <c r="B2402" s="141">
        <v>3.2491685125006502E-3</v>
      </c>
      <c r="D2402" s="141"/>
    </row>
    <row r="2403" spans="1:4" x14ac:dyDescent="0.2">
      <c r="A2403" s="140" t="s">
        <v>7119</v>
      </c>
      <c r="B2403" s="141">
        <v>3.2491685125006502E-3</v>
      </c>
      <c r="D2403" s="141"/>
    </row>
    <row r="2404" spans="1:4" x14ac:dyDescent="0.2">
      <c r="A2404" s="140" t="s">
        <v>7120</v>
      </c>
      <c r="B2404" s="141">
        <v>3.2491685125006502E-3</v>
      </c>
      <c r="D2404" s="141"/>
    </row>
    <row r="2405" spans="1:4" x14ac:dyDescent="0.2">
      <c r="A2405" s="140" t="s">
        <v>7121</v>
      </c>
      <c r="B2405" s="141">
        <v>3.2491685125006502E-3</v>
      </c>
      <c r="D2405" s="141"/>
    </row>
    <row r="2406" spans="1:4" x14ac:dyDescent="0.2">
      <c r="A2406" s="140" t="s">
        <v>7122</v>
      </c>
      <c r="B2406" s="141">
        <v>3.2491685125006502E-3</v>
      </c>
      <c r="D2406" s="141"/>
    </row>
    <row r="2407" spans="1:4" x14ac:dyDescent="0.2">
      <c r="A2407" s="140" t="s">
        <v>7123</v>
      </c>
      <c r="B2407" s="141">
        <v>3.2491685125006502E-3</v>
      </c>
      <c r="D2407" s="141"/>
    </row>
    <row r="2408" spans="1:4" x14ac:dyDescent="0.2">
      <c r="A2408" s="140" t="s">
        <v>5709</v>
      </c>
      <c r="B2408" s="141">
        <v>3.2491685125006502E-3</v>
      </c>
      <c r="D2408" s="141"/>
    </row>
    <row r="2409" spans="1:4" x14ac:dyDescent="0.2">
      <c r="A2409" s="140" t="s">
        <v>5696</v>
      </c>
      <c r="B2409" s="141">
        <v>3.2491685125006502E-3</v>
      </c>
      <c r="D2409" s="141"/>
    </row>
    <row r="2410" spans="1:4" x14ac:dyDescent="0.2">
      <c r="A2410" s="140" t="s">
        <v>7124</v>
      </c>
      <c r="B2410" s="141">
        <v>3.2491685125006502E-3</v>
      </c>
      <c r="D2410" s="141"/>
    </row>
    <row r="2411" spans="1:4" x14ac:dyDescent="0.2">
      <c r="A2411" s="140" t="s">
        <v>5666</v>
      </c>
      <c r="B2411" s="141">
        <v>3.2491685125006502E-3</v>
      </c>
      <c r="D2411" s="141"/>
    </row>
    <row r="2412" spans="1:4" x14ac:dyDescent="0.2">
      <c r="A2412" s="140" t="s">
        <v>7125</v>
      </c>
      <c r="B2412" s="141">
        <v>3.2491685125006502E-3</v>
      </c>
      <c r="D2412" s="141"/>
    </row>
    <row r="2413" spans="1:4" x14ac:dyDescent="0.2">
      <c r="A2413" s="140" t="s">
        <v>5651</v>
      </c>
      <c r="B2413" s="141">
        <v>3.2491685125006502E-3</v>
      </c>
      <c r="D2413" s="141"/>
    </row>
    <row r="2414" spans="1:4" x14ac:dyDescent="0.2">
      <c r="A2414" s="140" t="s">
        <v>7126</v>
      </c>
      <c r="B2414" s="141">
        <v>3.2491685125006502E-3</v>
      </c>
      <c r="D2414" s="141"/>
    </row>
    <row r="2415" spans="1:4" x14ac:dyDescent="0.2">
      <c r="A2415" s="140" t="s">
        <v>7127</v>
      </c>
      <c r="B2415" s="141">
        <v>3.2491685125006502E-3</v>
      </c>
      <c r="D2415" s="141"/>
    </row>
    <row r="2416" spans="1:4" x14ac:dyDescent="0.2">
      <c r="A2416" s="140" t="s">
        <v>7128</v>
      </c>
      <c r="B2416" s="141">
        <v>3.2491685125006502E-3</v>
      </c>
      <c r="D2416" s="141"/>
    </row>
    <row r="2417" spans="1:4" x14ac:dyDescent="0.2">
      <c r="A2417" s="140" t="s">
        <v>7129</v>
      </c>
      <c r="B2417" s="141">
        <v>3.2491685125006502E-3</v>
      </c>
      <c r="D2417" s="141"/>
    </row>
    <row r="2418" spans="1:4" x14ac:dyDescent="0.2">
      <c r="A2418" s="140" t="s">
        <v>7130</v>
      </c>
      <c r="B2418" s="141">
        <v>3.2491685125006502E-3</v>
      </c>
      <c r="D2418" s="141"/>
    </row>
    <row r="2419" spans="1:4" x14ac:dyDescent="0.2">
      <c r="A2419" s="140" t="s">
        <v>7131</v>
      </c>
      <c r="B2419" s="141">
        <v>3.2491685125006502E-3</v>
      </c>
      <c r="D2419" s="141"/>
    </row>
    <row r="2420" spans="1:4" x14ac:dyDescent="0.2">
      <c r="A2420" s="140" t="s">
        <v>7132</v>
      </c>
      <c r="B2420" s="141">
        <v>3.2491685125006502E-3</v>
      </c>
      <c r="D2420" s="141"/>
    </row>
    <row r="2421" spans="1:4" x14ac:dyDescent="0.2">
      <c r="A2421" s="140" t="s">
        <v>7133</v>
      </c>
      <c r="B2421" s="141">
        <v>3.2491685125006502E-3</v>
      </c>
      <c r="D2421" s="141"/>
    </row>
    <row r="2422" spans="1:4" x14ac:dyDescent="0.2">
      <c r="A2422" s="140" t="s">
        <v>5591</v>
      </c>
      <c r="B2422" s="141">
        <v>3.2491685125006502E-3</v>
      </c>
      <c r="D2422" s="141"/>
    </row>
    <row r="2423" spans="1:4" x14ac:dyDescent="0.2">
      <c r="A2423" s="140" t="s">
        <v>7134</v>
      </c>
      <c r="B2423" s="141">
        <v>3.2491685125006502E-3</v>
      </c>
      <c r="D2423" s="141"/>
    </row>
    <row r="2424" spans="1:4" x14ac:dyDescent="0.2">
      <c r="A2424" s="140" t="s">
        <v>7135</v>
      </c>
      <c r="B2424" s="141">
        <v>3.2491685125006502E-3</v>
      </c>
      <c r="D2424" s="141"/>
    </row>
    <row r="2425" spans="1:4" x14ac:dyDescent="0.2">
      <c r="A2425" s="140" t="s">
        <v>7136</v>
      </c>
      <c r="B2425" s="141">
        <v>3.2491685125006502E-3</v>
      </c>
      <c r="D2425" s="141"/>
    </row>
    <row r="2426" spans="1:4" x14ac:dyDescent="0.2">
      <c r="A2426" s="140" t="s">
        <v>7137</v>
      </c>
      <c r="B2426" s="141">
        <v>3.2491685125006502E-3</v>
      </c>
      <c r="D2426" s="141"/>
    </row>
    <row r="2427" spans="1:4" x14ac:dyDescent="0.2">
      <c r="A2427" s="140" t="s">
        <v>7138</v>
      </c>
      <c r="B2427" s="141">
        <v>3.2491685125006502E-3</v>
      </c>
      <c r="D2427" s="141"/>
    </row>
    <row r="2428" spans="1:4" x14ac:dyDescent="0.2">
      <c r="A2428" s="140" t="s">
        <v>7139</v>
      </c>
      <c r="B2428" s="141">
        <v>3.2491685125006502E-3</v>
      </c>
      <c r="D2428" s="141"/>
    </row>
    <row r="2429" spans="1:4" x14ac:dyDescent="0.2">
      <c r="A2429" s="140" t="s">
        <v>7140</v>
      </c>
      <c r="B2429" s="141">
        <v>3.2491685125006502E-3</v>
      </c>
      <c r="D2429" s="141"/>
    </row>
    <row r="2430" spans="1:4" x14ac:dyDescent="0.2">
      <c r="A2430" s="140" t="s">
        <v>7141</v>
      </c>
      <c r="B2430" s="141">
        <v>3.2491685125006502E-3</v>
      </c>
      <c r="D2430" s="141"/>
    </row>
    <row r="2431" spans="1:4" x14ac:dyDescent="0.2">
      <c r="A2431" s="140" t="s">
        <v>7142</v>
      </c>
      <c r="B2431" s="141">
        <v>3.2491685125006502E-3</v>
      </c>
      <c r="D2431" s="141"/>
    </row>
    <row r="2432" spans="1:4" x14ac:dyDescent="0.2">
      <c r="A2432" s="140" t="s">
        <v>7143</v>
      </c>
      <c r="B2432" s="141">
        <v>3.2491685125006502E-3</v>
      </c>
      <c r="D2432" s="141"/>
    </row>
    <row r="2433" spans="1:4" x14ac:dyDescent="0.2">
      <c r="A2433" s="140" t="s">
        <v>7144</v>
      </c>
      <c r="B2433" s="141">
        <v>3.2491685125006502E-3</v>
      </c>
      <c r="D2433" s="141"/>
    </row>
    <row r="2434" spans="1:4" x14ac:dyDescent="0.2">
      <c r="A2434" s="140" t="s">
        <v>7145</v>
      </c>
      <c r="B2434" s="141">
        <v>3.2491685125006502E-3</v>
      </c>
      <c r="D2434" s="141"/>
    </row>
    <row r="2435" spans="1:4" x14ac:dyDescent="0.2">
      <c r="A2435" s="140" t="s">
        <v>7146</v>
      </c>
      <c r="B2435" s="141">
        <v>3.2491685125006502E-3</v>
      </c>
      <c r="D2435" s="141"/>
    </row>
    <row r="2436" spans="1:4" x14ac:dyDescent="0.2">
      <c r="A2436" s="140" t="s">
        <v>5540</v>
      </c>
      <c r="B2436" s="141">
        <v>3.2491685125006502E-3</v>
      </c>
      <c r="D2436" s="141"/>
    </row>
    <row r="2437" spans="1:4" x14ac:dyDescent="0.2">
      <c r="A2437" s="140" t="s">
        <v>7147</v>
      </c>
      <c r="B2437" s="141">
        <v>3.2491685125006502E-3</v>
      </c>
      <c r="D2437" s="141"/>
    </row>
    <row r="2438" spans="1:4" x14ac:dyDescent="0.2">
      <c r="A2438" s="140" t="s">
        <v>7148</v>
      </c>
      <c r="B2438" s="141">
        <v>3.2491685125006502E-3</v>
      </c>
      <c r="D2438" s="141"/>
    </row>
    <row r="2439" spans="1:4" x14ac:dyDescent="0.2">
      <c r="A2439" s="140" t="s">
        <v>5537</v>
      </c>
      <c r="B2439" s="141">
        <v>3.2491685125006502E-3</v>
      </c>
      <c r="D2439" s="141"/>
    </row>
    <row r="2440" spans="1:4" x14ac:dyDescent="0.2">
      <c r="A2440" s="140" t="s">
        <v>7149</v>
      </c>
      <c r="B2440" s="141">
        <v>3.2491685125006502E-3</v>
      </c>
      <c r="D2440" s="141"/>
    </row>
    <row r="2441" spans="1:4" x14ac:dyDescent="0.2">
      <c r="A2441" s="140" t="s">
        <v>5521</v>
      </c>
      <c r="B2441" s="141">
        <v>3.2491685125006502E-3</v>
      </c>
      <c r="D2441" s="141"/>
    </row>
    <row r="2442" spans="1:4" x14ac:dyDescent="0.2">
      <c r="A2442" s="140" t="s">
        <v>7150</v>
      </c>
      <c r="B2442" s="141">
        <v>3.2491685125006502E-3</v>
      </c>
      <c r="D2442" s="141"/>
    </row>
    <row r="2443" spans="1:4" x14ac:dyDescent="0.2">
      <c r="A2443" s="140" t="s">
        <v>7151</v>
      </c>
      <c r="B2443" s="141">
        <v>3.2491685125006502E-3</v>
      </c>
      <c r="D2443" s="141"/>
    </row>
    <row r="2444" spans="1:4" x14ac:dyDescent="0.2">
      <c r="A2444" s="140" t="s">
        <v>7152</v>
      </c>
      <c r="B2444" s="141">
        <v>3.2491685125006502E-3</v>
      </c>
      <c r="D2444" s="141"/>
    </row>
    <row r="2445" spans="1:4" x14ac:dyDescent="0.2">
      <c r="A2445" s="140" t="s">
        <v>5510</v>
      </c>
      <c r="B2445" s="141">
        <v>3.2491685125006502E-3</v>
      </c>
      <c r="D2445" s="141"/>
    </row>
    <row r="2446" spans="1:4" x14ac:dyDescent="0.2">
      <c r="A2446" s="140" t="s">
        <v>7153</v>
      </c>
      <c r="B2446" s="141">
        <v>3.2491685125006502E-3</v>
      </c>
      <c r="D2446" s="141"/>
    </row>
    <row r="2447" spans="1:4" x14ac:dyDescent="0.2">
      <c r="A2447" s="140" t="s">
        <v>7154</v>
      </c>
      <c r="B2447" s="141">
        <v>3.2491685125006502E-3</v>
      </c>
      <c r="D2447" s="141"/>
    </row>
    <row r="2448" spans="1:4" x14ac:dyDescent="0.2">
      <c r="A2448" s="140" t="s">
        <v>7155</v>
      </c>
      <c r="B2448" s="141">
        <v>3.2491685125006502E-3</v>
      </c>
      <c r="D2448" s="141"/>
    </row>
    <row r="2449" spans="1:4" x14ac:dyDescent="0.2">
      <c r="A2449" s="140" t="s">
        <v>7156</v>
      </c>
      <c r="B2449" s="141">
        <v>3.2491685125006502E-3</v>
      </c>
      <c r="D2449" s="141"/>
    </row>
    <row r="2450" spans="1:4" x14ac:dyDescent="0.2">
      <c r="A2450" s="140" t="s">
        <v>7157</v>
      </c>
      <c r="B2450" s="141">
        <v>3.2491685125006502E-3</v>
      </c>
      <c r="D2450" s="141"/>
    </row>
    <row r="2451" spans="1:4" x14ac:dyDescent="0.2">
      <c r="A2451" s="140" t="s">
        <v>7158</v>
      </c>
      <c r="B2451" s="141">
        <v>3.2491685125006502E-3</v>
      </c>
      <c r="D2451" s="141"/>
    </row>
    <row r="2452" spans="1:4" x14ac:dyDescent="0.2">
      <c r="A2452" s="140" t="s">
        <v>7159</v>
      </c>
      <c r="B2452" s="141">
        <v>3.2491685125006502E-3</v>
      </c>
      <c r="D2452" s="141"/>
    </row>
    <row r="2453" spans="1:4" x14ac:dyDescent="0.2">
      <c r="A2453" s="140" t="s">
        <v>7160</v>
      </c>
      <c r="B2453" s="141">
        <v>3.2491685125006502E-3</v>
      </c>
      <c r="D2453" s="141"/>
    </row>
    <row r="2454" spans="1:4" x14ac:dyDescent="0.2">
      <c r="A2454" s="140" t="s">
        <v>7161</v>
      </c>
      <c r="B2454" s="141">
        <v>3.2491685125006502E-3</v>
      </c>
      <c r="D2454" s="141"/>
    </row>
    <row r="2455" spans="1:4" x14ac:dyDescent="0.2">
      <c r="A2455" s="140" t="s">
        <v>7162</v>
      </c>
      <c r="B2455" s="141">
        <v>3.2491685125006502E-3</v>
      </c>
      <c r="D2455" s="141"/>
    </row>
    <row r="2456" spans="1:4" x14ac:dyDescent="0.2">
      <c r="A2456" s="140" t="s">
        <v>5448</v>
      </c>
      <c r="B2456" s="141">
        <v>3.2491685125006502E-3</v>
      </c>
      <c r="D2456" s="141"/>
    </row>
    <row r="2457" spans="1:4" x14ac:dyDescent="0.2">
      <c r="A2457" s="140" t="s">
        <v>5446</v>
      </c>
      <c r="B2457" s="141">
        <v>3.2491685125006502E-3</v>
      </c>
      <c r="D2457" s="141"/>
    </row>
    <row r="2458" spans="1:4" x14ac:dyDescent="0.2">
      <c r="A2458" s="140" t="s">
        <v>5411</v>
      </c>
      <c r="B2458" s="141">
        <v>3.2491685125006502E-3</v>
      </c>
      <c r="D2458" s="141"/>
    </row>
    <row r="2459" spans="1:4" x14ac:dyDescent="0.2">
      <c r="A2459" s="140" t="s">
        <v>7163</v>
      </c>
      <c r="B2459" s="141">
        <v>3.2491685125006502E-3</v>
      </c>
      <c r="D2459" s="141"/>
    </row>
    <row r="2460" spans="1:4" x14ac:dyDescent="0.2">
      <c r="A2460" s="140" t="s">
        <v>7164</v>
      </c>
      <c r="B2460" s="141">
        <v>3.2491685125006502E-3</v>
      </c>
      <c r="D2460" s="141"/>
    </row>
    <row r="2461" spans="1:4" x14ac:dyDescent="0.2">
      <c r="A2461" s="140" t="s">
        <v>5382</v>
      </c>
      <c r="B2461" s="141">
        <v>3.2491685125006502E-3</v>
      </c>
      <c r="D2461" s="141"/>
    </row>
    <row r="2462" spans="1:4" x14ac:dyDescent="0.2">
      <c r="A2462" s="140" t="s">
        <v>5374</v>
      </c>
      <c r="B2462" s="141">
        <v>3.2491685125006502E-3</v>
      </c>
      <c r="D2462" s="141"/>
    </row>
    <row r="2463" spans="1:4" x14ac:dyDescent="0.2">
      <c r="A2463" s="140" t="s">
        <v>7165</v>
      </c>
      <c r="B2463" s="141">
        <v>3.2491685125006502E-3</v>
      </c>
      <c r="D2463" s="141"/>
    </row>
    <row r="2464" spans="1:4" x14ac:dyDescent="0.2">
      <c r="A2464" s="140" t="s">
        <v>5364</v>
      </c>
      <c r="B2464" s="141">
        <v>3.2491685125006502E-3</v>
      </c>
      <c r="D2464" s="141"/>
    </row>
    <row r="2465" spans="1:4" x14ac:dyDescent="0.2">
      <c r="A2465" s="140" t="s">
        <v>7166</v>
      </c>
      <c r="B2465" s="141">
        <v>3.2491685125006502E-3</v>
      </c>
      <c r="D2465" s="141"/>
    </row>
    <row r="2466" spans="1:4" x14ac:dyDescent="0.2">
      <c r="A2466" s="140" t="s">
        <v>5345</v>
      </c>
      <c r="B2466" s="141">
        <v>3.2491685125006502E-3</v>
      </c>
      <c r="D2466" s="141"/>
    </row>
    <row r="2467" spans="1:4" x14ac:dyDescent="0.2">
      <c r="A2467" s="140" t="s">
        <v>7167</v>
      </c>
      <c r="B2467" s="141">
        <v>3.2491685125006502E-3</v>
      </c>
      <c r="D2467" s="141"/>
    </row>
    <row r="2468" spans="1:4" x14ac:dyDescent="0.2">
      <c r="A2468" s="140" t="s">
        <v>7168</v>
      </c>
      <c r="B2468" s="141">
        <v>3.2491685125006502E-3</v>
      </c>
      <c r="D2468" s="141"/>
    </row>
    <row r="2469" spans="1:4" x14ac:dyDescent="0.2">
      <c r="A2469" s="140" t="s">
        <v>5336</v>
      </c>
      <c r="B2469" s="141">
        <v>3.2491685125006502E-3</v>
      </c>
      <c r="D2469" s="141"/>
    </row>
    <row r="2470" spans="1:4" x14ac:dyDescent="0.2">
      <c r="A2470" s="140" t="s">
        <v>7169</v>
      </c>
      <c r="B2470" s="141">
        <v>3.2491685125006502E-3</v>
      </c>
      <c r="D2470" s="141"/>
    </row>
    <row r="2471" spans="1:4" x14ac:dyDescent="0.2">
      <c r="A2471" s="140" t="s">
        <v>5326</v>
      </c>
      <c r="B2471" s="141">
        <v>3.2491685125006502E-3</v>
      </c>
      <c r="D2471" s="141"/>
    </row>
    <row r="2472" spans="1:4" x14ac:dyDescent="0.2">
      <c r="A2472" s="140" t="s">
        <v>5322</v>
      </c>
      <c r="B2472" s="141">
        <v>3.2491685125006502E-3</v>
      </c>
      <c r="D2472" s="141"/>
    </row>
    <row r="2473" spans="1:4" x14ac:dyDescent="0.2">
      <c r="A2473" s="140" t="s">
        <v>7170</v>
      </c>
      <c r="B2473" s="141">
        <v>3.2491685125006502E-3</v>
      </c>
      <c r="D2473" s="141"/>
    </row>
    <row r="2474" spans="1:4" x14ac:dyDescent="0.2">
      <c r="A2474" s="140" t="s">
        <v>5312</v>
      </c>
      <c r="B2474" s="141">
        <v>3.2491685125006502E-3</v>
      </c>
      <c r="D2474" s="141"/>
    </row>
    <row r="2475" spans="1:4" x14ac:dyDescent="0.2">
      <c r="A2475" s="140" t="s">
        <v>7171</v>
      </c>
      <c r="B2475" s="141">
        <v>3.2491685125006502E-3</v>
      </c>
      <c r="D2475" s="141"/>
    </row>
    <row r="2476" spans="1:4" x14ac:dyDescent="0.2">
      <c r="A2476" s="140" t="s">
        <v>7172</v>
      </c>
      <c r="B2476" s="141">
        <v>3.2491685125006502E-3</v>
      </c>
      <c r="D2476" s="141"/>
    </row>
    <row r="2477" spans="1:4" x14ac:dyDescent="0.2">
      <c r="A2477" s="140" t="s">
        <v>5295</v>
      </c>
      <c r="B2477" s="141">
        <v>3.2491685125006502E-3</v>
      </c>
      <c r="D2477" s="141"/>
    </row>
    <row r="2478" spans="1:4" x14ac:dyDescent="0.2">
      <c r="A2478" s="140" t="s">
        <v>7173</v>
      </c>
      <c r="B2478" s="141">
        <v>3.2491685125006502E-3</v>
      </c>
      <c r="D2478" s="141"/>
    </row>
    <row r="2479" spans="1:4" x14ac:dyDescent="0.2">
      <c r="A2479" s="140" t="s">
        <v>5289</v>
      </c>
      <c r="B2479" s="141">
        <v>3.2491685125006502E-3</v>
      </c>
      <c r="D2479" s="141"/>
    </row>
    <row r="2480" spans="1:4" x14ac:dyDescent="0.2">
      <c r="A2480" s="140" t="s">
        <v>5287</v>
      </c>
      <c r="B2480" s="141">
        <v>3.2491685125006502E-3</v>
      </c>
      <c r="D2480" s="141"/>
    </row>
    <row r="2481" spans="1:4" x14ac:dyDescent="0.2">
      <c r="A2481" s="140" t="s">
        <v>5286</v>
      </c>
      <c r="B2481" s="141">
        <v>3.2491685125006502E-3</v>
      </c>
      <c r="D2481" s="141"/>
    </row>
    <row r="2482" spans="1:4" x14ac:dyDescent="0.2">
      <c r="A2482" s="140" t="s">
        <v>5279</v>
      </c>
      <c r="B2482" s="141">
        <v>3.2491685125006502E-3</v>
      </c>
      <c r="D2482" s="141"/>
    </row>
    <row r="2483" spans="1:4" x14ac:dyDescent="0.2">
      <c r="A2483" s="140" t="s">
        <v>7174</v>
      </c>
      <c r="B2483" s="141">
        <v>3.2491685125006502E-3</v>
      </c>
      <c r="D2483" s="141"/>
    </row>
    <row r="2484" spans="1:4" x14ac:dyDescent="0.2">
      <c r="A2484" s="140" t="s">
        <v>7175</v>
      </c>
      <c r="B2484" s="141">
        <v>3.2491685125006502E-3</v>
      </c>
      <c r="D2484" s="141"/>
    </row>
    <row r="2485" spans="1:4" x14ac:dyDescent="0.2">
      <c r="A2485" s="140" t="s">
        <v>7176</v>
      </c>
      <c r="B2485" s="141">
        <v>3.2491685125006502E-3</v>
      </c>
      <c r="D2485" s="141"/>
    </row>
    <row r="2486" spans="1:4" x14ac:dyDescent="0.2">
      <c r="A2486" s="140" t="s">
        <v>5273</v>
      </c>
      <c r="B2486" s="141">
        <v>3.2491685125006502E-3</v>
      </c>
      <c r="D2486" s="141"/>
    </row>
    <row r="2487" spans="1:4" x14ac:dyDescent="0.2">
      <c r="A2487" s="140" t="s">
        <v>5271</v>
      </c>
      <c r="B2487" s="141">
        <v>3.2491685125006502E-3</v>
      </c>
      <c r="D2487" s="141"/>
    </row>
    <row r="2488" spans="1:4" x14ac:dyDescent="0.2">
      <c r="A2488" s="140" t="s">
        <v>7177</v>
      </c>
      <c r="B2488" s="141">
        <v>3.2491685125006502E-3</v>
      </c>
      <c r="D2488" s="141"/>
    </row>
    <row r="2489" spans="1:4" x14ac:dyDescent="0.2">
      <c r="A2489" s="140" t="s">
        <v>7178</v>
      </c>
      <c r="B2489" s="141">
        <v>3.2491685125006502E-3</v>
      </c>
      <c r="D2489" s="141"/>
    </row>
    <row r="2490" spans="1:4" x14ac:dyDescent="0.2">
      <c r="A2490" s="140" t="s">
        <v>7179</v>
      </c>
      <c r="B2490" s="141">
        <v>3.2491685125006502E-3</v>
      </c>
      <c r="D2490" s="141"/>
    </row>
    <row r="2491" spans="1:4" x14ac:dyDescent="0.2">
      <c r="A2491" s="140" t="s">
        <v>7180</v>
      </c>
      <c r="B2491" s="141">
        <v>3.2491685125006502E-3</v>
      </c>
      <c r="D2491" s="141"/>
    </row>
    <row r="2492" spans="1:4" x14ac:dyDescent="0.2">
      <c r="A2492" s="140" t="s">
        <v>7181</v>
      </c>
      <c r="B2492" s="141">
        <v>3.2491685125006502E-3</v>
      </c>
      <c r="D2492" s="141"/>
    </row>
    <row r="2493" spans="1:4" x14ac:dyDescent="0.2">
      <c r="A2493" s="140" t="s">
        <v>5243</v>
      </c>
      <c r="B2493" s="141">
        <v>3.2491685125006502E-3</v>
      </c>
      <c r="D2493" s="141"/>
    </row>
    <row r="2494" spans="1:4" x14ac:dyDescent="0.2">
      <c r="A2494" s="140" t="s">
        <v>5240</v>
      </c>
      <c r="B2494" s="141">
        <v>3.2491685125006502E-3</v>
      </c>
      <c r="D2494" s="141"/>
    </row>
    <row r="2495" spans="1:4" x14ac:dyDescent="0.2">
      <c r="A2495" s="140" t="s">
        <v>7182</v>
      </c>
      <c r="B2495" s="141">
        <v>3.2491685125006502E-3</v>
      </c>
      <c r="D2495" s="141"/>
    </row>
    <row r="2496" spans="1:4" x14ac:dyDescent="0.2">
      <c r="A2496" s="140" t="s">
        <v>7183</v>
      </c>
      <c r="B2496" s="141">
        <v>3.2491685125006502E-3</v>
      </c>
      <c r="D2496" s="141"/>
    </row>
    <row r="2497" spans="1:4" x14ac:dyDescent="0.2">
      <c r="A2497" s="140" t="s">
        <v>7184</v>
      </c>
      <c r="B2497" s="141">
        <v>3.2491685125006502E-3</v>
      </c>
      <c r="D2497" s="141"/>
    </row>
    <row r="2498" spans="1:4" x14ac:dyDescent="0.2">
      <c r="A2498" s="140" t="s">
        <v>5224</v>
      </c>
      <c r="B2498" s="141">
        <v>3.2491685125006502E-3</v>
      </c>
      <c r="D2498" s="141"/>
    </row>
    <row r="2499" spans="1:4" x14ac:dyDescent="0.2">
      <c r="A2499" s="140" t="s">
        <v>7185</v>
      </c>
      <c r="B2499" s="141">
        <v>3.2491685125006502E-3</v>
      </c>
      <c r="D2499" s="141"/>
    </row>
    <row r="2500" spans="1:4" x14ac:dyDescent="0.2">
      <c r="A2500" s="140" t="s">
        <v>7186</v>
      </c>
      <c r="B2500" s="141">
        <v>3.2491685125006502E-3</v>
      </c>
      <c r="D2500" s="141"/>
    </row>
    <row r="2501" spans="1:4" x14ac:dyDescent="0.2">
      <c r="A2501" s="140" t="s">
        <v>7187</v>
      </c>
      <c r="B2501" s="141">
        <v>3.2491685125006502E-3</v>
      </c>
      <c r="D2501" s="141"/>
    </row>
    <row r="2502" spans="1:4" x14ac:dyDescent="0.2">
      <c r="A2502" s="140" t="s">
        <v>5202</v>
      </c>
      <c r="B2502" s="141">
        <v>3.2491685125006502E-3</v>
      </c>
      <c r="D2502" s="141"/>
    </row>
    <row r="2503" spans="1:4" x14ac:dyDescent="0.2">
      <c r="A2503" s="140" t="s">
        <v>7188</v>
      </c>
      <c r="B2503" s="141">
        <v>3.2491685125006502E-3</v>
      </c>
      <c r="D2503" s="141"/>
    </row>
    <row r="2504" spans="1:4" x14ac:dyDescent="0.2">
      <c r="A2504" s="140" t="s">
        <v>5200</v>
      </c>
      <c r="B2504" s="141">
        <v>3.2491685125006502E-3</v>
      </c>
      <c r="D2504" s="141"/>
    </row>
    <row r="2505" spans="1:4" x14ac:dyDescent="0.2">
      <c r="A2505" s="140" t="s">
        <v>7189</v>
      </c>
      <c r="B2505" s="141">
        <v>3.2491685125006502E-3</v>
      </c>
      <c r="D2505" s="141"/>
    </row>
    <row r="2506" spans="1:4" x14ac:dyDescent="0.2">
      <c r="A2506" s="140" t="s">
        <v>5189</v>
      </c>
      <c r="B2506" s="141">
        <v>3.2491685125006502E-3</v>
      </c>
      <c r="D2506" s="141"/>
    </row>
    <row r="2507" spans="1:4" x14ac:dyDescent="0.2">
      <c r="A2507" s="140" t="s">
        <v>5179</v>
      </c>
      <c r="B2507" s="141">
        <v>3.2491685125006502E-3</v>
      </c>
      <c r="D2507" s="141"/>
    </row>
    <row r="2508" spans="1:4" x14ac:dyDescent="0.2">
      <c r="A2508" s="140" t="s">
        <v>5177</v>
      </c>
      <c r="B2508" s="141">
        <v>3.2491685125006502E-3</v>
      </c>
      <c r="D2508" s="141"/>
    </row>
    <row r="2509" spans="1:4" x14ac:dyDescent="0.2">
      <c r="A2509" s="140" t="s">
        <v>7190</v>
      </c>
      <c r="B2509" s="141">
        <v>3.2491685125006502E-3</v>
      </c>
      <c r="D2509" s="141"/>
    </row>
    <row r="2510" spans="1:4" x14ac:dyDescent="0.2">
      <c r="A2510" s="140" t="s">
        <v>5176</v>
      </c>
      <c r="B2510" s="141">
        <v>3.2491685125006502E-3</v>
      </c>
      <c r="D2510" s="141"/>
    </row>
    <row r="2511" spans="1:4" x14ac:dyDescent="0.2">
      <c r="A2511" s="140" t="s">
        <v>7191</v>
      </c>
      <c r="B2511" s="141">
        <v>3.2491685125006502E-3</v>
      </c>
      <c r="D2511" s="141"/>
    </row>
    <row r="2512" spans="1:4" x14ac:dyDescent="0.2">
      <c r="A2512" s="140" t="s">
        <v>7192</v>
      </c>
      <c r="B2512" s="141">
        <v>3.2491685125006502E-3</v>
      </c>
      <c r="D2512" s="141"/>
    </row>
    <row r="2513" spans="1:4" x14ac:dyDescent="0.2">
      <c r="A2513" s="140" t="s">
        <v>7193</v>
      </c>
      <c r="B2513" s="141">
        <v>3.2491685125006502E-3</v>
      </c>
      <c r="D2513" s="141"/>
    </row>
    <row r="2514" spans="1:4" x14ac:dyDescent="0.2">
      <c r="A2514" s="140" t="s">
        <v>7194</v>
      </c>
      <c r="B2514" s="141">
        <v>3.2491685125006502E-3</v>
      </c>
      <c r="D2514" s="141"/>
    </row>
    <row r="2515" spans="1:4" x14ac:dyDescent="0.2">
      <c r="A2515" s="140" t="s">
        <v>7195</v>
      </c>
      <c r="B2515" s="141">
        <v>3.2491685125006502E-3</v>
      </c>
      <c r="D2515" s="141"/>
    </row>
    <row r="2516" spans="1:4" x14ac:dyDescent="0.2">
      <c r="A2516" s="140" t="s">
        <v>7196</v>
      </c>
      <c r="B2516" s="141">
        <v>3.2491685125006502E-3</v>
      </c>
      <c r="D2516" s="141"/>
    </row>
    <row r="2517" spans="1:4" x14ac:dyDescent="0.2">
      <c r="A2517" s="140" t="s">
        <v>7197</v>
      </c>
      <c r="B2517" s="141">
        <v>3.2491685125006502E-3</v>
      </c>
      <c r="D2517" s="141"/>
    </row>
    <row r="2518" spans="1:4" x14ac:dyDescent="0.2">
      <c r="A2518" s="140" t="s">
        <v>7198</v>
      </c>
      <c r="B2518" s="141">
        <v>3.2491685125006502E-3</v>
      </c>
      <c r="D2518" s="141"/>
    </row>
    <row r="2519" spans="1:4" x14ac:dyDescent="0.2">
      <c r="A2519" s="140" t="s">
        <v>5155</v>
      </c>
      <c r="B2519" s="141">
        <v>3.2491685125006502E-3</v>
      </c>
      <c r="D2519" s="141"/>
    </row>
    <row r="2520" spans="1:4" x14ac:dyDescent="0.2">
      <c r="A2520" s="140" t="s">
        <v>5153</v>
      </c>
      <c r="B2520" s="141">
        <v>3.2491685125006502E-3</v>
      </c>
      <c r="D2520" s="141"/>
    </row>
    <row r="2521" spans="1:4" x14ac:dyDescent="0.2">
      <c r="A2521" s="140" t="s">
        <v>7199</v>
      </c>
      <c r="B2521" s="141">
        <v>3.2491685125006502E-3</v>
      </c>
      <c r="D2521" s="141"/>
    </row>
    <row r="2522" spans="1:4" x14ac:dyDescent="0.2">
      <c r="A2522" s="140" t="s">
        <v>7200</v>
      </c>
      <c r="B2522" s="141">
        <v>3.2491685125006502E-3</v>
      </c>
      <c r="D2522" s="141"/>
    </row>
    <row r="2523" spans="1:4" x14ac:dyDescent="0.2">
      <c r="A2523" s="140" t="s">
        <v>7201</v>
      </c>
      <c r="B2523" s="141">
        <v>3.2491685125006502E-3</v>
      </c>
      <c r="D2523" s="141"/>
    </row>
    <row r="2524" spans="1:4" x14ac:dyDescent="0.2">
      <c r="A2524" s="140" t="s">
        <v>5138</v>
      </c>
      <c r="B2524" s="141">
        <v>3.2491685125006502E-3</v>
      </c>
      <c r="D2524" s="141"/>
    </row>
    <row r="2525" spans="1:4" x14ac:dyDescent="0.2">
      <c r="A2525" s="140" t="s">
        <v>7202</v>
      </c>
      <c r="B2525" s="141">
        <v>3.2491685125006502E-3</v>
      </c>
      <c r="D2525" s="141"/>
    </row>
    <row r="2526" spans="1:4" x14ac:dyDescent="0.2">
      <c r="A2526" s="140" t="s">
        <v>5122</v>
      </c>
      <c r="B2526" s="141">
        <v>3.2491685125006502E-3</v>
      </c>
      <c r="D2526" s="141"/>
    </row>
    <row r="2527" spans="1:4" x14ac:dyDescent="0.2">
      <c r="A2527" s="140" t="s">
        <v>5119</v>
      </c>
      <c r="B2527" s="141">
        <v>3.2491685125006502E-3</v>
      </c>
      <c r="D2527" s="141"/>
    </row>
    <row r="2528" spans="1:4" x14ac:dyDescent="0.2">
      <c r="A2528" s="140" t="s">
        <v>5114</v>
      </c>
      <c r="B2528" s="141">
        <v>3.2491685125006502E-3</v>
      </c>
      <c r="D2528" s="141"/>
    </row>
    <row r="2529" spans="1:4" x14ac:dyDescent="0.2">
      <c r="A2529" s="140" t="s">
        <v>7203</v>
      </c>
      <c r="B2529" s="141">
        <v>3.2491685125006502E-3</v>
      </c>
      <c r="D2529" s="141"/>
    </row>
    <row r="2530" spans="1:4" x14ac:dyDescent="0.2">
      <c r="A2530" s="140" t="s">
        <v>5104</v>
      </c>
      <c r="B2530" s="141">
        <v>3.2491685125006502E-3</v>
      </c>
      <c r="D2530" s="141"/>
    </row>
    <row r="2531" spans="1:4" x14ac:dyDescent="0.2">
      <c r="A2531" s="140" t="s">
        <v>7204</v>
      </c>
      <c r="B2531" s="141">
        <v>3.2491685125006502E-3</v>
      </c>
      <c r="D2531" s="141"/>
    </row>
    <row r="2532" spans="1:4" x14ac:dyDescent="0.2">
      <c r="A2532" s="140" t="s">
        <v>7205</v>
      </c>
      <c r="B2532" s="141">
        <v>3.2491685125006502E-3</v>
      </c>
      <c r="D2532" s="141"/>
    </row>
    <row r="2533" spans="1:4" x14ac:dyDescent="0.2">
      <c r="A2533" s="140" t="s">
        <v>5089</v>
      </c>
      <c r="B2533" s="141">
        <v>3.2491685125006502E-3</v>
      </c>
      <c r="D2533" s="141"/>
    </row>
    <row r="2534" spans="1:4" x14ac:dyDescent="0.2">
      <c r="A2534" s="140" t="s">
        <v>5087</v>
      </c>
      <c r="B2534" s="141">
        <v>3.2491685125006502E-3</v>
      </c>
      <c r="D2534" s="141"/>
    </row>
    <row r="2535" spans="1:4" x14ac:dyDescent="0.2">
      <c r="A2535" s="140" t="s">
        <v>5086</v>
      </c>
      <c r="B2535" s="141">
        <v>3.2491685125006502E-3</v>
      </c>
      <c r="D2535" s="141"/>
    </row>
    <row r="2536" spans="1:4" x14ac:dyDescent="0.2">
      <c r="A2536" s="140" t="s">
        <v>5075</v>
      </c>
      <c r="B2536" s="141">
        <v>3.2491685125006502E-3</v>
      </c>
      <c r="D2536" s="141"/>
    </row>
    <row r="2537" spans="1:4" x14ac:dyDescent="0.2">
      <c r="A2537" s="140" t="s">
        <v>7206</v>
      </c>
      <c r="B2537" s="141">
        <v>3.2491685125006502E-3</v>
      </c>
      <c r="D2537" s="141"/>
    </row>
    <row r="2538" spans="1:4" x14ac:dyDescent="0.2">
      <c r="A2538" s="140" t="s">
        <v>7207</v>
      </c>
      <c r="B2538" s="141">
        <v>3.2491685125006502E-3</v>
      </c>
      <c r="D2538" s="141"/>
    </row>
    <row r="2539" spans="1:4" x14ac:dyDescent="0.2">
      <c r="A2539" s="140" t="s">
        <v>5068</v>
      </c>
      <c r="B2539" s="141">
        <v>3.2491685125006502E-3</v>
      </c>
      <c r="D2539" s="141"/>
    </row>
    <row r="2540" spans="1:4" x14ac:dyDescent="0.2">
      <c r="A2540" s="140" t="s">
        <v>5064</v>
      </c>
      <c r="B2540" s="141">
        <v>3.2491685125006502E-3</v>
      </c>
      <c r="D2540" s="141"/>
    </row>
    <row r="2541" spans="1:4" x14ac:dyDescent="0.2">
      <c r="A2541" s="140" t="s">
        <v>7208</v>
      </c>
      <c r="B2541" s="141">
        <v>3.2491685125006502E-3</v>
      </c>
      <c r="D2541" s="141"/>
    </row>
    <row r="2542" spans="1:4" x14ac:dyDescent="0.2">
      <c r="A2542" s="140" t="s">
        <v>7209</v>
      </c>
      <c r="B2542" s="141">
        <v>3.2491685125006502E-3</v>
      </c>
      <c r="D2542" s="141"/>
    </row>
    <row r="2543" spans="1:4" x14ac:dyDescent="0.2">
      <c r="A2543" s="140" t="s">
        <v>7210</v>
      </c>
      <c r="B2543" s="141">
        <v>3.2491685125006502E-3</v>
      </c>
      <c r="D2543" s="141"/>
    </row>
    <row r="2544" spans="1:4" x14ac:dyDescent="0.2">
      <c r="A2544" s="140" t="s">
        <v>7211</v>
      </c>
      <c r="B2544" s="141">
        <v>3.2491685125006502E-3</v>
      </c>
      <c r="D2544" s="141"/>
    </row>
    <row r="2545" spans="1:4" x14ac:dyDescent="0.2">
      <c r="A2545" s="140" t="s">
        <v>7212</v>
      </c>
      <c r="B2545" s="141">
        <v>3.2491685125006502E-3</v>
      </c>
      <c r="D2545" s="141"/>
    </row>
    <row r="2546" spans="1:4" x14ac:dyDescent="0.2">
      <c r="A2546" s="140" t="s">
        <v>5048</v>
      </c>
      <c r="B2546" s="141">
        <v>3.2491685125006502E-3</v>
      </c>
      <c r="D2546" s="141"/>
    </row>
    <row r="2547" spans="1:4" x14ac:dyDescent="0.2">
      <c r="A2547" s="140" t="s">
        <v>7213</v>
      </c>
      <c r="B2547" s="141">
        <v>3.2491685125006502E-3</v>
      </c>
      <c r="D2547" s="141"/>
    </row>
    <row r="2548" spans="1:4" x14ac:dyDescent="0.2">
      <c r="A2548" s="140" t="s">
        <v>5039</v>
      </c>
      <c r="B2548" s="141">
        <v>3.2491685125006502E-3</v>
      </c>
      <c r="D2548" s="141"/>
    </row>
    <row r="2549" spans="1:4" x14ac:dyDescent="0.2">
      <c r="A2549" s="140" t="s">
        <v>7214</v>
      </c>
      <c r="B2549" s="141">
        <v>3.2491685125006502E-3</v>
      </c>
      <c r="D2549" s="141"/>
    </row>
    <row r="2550" spans="1:4" x14ac:dyDescent="0.2">
      <c r="A2550" s="140" t="s">
        <v>7215</v>
      </c>
      <c r="B2550" s="141">
        <v>3.2491685125006502E-3</v>
      </c>
      <c r="D2550" s="141"/>
    </row>
    <row r="2551" spans="1:4" x14ac:dyDescent="0.2">
      <c r="A2551" s="140" t="s">
        <v>5034</v>
      </c>
      <c r="B2551" s="141">
        <v>3.2491685125006502E-3</v>
      </c>
      <c r="D2551" s="141"/>
    </row>
    <row r="2552" spans="1:4" x14ac:dyDescent="0.2">
      <c r="A2552" s="140" t="s">
        <v>7216</v>
      </c>
      <c r="B2552" s="141">
        <v>3.2491685125006502E-3</v>
      </c>
      <c r="D2552" s="141"/>
    </row>
    <row r="2553" spans="1:4" x14ac:dyDescent="0.2">
      <c r="A2553" s="140" t="s">
        <v>7217</v>
      </c>
      <c r="B2553" s="141">
        <v>3.2491685125006502E-3</v>
      </c>
      <c r="D2553" s="141"/>
    </row>
    <row r="2554" spans="1:4" x14ac:dyDescent="0.2">
      <c r="A2554" s="140" t="s">
        <v>5024</v>
      </c>
      <c r="B2554" s="141">
        <v>3.2491685125006502E-3</v>
      </c>
      <c r="D2554" s="141"/>
    </row>
    <row r="2555" spans="1:4" x14ac:dyDescent="0.2">
      <c r="A2555" s="140" t="s">
        <v>5016</v>
      </c>
      <c r="B2555" s="141">
        <v>3.2491685125006502E-3</v>
      </c>
      <c r="D2555" s="141"/>
    </row>
    <row r="2556" spans="1:4" x14ac:dyDescent="0.2">
      <c r="A2556" s="140" t="s">
        <v>5015</v>
      </c>
      <c r="B2556" s="141">
        <v>3.2491685125006502E-3</v>
      </c>
      <c r="D2556" s="141"/>
    </row>
    <row r="2557" spans="1:4" x14ac:dyDescent="0.2">
      <c r="A2557" s="140" t="s">
        <v>7218</v>
      </c>
      <c r="B2557" s="141">
        <v>3.2491685125006502E-3</v>
      </c>
      <c r="D2557" s="141"/>
    </row>
    <row r="2558" spans="1:4" x14ac:dyDescent="0.2">
      <c r="A2558" s="140" t="s">
        <v>5012</v>
      </c>
      <c r="B2558" s="141">
        <v>3.2491685125006502E-3</v>
      </c>
      <c r="D2558" s="141"/>
    </row>
    <row r="2559" spans="1:4" x14ac:dyDescent="0.2">
      <c r="A2559" s="140" t="s">
        <v>5010</v>
      </c>
      <c r="B2559" s="141">
        <v>3.2491685125006502E-3</v>
      </c>
      <c r="D2559" s="141"/>
    </row>
    <row r="2560" spans="1:4" x14ac:dyDescent="0.2">
      <c r="A2560" s="140" t="s">
        <v>7219</v>
      </c>
      <c r="B2560" s="141">
        <v>3.2491685125006502E-3</v>
      </c>
      <c r="D2560" s="141"/>
    </row>
    <row r="2561" spans="1:4" x14ac:dyDescent="0.2">
      <c r="A2561" s="140" t="s">
        <v>7220</v>
      </c>
      <c r="B2561" s="141">
        <v>3.2491685125006502E-3</v>
      </c>
      <c r="D2561" s="141"/>
    </row>
    <row r="2562" spans="1:4" x14ac:dyDescent="0.2">
      <c r="A2562" s="140" t="s">
        <v>7221</v>
      </c>
      <c r="B2562" s="141">
        <v>3.2491685125006502E-3</v>
      </c>
      <c r="D2562" s="141"/>
    </row>
    <row r="2563" spans="1:4" x14ac:dyDescent="0.2">
      <c r="A2563" s="140" t="s">
        <v>4978</v>
      </c>
      <c r="B2563" s="141">
        <v>3.2491685125006502E-3</v>
      </c>
      <c r="D2563" s="141"/>
    </row>
    <row r="2564" spans="1:4" x14ac:dyDescent="0.2">
      <c r="A2564" s="140" t="s">
        <v>4974</v>
      </c>
      <c r="B2564" s="141">
        <v>3.2491685125006502E-3</v>
      </c>
      <c r="D2564" s="141"/>
    </row>
    <row r="2565" spans="1:4" x14ac:dyDescent="0.2">
      <c r="A2565" s="140" t="s">
        <v>4967</v>
      </c>
      <c r="B2565" s="141">
        <v>3.2491685125006502E-3</v>
      </c>
      <c r="D2565" s="141"/>
    </row>
    <row r="2566" spans="1:4" x14ac:dyDescent="0.2">
      <c r="A2566" s="140" t="s">
        <v>7222</v>
      </c>
      <c r="B2566" s="141">
        <v>3.2491685125006502E-3</v>
      </c>
      <c r="D2566" s="141"/>
    </row>
    <row r="2567" spans="1:4" x14ac:dyDescent="0.2">
      <c r="A2567" s="140" t="s">
        <v>7223</v>
      </c>
      <c r="B2567" s="141">
        <v>3.2491685125006502E-3</v>
      </c>
      <c r="D2567" s="141"/>
    </row>
    <row r="2568" spans="1:4" x14ac:dyDescent="0.2">
      <c r="A2568" s="140" t="s">
        <v>4960</v>
      </c>
      <c r="B2568" s="141">
        <v>3.2491685125006502E-3</v>
      </c>
      <c r="D2568" s="141"/>
    </row>
    <row r="2569" spans="1:4" x14ac:dyDescent="0.2">
      <c r="A2569" s="140" t="s">
        <v>7224</v>
      </c>
      <c r="B2569" s="141">
        <v>3.2491685125006502E-3</v>
      </c>
      <c r="D2569" s="141"/>
    </row>
    <row r="2570" spans="1:4" x14ac:dyDescent="0.2">
      <c r="A2570" s="140" t="s">
        <v>4944</v>
      </c>
      <c r="B2570" s="141">
        <v>3.2491685125006502E-3</v>
      </c>
      <c r="D2570" s="141"/>
    </row>
    <row r="2571" spans="1:4" x14ac:dyDescent="0.2">
      <c r="A2571" s="140" t="s">
        <v>7225</v>
      </c>
      <c r="B2571" s="141">
        <v>3.2491685125006502E-3</v>
      </c>
      <c r="D2571" s="141"/>
    </row>
    <row r="2572" spans="1:4" x14ac:dyDescent="0.2">
      <c r="A2572" s="140" t="s">
        <v>7226</v>
      </c>
      <c r="B2572" s="141">
        <v>3.2491685125006502E-3</v>
      </c>
      <c r="D2572" s="141"/>
    </row>
    <row r="2573" spans="1:4" x14ac:dyDescent="0.2">
      <c r="A2573" s="140" t="s">
        <v>7227</v>
      </c>
      <c r="B2573" s="141">
        <v>3.2491685125006502E-3</v>
      </c>
      <c r="D2573" s="141"/>
    </row>
    <row r="2574" spans="1:4" x14ac:dyDescent="0.2">
      <c r="A2574" s="140" t="s">
        <v>7228</v>
      </c>
      <c r="B2574" s="141">
        <v>3.2491685125006502E-3</v>
      </c>
      <c r="D2574" s="141"/>
    </row>
    <row r="2575" spans="1:4" x14ac:dyDescent="0.2">
      <c r="A2575" s="140" t="s">
        <v>7229</v>
      </c>
      <c r="B2575" s="141">
        <v>3.2491685125006502E-3</v>
      </c>
      <c r="D2575" s="141"/>
    </row>
    <row r="2576" spans="1:4" x14ac:dyDescent="0.2">
      <c r="A2576" s="140" t="s">
        <v>7230</v>
      </c>
      <c r="B2576" s="141">
        <v>3.2491685125006502E-3</v>
      </c>
      <c r="D2576" s="141"/>
    </row>
    <row r="2577" spans="1:4" x14ac:dyDescent="0.2">
      <c r="A2577" s="140" t="s">
        <v>4908</v>
      </c>
      <c r="B2577" s="141">
        <v>3.2491685125006502E-3</v>
      </c>
      <c r="D2577" s="141"/>
    </row>
    <row r="2578" spans="1:4" x14ac:dyDescent="0.2">
      <c r="A2578" s="140" t="s">
        <v>7231</v>
      </c>
      <c r="B2578" s="141">
        <v>3.2491685125006502E-3</v>
      </c>
      <c r="D2578" s="141"/>
    </row>
    <row r="2579" spans="1:4" x14ac:dyDescent="0.2">
      <c r="A2579" s="140" t="s">
        <v>4898</v>
      </c>
      <c r="B2579" s="141">
        <v>3.2491685125006502E-3</v>
      </c>
      <c r="D2579" s="141"/>
    </row>
    <row r="2580" spans="1:4" x14ac:dyDescent="0.2">
      <c r="A2580" s="140" t="s">
        <v>7232</v>
      </c>
      <c r="B2580" s="141">
        <v>3.2491685125006502E-3</v>
      </c>
      <c r="D2580" s="141"/>
    </row>
    <row r="2581" spans="1:4" x14ac:dyDescent="0.2">
      <c r="A2581" s="140" t="s">
        <v>4886</v>
      </c>
      <c r="B2581" s="141">
        <v>3.2491685125006502E-3</v>
      </c>
      <c r="D2581" s="141"/>
    </row>
    <row r="2582" spans="1:4" x14ac:dyDescent="0.2">
      <c r="A2582" s="140" t="s">
        <v>7233</v>
      </c>
      <c r="B2582" s="141">
        <v>3.2491685125006502E-3</v>
      </c>
      <c r="D2582" s="141"/>
    </row>
    <row r="2583" spans="1:4" x14ac:dyDescent="0.2">
      <c r="A2583" s="140" t="s">
        <v>7234</v>
      </c>
      <c r="B2583" s="141">
        <v>3.2491685125006502E-3</v>
      </c>
      <c r="D2583" s="141"/>
    </row>
    <row r="2584" spans="1:4" x14ac:dyDescent="0.2">
      <c r="A2584" s="140" t="s">
        <v>4878</v>
      </c>
      <c r="B2584" s="141">
        <v>3.2491685125006502E-3</v>
      </c>
      <c r="D2584" s="141"/>
    </row>
    <row r="2585" spans="1:4" x14ac:dyDescent="0.2">
      <c r="A2585" s="140" t="s">
        <v>4862</v>
      </c>
      <c r="B2585" s="141">
        <v>3.2491685125006502E-3</v>
      </c>
      <c r="D2585" s="141"/>
    </row>
    <row r="2586" spans="1:4" x14ac:dyDescent="0.2">
      <c r="A2586" s="140" t="s">
        <v>4861</v>
      </c>
      <c r="B2586" s="141">
        <v>3.2491685125006502E-3</v>
      </c>
      <c r="D2586" s="141"/>
    </row>
    <row r="2587" spans="1:4" x14ac:dyDescent="0.2">
      <c r="A2587" s="140" t="s">
        <v>7235</v>
      </c>
      <c r="B2587" s="141">
        <v>3.2491685125006502E-3</v>
      </c>
      <c r="D2587" s="141"/>
    </row>
    <row r="2588" spans="1:4" x14ac:dyDescent="0.2">
      <c r="A2588" s="140" t="s">
        <v>4857</v>
      </c>
      <c r="B2588" s="141">
        <v>3.2491685125006502E-3</v>
      </c>
      <c r="D2588" s="141"/>
    </row>
    <row r="2589" spans="1:4" x14ac:dyDescent="0.2">
      <c r="A2589" s="140" t="s">
        <v>4856</v>
      </c>
      <c r="B2589" s="141">
        <v>3.2491685125006502E-3</v>
      </c>
      <c r="D2589" s="141"/>
    </row>
    <row r="2590" spans="1:4" x14ac:dyDescent="0.2">
      <c r="A2590" s="140" t="s">
        <v>4847</v>
      </c>
      <c r="B2590" s="141">
        <v>3.2491685125006502E-3</v>
      </c>
      <c r="D2590" s="141"/>
    </row>
    <row r="2591" spans="1:4" x14ac:dyDescent="0.2">
      <c r="A2591" s="140" t="s">
        <v>7236</v>
      </c>
      <c r="B2591" s="141">
        <v>3.2491685125006502E-3</v>
      </c>
      <c r="D2591" s="141"/>
    </row>
    <row r="2592" spans="1:4" x14ac:dyDescent="0.2">
      <c r="A2592" s="140" t="s">
        <v>7237</v>
      </c>
      <c r="B2592" s="141">
        <v>3.2491685125006502E-3</v>
      </c>
      <c r="D2592" s="141"/>
    </row>
    <row r="2593" spans="1:4" x14ac:dyDescent="0.2">
      <c r="A2593" s="140" t="s">
        <v>4820</v>
      </c>
      <c r="B2593" s="141">
        <v>3.2491685125006502E-3</v>
      </c>
      <c r="D2593" s="141"/>
    </row>
    <row r="2594" spans="1:4" x14ac:dyDescent="0.2">
      <c r="A2594" s="140" t="s">
        <v>7238</v>
      </c>
      <c r="B2594" s="141">
        <v>3.2491685125006502E-3</v>
      </c>
      <c r="D2594" s="141"/>
    </row>
    <row r="2595" spans="1:4" x14ac:dyDescent="0.2">
      <c r="A2595" s="140" t="s">
        <v>7239</v>
      </c>
      <c r="B2595" s="141">
        <v>3.2491685125006502E-3</v>
      </c>
      <c r="D2595" s="141"/>
    </row>
    <row r="2596" spans="1:4" x14ac:dyDescent="0.2">
      <c r="A2596" s="140" t="s">
        <v>7240</v>
      </c>
      <c r="B2596" s="141">
        <v>3.2491685125006502E-3</v>
      </c>
      <c r="D2596" s="141"/>
    </row>
    <row r="2597" spans="1:4" x14ac:dyDescent="0.2">
      <c r="A2597" s="140" t="s">
        <v>4814</v>
      </c>
      <c r="B2597" s="141">
        <v>3.2491685125006502E-3</v>
      </c>
      <c r="D2597" s="141"/>
    </row>
    <row r="2598" spans="1:4" x14ac:dyDescent="0.2">
      <c r="A2598" s="140" t="s">
        <v>4813</v>
      </c>
      <c r="B2598" s="141">
        <v>3.2491685125006502E-3</v>
      </c>
      <c r="D2598" s="141"/>
    </row>
    <row r="2599" spans="1:4" x14ac:dyDescent="0.2">
      <c r="A2599" s="140" t="s">
        <v>4800</v>
      </c>
      <c r="B2599" s="141">
        <v>3.2491685125006502E-3</v>
      </c>
      <c r="D2599" s="141"/>
    </row>
    <row r="2600" spans="1:4" x14ac:dyDescent="0.2">
      <c r="A2600" s="140" t="s">
        <v>7241</v>
      </c>
      <c r="B2600" s="141">
        <v>3.2491685125006502E-3</v>
      </c>
      <c r="D2600" s="141"/>
    </row>
    <row r="2601" spans="1:4" x14ac:dyDescent="0.2">
      <c r="A2601" s="140" t="s">
        <v>4796</v>
      </c>
      <c r="B2601" s="141">
        <v>3.2491685125006502E-3</v>
      </c>
      <c r="D2601" s="141"/>
    </row>
    <row r="2602" spans="1:4" x14ac:dyDescent="0.2">
      <c r="A2602" s="140" t="s">
        <v>4787</v>
      </c>
      <c r="B2602" s="141">
        <v>3.2491685125006502E-3</v>
      </c>
      <c r="D2602" s="141"/>
    </row>
    <row r="2603" spans="1:4" x14ac:dyDescent="0.2">
      <c r="A2603" s="140" t="s">
        <v>4786</v>
      </c>
      <c r="B2603" s="141">
        <v>3.2491685125006502E-3</v>
      </c>
      <c r="D2603" s="141"/>
    </row>
    <row r="2604" spans="1:4" x14ac:dyDescent="0.2">
      <c r="A2604" s="140" t="s">
        <v>7242</v>
      </c>
      <c r="B2604" s="141">
        <v>3.2491685125006502E-3</v>
      </c>
      <c r="D2604" s="141"/>
    </row>
    <row r="2605" spans="1:4" x14ac:dyDescent="0.2">
      <c r="A2605" s="140" t="s">
        <v>7243</v>
      </c>
      <c r="B2605" s="141">
        <v>3.2491685125006502E-3</v>
      </c>
      <c r="D2605" s="141"/>
    </row>
    <row r="2606" spans="1:4" x14ac:dyDescent="0.2">
      <c r="A2606" s="140" t="s">
        <v>7244</v>
      </c>
      <c r="B2606" s="141">
        <v>3.2491685125006502E-3</v>
      </c>
      <c r="D2606" s="141"/>
    </row>
    <row r="2607" spans="1:4" x14ac:dyDescent="0.2">
      <c r="A2607" s="140" t="s">
        <v>7245</v>
      </c>
      <c r="B2607" s="141">
        <v>3.2491685125006502E-3</v>
      </c>
      <c r="D2607" s="141"/>
    </row>
    <row r="2608" spans="1:4" x14ac:dyDescent="0.2">
      <c r="A2608" s="140" t="s">
        <v>4722</v>
      </c>
      <c r="B2608" s="141">
        <v>3.2491685125006502E-3</v>
      </c>
      <c r="D2608" s="141"/>
    </row>
    <row r="2609" spans="1:4" x14ac:dyDescent="0.2">
      <c r="A2609" s="140" t="s">
        <v>7246</v>
      </c>
      <c r="B2609" s="141">
        <v>3.2491685125006502E-3</v>
      </c>
      <c r="D2609" s="141"/>
    </row>
    <row r="2610" spans="1:4" x14ac:dyDescent="0.2">
      <c r="A2610" s="140" t="s">
        <v>4697</v>
      </c>
      <c r="B2610" s="141">
        <v>3.2491685125006502E-3</v>
      </c>
      <c r="D2610" s="141"/>
    </row>
    <row r="2611" spans="1:4" x14ac:dyDescent="0.2">
      <c r="A2611" s="140" t="s">
        <v>4692</v>
      </c>
      <c r="B2611" s="141">
        <v>3.2491685125006502E-3</v>
      </c>
      <c r="D2611" s="141"/>
    </row>
    <row r="2612" spans="1:4" x14ac:dyDescent="0.2">
      <c r="A2612" s="140" t="s">
        <v>7247</v>
      </c>
      <c r="B2612" s="141">
        <v>3.2491685125006502E-3</v>
      </c>
      <c r="D2612" s="141"/>
    </row>
    <row r="2613" spans="1:4" x14ac:dyDescent="0.2">
      <c r="A2613" s="140" t="s">
        <v>7248</v>
      </c>
      <c r="B2613" s="141">
        <v>3.2491685125006502E-3</v>
      </c>
      <c r="D2613" s="141"/>
    </row>
    <row r="2614" spans="1:4" x14ac:dyDescent="0.2">
      <c r="A2614" s="140" t="s">
        <v>7249</v>
      </c>
      <c r="B2614" s="141">
        <v>3.2491685125006502E-3</v>
      </c>
      <c r="D2614" s="141"/>
    </row>
    <row r="2615" spans="1:4" x14ac:dyDescent="0.2">
      <c r="A2615" s="140" t="s">
        <v>7250</v>
      </c>
      <c r="B2615" s="141">
        <v>3.2491685125006502E-3</v>
      </c>
      <c r="D2615" s="141"/>
    </row>
    <row r="2616" spans="1:4" x14ac:dyDescent="0.2">
      <c r="A2616" s="140" t="s">
        <v>1540</v>
      </c>
      <c r="B2616" s="141">
        <v>3.2491685125006502E-3</v>
      </c>
      <c r="D2616" s="141"/>
    </row>
    <row r="2617" spans="1:4" x14ac:dyDescent="0.2">
      <c r="A2617" s="140" t="s">
        <v>7251</v>
      </c>
      <c r="B2617" s="141">
        <v>3.2491685125006502E-3</v>
      </c>
      <c r="D2617" s="141"/>
    </row>
    <row r="2618" spans="1:4" x14ac:dyDescent="0.2">
      <c r="A2618" s="140" t="s">
        <v>7252</v>
      </c>
      <c r="B2618" s="141">
        <v>3.2491685125006502E-3</v>
      </c>
      <c r="D2618" s="141"/>
    </row>
    <row r="2619" spans="1:4" x14ac:dyDescent="0.2">
      <c r="A2619" s="140" t="s">
        <v>4637</v>
      </c>
      <c r="B2619" s="141">
        <v>3.2491685125006502E-3</v>
      </c>
      <c r="D2619" s="141"/>
    </row>
    <row r="2620" spans="1:4" x14ac:dyDescent="0.2">
      <c r="A2620" s="140" t="s">
        <v>7253</v>
      </c>
      <c r="B2620" s="141">
        <v>3.2491685125006502E-3</v>
      </c>
      <c r="D2620" s="141"/>
    </row>
    <row r="2621" spans="1:4" x14ac:dyDescent="0.2">
      <c r="A2621" s="140" t="s">
        <v>4627</v>
      </c>
      <c r="B2621" s="141">
        <v>3.2491685125006502E-3</v>
      </c>
      <c r="D2621" s="141"/>
    </row>
    <row r="2622" spans="1:4" x14ac:dyDescent="0.2">
      <c r="A2622" s="140" t="s">
        <v>7254</v>
      </c>
      <c r="B2622" s="141">
        <v>3.2491685125006502E-3</v>
      </c>
      <c r="D2622" s="141"/>
    </row>
    <row r="2623" spans="1:4" x14ac:dyDescent="0.2">
      <c r="A2623" s="140" t="s">
        <v>7255</v>
      </c>
      <c r="B2623" s="141">
        <v>3.2491685125006502E-3</v>
      </c>
      <c r="D2623" s="141"/>
    </row>
    <row r="2624" spans="1:4" x14ac:dyDescent="0.2">
      <c r="A2624" s="140" t="s">
        <v>7256</v>
      </c>
      <c r="B2624" s="141">
        <v>3.2491685125006502E-3</v>
      </c>
      <c r="D2624" s="141"/>
    </row>
    <row r="2625" spans="1:4" x14ac:dyDescent="0.2">
      <c r="A2625" s="140" t="s">
        <v>7257</v>
      </c>
      <c r="B2625" s="141">
        <v>3.2491685125006502E-3</v>
      </c>
      <c r="D2625" s="141"/>
    </row>
    <row r="2626" spans="1:4" x14ac:dyDescent="0.2">
      <c r="A2626" s="140" t="s">
        <v>7258</v>
      </c>
      <c r="B2626" s="141">
        <v>3.2491685125006502E-3</v>
      </c>
      <c r="D2626" s="141"/>
    </row>
    <row r="2627" spans="1:4" x14ac:dyDescent="0.2">
      <c r="A2627" s="140" t="s">
        <v>7259</v>
      </c>
      <c r="B2627" s="141">
        <v>3.2491685125006502E-3</v>
      </c>
      <c r="D2627" s="141"/>
    </row>
    <row r="2628" spans="1:4" x14ac:dyDescent="0.2">
      <c r="A2628" s="140" t="s">
        <v>7260</v>
      </c>
      <c r="B2628" s="141">
        <v>3.2491685125006502E-3</v>
      </c>
      <c r="D2628" s="141"/>
    </row>
    <row r="2629" spans="1:4" x14ac:dyDescent="0.2">
      <c r="A2629" s="140" t="s">
        <v>4581</v>
      </c>
      <c r="B2629" s="141">
        <v>3.2491685125006502E-3</v>
      </c>
      <c r="D2629" s="141"/>
    </row>
    <row r="2630" spans="1:4" x14ac:dyDescent="0.2">
      <c r="A2630" s="140" t="s">
        <v>7261</v>
      </c>
      <c r="B2630" s="141">
        <v>3.2491685125006502E-3</v>
      </c>
      <c r="D2630" s="141"/>
    </row>
    <row r="2631" spans="1:4" x14ac:dyDescent="0.2">
      <c r="A2631" s="140" t="s">
        <v>7262</v>
      </c>
      <c r="B2631" s="141">
        <v>3.2491685125006502E-3</v>
      </c>
      <c r="D2631" s="141"/>
    </row>
    <row r="2632" spans="1:4" x14ac:dyDescent="0.2">
      <c r="A2632" s="140" t="s">
        <v>4537</v>
      </c>
      <c r="B2632" s="141">
        <v>3.2491685125006502E-3</v>
      </c>
      <c r="D2632" s="141"/>
    </row>
    <row r="2633" spans="1:4" x14ac:dyDescent="0.2">
      <c r="A2633" s="140" t="s">
        <v>4534</v>
      </c>
      <c r="B2633" s="141">
        <v>3.2491685125006502E-3</v>
      </c>
      <c r="D2633" s="141"/>
    </row>
    <row r="2634" spans="1:4" x14ac:dyDescent="0.2">
      <c r="A2634" s="140" t="s">
        <v>7263</v>
      </c>
      <c r="B2634" s="141">
        <v>3.2491685125006502E-3</v>
      </c>
      <c r="D2634" s="141"/>
    </row>
    <row r="2635" spans="1:4" x14ac:dyDescent="0.2">
      <c r="A2635" s="140" t="s">
        <v>7264</v>
      </c>
      <c r="B2635" s="141">
        <v>3.2491685125006502E-3</v>
      </c>
      <c r="D2635" s="141"/>
    </row>
    <row r="2636" spans="1:4" x14ac:dyDescent="0.2">
      <c r="A2636" s="140" t="s">
        <v>7265</v>
      </c>
      <c r="B2636" s="141">
        <v>3.2491685125006502E-3</v>
      </c>
      <c r="D2636" s="141"/>
    </row>
    <row r="2637" spans="1:4" x14ac:dyDescent="0.2">
      <c r="A2637" s="140" t="s">
        <v>7266</v>
      </c>
      <c r="B2637" s="141">
        <v>3.2491685125006502E-3</v>
      </c>
      <c r="D2637" s="141"/>
    </row>
    <row r="2638" spans="1:4" x14ac:dyDescent="0.2">
      <c r="A2638" s="140" t="s">
        <v>7267</v>
      </c>
      <c r="B2638" s="141">
        <v>3.2491685125006502E-3</v>
      </c>
      <c r="D2638" s="141"/>
    </row>
    <row r="2639" spans="1:4" x14ac:dyDescent="0.2">
      <c r="A2639" s="140" t="s">
        <v>7268</v>
      </c>
      <c r="B2639" s="141">
        <v>3.2491685125006502E-3</v>
      </c>
      <c r="D2639" s="141"/>
    </row>
    <row r="2640" spans="1:4" x14ac:dyDescent="0.2">
      <c r="A2640" s="140" t="s">
        <v>7269</v>
      </c>
      <c r="B2640" s="141">
        <v>3.2491685125006502E-3</v>
      </c>
      <c r="D2640" s="141"/>
    </row>
    <row r="2641" spans="1:4" x14ac:dyDescent="0.2">
      <c r="A2641" s="140" t="s">
        <v>4509</v>
      </c>
      <c r="B2641" s="141">
        <v>3.2491685125006502E-3</v>
      </c>
      <c r="D2641" s="141"/>
    </row>
    <row r="2642" spans="1:4" x14ac:dyDescent="0.2">
      <c r="A2642" s="140" t="s">
        <v>4508</v>
      </c>
      <c r="B2642" s="141">
        <v>3.2491685125006502E-3</v>
      </c>
      <c r="D2642" s="141"/>
    </row>
    <row r="2643" spans="1:4" x14ac:dyDescent="0.2">
      <c r="A2643" s="140" t="s">
        <v>4504</v>
      </c>
      <c r="B2643" s="141">
        <v>3.2491685125006502E-3</v>
      </c>
      <c r="D2643" s="141"/>
    </row>
    <row r="2644" spans="1:4" x14ac:dyDescent="0.2">
      <c r="A2644" s="140" t="s">
        <v>4503</v>
      </c>
      <c r="B2644" s="141">
        <v>3.2491685125006502E-3</v>
      </c>
      <c r="D2644" s="141"/>
    </row>
    <row r="2645" spans="1:4" x14ac:dyDescent="0.2">
      <c r="A2645" s="140" t="s">
        <v>4497</v>
      </c>
      <c r="B2645" s="141">
        <v>3.2491685125006502E-3</v>
      </c>
      <c r="D2645" s="141"/>
    </row>
    <row r="2646" spans="1:4" x14ac:dyDescent="0.2">
      <c r="A2646" s="140" t="s">
        <v>4495</v>
      </c>
      <c r="B2646" s="141">
        <v>3.2491685125006502E-3</v>
      </c>
      <c r="D2646" s="141"/>
    </row>
    <row r="2647" spans="1:4" x14ac:dyDescent="0.2">
      <c r="A2647" s="140" t="s">
        <v>7270</v>
      </c>
      <c r="B2647" s="141">
        <v>3.2491685125006502E-3</v>
      </c>
      <c r="D2647" s="141"/>
    </row>
    <row r="2648" spans="1:4" x14ac:dyDescent="0.2">
      <c r="A2648" s="140" t="s">
        <v>7271</v>
      </c>
      <c r="B2648" s="141">
        <v>3.2491685125006502E-3</v>
      </c>
      <c r="D2648" s="141"/>
    </row>
    <row r="2649" spans="1:4" x14ac:dyDescent="0.2">
      <c r="A2649" s="140" t="s">
        <v>4489</v>
      </c>
      <c r="B2649" s="141">
        <v>3.2491685125006502E-3</v>
      </c>
      <c r="D2649" s="141"/>
    </row>
    <row r="2650" spans="1:4" x14ac:dyDescent="0.2">
      <c r="A2650" s="140" t="s">
        <v>4480</v>
      </c>
      <c r="B2650" s="141">
        <v>3.2491685125006502E-3</v>
      </c>
      <c r="D2650" s="141"/>
    </row>
    <row r="2651" spans="1:4" x14ac:dyDescent="0.2">
      <c r="A2651" s="140" t="s">
        <v>7272</v>
      </c>
      <c r="B2651" s="141">
        <v>3.2491685125006502E-3</v>
      </c>
      <c r="D2651" s="141"/>
    </row>
    <row r="2652" spans="1:4" x14ac:dyDescent="0.2">
      <c r="A2652" s="140" t="s">
        <v>4470</v>
      </c>
      <c r="B2652" s="141">
        <v>3.2491685125006502E-3</v>
      </c>
      <c r="D2652" s="141"/>
    </row>
    <row r="2653" spans="1:4" x14ac:dyDescent="0.2">
      <c r="A2653" s="140" t="s">
        <v>4469</v>
      </c>
      <c r="B2653" s="141">
        <v>3.2491685125006502E-3</v>
      </c>
      <c r="D2653" s="141"/>
    </row>
    <row r="2654" spans="1:4" x14ac:dyDescent="0.2">
      <c r="A2654" s="140" t="s">
        <v>7273</v>
      </c>
      <c r="B2654" s="141">
        <v>3.2491685125006502E-3</v>
      </c>
      <c r="D2654" s="141"/>
    </row>
    <row r="2655" spans="1:4" x14ac:dyDescent="0.2">
      <c r="A2655" s="140" t="s">
        <v>7274</v>
      </c>
      <c r="B2655" s="141">
        <v>3.2491685125006502E-3</v>
      </c>
      <c r="D2655" s="141"/>
    </row>
    <row r="2656" spans="1:4" x14ac:dyDescent="0.2">
      <c r="A2656" s="140" t="s">
        <v>4457</v>
      </c>
      <c r="B2656" s="141">
        <v>3.2491685125006502E-3</v>
      </c>
      <c r="D2656" s="141"/>
    </row>
    <row r="2657" spans="1:4" x14ac:dyDescent="0.2">
      <c r="A2657" s="140" t="s">
        <v>4450</v>
      </c>
      <c r="B2657" s="141">
        <v>3.2491685125006502E-3</v>
      </c>
      <c r="D2657" s="141"/>
    </row>
    <row r="2658" spans="1:4" x14ac:dyDescent="0.2">
      <c r="A2658" s="140" t="s">
        <v>4430</v>
      </c>
      <c r="B2658" s="141">
        <v>3.2491685125006502E-3</v>
      </c>
      <c r="D2658" s="141"/>
    </row>
    <row r="2659" spans="1:4" x14ac:dyDescent="0.2">
      <c r="A2659" s="140" t="s">
        <v>4429</v>
      </c>
      <c r="B2659" s="141">
        <v>3.2491685125006502E-3</v>
      </c>
      <c r="D2659" s="141"/>
    </row>
    <row r="2660" spans="1:4" x14ac:dyDescent="0.2">
      <c r="A2660" s="140" t="s">
        <v>4426</v>
      </c>
      <c r="B2660" s="141">
        <v>3.2491685125006502E-3</v>
      </c>
      <c r="D2660" s="141"/>
    </row>
    <row r="2661" spans="1:4" x14ac:dyDescent="0.2">
      <c r="A2661" s="140" t="s">
        <v>7275</v>
      </c>
      <c r="B2661" s="141">
        <v>3.2491685125006502E-3</v>
      </c>
      <c r="D2661" s="141"/>
    </row>
    <row r="2662" spans="1:4" x14ac:dyDescent="0.2">
      <c r="A2662" s="140" t="s">
        <v>4407</v>
      </c>
      <c r="B2662" s="141">
        <v>3.2491685125006502E-3</v>
      </c>
      <c r="D2662" s="141"/>
    </row>
    <row r="2663" spans="1:4" x14ac:dyDescent="0.2">
      <c r="A2663" s="140" t="s">
        <v>7276</v>
      </c>
      <c r="B2663" s="141">
        <v>3.2491685125006502E-3</v>
      </c>
      <c r="D2663" s="141"/>
    </row>
    <row r="2664" spans="1:4" x14ac:dyDescent="0.2">
      <c r="A2664" s="140" t="s">
        <v>7277</v>
      </c>
      <c r="B2664" s="141">
        <v>3.2491685125006502E-3</v>
      </c>
      <c r="D2664" s="141"/>
    </row>
    <row r="2665" spans="1:4" x14ac:dyDescent="0.2">
      <c r="A2665" s="140" t="s">
        <v>4398</v>
      </c>
      <c r="B2665" s="141">
        <v>3.2491685125006502E-3</v>
      </c>
      <c r="D2665" s="141"/>
    </row>
    <row r="2666" spans="1:4" x14ac:dyDescent="0.2">
      <c r="A2666" s="140" t="s">
        <v>7278</v>
      </c>
      <c r="B2666" s="141">
        <v>3.2491685125006502E-3</v>
      </c>
      <c r="D2666" s="141"/>
    </row>
    <row r="2667" spans="1:4" x14ac:dyDescent="0.2">
      <c r="A2667" s="140" t="s">
        <v>4389</v>
      </c>
      <c r="B2667" s="141">
        <v>3.2491685125006502E-3</v>
      </c>
      <c r="D2667" s="141"/>
    </row>
    <row r="2668" spans="1:4" x14ac:dyDescent="0.2">
      <c r="A2668" s="140" t="s">
        <v>7279</v>
      </c>
      <c r="B2668" s="141">
        <v>3.2491685125006502E-3</v>
      </c>
      <c r="D2668" s="141"/>
    </row>
    <row r="2669" spans="1:4" x14ac:dyDescent="0.2">
      <c r="A2669" s="140" t="s">
        <v>4362</v>
      </c>
      <c r="B2669" s="141">
        <v>3.2491685125006502E-3</v>
      </c>
      <c r="D2669" s="141"/>
    </row>
    <row r="2670" spans="1:4" x14ac:dyDescent="0.2">
      <c r="A2670" s="140" t="s">
        <v>4352</v>
      </c>
      <c r="B2670" s="141">
        <v>3.2491685125006502E-3</v>
      </c>
      <c r="D2670" s="141"/>
    </row>
    <row r="2671" spans="1:4" x14ac:dyDescent="0.2">
      <c r="A2671" s="140" t="s">
        <v>7280</v>
      </c>
      <c r="B2671" s="141">
        <v>3.2491685125006502E-3</v>
      </c>
      <c r="D2671" s="141"/>
    </row>
    <row r="2672" spans="1:4" x14ac:dyDescent="0.2">
      <c r="A2672" s="140" t="s">
        <v>4338</v>
      </c>
      <c r="B2672" s="141">
        <v>3.2491685125006502E-3</v>
      </c>
      <c r="D2672" s="141"/>
    </row>
    <row r="2673" spans="1:4" x14ac:dyDescent="0.2">
      <c r="A2673" s="140" t="s">
        <v>4335</v>
      </c>
      <c r="B2673" s="141">
        <v>3.2491685125006502E-3</v>
      </c>
      <c r="D2673" s="141"/>
    </row>
    <row r="2674" spans="1:4" x14ac:dyDescent="0.2">
      <c r="A2674" s="140" t="s">
        <v>4329</v>
      </c>
      <c r="B2674" s="141">
        <v>3.2491685125006502E-3</v>
      </c>
      <c r="D2674" s="141"/>
    </row>
    <row r="2675" spans="1:4" x14ac:dyDescent="0.2">
      <c r="A2675" s="140" t="s">
        <v>4324</v>
      </c>
      <c r="B2675" s="141">
        <v>3.2491685125006502E-3</v>
      </c>
      <c r="D2675" s="141"/>
    </row>
    <row r="2676" spans="1:4" x14ac:dyDescent="0.2">
      <c r="A2676" s="140" t="s">
        <v>7281</v>
      </c>
      <c r="B2676" s="141">
        <v>3.2491685125006502E-3</v>
      </c>
      <c r="D2676" s="141"/>
    </row>
    <row r="2677" spans="1:4" x14ac:dyDescent="0.2">
      <c r="A2677" s="140" t="s">
        <v>7282</v>
      </c>
      <c r="B2677" s="141">
        <v>3.2491685125006502E-3</v>
      </c>
      <c r="D2677" s="141"/>
    </row>
    <row r="2678" spans="1:4" x14ac:dyDescent="0.2">
      <c r="A2678" s="140" t="s">
        <v>7283</v>
      </c>
      <c r="B2678" s="141">
        <v>3.2491685125006502E-3</v>
      </c>
      <c r="D2678" s="141"/>
    </row>
    <row r="2679" spans="1:4" x14ac:dyDescent="0.2">
      <c r="A2679" s="140" t="s">
        <v>4312</v>
      </c>
      <c r="B2679" s="141">
        <v>3.2491685125006502E-3</v>
      </c>
      <c r="D2679" s="141"/>
    </row>
    <row r="2680" spans="1:4" x14ac:dyDescent="0.2">
      <c r="A2680" s="140" t="s">
        <v>7284</v>
      </c>
      <c r="B2680" s="141">
        <v>3.2491685125006502E-3</v>
      </c>
      <c r="D2680" s="141"/>
    </row>
    <row r="2681" spans="1:4" x14ac:dyDescent="0.2">
      <c r="A2681" s="140" t="s">
        <v>7285</v>
      </c>
      <c r="B2681" s="141">
        <v>3.2491685125006502E-3</v>
      </c>
      <c r="D2681" s="141"/>
    </row>
    <row r="2682" spans="1:4" x14ac:dyDescent="0.2">
      <c r="A2682" s="140" t="s">
        <v>4274</v>
      </c>
      <c r="B2682" s="141">
        <v>3.2491685125006502E-3</v>
      </c>
      <c r="D2682" s="141"/>
    </row>
    <row r="2683" spans="1:4" x14ac:dyDescent="0.2">
      <c r="A2683" s="140" t="s">
        <v>7286</v>
      </c>
      <c r="B2683" s="141">
        <v>3.2491685125006502E-3</v>
      </c>
      <c r="D2683" s="141"/>
    </row>
    <row r="2684" spans="1:4" x14ac:dyDescent="0.2">
      <c r="A2684" s="140" t="s">
        <v>7287</v>
      </c>
      <c r="B2684" s="141">
        <v>3.2491685125006502E-3</v>
      </c>
      <c r="D2684" s="141"/>
    </row>
    <row r="2685" spans="1:4" x14ac:dyDescent="0.2">
      <c r="A2685" s="140" t="s">
        <v>7288</v>
      </c>
      <c r="B2685" s="141">
        <v>3.2491685125006502E-3</v>
      </c>
      <c r="D2685" s="141"/>
    </row>
    <row r="2686" spans="1:4" x14ac:dyDescent="0.2">
      <c r="A2686" s="140" t="s">
        <v>4267</v>
      </c>
      <c r="B2686" s="141">
        <v>3.2491685125006502E-3</v>
      </c>
      <c r="D2686" s="141"/>
    </row>
    <row r="2687" spans="1:4" x14ac:dyDescent="0.2">
      <c r="A2687" s="140" t="s">
        <v>4264</v>
      </c>
      <c r="B2687" s="141">
        <v>3.2491685125006502E-3</v>
      </c>
      <c r="D2687" s="141"/>
    </row>
    <row r="2688" spans="1:4" x14ac:dyDescent="0.2">
      <c r="A2688" s="140" t="s">
        <v>7289</v>
      </c>
      <c r="B2688" s="141">
        <v>3.2491685125006502E-3</v>
      </c>
      <c r="D2688" s="141"/>
    </row>
    <row r="2689" spans="1:4" x14ac:dyDescent="0.2">
      <c r="A2689" s="140" t="s">
        <v>4240</v>
      </c>
      <c r="B2689" s="141">
        <v>3.2491685125006502E-3</v>
      </c>
      <c r="D2689" s="141"/>
    </row>
    <row r="2690" spans="1:4" x14ac:dyDescent="0.2">
      <c r="A2690" s="140" t="s">
        <v>4258</v>
      </c>
      <c r="B2690" s="141">
        <v>3.2491685125006502E-3</v>
      </c>
      <c r="D2690" s="141"/>
    </row>
    <row r="2691" spans="1:4" x14ac:dyDescent="0.2">
      <c r="A2691" s="140" t="s">
        <v>4235</v>
      </c>
      <c r="B2691" s="141">
        <v>3.2491685125006502E-3</v>
      </c>
      <c r="D2691" s="141"/>
    </row>
    <row r="2692" spans="1:4" x14ac:dyDescent="0.2">
      <c r="A2692" s="140" t="s">
        <v>7290</v>
      </c>
      <c r="B2692" s="141">
        <v>3.2491685125006502E-3</v>
      </c>
      <c r="D2692" s="141"/>
    </row>
    <row r="2693" spans="1:4" x14ac:dyDescent="0.2">
      <c r="A2693" s="140" t="s">
        <v>7291</v>
      </c>
      <c r="B2693" s="141">
        <v>3.2491685125006502E-3</v>
      </c>
      <c r="D2693" s="141"/>
    </row>
    <row r="2694" spans="1:4" x14ac:dyDescent="0.2">
      <c r="A2694" s="140" t="s">
        <v>7292</v>
      </c>
      <c r="B2694" s="141">
        <v>3.2491685125006502E-3</v>
      </c>
      <c r="D2694" s="141"/>
    </row>
    <row r="2695" spans="1:4" x14ac:dyDescent="0.2">
      <c r="A2695" s="140" t="s">
        <v>4192</v>
      </c>
      <c r="B2695" s="141">
        <v>3.2491685125006502E-3</v>
      </c>
      <c r="D2695" s="141"/>
    </row>
    <row r="2696" spans="1:4" x14ac:dyDescent="0.2">
      <c r="A2696" s="140" t="s">
        <v>4202</v>
      </c>
      <c r="B2696" s="141">
        <v>3.2491685125006502E-3</v>
      </c>
      <c r="D2696" s="141"/>
    </row>
    <row r="2697" spans="1:4" x14ac:dyDescent="0.2">
      <c r="A2697" s="140" t="s">
        <v>7293</v>
      </c>
      <c r="B2697" s="141">
        <v>3.2491685125006502E-3</v>
      </c>
      <c r="D2697" s="141"/>
    </row>
    <row r="2698" spans="1:4" x14ac:dyDescent="0.2">
      <c r="A2698" s="140" t="s">
        <v>7294</v>
      </c>
      <c r="B2698" s="141">
        <v>3.2491685125006502E-3</v>
      </c>
      <c r="D2698" s="141"/>
    </row>
    <row r="2699" spans="1:4" x14ac:dyDescent="0.2">
      <c r="A2699" s="140" t="s">
        <v>4191</v>
      </c>
      <c r="B2699" s="141">
        <v>3.2491685125006502E-3</v>
      </c>
      <c r="D2699" s="141"/>
    </row>
    <row r="2700" spans="1:4" x14ac:dyDescent="0.2">
      <c r="A2700" s="140" t="s">
        <v>7295</v>
      </c>
      <c r="B2700" s="141">
        <v>3.2491685125006502E-3</v>
      </c>
      <c r="D2700" s="141"/>
    </row>
    <row r="2701" spans="1:4" x14ac:dyDescent="0.2">
      <c r="A2701" s="140" t="s">
        <v>4187</v>
      </c>
      <c r="B2701" s="141">
        <v>3.2491685125006502E-3</v>
      </c>
      <c r="D2701" s="141"/>
    </row>
    <row r="2702" spans="1:4" x14ac:dyDescent="0.2">
      <c r="A2702" s="140" t="s">
        <v>4184</v>
      </c>
      <c r="B2702" s="141">
        <v>3.2491685125006502E-3</v>
      </c>
      <c r="D2702" s="141"/>
    </row>
    <row r="2703" spans="1:4" x14ac:dyDescent="0.2">
      <c r="A2703" s="140" t="s">
        <v>4181</v>
      </c>
      <c r="B2703" s="141">
        <v>3.2491685125006502E-3</v>
      </c>
      <c r="D2703" s="141"/>
    </row>
    <row r="2704" spans="1:4" x14ac:dyDescent="0.2">
      <c r="A2704" s="140" t="s">
        <v>7296</v>
      </c>
      <c r="B2704" s="141">
        <v>3.2491685125006502E-3</v>
      </c>
      <c r="D2704" s="141"/>
    </row>
    <row r="2705" spans="1:4" x14ac:dyDescent="0.2">
      <c r="A2705" s="140" t="s">
        <v>7297</v>
      </c>
      <c r="B2705" s="141">
        <v>3.2491685125006502E-3</v>
      </c>
      <c r="D2705" s="141"/>
    </row>
    <row r="2706" spans="1:4" x14ac:dyDescent="0.2">
      <c r="A2706" s="140" t="s">
        <v>4151</v>
      </c>
      <c r="B2706" s="141">
        <v>3.2491685125006502E-3</v>
      </c>
      <c r="D2706" s="141"/>
    </row>
    <row r="2707" spans="1:4" x14ac:dyDescent="0.2">
      <c r="A2707" s="140" t="s">
        <v>7298</v>
      </c>
      <c r="B2707" s="141">
        <v>3.2491685125006502E-3</v>
      </c>
      <c r="D2707" s="141"/>
    </row>
    <row r="2708" spans="1:4" x14ac:dyDescent="0.2">
      <c r="A2708" s="140" t="s">
        <v>7299</v>
      </c>
      <c r="B2708" s="141">
        <v>3.2491685125006502E-3</v>
      </c>
      <c r="D2708" s="141"/>
    </row>
    <row r="2709" spans="1:4" x14ac:dyDescent="0.2">
      <c r="A2709" s="140" t="s">
        <v>7300</v>
      </c>
      <c r="B2709" s="141">
        <v>3.2491685125006502E-3</v>
      </c>
      <c r="D2709" s="141"/>
    </row>
    <row r="2710" spans="1:4" x14ac:dyDescent="0.2">
      <c r="A2710" s="140" t="s">
        <v>7301</v>
      </c>
      <c r="B2710" s="141">
        <v>3.2491685125006502E-3</v>
      </c>
      <c r="D2710" s="141"/>
    </row>
    <row r="2711" spans="1:4" x14ac:dyDescent="0.2">
      <c r="A2711" s="140" t="s">
        <v>4079</v>
      </c>
      <c r="B2711" s="141">
        <v>3.2491685125006502E-3</v>
      </c>
      <c r="D2711" s="141"/>
    </row>
    <row r="2712" spans="1:4" x14ac:dyDescent="0.2">
      <c r="A2712" s="140" t="s">
        <v>7302</v>
      </c>
      <c r="B2712" s="141">
        <v>3.2491685125006502E-3</v>
      </c>
      <c r="D2712" s="141"/>
    </row>
    <row r="2713" spans="1:4" x14ac:dyDescent="0.2">
      <c r="A2713" s="140" t="s">
        <v>7303</v>
      </c>
      <c r="B2713" s="141">
        <v>3.2491685125006502E-3</v>
      </c>
      <c r="D2713" s="141"/>
    </row>
    <row r="2714" spans="1:4" x14ac:dyDescent="0.2">
      <c r="A2714" s="140" t="s">
        <v>4032</v>
      </c>
      <c r="B2714" s="141">
        <v>3.2491685125006502E-3</v>
      </c>
      <c r="D2714" s="141"/>
    </row>
    <row r="2715" spans="1:4" x14ac:dyDescent="0.2">
      <c r="A2715" s="140" t="s">
        <v>7304</v>
      </c>
      <c r="B2715" s="141">
        <v>3.2491685125006502E-3</v>
      </c>
      <c r="D2715" s="141"/>
    </row>
    <row r="2716" spans="1:4" x14ac:dyDescent="0.2">
      <c r="A2716" s="140" t="s">
        <v>4017</v>
      </c>
      <c r="B2716" s="141">
        <v>3.2491685125006502E-3</v>
      </c>
      <c r="D2716" s="141"/>
    </row>
    <row r="2717" spans="1:4" x14ac:dyDescent="0.2">
      <c r="A2717" s="140" t="s">
        <v>3995</v>
      </c>
      <c r="B2717" s="141">
        <v>3.2491685125006502E-3</v>
      </c>
      <c r="D2717" s="141"/>
    </row>
    <row r="2718" spans="1:4" x14ac:dyDescent="0.2">
      <c r="A2718" s="140" t="s">
        <v>7305</v>
      </c>
      <c r="B2718" s="141">
        <v>3.2491685125006502E-3</v>
      </c>
      <c r="D2718" s="141"/>
    </row>
    <row r="2719" spans="1:4" x14ac:dyDescent="0.2">
      <c r="A2719" s="140" t="s">
        <v>7306</v>
      </c>
      <c r="B2719" s="141">
        <v>3.2491685125006502E-3</v>
      </c>
      <c r="D2719" s="141"/>
    </row>
    <row r="2720" spans="1:4" x14ac:dyDescent="0.2">
      <c r="A2720" s="140" t="s">
        <v>7307</v>
      </c>
      <c r="B2720" s="141">
        <v>3.2491685125006502E-3</v>
      </c>
      <c r="D2720" s="141"/>
    </row>
    <row r="2721" spans="1:4" x14ac:dyDescent="0.2">
      <c r="A2721" s="140" t="s">
        <v>3971</v>
      </c>
      <c r="B2721" s="141">
        <v>3.2491685125006502E-3</v>
      </c>
      <c r="D2721" s="141"/>
    </row>
    <row r="2722" spans="1:4" x14ac:dyDescent="0.2">
      <c r="A2722" s="140" t="s">
        <v>3946</v>
      </c>
      <c r="B2722" s="141">
        <v>3.2491685125006502E-3</v>
      </c>
      <c r="D2722" s="141"/>
    </row>
    <row r="2723" spans="1:4" x14ac:dyDescent="0.2">
      <c r="A2723" s="140" t="s">
        <v>7308</v>
      </c>
      <c r="B2723" s="141">
        <v>3.2491685125006502E-3</v>
      </c>
      <c r="D2723" s="141"/>
    </row>
    <row r="2724" spans="1:4" x14ac:dyDescent="0.2">
      <c r="A2724" s="140" t="s">
        <v>3920</v>
      </c>
      <c r="B2724" s="141">
        <v>3.2491685125006502E-3</v>
      </c>
      <c r="D2724" s="141"/>
    </row>
    <row r="2725" spans="1:4" x14ac:dyDescent="0.2">
      <c r="A2725" s="140" t="s">
        <v>3914</v>
      </c>
      <c r="B2725" s="141">
        <v>3.2491685125006502E-3</v>
      </c>
      <c r="D2725" s="141"/>
    </row>
    <row r="2726" spans="1:4" x14ac:dyDescent="0.2">
      <c r="A2726" s="140" t="s">
        <v>7309</v>
      </c>
      <c r="B2726" s="141">
        <v>3.2491685125006502E-3</v>
      </c>
      <c r="D2726" s="141"/>
    </row>
    <row r="2727" spans="1:4" x14ac:dyDescent="0.2">
      <c r="A2727" s="140" t="s">
        <v>7310</v>
      </c>
      <c r="B2727" s="141">
        <v>3.2491685125006502E-3</v>
      </c>
      <c r="D2727" s="141"/>
    </row>
    <row r="2728" spans="1:4" x14ac:dyDescent="0.2">
      <c r="A2728" s="140" t="s">
        <v>7311</v>
      </c>
      <c r="B2728" s="141">
        <v>3.2491685125006502E-3</v>
      </c>
      <c r="D2728" s="141"/>
    </row>
    <row r="2729" spans="1:4" x14ac:dyDescent="0.2">
      <c r="A2729" s="140" t="s">
        <v>7312</v>
      </c>
      <c r="B2729" s="141">
        <v>3.2491685125006502E-3</v>
      </c>
      <c r="D2729" s="141"/>
    </row>
    <row r="2730" spans="1:4" x14ac:dyDescent="0.2">
      <c r="A2730" s="140" t="s">
        <v>7313</v>
      </c>
      <c r="B2730" s="141">
        <v>3.2491685125006502E-3</v>
      </c>
      <c r="D2730" s="141"/>
    </row>
    <row r="2731" spans="1:4" x14ac:dyDescent="0.2">
      <c r="A2731" s="140" t="s">
        <v>7314</v>
      </c>
      <c r="B2731" s="141">
        <v>3.2491685125006502E-3</v>
      </c>
      <c r="D2731" s="141"/>
    </row>
    <row r="2732" spans="1:4" x14ac:dyDescent="0.2">
      <c r="A2732" s="140" t="s">
        <v>7315</v>
      </c>
      <c r="B2732" s="141">
        <v>3.2491685125006502E-3</v>
      </c>
      <c r="D2732" s="141"/>
    </row>
    <row r="2733" spans="1:4" x14ac:dyDescent="0.2">
      <c r="A2733" s="140" t="s">
        <v>3869</v>
      </c>
      <c r="B2733" s="141">
        <v>3.2491685125006502E-3</v>
      </c>
      <c r="D2733" s="141"/>
    </row>
    <row r="2734" spans="1:4" x14ac:dyDescent="0.2">
      <c r="A2734" s="140" t="s">
        <v>7316</v>
      </c>
      <c r="B2734" s="141">
        <v>3.2491685125006502E-3</v>
      </c>
      <c r="D2734" s="141"/>
    </row>
    <row r="2735" spans="1:4" x14ac:dyDescent="0.2">
      <c r="A2735" s="140" t="s">
        <v>7317</v>
      </c>
      <c r="B2735" s="141">
        <v>3.2491685125006502E-3</v>
      </c>
      <c r="D2735" s="141"/>
    </row>
    <row r="2736" spans="1:4" x14ac:dyDescent="0.2">
      <c r="A2736" s="140" t="s">
        <v>3852</v>
      </c>
      <c r="B2736" s="141">
        <v>3.2491685125006502E-3</v>
      </c>
      <c r="D2736" s="141"/>
    </row>
    <row r="2737" spans="1:4" x14ac:dyDescent="0.2">
      <c r="A2737" s="140" t="s">
        <v>7318</v>
      </c>
      <c r="B2737" s="141">
        <v>3.2491685125006502E-3</v>
      </c>
      <c r="D2737" s="141"/>
    </row>
    <row r="2738" spans="1:4" x14ac:dyDescent="0.2">
      <c r="A2738" s="140" t="s">
        <v>3839</v>
      </c>
      <c r="B2738" s="141">
        <v>3.2491685125006502E-3</v>
      </c>
      <c r="D2738" s="141"/>
    </row>
    <row r="2739" spans="1:4" x14ac:dyDescent="0.2">
      <c r="A2739" s="140" t="s">
        <v>7319</v>
      </c>
      <c r="B2739" s="141">
        <v>3.2491685125006502E-3</v>
      </c>
      <c r="D2739" s="141"/>
    </row>
    <row r="2740" spans="1:4" x14ac:dyDescent="0.2">
      <c r="A2740" s="140" t="s">
        <v>7320</v>
      </c>
      <c r="B2740" s="141">
        <v>3.2491685125006502E-3</v>
      </c>
      <c r="D2740" s="141"/>
    </row>
    <row r="2741" spans="1:4" x14ac:dyDescent="0.2">
      <c r="A2741" s="140" t="s">
        <v>3843</v>
      </c>
      <c r="B2741" s="141">
        <v>3.2491685125006502E-3</v>
      </c>
      <c r="D2741" s="141"/>
    </row>
    <row r="2742" spans="1:4" x14ac:dyDescent="0.2">
      <c r="A2742" s="140" t="s">
        <v>7321</v>
      </c>
      <c r="B2742" s="141">
        <v>3.2491685125006502E-3</v>
      </c>
      <c r="D2742" s="141"/>
    </row>
    <row r="2743" spans="1:4" x14ac:dyDescent="0.2">
      <c r="A2743" s="140" t="s">
        <v>7322</v>
      </c>
      <c r="B2743" s="141">
        <v>3.2491685125006502E-3</v>
      </c>
      <c r="D2743" s="141"/>
    </row>
    <row r="2744" spans="1:4" x14ac:dyDescent="0.2">
      <c r="A2744" s="140" t="s">
        <v>3827</v>
      </c>
      <c r="B2744" s="141">
        <v>3.2491685125006502E-3</v>
      </c>
      <c r="D2744" s="141"/>
    </row>
    <row r="2745" spans="1:4" x14ac:dyDescent="0.2">
      <c r="A2745" s="140" t="s">
        <v>7323</v>
      </c>
      <c r="B2745" s="141">
        <v>3.2491685125006502E-3</v>
      </c>
      <c r="D2745" s="141"/>
    </row>
    <row r="2746" spans="1:4" x14ac:dyDescent="0.2">
      <c r="A2746" s="140" t="s">
        <v>7324</v>
      </c>
      <c r="B2746" s="141">
        <v>3.2491685125006502E-3</v>
      </c>
      <c r="D2746" s="141"/>
    </row>
    <row r="2747" spans="1:4" x14ac:dyDescent="0.2">
      <c r="A2747" s="140" t="s">
        <v>7325</v>
      </c>
      <c r="B2747" s="141">
        <v>3.2491685125006502E-3</v>
      </c>
      <c r="D2747" s="141"/>
    </row>
    <row r="2748" spans="1:4" x14ac:dyDescent="0.2">
      <c r="A2748" s="140" t="s">
        <v>7326</v>
      </c>
      <c r="B2748" s="141">
        <v>3.2491685125006502E-3</v>
      </c>
      <c r="D2748" s="141"/>
    </row>
    <row r="2749" spans="1:4" x14ac:dyDescent="0.2">
      <c r="A2749" s="140" t="s">
        <v>7327</v>
      </c>
      <c r="B2749" s="141">
        <v>3.2491685125006502E-3</v>
      </c>
      <c r="D2749" s="141"/>
    </row>
    <row r="2750" spans="1:4" x14ac:dyDescent="0.2">
      <c r="A2750" s="140" t="s">
        <v>7328</v>
      </c>
      <c r="B2750" s="141">
        <v>3.2491685125006502E-3</v>
      </c>
      <c r="D2750" s="141"/>
    </row>
    <row r="2751" spans="1:4" x14ac:dyDescent="0.2">
      <c r="A2751" s="140" t="s">
        <v>7329</v>
      </c>
      <c r="B2751" s="141">
        <v>3.2491685125006502E-3</v>
      </c>
      <c r="D2751" s="141"/>
    </row>
    <row r="2752" spans="1:4" x14ac:dyDescent="0.2">
      <c r="A2752" s="140" t="s">
        <v>7330</v>
      </c>
      <c r="B2752" s="141">
        <v>3.2491685125006502E-3</v>
      </c>
      <c r="D2752" s="141"/>
    </row>
    <row r="2753" spans="1:4" x14ac:dyDescent="0.2">
      <c r="A2753" s="140" t="s">
        <v>7331</v>
      </c>
      <c r="B2753" s="141">
        <v>3.2491685125006502E-3</v>
      </c>
      <c r="D2753" s="141"/>
    </row>
    <row r="2754" spans="1:4" x14ac:dyDescent="0.2">
      <c r="A2754" s="140" t="s">
        <v>7332</v>
      </c>
      <c r="B2754" s="141">
        <v>3.2491685125006502E-3</v>
      </c>
      <c r="D2754" s="141"/>
    </row>
    <row r="2755" spans="1:4" x14ac:dyDescent="0.2">
      <c r="A2755" s="140" t="s">
        <v>7333</v>
      </c>
      <c r="B2755" s="141">
        <v>3.2491685125006502E-3</v>
      </c>
      <c r="D2755" s="141"/>
    </row>
    <row r="2756" spans="1:4" x14ac:dyDescent="0.2">
      <c r="A2756" s="140" t="s">
        <v>7334</v>
      </c>
      <c r="B2756" s="141">
        <v>3.2491685125006502E-3</v>
      </c>
      <c r="D2756" s="141"/>
    </row>
    <row r="2757" spans="1:4" x14ac:dyDescent="0.2">
      <c r="A2757" s="140" t="s">
        <v>7335</v>
      </c>
      <c r="B2757" s="141">
        <v>3.2491685125006502E-3</v>
      </c>
      <c r="D2757" s="141"/>
    </row>
    <row r="2758" spans="1:4" x14ac:dyDescent="0.2">
      <c r="A2758" s="140" t="s">
        <v>7336</v>
      </c>
      <c r="B2758" s="141">
        <v>3.2491685125006502E-3</v>
      </c>
      <c r="D2758" s="141"/>
    </row>
    <row r="2759" spans="1:4" x14ac:dyDescent="0.2">
      <c r="A2759" s="140" t="s">
        <v>7337</v>
      </c>
      <c r="B2759" s="141">
        <v>3.2491685125006502E-3</v>
      </c>
      <c r="D2759" s="141"/>
    </row>
    <row r="2760" spans="1:4" x14ac:dyDescent="0.2">
      <c r="A2760" s="140" t="s">
        <v>7338</v>
      </c>
      <c r="B2760" s="141">
        <v>3.2491685125006502E-3</v>
      </c>
      <c r="D2760" s="141"/>
    </row>
    <row r="2761" spans="1:4" x14ac:dyDescent="0.2">
      <c r="A2761" s="140" t="s">
        <v>7339</v>
      </c>
      <c r="B2761" s="141">
        <v>3.2491685125006502E-3</v>
      </c>
      <c r="D2761" s="141"/>
    </row>
    <row r="2762" spans="1:4" x14ac:dyDescent="0.2">
      <c r="A2762" s="140" t="s">
        <v>7340</v>
      </c>
      <c r="B2762" s="141">
        <v>3.2491685125006502E-3</v>
      </c>
      <c r="D2762" s="141"/>
    </row>
    <row r="2763" spans="1:4" x14ac:dyDescent="0.2">
      <c r="A2763" s="140" t="s">
        <v>7341</v>
      </c>
      <c r="B2763" s="141">
        <v>3.2491685125006502E-3</v>
      </c>
      <c r="D2763" s="141"/>
    </row>
    <row r="2764" spans="1:4" x14ac:dyDescent="0.2">
      <c r="A2764" s="140" t="s">
        <v>7342</v>
      </c>
      <c r="B2764" s="141">
        <v>3.2491685125006502E-3</v>
      </c>
      <c r="D2764" s="141"/>
    </row>
    <row r="2765" spans="1:4" x14ac:dyDescent="0.2">
      <c r="A2765" s="140" t="s">
        <v>7343</v>
      </c>
      <c r="B2765" s="141">
        <v>3.2491685125006502E-3</v>
      </c>
      <c r="D2765" s="141"/>
    </row>
    <row r="2766" spans="1:4" x14ac:dyDescent="0.2">
      <c r="A2766" s="140" t="s">
        <v>7344</v>
      </c>
      <c r="B2766" s="141">
        <v>3.2491685125006502E-3</v>
      </c>
      <c r="D2766" s="141"/>
    </row>
    <row r="2767" spans="1:4" x14ac:dyDescent="0.2">
      <c r="A2767" s="140" t="s">
        <v>7345</v>
      </c>
      <c r="B2767" s="141">
        <v>3.2491685125006502E-3</v>
      </c>
      <c r="D2767" s="141"/>
    </row>
    <row r="2768" spans="1:4" x14ac:dyDescent="0.2">
      <c r="A2768" s="140" t="s">
        <v>3776</v>
      </c>
      <c r="B2768" s="141">
        <v>3.2491685125006502E-3</v>
      </c>
      <c r="D2768" s="141"/>
    </row>
    <row r="2769" spans="1:4" x14ac:dyDescent="0.2">
      <c r="A2769" s="140" t="s">
        <v>3771</v>
      </c>
      <c r="B2769" s="141">
        <v>3.2491685125006502E-3</v>
      </c>
      <c r="D2769" s="141"/>
    </row>
    <row r="2770" spans="1:4" x14ac:dyDescent="0.2">
      <c r="A2770" s="140" t="s">
        <v>7346</v>
      </c>
      <c r="B2770" s="141">
        <v>3.2491685125006502E-3</v>
      </c>
      <c r="D2770" s="141"/>
    </row>
    <row r="2771" spans="1:4" x14ac:dyDescent="0.2">
      <c r="A2771" s="140" t="s">
        <v>7347</v>
      </c>
      <c r="B2771" s="141">
        <v>3.2491685125006502E-3</v>
      </c>
      <c r="D2771" s="141"/>
    </row>
    <row r="2772" spans="1:4" x14ac:dyDescent="0.2">
      <c r="A2772" s="140" t="s">
        <v>3753</v>
      </c>
      <c r="B2772" s="141">
        <v>3.2491685125006502E-3</v>
      </c>
      <c r="D2772" s="141"/>
    </row>
    <row r="2773" spans="1:4" x14ac:dyDescent="0.2">
      <c r="A2773" s="140" t="s">
        <v>7348</v>
      </c>
      <c r="B2773" s="141">
        <v>3.2491685125006502E-3</v>
      </c>
      <c r="D2773" s="141"/>
    </row>
    <row r="2774" spans="1:4" x14ac:dyDescent="0.2">
      <c r="A2774" s="140" t="s">
        <v>3747</v>
      </c>
      <c r="B2774" s="141">
        <v>3.2491685125006502E-3</v>
      </c>
      <c r="D2774" s="141"/>
    </row>
    <row r="2775" spans="1:4" x14ac:dyDescent="0.2">
      <c r="A2775" s="140" t="s">
        <v>7349</v>
      </c>
      <c r="B2775" s="141">
        <v>3.2491685125006502E-3</v>
      </c>
      <c r="D2775" s="141"/>
    </row>
    <row r="2776" spans="1:4" x14ac:dyDescent="0.2">
      <c r="A2776" s="140" t="s">
        <v>3730</v>
      </c>
      <c r="B2776" s="141">
        <v>3.2491685125006502E-3</v>
      </c>
      <c r="D2776" s="141"/>
    </row>
    <row r="2777" spans="1:4" x14ac:dyDescent="0.2">
      <c r="A2777" s="140" t="s">
        <v>3726</v>
      </c>
      <c r="B2777" s="141">
        <v>3.2491685125006502E-3</v>
      </c>
      <c r="D2777" s="141"/>
    </row>
    <row r="2778" spans="1:4" x14ac:dyDescent="0.2">
      <c r="A2778" s="140" t="s">
        <v>3725</v>
      </c>
      <c r="B2778" s="141">
        <v>3.2491685125006502E-3</v>
      </c>
      <c r="D2778" s="141"/>
    </row>
    <row r="2779" spans="1:4" x14ac:dyDescent="0.2">
      <c r="A2779" s="140" t="s">
        <v>3723</v>
      </c>
      <c r="B2779" s="141">
        <v>3.2491685125006502E-3</v>
      </c>
      <c r="D2779" s="141"/>
    </row>
    <row r="2780" spans="1:4" x14ac:dyDescent="0.2">
      <c r="A2780" s="140" t="s">
        <v>3714</v>
      </c>
      <c r="B2780" s="141">
        <v>3.2491685125006502E-3</v>
      </c>
      <c r="D2780" s="141"/>
    </row>
    <row r="2781" spans="1:4" x14ac:dyDescent="0.2">
      <c r="A2781" s="140" t="s">
        <v>7350</v>
      </c>
      <c r="B2781" s="141">
        <v>3.2491685125006502E-3</v>
      </c>
      <c r="D2781" s="141"/>
    </row>
    <row r="2782" spans="1:4" x14ac:dyDescent="0.2">
      <c r="A2782" s="140" t="s">
        <v>3698</v>
      </c>
      <c r="B2782" s="141">
        <v>3.2491685125006502E-3</v>
      </c>
      <c r="D2782" s="141"/>
    </row>
    <row r="2783" spans="1:4" x14ac:dyDescent="0.2">
      <c r="A2783" s="140" t="s">
        <v>7351</v>
      </c>
      <c r="B2783" s="141">
        <v>3.2491685125006502E-3</v>
      </c>
      <c r="D2783" s="141"/>
    </row>
    <row r="2784" spans="1:4" x14ac:dyDescent="0.2">
      <c r="A2784" s="140" t="s">
        <v>3693</v>
      </c>
      <c r="B2784" s="141">
        <v>3.2491685125006502E-3</v>
      </c>
      <c r="D2784" s="141"/>
    </row>
    <row r="2785" spans="1:4" x14ac:dyDescent="0.2">
      <c r="A2785" s="140" t="s">
        <v>3689</v>
      </c>
      <c r="B2785" s="141">
        <v>3.2491685125006502E-3</v>
      </c>
      <c r="D2785" s="141"/>
    </row>
    <row r="2786" spans="1:4" x14ac:dyDescent="0.2">
      <c r="A2786" s="140" t="s">
        <v>3684</v>
      </c>
      <c r="B2786" s="141">
        <v>3.2491685125006502E-3</v>
      </c>
      <c r="D2786" s="141"/>
    </row>
    <row r="2787" spans="1:4" x14ac:dyDescent="0.2">
      <c r="A2787" s="140" t="s">
        <v>3671</v>
      </c>
      <c r="B2787" s="141">
        <v>3.2491685125006502E-3</v>
      </c>
      <c r="D2787" s="141"/>
    </row>
    <row r="2788" spans="1:4" x14ac:dyDescent="0.2">
      <c r="A2788" s="140" t="s">
        <v>3665</v>
      </c>
      <c r="B2788" s="141">
        <v>3.2491685125006502E-3</v>
      </c>
      <c r="D2788" s="141"/>
    </row>
    <row r="2789" spans="1:4" x14ac:dyDescent="0.2">
      <c r="A2789" s="140" t="s">
        <v>7352</v>
      </c>
      <c r="B2789" s="141">
        <v>3.2491685125006502E-3</v>
      </c>
      <c r="D2789" s="141"/>
    </row>
    <row r="2790" spans="1:4" x14ac:dyDescent="0.2">
      <c r="A2790" s="140" t="s">
        <v>3649</v>
      </c>
      <c r="B2790" s="141">
        <v>3.2491685125006502E-3</v>
      </c>
      <c r="D2790" s="141"/>
    </row>
    <row r="2791" spans="1:4" x14ac:dyDescent="0.2">
      <c r="A2791" s="140" t="s">
        <v>7353</v>
      </c>
      <c r="B2791" s="141">
        <v>3.2491685125006502E-3</v>
      </c>
      <c r="D2791" s="141"/>
    </row>
    <row r="2792" spans="1:4" x14ac:dyDescent="0.2">
      <c r="A2792" s="140" t="s">
        <v>3623</v>
      </c>
      <c r="B2792" s="141">
        <v>3.2491685125006502E-3</v>
      </c>
      <c r="D2792" s="141"/>
    </row>
    <row r="2793" spans="1:4" x14ac:dyDescent="0.2">
      <c r="A2793" s="140" t="s">
        <v>7354</v>
      </c>
      <c r="B2793" s="141">
        <v>3.2491685125006502E-3</v>
      </c>
      <c r="D2793" s="141"/>
    </row>
    <row r="2794" spans="1:4" x14ac:dyDescent="0.2">
      <c r="A2794" s="140" t="s">
        <v>7355</v>
      </c>
      <c r="B2794" s="141">
        <v>3.2491685125006502E-3</v>
      </c>
      <c r="D2794" s="141"/>
    </row>
    <row r="2795" spans="1:4" x14ac:dyDescent="0.2">
      <c r="A2795" s="140" t="s">
        <v>7356</v>
      </c>
      <c r="B2795" s="141">
        <v>3.2491685125006502E-3</v>
      </c>
      <c r="D2795" s="141"/>
    </row>
    <row r="2796" spans="1:4" x14ac:dyDescent="0.2">
      <c r="A2796" s="140" t="s">
        <v>7357</v>
      </c>
      <c r="B2796" s="141">
        <v>3.2491685125006502E-3</v>
      </c>
      <c r="D2796" s="141"/>
    </row>
    <row r="2797" spans="1:4" x14ac:dyDescent="0.2">
      <c r="A2797" s="140" t="s">
        <v>3605</v>
      </c>
      <c r="B2797" s="141">
        <v>3.2491685125006502E-3</v>
      </c>
      <c r="D2797" s="141"/>
    </row>
    <row r="2798" spans="1:4" x14ac:dyDescent="0.2">
      <c r="A2798" s="140" t="s">
        <v>7358</v>
      </c>
      <c r="B2798" s="141">
        <v>3.2491685125006502E-3</v>
      </c>
      <c r="D2798" s="141"/>
    </row>
    <row r="2799" spans="1:4" x14ac:dyDescent="0.2">
      <c r="A2799" s="140" t="s">
        <v>7359</v>
      </c>
      <c r="B2799" s="141">
        <v>3.2491685125006502E-3</v>
      </c>
      <c r="D2799" s="141"/>
    </row>
    <row r="2800" spans="1:4" x14ac:dyDescent="0.2">
      <c r="A2800" s="140" t="s">
        <v>3586</v>
      </c>
      <c r="B2800" s="141">
        <v>3.2491685125006502E-3</v>
      </c>
      <c r="D2800" s="141"/>
    </row>
    <row r="2801" spans="1:4" x14ac:dyDescent="0.2">
      <c r="A2801" s="140" t="s">
        <v>3577</v>
      </c>
      <c r="B2801" s="141">
        <v>3.2491685125006502E-3</v>
      </c>
      <c r="D2801" s="141"/>
    </row>
    <row r="2802" spans="1:4" x14ac:dyDescent="0.2">
      <c r="A2802" s="140" t="s">
        <v>3576</v>
      </c>
      <c r="B2802" s="141">
        <v>3.2491685125006502E-3</v>
      </c>
      <c r="D2802" s="141"/>
    </row>
    <row r="2803" spans="1:4" x14ac:dyDescent="0.2">
      <c r="A2803" s="140" t="s">
        <v>3550</v>
      </c>
      <c r="B2803" s="141">
        <v>3.2491685125006502E-3</v>
      </c>
      <c r="D2803" s="141"/>
    </row>
    <row r="2804" spans="1:4" x14ac:dyDescent="0.2">
      <c r="A2804" s="140" t="s">
        <v>7360</v>
      </c>
      <c r="B2804" s="141">
        <v>3.2491685125006502E-3</v>
      </c>
      <c r="D2804" s="141"/>
    </row>
    <row r="2805" spans="1:4" x14ac:dyDescent="0.2">
      <c r="A2805" s="140" t="s">
        <v>7361</v>
      </c>
      <c r="B2805" s="141">
        <v>3.2491685125006502E-3</v>
      </c>
      <c r="D2805" s="141"/>
    </row>
    <row r="2806" spans="1:4" x14ac:dyDescent="0.2">
      <c r="A2806" s="140" t="s">
        <v>7362</v>
      </c>
      <c r="B2806" s="141">
        <v>3.2491685125006502E-3</v>
      </c>
      <c r="D2806" s="141"/>
    </row>
    <row r="2807" spans="1:4" x14ac:dyDescent="0.2">
      <c r="A2807" s="140" t="s">
        <v>7363</v>
      </c>
      <c r="B2807" s="141">
        <v>3.2491685125006502E-3</v>
      </c>
      <c r="D2807" s="141"/>
    </row>
    <row r="2808" spans="1:4" x14ac:dyDescent="0.2">
      <c r="A2808" s="140" t="s">
        <v>7364</v>
      </c>
      <c r="B2808" s="141">
        <v>3.2491685125006502E-3</v>
      </c>
      <c r="D2808" s="141"/>
    </row>
    <row r="2809" spans="1:4" x14ac:dyDescent="0.2">
      <c r="A2809" s="140" t="s">
        <v>7365</v>
      </c>
      <c r="B2809" s="141">
        <v>3.2491685125006502E-3</v>
      </c>
      <c r="D2809" s="141"/>
    </row>
    <row r="2810" spans="1:4" x14ac:dyDescent="0.2">
      <c r="A2810" s="140" t="s">
        <v>7366</v>
      </c>
      <c r="B2810" s="141">
        <v>3.2491685125006502E-3</v>
      </c>
      <c r="D2810" s="141"/>
    </row>
    <row r="2811" spans="1:4" x14ac:dyDescent="0.2">
      <c r="A2811" s="140" t="s">
        <v>7367</v>
      </c>
      <c r="B2811" s="141">
        <v>3.2491685125006502E-3</v>
      </c>
      <c r="D2811" s="141"/>
    </row>
    <row r="2812" spans="1:4" x14ac:dyDescent="0.2">
      <c r="A2812" s="140" t="s">
        <v>7368</v>
      </c>
      <c r="B2812" s="141">
        <v>3.2491685125006502E-3</v>
      </c>
      <c r="D2812" s="141"/>
    </row>
    <row r="2813" spans="1:4" x14ac:dyDescent="0.2">
      <c r="A2813" s="140" t="s">
        <v>7369</v>
      </c>
      <c r="B2813" s="141">
        <v>3.2491685125006502E-3</v>
      </c>
      <c r="D2813" s="141"/>
    </row>
    <row r="2814" spans="1:4" x14ac:dyDescent="0.2">
      <c r="A2814" s="140" t="s">
        <v>3526</v>
      </c>
      <c r="B2814" s="141">
        <v>3.2491685125006502E-3</v>
      </c>
      <c r="D2814" s="141"/>
    </row>
    <row r="2815" spans="1:4" x14ac:dyDescent="0.2">
      <c r="A2815" s="140" t="s">
        <v>3511</v>
      </c>
      <c r="B2815" s="141">
        <v>3.2491685125006502E-3</v>
      </c>
      <c r="D2815" s="141"/>
    </row>
    <row r="2816" spans="1:4" x14ac:dyDescent="0.2">
      <c r="A2816" s="140" t="s">
        <v>3505</v>
      </c>
      <c r="B2816" s="141">
        <v>3.2491685125006502E-3</v>
      </c>
      <c r="D2816" s="141"/>
    </row>
    <row r="2817" spans="1:4" x14ac:dyDescent="0.2">
      <c r="A2817" s="140" t="s">
        <v>7370</v>
      </c>
      <c r="B2817" s="141">
        <v>3.2491685125006502E-3</v>
      </c>
      <c r="D2817" s="141"/>
    </row>
    <row r="2818" spans="1:4" x14ac:dyDescent="0.2">
      <c r="A2818" s="140" t="s">
        <v>3489</v>
      </c>
      <c r="B2818" s="141">
        <v>3.2491685125006502E-3</v>
      </c>
      <c r="D2818" s="141"/>
    </row>
    <row r="2819" spans="1:4" x14ac:dyDescent="0.2">
      <c r="A2819" s="140" t="s">
        <v>7371</v>
      </c>
      <c r="B2819" s="141">
        <v>3.2491685125006502E-3</v>
      </c>
      <c r="D2819" s="141"/>
    </row>
    <row r="2820" spans="1:4" x14ac:dyDescent="0.2">
      <c r="A2820" s="140" t="s">
        <v>3131</v>
      </c>
      <c r="B2820" s="141">
        <v>3.2491685125006502E-3</v>
      </c>
      <c r="D2820" s="141"/>
    </row>
    <row r="2821" spans="1:4" x14ac:dyDescent="0.2">
      <c r="A2821" s="140" t="s">
        <v>7372</v>
      </c>
      <c r="B2821" s="141">
        <v>3.2491685125006502E-3</v>
      </c>
      <c r="D2821" s="141"/>
    </row>
    <row r="2822" spans="1:4" x14ac:dyDescent="0.2">
      <c r="A2822" s="140" t="s">
        <v>7373</v>
      </c>
      <c r="B2822" s="141">
        <v>3.2491685125006502E-3</v>
      </c>
      <c r="D2822" s="141"/>
    </row>
    <row r="2823" spans="1:4" x14ac:dyDescent="0.2">
      <c r="A2823" s="140" t="s">
        <v>3472</v>
      </c>
      <c r="B2823" s="141">
        <v>3.2491685125006502E-3</v>
      </c>
      <c r="D2823" s="141"/>
    </row>
    <row r="2824" spans="1:4" x14ac:dyDescent="0.2">
      <c r="A2824" s="140" t="s">
        <v>3469</v>
      </c>
      <c r="B2824" s="141">
        <v>3.2491685125006502E-3</v>
      </c>
      <c r="D2824" s="141"/>
    </row>
    <row r="2825" spans="1:4" x14ac:dyDescent="0.2">
      <c r="A2825" s="140" t="s">
        <v>7374</v>
      </c>
      <c r="B2825" s="141">
        <v>3.2491685125006502E-3</v>
      </c>
      <c r="D2825" s="141"/>
    </row>
    <row r="2826" spans="1:4" x14ac:dyDescent="0.2">
      <c r="A2826" s="140" t="s">
        <v>7375</v>
      </c>
      <c r="B2826" s="141">
        <v>3.2491685125006502E-3</v>
      </c>
      <c r="D2826" s="141"/>
    </row>
    <row r="2827" spans="1:4" x14ac:dyDescent="0.2">
      <c r="A2827" s="140" t="s">
        <v>7376</v>
      </c>
      <c r="B2827" s="141">
        <v>3.2491685125006502E-3</v>
      </c>
      <c r="D2827" s="141"/>
    </row>
    <row r="2828" spans="1:4" x14ac:dyDescent="0.2">
      <c r="A2828" s="140" t="s">
        <v>7377</v>
      </c>
      <c r="B2828" s="141">
        <v>3.2491685125006502E-3</v>
      </c>
      <c r="D2828" s="141"/>
    </row>
    <row r="2829" spans="1:4" x14ac:dyDescent="0.2">
      <c r="A2829" s="140" t="s">
        <v>7378</v>
      </c>
      <c r="B2829" s="141">
        <v>3.2491685125006502E-3</v>
      </c>
      <c r="D2829" s="141"/>
    </row>
    <row r="2830" spans="1:4" x14ac:dyDescent="0.2">
      <c r="A2830" s="140" t="s">
        <v>3451</v>
      </c>
      <c r="B2830" s="141">
        <v>3.2491685125006502E-3</v>
      </c>
      <c r="D2830" s="141"/>
    </row>
    <row r="2831" spans="1:4" x14ac:dyDescent="0.2">
      <c r="A2831" s="140" t="s">
        <v>7379</v>
      </c>
      <c r="B2831" s="141">
        <v>3.2491685125006502E-3</v>
      </c>
      <c r="D2831" s="141"/>
    </row>
    <row r="2832" spans="1:4" x14ac:dyDescent="0.2">
      <c r="A2832" s="140" t="s">
        <v>7380</v>
      </c>
      <c r="B2832" s="141">
        <v>3.2491685125006502E-3</v>
      </c>
      <c r="D2832" s="141"/>
    </row>
    <row r="2833" spans="1:4" x14ac:dyDescent="0.2">
      <c r="A2833" s="140" t="s">
        <v>7381</v>
      </c>
      <c r="B2833" s="141">
        <v>3.2491685125006502E-3</v>
      </c>
      <c r="D2833" s="141"/>
    </row>
    <row r="2834" spans="1:4" x14ac:dyDescent="0.2">
      <c r="A2834" s="140" t="s">
        <v>7382</v>
      </c>
      <c r="B2834" s="141">
        <v>3.2491685125006502E-3</v>
      </c>
      <c r="D2834" s="141"/>
    </row>
    <row r="2835" spans="1:4" x14ac:dyDescent="0.2">
      <c r="A2835" s="140" t="s">
        <v>7383</v>
      </c>
      <c r="B2835" s="141">
        <v>3.2491685125006502E-3</v>
      </c>
      <c r="D2835" s="141"/>
    </row>
    <row r="2836" spans="1:4" x14ac:dyDescent="0.2">
      <c r="A2836" s="140" t="s">
        <v>7384</v>
      </c>
      <c r="B2836" s="141">
        <v>3.2491685125006502E-3</v>
      </c>
      <c r="D2836" s="141"/>
    </row>
    <row r="2837" spans="1:4" x14ac:dyDescent="0.2">
      <c r="A2837" s="140" t="s">
        <v>7385</v>
      </c>
      <c r="B2837" s="141">
        <v>3.2491685125006502E-3</v>
      </c>
      <c r="D2837" s="141"/>
    </row>
    <row r="2838" spans="1:4" x14ac:dyDescent="0.2">
      <c r="A2838" s="140" t="s">
        <v>3411</v>
      </c>
      <c r="B2838" s="141">
        <v>3.2491685125006502E-3</v>
      </c>
      <c r="D2838" s="141"/>
    </row>
    <row r="2839" spans="1:4" x14ac:dyDescent="0.2">
      <c r="A2839" s="140" t="s">
        <v>3410</v>
      </c>
      <c r="B2839" s="141">
        <v>3.2491685125006502E-3</v>
      </c>
      <c r="D2839" s="141"/>
    </row>
    <row r="2840" spans="1:4" x14ac:dyDescent="0.2">
      <c r="A2840" s="140" t="s">
        <v>7386</v>
      </c>
      <c r="B2840" s="141">
        <v>3.2491685125006502E-3</v>
      </c>
      <c r="D2840" s="141"/>
    </row>
    <row r="2841" spans="1:4" x14ac:dyDescent="0.2">
      <c r="A2841" s="140" t="s">
        <v>3396</v>
      </c>
      <c r="B2841" s="141">
        <v>3.2491685125006502E-3</v>
      </c>
      <c r="D2841" s="141"/>
    </row>
    <row r="2842" spans="1:4" x14ac:dyDescent="0.2">
      <c r="A2842" s="140" t="s">
        <v>3395</v>
      </c>
      <c r="B2842" s="141">
        <v>3.2491685125006502E-3</v>
      </c>
      <c r="D2842" s="141"/>
    </row>
    <row r="2843" spans="1:4" x14ac:dyDescent="0.2">
      <c r="A2843" s="140" t="s">
        <v>7387</v>
      </c>
      <c r="B2843" s="141">
        <v>3.2491685125006502E-3</v>
      </c>
      <c r="D2843" s="141"/>
    </row>
    <row r="2844" spans="1:4" x14ac:dyDescent="0.2">
      <c r="A2844" s="140" t="s">
        <v>7388</v>
      </c>
      <c r="B2844" s="141">
        <v>3.2491685125006502E-3</v>
      </c>
      <c r="D2844" s="141"/>
    </row>
    <row r="2845" spans="1:4" x14ac:dyDescent="0.2">
      <c r="A2845" s="140" t="s">
        <v>7389</v>
      </c>
      <c r="B2845" s="141">
        <v>3.2491685125006502E-3</v>
      </c>
      <c r="D2845" s="141"/>
    </row>
    <row r="2846" spans="1:4" x14ac:dyDescent="0.2">
      <c r="A2846" s="140" t="s">
        <v>7390</v>
      </c>
      <c r="B2846" s="141">
        <v>3.2491685125006502E-3</v>
      </c>
      <c r="D2846" s="141"/>
    </row>
    <row r="2847" spans="1:4" x14ac:dyDescent="0.2">
      <c r="A2847" s="140" t="s">
        <v>7391</v>
      </c>
      <c r="B2847" s="141">
        <v>3.2491685125006502E-3</v>
      </c>
      <c r="D2847" s="141"/>
    </row>
    <row r="2848" spans="1:4" x14ac:dyDescent="0.2">
      <c r="A2848" s="140" t="s">
        <v>3365</v>
      </c>
      <c r="B2848" s="141">
        <v>3.2491685125006502E-3</v>
      </c>
      <c r="D2848" s="141"/>
    </row>
    <row r="2849" spans="1:4" x14ac:dyDescent="0.2">
      <c r="A2849" s="140" t="s">
        <v>3364</v>
      </c>
      <c r="B2849" s="141">
        <v>3.2491685125006502E-3</v>
      </c>
      <c r="D2849" s="141"/>
    </row>
    <row r="2850" spans="1:4" x14ac:dyDescent="0.2">
      <c r="A2850" s="140" t="s">
        <v>7392</v>
      </c>
      <c r="B2850" s="141">
        <v>3.2491685125006502E-3</v>
      </c>
      <c r="D2850" s="141"/>
    </row>
    <row r="2851" spans="1:4" x14ac:dyDescent="0.2">
      <c r="A2851" s="140" t="s">
        <v>3354</v>
      </c>
      <c r="B2851" s="141">
        <v>3.2491685125006502E-3</v>
      </c>
      <c r="D2851" s="141"/>
    </row>
    <row r="2852" spans="1:4" x14ac:dyDescent="0.2">
      <c r="A2852" s="140" t="s">
        <v>3353</v>
      </c>
      <c r="B2852" s="141">
        <v>3.2491685125006502E-3</v>
      </c>
      <c r="D2852" s="141"/>
    </row>
    <row r="2853" spans="1:4" x14ac:dyDescent="0.2">
      <c r="A2853" s="140" t="s">
        <v>7393</v>
      </c>
      <c r="B2853" s="141">
        <v>3.2491685125006502E-3</v>
      </c>
      <c r="D2853" s="141"/>
    </row>
    <row r="2854" spans="1:4" x14ac:dyDescent="0.2">
      <c r="A2854" s="140" t="s">
        <v>7394</v>
      </c>
      <c r="B2854" s="141">
        <v>3.2491685125006502E-3</v>
      </c>
      <c r="D2854" s="141"/>
    </row>
    <row r="2855" spans="1:4" x14ac:dyDescent="0.2">
      <c r="A2855" s="140" t="s">
        <v>7395</v>
      </c>
      <c r="B2855" s="141">
        <v>3.2491685125006502E-3</v>
      </c>
      <c r="D2855" s="141"/>
    </row>
    <row r="2856" spans="1:4" x14ac:dyDescent="0.2">
      <c r="A2856" s="140" t="s">
        <v>7396</v>
      </c>
      <c r="B2856" s="141">
        <v>3.2491685125006502E-3</v>
      </c>
      <c r="D2856" s="141"/>
    </row>
    <row r="2857" spans="1:4" x14ac:dyDescent="0.2">
      <c r="A2857" s="140" t="s">
        <v>7397</v>
      </c>
      <c r="B2857" s="141">
        <v>3.2491685125006502E-3</v>
      </c>
      <c r="D2857" s="141"/>
    </row>
    <row r="2858" spans="1:4" x14ac:dyDescent="0.2">
      <c r="A2858" s="140" t="s">
        <v>7398</v>
      </c>
      <c r="B2858" s="141">
        <v>3.2491685125006502E-3</v>
      </c>
      <c r="D2858" s="141"/>
    </row>
    <row r="2859" spans="1:4" x14ac:dyDescent="0.2">
      <c r="A2859" s="140" t="s">
        <v>7399</v>
      </c>
      <c r="B2859" s="141">
        <v>3.2491685125006502E-3</v>
      </c>
      <c r="D2859" s="141"/>
    </row>
    <row r="2860" spans="1:4" x14ac:dyDescent="0.2">
      <c r="A2860" s="140" t="s">
        <v>7400</v>
      </c>
      <c r="B2860" s="141">
        <v>3.2491685125006502E-3</v>
      </c>
      <c r="D2860" s="141"/>
    </row>
    <row r="2861" spans="1:4" x14ac:dyDescent="0.2">
      <c r="A2861" s="140" t="s">
        <v>7401</v>
      </c>
      <c r="B2861" s="141">
        <v>3.2491685125006502E-3</v>
      </c>
      <c r="D2861" s="141"/>
    </row>
    <row r="2862" spans="1:4" x14ac:dyDescent="0.2">
      <c r="A2862" s="140" t="s">
        <v>7402</v>
      </c>
      <c r="B2862" s="141">
        <v>3.2491685125006502E-3</v>
      </c>
      <c r="D2862" s="141"/>
    </row>
    <row r="2863" spans="1:4" x14ac:dyDescent="0.2">
      <c r="A2863" s="140" t="s">
        <v>7403</v>
      </c>
      <c r="B2863" s="141">
        <v>3.2491685125006502E-3</v>
      </c>
      <c r="D2863" s="141"/>
    </row>
    <row r="2864" spans="1:4" x14ac:dyDescent="0.2">
      <c r="A2864" s="140" t="s">
        <v>7404</v>
      </c>
      <c r="B2864" s="141">
        <v>3.2491685125006502E-3</v>
      </c>
      <c r="D2864" s="141"/>
    </row>
    <row r="2865" spans="1:4" x14ac:dyDescent="0.2">
      <c r="A2865" s="140" t="s">
        <v>7405</v>
      </c>
      <c r="B2865" s="141">
        <v>3.2491685125006502E-3</v>
      </c>
      <c r="D2865" s="141"/>
    </row>
    <row r="2866" spans="1:4" x14ac:dyDescent="0.2">
      <c r="A2866" s="140" t="s">
        <v>7406</v>
      </c>
      <c r="B2866" s="141">
        <v>3.2491685125006502E-3</v>
      </c>
      <c r="D2866" s="141"/>
    </row>
    <row r="2867" spans="1:4" x14ac:dyDescent="0.2">
      <c r="A2867" s="140" t="s">
        <v>7407</v>
      </c>
      <c r="B2867" s="141">
        <v>3.2491685125006502E-3</v>
      </c>
      <c r="D2867" s="141"/>
    </row>
    <row r="2868" spans="1:4" x14ac:dyDescent="0.2">
      <c r="A2868" s="140" t="s">
        <v>7408</v>
      </c>
      <c r="B2868" s="141">
        <v>3.2491685125006502E-3</v>
      </c>
      <c r="D2868" s="141"/>
    </row>
    <row r="2869" spans="1:4" x14ac:dyDescent="0.2">
      <c r="A2869" s="140" t="s">
        <v>7409</v>
      </c>
      <c r="B2869" s="141">
        <v>3.2491685125006502E-3</v>
      </c>
      <c r="D2869" s="141"/>
    </row>
    <row r="2870" spans="1:4" x14ac:dyDescent="0.2">
      <c r="A2870" s="140" t="s">
        <v>7410</v>
      </c>
      <c r="B2870" s="141">
        <v>3.2491685125006502E-3</v>
      </c>
      <c r="D2870" s="141"/>
    </row>
    <row r="2871" spans="1:4" x14ac:dyDescent="0.2">
      <c r="A2871" s="140" t="s">
        <v>7411</v>
      </c>
      <c r="B2871" s="141">
        <v>3.2491685125006502E-3</v>
      </c>
      <c r="D2871" s="141"/>
    </row>
    <row r="2872" spans="1:4" x14ac:dyDescent="0.2">
      <c r="A2872" s="140" t="s">
        <v>7412</v>
      </c>
      <c r="B2872" s="141">
        <v>3.2491685125006502E-3</v>
      </c>
      <c r="D2872" s="141"/>
    </row>
    <row r="2873" spans="1:4" x14ac:dyDescent="0.2">
      <c r="A2873" s="140" t="s">
        <v>7413</v>
      </c>
      <c r="B2873" s="141">
        <v>3.2491685125006502E-3</v>
      </c>
      <c r="D2873" s="141"/>
    </row>
    <row r="2874" spans="1:4" x14ac:dyDescent="0.2">
      <c r="A2874" s="140" t="s">
        <v>7414</v>
      </c>
      <c r="B2874" s="141">
        <v>3.2491685125006502E-3</v>
      </c>
      <c r="D2874" s="141"/>
    </row>
    <row r="2875" spans="1:4" x14ac:dyDescent="0.2">
      <c r="A2875" s="140" t="s">
        <v>7415</v>
      </c>
      <c r="B2875" s="141">
        <v>3.2491685125006502E-3</v>
      </c>
      <c r="D2875" s="141"/>
    </row>
    <row r="2876" spans="1:4" x14ac:dyDescent="0.2">
      <c r="A2876" s="140" t="s">
        <v>3306</v>
      </c>
      <c r="B2876" s="141">
        <v>3.2491685125006502E-3</v>
      </c>
      <c r="D2876" s="141"/>
    </row>
    <row r="2877" spans="1:4" x14ac:dyDescent="0.2">
      <c r="A2877" s="140" t="s">
        <v>7416</v>
      </c>
      <c r="B2877" s="141">
        <v>3.2491685125006502E-3</v>
      </c>
      <c r="D2877" s="141"/>
    </row>
    <row r="2878" spans="1:4" x14ac:dyDescent="0.2">
      <c r="A2878" s="140" t="s">
        <v>3300</v>
      </c>
      <c r="B2878" s="141">
        <v>3.2491685125006502E-3</v>
      </c>
      <c r="D2878" s="141"/>
    </row>
    <row r="2879" spans="1:4" x14ac:dyDescent="0.2">
      <c r="A2879" s="140" t="s">
        <v>3284</v>
      </c>
      <c r="B2879" s="141">
        <v>3.2491685125006502E-3</v>
      </c>
      <c r="D2879" s="141"/>
    </row>
    <row r="2880" spans="1:4" x14ac:dyDescent="0.2">
      <c r="A2880" s="140" t="s">
        <v>7417</v>
      </c>
      <c r="B2880" s="141">
        <v>3.2491685125006502E-3</v>
      </c>
      <c r="D2880" s="141"/>
    </row>
    <row r="2881" spans="1:4" x14ac:dyDescent="0.2">
      <c r="A2881" s="140" t="s">
        <v>7418</v>
      </c>
      <c r="B2881" s="141">
        <v>3.2491685125006502E-3</v>
      </c>
      <c r="D2881" s="141"/>
    </row>
    <row r="2882" spans="1:4" x14ac:dyDescent="0.2">
      <c r="A2882" s="140" t="s">
        <v>7419</v>
      </c>
      <c r="B2882" s="141">
        <v>3.2491685125006502E-3</v>
      </c>
      <c r="D2882" s="141"/>
    </row>
    <row r="2883" spans="1:4" x14ac:dyDescent="0.2">
      <c r="A2883" s="140" t="s">
        <v>7420</v>
      </c>
      <c r="B2883" s="141">
        <v>3.2491685125006502E-3</v>
      </c>
      <c r="D2883" s="141"/>
    </row>
    <row r="2884" spans="1:4" x14ac:dyDescent="0.2">
      <c r="A2884" s="140" t="s">
        <v>7421</v>
      </c>
      <c r="B2884" s="141">
        <v>3.2491685125006502E-3</v>
      </c>
      <c r="D2884" s="141"/>
    </row>
    <row r="2885" spans="1:4" x14ac:dyDescent="0.2">
      <c r="A2885" s="140" t="s">
        <v>7422</v>
      </c>
      <c r="B2885" s="141">
        <v>3.2491685125006502E-3</v>
      </c>
      <c r="D2885" s="141"/>
    </row>
    <row r="2886" spans="1:4" x14ac:dyDescent="0.2">
      <c r="A2886" s="140" t="s">
        <v>7423</v>
      </c>
      <c r="B2886" s="141">
        <v>3.2491685125006502E-3</v>
      </c>
      <c r="D2886" s="141"/>
    </row>
    <row r="2887" spans="1:4" x14ac:dyDescent="0.2">
      <c r="A2887" s="140" t="s">
        <v>7424</v>
      </c>
      <c r="B2887" s="141">
        <v>3.2491685125006502E-3</v>
      </c>
      <c r="D2887" s="141"/>
    </row>
    <row r="2888" spans="1:4" x14ac:dyDescent="0.2">
      <c r="A2888" s="140" t="s">
        <v>7425</v>
      </c>
      <c r="B2888" s="141">
        <v>3.2491685125006502E-3</v>
      </c>
      <c r="D2888" s="141"/>
    </row>
    <row r="2889" spans="1:4" x14ac:dyDescent="0.2">
      <c r="A2889" s="140" t="s">
        <v>7426</v>
      </c>
      <c r="B2889" s="141">
        <v>3.2491685125006502E-3</v>
      </c>
      <c r="D2889" s="141"/>
    </row>
    <row r="2890" spans="1:4" x14ac:dyDescent="0.2">
      <c r="A2890" s="140" t="s">
        <v>7427</v>
      </c>
      <c r="B2890" s="141">
        <v>3.2491685125006502E-3</v>
      </c>
      <c r="D2890" s="141"/>
    </row>
    <row r="2891" spans="1:4" x14ac:dyDescent="0.2">
      <c r="A2891" s="140" t="s">
        <v>7428</v>
      </c>
      <c r="B2891" s="141">
        <v>3.2491685125006502E-3</v>
      </c>
      <c r="D2891" s="141"/>
    </row>
    <row r="2892" spans="1:4" x14ac:dyDescent="0.2">
      <c r="A2892" s="140" t="s">
        <v>7429</v>
      </c>
      <c r="B2892" s="141">
        <v>3.2491685125006502E-3</v>
      </c>
      <c r="D2892" s="141"/>
    </row>
    <row r="2893" spans="1:4" x14ac:dyDescent="0.2">
      <c r="A2893" s="140" t="s">
        <v>7430</v>
      </c>
      <c r="B2893" s="141">
        <v>3.2491685125006502E-3</v>
      </c>
      <c r="D2893" s="141"/>
    </row>
    <row r="2894" spans="1:4" x14ac:dyDescent="0.2">
      <c r="A2894" s="140" t="s">
        <v>7431</v>
      </c>
      <c r="B2894" s="141">
        <v>3.2491685125006502E-3</v>
      </c>
      <c r="D2894" s="141"/>
    </row>
    <row r="2895" spans="1:4" x14ac:dyDescent="0.2">
      <c r="A2895" s="140" t="s">
        <v>7432</v>
      </c>
      <c r="B2895" s="141">
        <v>3.2491685125006502E-3</v>
      </c>
      <c r="D2895" s="141"/>
    </row>
    <row r="2896" spans="1:4" x14ac:dyDescent="0.2">
      <c r="A2896" s="140" t="s">
        <v>7433</v>
      </c>
      <c r="B2896" s="141">
        <v>3.2491685125006502E-3</v>
      </c>
      <c r="D2896" s="141"/>
    </row>
    <row r="2897" spans="1:4" x14ac:dyDescent="0.2">
      <c r="A2897" s="140" t="s">
        <v>3180</v>
      </c>
      <c r="B2897" s="141">
        <v>3.2491685125006502E-3</v>
      </c>
      <c r="D2897" s="141"/>
    </row>
    <row r="2898" spans="1:4" x14ac:dyDescent="0.2">
      <c r="A2898" s="140" t="s">
        <v>3138</v>
      </c>
      <c r="B2898" s="141">
        <v>3.2491685125006502E-3</v>
      </c>
      <c r="D2898" s="141"/>
    </row>
    <row r="2899" spans="1:4" x14ac:dyDescent="0.2">
      <c r="A2899" s="140" t="s">
        <v>5505</v>
      </c>
      <c r="B2899" s="141">
        <v>3.2478424591435898E-3</v>
      </c>
      <c r="D2899" s="141"/>
    </row>
    <row r="2900" spans="1:4" x14ac:dyDescent="0.2">
      <c r="A2900" s="140" t="s">
        <v>1566</v>
      </c>
      <c r="B2900" s="141">
        <v>3.2471535518902301E-3</v>
      </c>
      <c r="D2900" s="141"/>
    </row>
    <row r="2901" spans="1:4" x14ac:dyDescent="0.2">
      <c r="A2901" s="140" t="s">
        <v>4029</v>
      </c>
      <c r="B2901" s="141">
        <v>3.2465156197441E-3</v>
      </c>
      <c r="D2901" s="141"/>
    </row>
    <row r="2902" spans="1:4" x14ac:dyDescent="0.2">
      <c r="A2902" s="140" t="s">
        <v>1272</v>
      </c>
      <c r="B2902" s="141">
        <v>3.2414481721629298E-3</v>
      </c>
      <c r="D2902" s="141"/>
    </row>
    <row r="2903" spans="1:4" x14ac:dyDescent="0.2">
      <c r="A2903" s="140" t="s">
        <v>7434</v>
      </c>
      <c r="B2903" s="141">
        <v>3.24051824584506E-3</v>
      </c>
      <c r="D2903" s="141"/>
    </row>
    <row r="2904" spans="1:4" x14ac:dyDescent="0.2">
      <c r="A2904" s="140" t="s">
        <v>7435</v>
      </c>
      <c r="B2904" s="141">
        <v>3.24051824584506E-3</v>
      </c>
      <c r="D2904" s="141"/>
    </row>
    <row r="2905" spans="1:4" x14ac:dyDescent="0.2">
      <c r="A2905" s="140" t="s">
        <v>7436</v>
      </c>
      <c r="B2905" s="141">
        <v>3.24051824584506E-3</v>
      </c>
      <c r="D2905" s="141"/>
    </row>
    <row r="2906" spans="1:4" x14ac:dyDescent="0.2">
      <c r="A2906" s="140" t="s">
        <v>7437</v>
      </c>
      <c r="B2906" s="141">
        <v>3.24051824584506E-3</v>
      </c>
      <c r="D2906" s="141"/>
    </row>
    <row r="2907" spans="1:4" x14ac:dyDescent="0.2">
      <c r="A2907" s="140" t="s">
        <v>3992</v>
      </c>
      <c r="B2907" s="141">
        <v>3.24051824584506E-3</v>
      </c>
      <c r="D2907" s="141"/>
    </row>
    <row r="2908" spans="1:4" x14ac:dyDescent="0.2">
      <c r="A2908" s="140" t="s">
        <v>3909</v>
      </c>
      <c r="B2908" s="141">
        <v>3.24051824584506E-3</v>
      </c>
      <c r="D2908" s="141"/>
    </row>
    <row r="2909" spans="1:4" x14ac:dyDescent="0.2">
      <c r="A2909" s="140" t="s">
        <v>1570</v>
      </c>
      <c r="B2909" s="141">
        <v>3.2396677288114E-3</v>
      </c>
      <c r="D2909" s="141"/>
    </row>
    <row r="2910" spans="1:4" x14ac:dyDescent="0.2">
      <c r="A2910" s="140" t="s">
        <v>5211</v>
      </c>
      <c r="B2910" s="141">
        <v>3.2339941207596402E-3</v>
      </c>
      <c r="D2910" s="141"/>
    </row>
    <row r="2911" spans="1:4" x14ac:dyDescent="0.2">
      <c r="A2911" s="140" t="s">
        <v>7438</v>
      </c>
      <c r="B2911" s="141">
        <v>3.2339941207596402E-3</v>
      </c>
      <c r="D2911" s="141"/>
    </row>
    <row r="2912" spans="1:4" x14ac:dyDescent="0.2">
      <c r="A2912" s="140" t="s">
        <v>7439</v>
      </c>
      <c r="B2912" s="141">
        <v>3.2339941207596402E-3</v>
      </c>
      <c r="D2912" s="141"/>
    </row>
    <row r="2913" spans="1:4" x14ac:dyDescent="0.2">
      <c r="A2913" s="140" t="s">
        <v>1908</v>
      </c>
      <c r="B2913" s="141">
        <v>3.2331843962803901E-3</v>
      </c>
      <c r="D2913" s="141"/>
    </row>
    <row r="2914" spans="1:4" x14ac:dyDescent="0.2">
      <c r="A2914" s="140" t="s">
        <v>1302</v>
      </c>
      <c r="B2914" s="141">
        <v>3.2277476402274101E-3</v>
      </c>
      <c r="D2914" s="141"/>
    </row>
    <row r="2915" spans="1:4" x14ac:dyDescent="0.2">
      <c r="A2915" s="140" t="s">
        <v>7440</v>
      </c>
      <c r="B2915" s="141">
        <v>3.2260608686602902E-3</v>
      </c>
      <c r="D2915" s="141"/>
    </row>
    <row r="2916" spans="1:4" x14ac:dyDescent="0.2">
      <c r="A2916" s="140" t="s">
        <v>3514</v>
      </c>
      <c r="B2916" s="141">
        <v>3.22042471248628E-3</v>
      </c>
      <c r="D2916" s="141"/>
    </row>
    <row r="2917" spans="1:4" x14ac:dyDescent="0.2">
      <c r="A2917" s="140" t="s">
        <v>4711</v>
      </c>
      <c r="B2917" s="141">
        <v>3.2199743325141E-3</v>
      </c>
      <c r="D2917" s="141"/>
    </row>
    <row r="2918" spans="1:4" x14ac:dyDescent="0.2">
      <c r="A2918" s="140" t="s">
        <v>2837</v>
      </c>
      <c r="B2918" s="141">
        <v>3.2199378056739E-3</v>
      </c>
      <c r="D2918" s="141"/>
    </row>
    <row r="2919" spans="1:4" x14ac:dyDescent="0.2">
      <c r="A2919" s="140" t="s">
        <v>7441</v>
      </c>
      <c r="B2919" s="141">
        <v>3.21539979394494E-3</v>
      </c>
      <c r="D2919" s="141"/>
    </row>
    <row r="2920" spans="1:4" x14ac:dyDescent="0.2">
      <c r="A2920" s="140" t="s">
        <v>7442</v>
      </c>
      <c r="B2920" s="141">
        <v>3.2146598971593298E-3</v>
      </c>
      <c r="D2920" s="141"/>
    </row>
    <row r="2921" spans="1:4" x14ac:dyDescent="0.2">
      <c r="A2921" s="140" t="s">
        <v>2161</v>
      </c>
      <c r="B2921" s="141">
        <v>3.2137230471744101E-3</v>
      </c>
      <c r="D2921" s="141"/>
    </row>
    <row r="2922" spans="1:4" x14ac:dyDescent="0.2">
      <c r="A2922" s="140" t="s">
        <v>7443</v>
      </c>
      <c r="B2922" s="141">
        <v>3.2131425252927E-3</v>
      </c>
      <c r="D2922" s="141"/>
    </row>
    <row r="2923" spans="1:4" x14ac:dyDescent="0.2">
      <c r="A2923" s="140" t="s">
        <v>2870</v>
      </c>
      <c r="B2923" s="141">
        <v>3.2073158861121599E-3</v>
      </c>
      <c r="D2923" s="141"/>
    </row>
    <row r="2924" spans="1:4" x14ac:dyDescent="0.2">
      <c r="A2924" s="140" t="s">
        <v>4998</v>
      </c>
      <c r="B2924" s="141">
        <v>3.20468555698325E-3</v>
      </c>
      <c r="D2924" s="141"/>
    </row>
    <row r="2925" spans="1:4" x14ac:dyDescent="0.2">
      <c r="A2925" s="140" t="s">
        <v>5449</v>
      </c>
      <c r="B2925" s="141">
        <v>3.1960437350849E-3</v>
      </c>
      <c r="D2925" s="141"/>
    </row>
    <row r="2926" spans="1:4" x14ac:dyDescent="0.2">
      <c r="A2926" s="140" t="s">
        <v>5184</v>
      </c>
      <c r="B2926" s="141">
        <v>3.1939813107163101E-3</v>
      </c>
      <c r="D2926" s="141"/>
    </row>
    <row r="2927" spans="1:4" x14ac:dyDescent="0.2">
      <c r="A2927" s="140" t="s">
        <v>7444</v>
      </c>
      <c r="B2927" s="141">
        <v>3.1907203437733598E-3</v>
      </c>
      <c r="D2927" s="141"/>
    </row>
    <row r="2928" spans="1:4" x14ac:dyDescent="0.2">
      <c r="A2928" s="140" t="s">
        <v>1978</v>
      </c>
      <c r="B2928" s="141">
        <v>3.1898251073476801E-3</v>
      </c>
      <c r="D2928" s="141"/>
    </row>
    <row r="2929" spans="1:4" x14ac:dyDescent="0.2">
      <c r="A2929" s="140" t="s">
        <v>3259</v>
      </c>
      <c r="B2929" s="141">
        <v>3.1891157214369399E-3</v>
      </c>
      <c r="D2929" s="141"/>
    </row>
    <row r="2930" spans="1:4" x14ac:dyDescent="0.2">
      <c r="A2930" s="140" t="s">
        <v>847</v>
      </c>
      <c r="B2930" s="141">
        <v>3.1874874300367598E-3</v>
      </c>
      <c r="D2930" s="141"/>
    </row>
    <row r="2931" spans="1:4" x14ac:dyDescent="0.2">
      <c r="A2931" s="140" t="s">
        <v>6246</v>
      </c>
      <c r="B2931" s="141">
        <v>3.1865707561462399E-3</v>
      </c>
      <c r="D2931" s="141"/>
    </row>
    <row r="2932" spans="1:4" x14ac:dyDescent="0.2">
      <c r="A2932" s="140" t="s">
        <v>4379</v>
      </c>
      <c r="B2932" s="141">
        <v>3.1800675459262399E-3</v>
      </c>
      <c r="D2932" s="141"/>
    </row>
    <row r="2933" spans="1:4" x14ac:dyDescent="0.2">
      <c r="A2933" s="140" t="s">
        <v>4827</v>
      </c>
      <c r="B2933" s="141">
        <v>3.1755790519966301E-3</v>
      </c>
      <c r="D2933" s="141"/>
    </row>
    <row r="2934" spans="1:4" x14ac:dyDescent="0.2">
      <c r="A2934" s="140" t="s">
        <v>7445</v>
      </c>
      <c r="B2934" s="141">
        <v>3.1721153860919402E-3</v>
      </c>
      <c r="D2934" s="141"/>
    </row>
    <row r="2935" spans="1:4" x14ac:dyDescent="0.2">
      <c r="A2935" s="140" t="s">
        <v>3221</v>
      </c>
      <c r="B2935" s="141">
        <v>3.1694066952594599E-3</v>
      </c>
      <c r="D2935" s="141"/>
    </row>
    <row r="2936" spans="1:4" x14ac:dyDescent="0.2">
      <c r="A2936" s="140" t="s">
        <v>7446</v>
      </c>
      <c r="B2936" s="141">
        <v>3.1640732378410202E-3</v>
      </c>
      <c r="D2936" s="141"/>
    </row>
    <row r="2937" spans="1:4" x14ac:dyDescent="0.2">
      <c r="A2937" s="140" t="s">
        <v>2908</v>
      </c>
      <c r="B2937" s="141">
        <v>3.1617741782278001E-3</v>
      </c>
      <c r="D2937" s="141"/>
    </row>
    <row r="2938" spans="1:4" x14ac:dyDescent="0.2">
      <c r="A2938" s="140" t="s">
        <v>2790</v>
      </c>
      <c r="B2938" s="141">
        <v>3.1594658758851402E-3</v>
      </c>
      <c r="D2938" s="141"/>
    </row>
    <row r="2939" spans="1:4" x14ac:dyDescent="0.2">
      <c r="A2939" s="140" t="s">
        <v>1391</v>
      </c>
      <c r="B2939" s="141">
        <v>3.1546179109751501E-3</v>
      </c>
      <c r="D2939" s="141"/>
    </row>
    <row r="2940" spans="1:4" x14ac:dyDescent="0.2">
      <c r="A2940" s="140" t="s">
        <v>3018</v>
      </c>
      <c r="B2940" s="141">
        <v>3.15084075371274E-3</v>
      </c>
      <c r="D2940" s="141"/>
    </row>
    <row r="2941" spans="1:4" x14ac:dyDescent="0.2">
      <c r="A2941" s="140" t="s">
        <v>2343</v>
      </c>
      <c r="B2941" s="141">
        <v>3.1496687689883201E-3</v>
      </c>
      <c r="D2941" s="141"/>
    </row>
    <row r="2942" spans="1:4" x14ac:dyDescent="0.2">
      <c r="A2942" s="140" t="s">
        <v>2805</v>
      </c>
      <c r="B2942" s="141">
        <v>3.1473908715153199E-3</v>
      </c>
      <c r="D2942" s="141"/>
    </row>
    <row r="2943" spans="1:4" x14ac:dyDescent="0.2">
      <c r="A2943" s="140" t="s">
        <v>3557</v>
      </c>
      <c r="B2943" s="141">
        <v>3.1457464140511099E-3</v>
      </c>
      <c r="D2943" s="141"/>
    </row>
    <row r="2944" spans="1:4" x14ac:dyDescent="0.2">
      <c r="A2944" s="140" t="s">
        <v>1815</v>
      </c>
      <c r="B2944" s="141">
        <v>3.1427606090660399E-3</v>
      </c>
      <c r="D2944" s="141"/>
    </row>
    <row r="2945" spans="1:4" x14ac:dyDescent="0.2">
      <c r="A2945" s="140" t="s">
        <v>7447</v>
      </c>
      <c r="B2945" s="141">
        <v>3.14243119741858E-3</v>
      </c>
      <c r="D2945" s="141"/>
    </row>
    <row r="2946" spans="1:4" x14ac:dyDescent="0.2">
      <c r="A2946" s="140" t="s">
        <v>3553</v>
      </c>
      <c r="B2946" s="141">
        <v>3.1373723143091601E-3</v>
      </c>
      <c r="D2946" s="141"/>
    </row>
    <row r="2947" spans="1:4" x14ac:dyDescent="0.2">
      <c r="A2947" s="140" t="s">
        <v>2862</v>
      </c>
      <c r="B2947" s="141">
        <v>3.1257095547544398E-3</v>
      </c>
      <c r="D2947" s="141"/>
    </row>
    <row r="2948" spans="1:4" x14ac:dyDescent="0.2">
      <c r="A2948" s="140" t="s">
        <v>7448</v>
      </c>
      <c r="B2948" s="141">
        <v>3.1240073197151899E-3</v>
      </c>
      <c r="D2948" s="141"/>
    </row>
    <row r="2949" spans="1:4" x14ac:dyDescent="0.2">
      <c r="A2949" s="140" t="s">
        <v>7449</v>
      </c>
      <c r="B2949" s="141">
        <v>3.1159802604274599E-3</v>
      </c>
      <c r="D2949" s="141"/>
    </row>
    <row r="2950" spans="1:4" x14ac:dyDescent="0.2">
      <c r="A2950" s="140" t="s">
        <v>5290</v>
      </c>
      <c r="B2950" s="141">
        <v>3.1159802604274599E-3</v>
      </c>
      <c r="D2950" s="141"/>
    </row>
    <row r="2951" spans="1:4" x14ac:dyDescent="0.2">
      <c r="A2951" s="140" t="s">
        <v>3661</v>
      </c>
      <c r="B2951" s="141">
        <v>3.1111733637401301E-3</v>
      </c>
      <c r="D2951" s="141"/>
    </row>
    <row r="2952" spans="1:4" x14ac:dyDescent="0.2">
      <c r="A2952" s="140" t="s">
        <v>7450</v>
      </c>
      <c r="B2952" s="141">
        <v>3.1098950738288199E-3</v>
      </c>
      <c r="D2952" s="141"/>
    </row>
    <row r="2953" spans="1:4" x14ac:dyDescent="0.2">
      <c r="A2953" s="140" t="s">
        <v>4391</v>
      </c>
      <c r="B2953" s="141">
        <v>3.1085929318398499E-3</v>
      </c>
      <c r="D2953" s="141"/>
    </row>
    <row r="2954" spans="1:4" x14ac:dyDescent="0.2">
      <c r="A2954" s="140" t="s">
        <v>1318</v>
      </c>
      <c r="B2954" s="141">
        <v>3.1067460865555701E-3</v>
      </c>
      <c r="D2954" s="141"/>
    </row>
    <row r="2955" spans="1:4" x14ac:dyDescent="0.2">
      <c r="A2955" s="140" t="s">
        <v>3234</v>
      </c>
      <c r="B2955" s="141">
        <v>3.1055568033058899E-3</v>
      </c>
      <c r="D2955" s="141"/>
    </row>
    <row r="2956" spans="1:4" x14ac:dyDescent="0.2">
      <c r="A2956" s="140" t="s">
        <v>2942</v>
      </c>
      <c r="B2956" s="141">
        <v>3.1041570227397599E-3</v>
      </c>
      <c r="D2956" s="141"/>
    </row>
    <row r="2957" spans="1:4" x14ac:dyDescent="0.2">
      <c r="A2957" s="140" t="s">
        <v>7451</v>
      </c>
      <c r="B2957" s="141">
        <v>3.09723228150943E-3</v>
      </c>
      <c r="D2957" s="141"/>
    </row>
    <row r="2958" spans="1:4" x14ac:dyDescent="0.2">
      <c r="A2958" s="140" t="s">
        <v>5721</v>
      </c>
      <c r="B2958" s="141">
        <v>3.0960425321763701E-3</v>
      </c>
      <c r="D2958" s="141"/>
    </row>
    <row r="2959" spans="1:4" x14ac:dyDescent="0.2">
      <c r="A2959" s="140" t="s">
        <v>4817</v>
      </c>
      <c r="B2959" s="141">
        <v>3.0928352043283198E-3</v>
      </c>
      <c r="D2959" s="141"/>
    </row>
    <row r="2960" spans="1:4" x14ac:dyDescent="0.2">
      <c r="A2960" s="140" t="s">
        <v>3886</v>
      </c>
      <c r="B2960" s="141">
        <v>3.08918960224602E-3</v>
      </c>
      <c r="D2960" s="141"/>
    </row>
    <row r="2961" spans="1:4" x14ac:dyDescent="0.2">
      <c r="A2961" s="140" t="s">
        <v>7452</v>
      </c>
      <c r="B2961" s="141">
        <v>3.08918960224602E-3</v>
      </c>
      <c r="D2961" s="141"/>
    </row>
    <row r="2962" spans="1:4" x14ac:dyDescent="0.2">
      <c r="A2962" s="140" t="s">
        <v>3493</v>
      </c>
      <c r="B2962" s="141">
        <v>3.08302324244608E-3</v>
      </c>
      <c r="D2962" s="141"/>
    </row>
    <row r="2963" spans="1:4" x14ac:dyDescent="0.2">
      <c r="A2963" s="140" t="s">
        <v>7453</v>
      </c>
      <c r="B2963" s="141">
        <v>3.0824748180896902E-3</v>
      </c>
      <c r="D2963" s="141"/>
    </row>
    <row r="2964" spans="1:4" x14ac:dyDescent="0.2">
      <c r="A2964" s="140" t="s">
        <v>4216</v>
      </c>
      <c r="B2964" s="141">
        <v>3.0821623894381699E-3</v>
      </c>
      <c r="D2964" s="141"/>
    </row>
    <row r="2965" spans="1:4" x14ac:dyDescent="0.2">
      <c r="A2965" s="140" t="s">
        <v>4728</v>
      </c>
      <c r="B2965" s="141">
        <v>3.0811421986517702E-3</v>
      </c>
      <c r="D2965" s="141"/>
    </row>
    <row r="2966" spans="1:4" x14ac:dyDescent="0.2">
      <c r="A2966" s="140" t="s">
        <v>7454</v>
      </c>
      <c r="B2966" s="141">
        <v>3.0783488593282798E-3</v>
      </c>
      <c r="D2966" s="141"/>
    </row>
    <row r="2967" spans="1:4" x14ac:dyDescent="0.2">
      <c r="A2967" s="140" t="s">
        <v>2991</v>
      </c>
      <c r="B2967" s="141">
        <v>3.0773327042884001E-3</v>
      </c>
      <c r="D2967" s="141"/>
    </row>
    <row r="2968" spans="1:4" x14ac:dyDescent="0.2">
      <c r="A2968" s="140" t="s">
        <v>1495</v>
      </c>
      <c r="B2968" s="141">
        <v>3.07560474810289E-3</v>
      </c>
      <c r="D2968" s="141"/>
    </row>
    <row r="2969" spans="1:4" x14ac:dyDescent="0.2">
      <c r="A2969" s="140" t="s">
        <v>3406</v>
      </c>
      <c r="B2969" s="141">
        <v>3.07477017954878E-3</v>
      </c>
      <c r="D2969" s="141"/>
    </row>
    <row r="2970" spans="1:4" x14ac:dyDescent="0.2">
      <c r="A2970" s="140" t="s">
        <v>7455</v>
      </c>
      <c r="B2970" s="141">
        <v>3.07363963261889E-3</v>
      </c>
      <c r="D2970" s="141"/>
    </row>
    <row r="2971" spans="1:4" x14ac:dyDescent="0.2">
      <c r="A2971" s="140" t="s">
        <v>5092</v>
      </c>
      <c r="B2971" s="141">
        <v>3.0690447898974798E-3</v>
      </c>
      <c r="D2971" s="141"/>
    </row>
    <row r="2972" spans="1:4" x14ac:dyDescent="0.2">
      <c r="A2972" s="140" t="s">
        <v>3856</v>
      </c>
      <c r="B2972" s="141">
        <v>3.0664328022178599E-3</v>
      </c>
      <c r="D2972" s="141"/>
    </row>
    <row r="2973" spans="1:4" x14ac:dyDescent="0.2">
      <c r="A2973" s="140" t="s">
        <v>1433</v>
      </c>
      <c r="B2973" s="141">
        <v>3.0658042040861201E-3</v>
      </c>
      <c r="D2973" s="141"/>
    </row>
    <row r="2974" spans="1:4" x14ac:dyDescent="0.2">
      <c r="A2974" s="140" t="s">
        <v>7456</v>
      </c>
      <c r="B2974" s="141">
        <v>3.0623464503348801E-3</v>
      </c>
      <c r="D2974" s="141"/>
    </row>
    <row r="2975" spans="1:4" x14ac:dyDescent="0.2">
      <c r="A2975" s="140" t="s">
        <v>3475</v>
      </c>
      <c r="B2975" s="141">
        <v>3.0623464503348801E-3</v>
      </c>
      <c r="D2975" s="141"/>
    </row>
    <row r="2976" spans="1:4" x14ac:dyDescent="0.2">
      <c r="A2976" s="140" t="s">
        <v>2278</v>
      </c>
      <c r="B2976" s="141">
        <v>3.0571927660537701E-3</v>
      </c>
      <c r="D2976" s="141"/>
    </row>
    <row r="2977" spans="1:4" x14ac:dyDescent="0.2">
      <c r="A2977" s="140" t="s">
        <v>4693</v>
      </c>
      <c r="B2977" s="141">
        <v>3.0571016986209701E-3</v>
      </c>
      <c r="D2977" s="141"/>
    </row>
    <row r="2978" spans="1:4" x14ac:dyDescent="0.2">
      <c r="A2978" s="140" t="s">
        <v>7457</v>
      </c>
      <c r="B2978" s="141">
        <v>3.0569714621099401E-3</v>
      </c>
      <c r="D2978" s="141"/>
    </row>
    <row r="2979" spans="1:4" x14ac:dyDescent="0.2">
      <c r="A2979" s="140" t="s">
        <v>2498</v>
      </c>
      <c r="B2979" s="141">
        <v>3.05560857840298E-3</v>
      </c>
      <c r="D2979" s="141"/>
    </row>
    <row r="2980" spans="1:4" x14ac:dyDescent="0.2">
      <c r="A2980" s="140" t="s">
        <v>2992</v>
      </c>
      <c r="B2980" s="141">
        <v>3.0551560803868802E-3</v>
      </c>
      <c r="D2980" s="141"/>
    </row>
    <row r="2981" spans="1:4" x14ac:dyDescent="0.2">
      <c r="A2981" s="140" t="s">
        <v>4208</v>
      </c>
      <c r="B2981" s="141">
        <v>3.04767675439298E-3</v>
      </c>
      <c r="D2981" s="141"/>
    </row>
    <row r="2982" spans="1:4" x14ac:dyDescent="0.2">
      <c r="A2982" s="140" t="s">
        <v>7458</v>
      </c>
      <c r="B2982" s="141">
        <v>3.0472497946548499E-3</v>
      </c>
      <c r="D2982" s="141"/>
    </row>
    <row r="2983" spans="1:4" x14ac:dyDescent="0.2">
      <c r="A2983" s="140" t="s">
        <v>2772</v>
      </c>
      <c r="B2983" s="141">
        <v>3.0454264470203898E-3</v>
      </c>
      <c r="D2983" s="141"/>
    </row>
    <row r="2984" spans="1:4" x14ac:dyDescent="0.2">
      <c r="A2984" s="140" t="s">
        <v>3900</v>
      </c>
      <c r="B2984" s="141">
        <v>3.03772061038406E-3</v>
      </c>
      <c r="D2984" s="141"/>
    </row>
    <row r="2985" spans="1:4" x14ac:dyDescent="0.2">
      <c r="A2985" s="140" t="s">
        <v>7459</v>
      </c>
      <c r="B2985" s="141">
        <v>3.0260645270505401E-3</v>
      </c>
      <c r="D2985" s="141"/>
    </row>
    <row r="2986" spans="1:4" x14ac:dyDescent="0.2">
      <c r="A2986" s="140" t="s">
        <v>2945</v>
      </c>
      <c r="B2986" s="141">
        <v>3.0252727500745002E-3</v>
      </c>
      <c r="D2986" s="141"/>
    </row>
    <row r="2987" spans="1:4" x14ac:dyDescent="0.2">
      <c r="A2987" s="140" t="s">
        <v>5898</v>
      </c>
      <c r="B2987" s="141">
        <v>3.0126073252703398E-3</v>
      </c>
      <c r="D2987" s="141"/>
    </row>
    <row r="2988" spans="1:4" x14ac:dyDescent="0.2">
      <c r="A2988" s="140" t="s">
        <v>7460</v>
      </c>
      <c r="B2988" s="141">
        <v>3.0092960669195999E-3</v>
      </c>
      <c r="D2988" s="141"/>
    </row>
    <row r="2989" spans="1:4" x14ac:dyDescent="0.2">
      <c r="A2989" s="140" t="s">
        <v>7461</v>
      </c>
      <c r="B2989" s="141">
        <v>3.0092960669195999E-3</v>
      </c>
      <c r="D2989" s="141"/>
    </row>
    <row r="2990" spans="1:4" x14ac:dyDescent="0.2">
      <c r="A2990" s="140" t="s">
        <v>7462</v>
      </c>
      <c r="B2990" s="141">
        <v>3.0081773126437502E-3</v>
      </c>
      <c r="D2990" s="141"/>
    </row>
    <row r="2991" spans="1:4" x14ac:dyDescent="0.2">
      <c r="A2991" s="140" t="s">
        <v>2810</v>
      </c>
      <c r="B2991" s="141">
        <v>3.00334922009371E-3</v>
      </c>
      <c r="D2991" s="141"/>
    </row>
    <row r="2992" spans="1:4" x14ac:dyDescent="0.2">
      <c r="A2992" s="140" t="s">
        <v>5477</v>
      </c>
      <c r="B2992" s="141">
        <v>3.0011809202214498E-3</v>
      </c>
      <c r="D2992" s="141"/>
    </row>
    <row r="2993" spans="1:4" x14ac:dyDescent="0.2">
      <c r="A2993" s="140" t="s">
        <v>1511</v>
      </c>
      <c r="B2993" s="141">
        <v>3.0009339627199302E-3</v>
      </c>
      <c r="D2993" s="141"/>
    </row>
    <row r="2994" spans="1:4" x14ac:dyDescent="0.2">
      <c r="A2994" s="140" t="s">
        <v>7463</v>
      </c>
      <c r="B2994" s="141">
        <v>2.99817440045192E-3</v>
      </c>
      <c r="D2994" s="141"/>
    </row>
    <row r="2995" spans="1:4" x14ac:dyDescent="0.2">
      <c r="A2995" s="140" t="s">
        <v>2998</v>
      </c>
      <c r="B2995" s="141">
        <v>2.99184122403467E-3</v>
      </c>
      <c r="D2995" s="141"/>
    </row>
    <row r="2996" spans="1:4" x14ac:dyDescent="0.2">
      <c r="A2996" s="140" t="s">
        <v>3212</v>
      </c>
      <c r="B2996" s="141">
        <v>2.9830092625189402E-3</v>
      </c>
      <c r="D2996" s="141"/>
    </row>
    <row r="2997" spans="1:4" x14ac:dyDescent="0.2">
      <c r="A2997" s="140" t="s">
        <v>7464</v>
      </c>
      <c r="B2997" s="141">
        <v>2.9814952622306701E-3</v>
      </c>
      <c r="D2997" s="141"/>
    </row>
    <row r="2998" spans="1:4" x14ac:dyDescent="0.2">
      <c r="A2998" s="140" t="s">
        <v>7465</v>
      </c>
      <c r="B2998" s="141">
        <v>2.9790214997979301E-3</v>
      </c>
      <c r="D2998" s="141"/>
    </row>
    <row r="2999" spans="1:4" x14ac:dyDescent="0.2">
      <c r="A2999" s="140" t="s">
        <v>2860</v>
      </c>
      <c r="B2999" s="141">
        <v>2.97729812062645E-3</v>
      </c>
      <c r="D2999" s="141"/>
    </row>
    <row r="3000" spans="1:4" x14ac:dyDescent="0.2">
      <c r="A3000" s="140" t="s">
        <v>5925</v>
      </c>
      <c r="B3000" s="141">
        <v>2.9706653613074002E-3</v>
      </c>
      <c r="D3000" s="141"/>
    </row>
    <row r="3001" spans="1:4" x14ac:dyDescent="0.2">
      <c r="A3001" s="140" t="s">
        <v>1131</v>
      </c>
      <c r="B3001" s="141">
        <v>2.96982920562873E-3</v>
      </c>
      <c r="D3001" s="141"/>
    </row>
    <row r="3002" spans="1:4" x14ac:dyDescent="0.2">
      <c r="A3002" s="140" t="s">
        <v>3503</v>
      </c>
      <c r="B3002" s="141">
        <v>2.9692945623148999E-3</v>
      </c>
      <c r="D3002" s="141"/>
    </row>
    <row r="3003" spans="1:4" x14ac:dyDescent="0.2">
      <c r="A3003" s="140" t="s">
        <v>4941</v>
      </c>
      <c r="B3003" s="141">
        <v>2.9689981635685199E-3</v>
      </c>
      <c r="D3003" s="141"/>
    </row>
    <row r="3004" spans="1:4" x14ac:dyDescent="0.2">
      <c r="A3004" s="140" t="s">
        <v>1985</v>
      </c>
      <c r="B3004" s="141">
        <v>2.9688743563794102E-3</v>
      </c>
      <c r="D3004" s="141"/>
    </row>
    <row r="3005" spans="1:4" x14ac:dyDescent="0.2">
      <c r="A3005" s="140" t="s">
        <v>7466</v>
      </c>
      <c r="B3005" s="141">
        <v>2.9655240926924299E-3</v>
      </c>
      <c r="D3005" s="141"/>
    </row>
    <row r="3006" spans="1:4" x14ac:dyDescent="0.2">
      <c r="A3006" s="140" t="s">
        <v>5454</v>
      </c>
      <c r="B3006" s="141">
        <v>2.9639186012742598E-3</v>
      </c>
      <c r="D3006" s="141"/>
    </row>
    <row r="3007" spans="1:4" x14ac:dyDescent="0.2">
      <c r="A3007" s="140" t="s">
        <v>1410</v>
      </c>
      <c r="B3007" s="141">
        <v>2.96371461755391E-3</v>
      </c>
      <c r="D3007" s="141"/>
    </row>
    <row r="3008" spans="1:4" x14ac:dyDescent="0.2">
      <c r="A3008" s="140" t="s">
        <v>4377</v>
      </c>
      <c r="B3008" s="141">
        <v>2.9627362937784201E-3</v>
      </c>
      <c r="D3008" s="141"/>
    </row>
    <row r="3009" spans="1:4" x14ac:dyDescent="0.2">
      <c r="A3009" s="140" t="s">
        <v>4472</v>
      </c>
      <c r="B3009" s="141">
        <v>2.96256214710767E-3</v>
      </c>
      <c r="D3009" s="141"/>
    </row>
    <row r="3010" spans="1:4" x14ac:dyDescent="0.2">
      <c r="A3010" s="140" t="s">
        <v>7467</v>
      </c>
      <c r="B3010" s="141">
        <v>2.9625591237519601E-3</v>
      </c>
      <c r="D3010" s="141"/>
    </row>
    <row r="3011" spans="1:4" x14ac:dyDescent="0.2">
      <c r="A3011" s="140" t="s">
        <v>2946</v>
      </c>
      <c r="B3011" s="141">
        <v>2.9611937666847101E-3</v>
      </c>
      <c r="D3011" s="141"/>
    </row>
    <row r="3012" spans="1:4" x14ac:dyDescent="0.2">
      <c r="A3012" s="140" t="s">
        <v>7468</v>
      </c>
      <c r="B3012" s="141">
        <v>2.9572457248819902E-3</v>
      </c>
      <c r="D3012" s="141"/>
    </row>
    <row r="3013" spans="1:4" x14ac:dyDescent="0.2">
      <c r="A3013" s="140" t="s">
        <v>1523</v>
      </c>
      <c r="B3013" s="141">
        <v>2.9522915385759301E-3</v>
      </c>
      <c r="D3013" s="141"/>
    </row>
    <row r="3014" spans="1:4" x14ac:dyDescent="0.2">
      <c r="A3014" s="140" t="s">
        <v>7469</v>
      </c>
      <c r="B3014" s="141">
        <v>2.9510459153760499E-3</v>
      </c>
      <c r="D3014" s="141"/>
    </row>
    <row r="3015" spans="1:4" x14ac:dyDescent="0.2">
      <c r="A3015" s="140" t="s">
        <v>7470</v>
      </c>
      <c r="B3015" s="141">
        <v>2.9510459153760499E-3</v>
      </c>
      <c r="D3015" s="141"/>
    </row>
    <row r="3016" spans="1:4" x14ac:dyDescent="0.2">
      <c r="A3016" s="140" t="s">
        <v>2535</v>
      </c>
      <c r="B3016" s="141">
        <v>2.9510459153760499E-3</v>
      </c>
      <c r="D3016" s="141"/>
    </row>
    <row r="3017" spans="1:4" x14ac:dyDescent="0.2">
      <c r="A3017" s="140" t="s">
        <v>7471</v>
      </c>
      <c r="B3017" s="141">
        <v>2.9510459153760499E-3</v>
      </c>
      <c r="D3017" s="141"/>
    </row>
    <row r="3018" spans="1:4" x14ac:dyDescent="0.2">
      <c r="A3018" s="140" t="s">
        <v>7472</v>
      </c>
      <c r="B3018" s="141">
        <v>2.9510459153760499E-3</v>
      </c>
      <c r="D3018" s="141"/>
    </row>
    <row r="3019" spans="1:4" x14ac:dyDescent="0.2">
      <c r="A3019" s="140" t="s">
        <v>7473</v>
      </c>
      <c r="B3019" s="141">
        <v>2.9510459153760499E-3</v>
      </c>
      <c r="D3019" s="141"/>
    </row>
    <row r="3020" spans="1:4" x14ac:dyDescent="0.2">
      <c r="A3020" s="140" t="s">
        <v>6227</v>
      </c>
      <c r="B3020" s="141">
        <v>2.9510459153760499E-3</v>
      </c>
      <c r="D3020" s="141"/>
    </row>
    <row r="3021" spans="1:4" x14ac:dyDescent="0.2">
      <c r="A3021" s="140" t="s">
        <v>6226</v>
      </c>
      <c r="B3021" s="141">
        <v>2.9510459153760499E-3</v>
      </c>
      <c r="D3021" s="141"/>
    </row>
    <row r="3022" spans="1:4" x14ac:dyDescent="0.2">
      <c r="A3022" s="140" t="s">
        <v>6234</v>
      </c>
      <c r="B3022" s="141">
        <v>2.9510459153760499E-3</v>
      </c>
      <c r="D3022" s="141"/>
    </row>
    <row r="3023" spans="1:4" x14ac:dyDescent="0.2">
      <c r="A3023" s="140" t="s">
        <v>7474</v>
      </c>
      <c r="B3023" s="141">
        <v>2.9510459153760499E-3</v>
      </c>
      <c r="D3023" s="141"/>
    </row>
    <row r="3024" spans="1:4" x14ac:dyDescent="0.2">
      <c r="A3024" s="140" t="s">
        <v>2738</v>
      </c>
      <c r="B3024" s="141">
        <v>2.9510459153760499E-3</v>
      </c>
      <c r="D3024" s="141"/>
    </row>
    <row r="3025" spans="1:4" x14ac:dyDescent="0.2">
      <c r="A3025" s="140" t="s">
        <v>7475</v>
      </c>
      <c r="B3025" s="141">
        <v>2.9510459153760499E-3</v>
      </c>
      <c r="D3025" s="141"/>
    </row>
    <row r="3026" spans="1:4" x14ac:dyDescent="0.2">
      <c r="A3026" s="140" t="s">
        <v>7476</v>
      </c>
      <c r="B3026" s="141">
        <v>2.9510459153760499E-3</v>
      </c>
      <c r="D3026" s="141"/>
    </row>
    <row r="3027" spans="1:4" x14ac:dyDescent="0.2">
      <c r="A3027" s="140" t="s">
        <v>7477</v>
      </c>
      <c r="B3027" s="141">
        <v>2.9510459153760499E-3</v>
      </c>
      <c r="D3027" s="141"/>
    </row>
    <row r="3028" spans="1:4" x14ac:dyDescent="0.2">
      <c r="A3028" s="140" t="s">
        <v>7478</v>
      </c>
      <c r="B3028" s="141">
        <v>2.9510459153760499E-3</v>
      </c>
      <c r="D3028" s="141"/>
    </row>
    <row r="3029" spans="1:4" x14ac:dyDescent="0.2">
      <c r="A3029" s="140" t="s">
        <v>1169</v>
      </c>
      <c r="B3029" s="141">
        <v>2.9510459153760499E-3</v>
      </c>
      <c r="D3029" s="141"/>
    </row>
    <row r="3030" spans="1:4" x14ac:dyDescent="0.2">
      <c r="A3030" s="140" t="s">
        <v>2729</v>
      </c>
      <c r="B3030" s="141">
        <v>2.9510459153760499E-3</v>
      </c>
      <c r="D3030" s="141"/>
    </row>
    <row r="3031" spans="1:4" x14ac:dyDescent="0.2">
      <c r="A3031" s="140" t="s">
        <v>7479</v>
      </c>
      <c r="B3031" s="141">
        <v>2.9510459153760499E-3</v>
      </c>
      <c r="D3031" s="141"/>
    </row>
    <row r="3032" spans="1:4" x14ac:dyDescent="0.2">
      <c r="A3032" s="140" t="s">
        <v>7480</v>
      </c>
      <c r="B3032" s="141">
        <v>2.9510459153760499E-3</v>
      </c>
      <c r="D3032" s="141"/>
    </row>
    <row r="3033" spans="1:4" x14ac:dyDescent="0.2">
      <c r="A3033" s="140" t="s">
        <v>7481</v>
      </c>
      <c r="B3033" s="141">
        <v>2.9510459153760499E-3</v>
      </c>
      <c r="D3033" s="141"/>
    </row>
    <row r="3034" spans="1:4" x14ac:dyDescent="0.2">
      <c r="A3034" s="140" t="s">
        <v>5445</v>
      </c>
      <c r="B3034" s="141">
        <v>2.9489480511864E-3</v>
      </c>
      <c r="D3034" s="141"/>
    </row>
    <row r="3035" spans="1:4" x14ac:dyDescent="0.2">
      <c r="A3035" s="140" t="s">
        <v>5442</v>
      </c>
      <c r="B3035" s="141">
        <v>2.9486223898038001E-3</v>
      </c>
      <c r="D3035" s="141"/>
    </row>
    <row r="3036" spans="1:4" x14ac:dyDescent="0.2">
      <c r="A3036" s="140" t="s">
        <v>7482</v>
      </c>
      <c r="B3036" s="141">
        <v>2.9470875824553901E-3</v>
      </c>
      <c r="D3036" s="141"/>
    </row>
    <row r="3037" spans="1:4" x14ac:dyDescent="0.2">
      <c r="A3037" s="140" t="s">
        <v>4432</v>
      </c>
      <c r="B3037" s="141">
        <v>2.9460880535819699E-3</v>
      </c>
      <c r="D3037" s="141"/>
    </row>
    <row r="3038" spans="1:4" x14ac:dyDescent="0.2">
      <c r="A3038" s="140" t="s">
        <v>2647</v>
      </c>
      <c r="B3038" s="141">
        <v>2.9430833262638098E-3</v>
      </c>
      <c r="D3038" s="141"/>
    </row>
    <row r="3039" spans="1:4" x14ac:dyDescent="0.2">
      <c r="A3039" s="140" t="s">
        <v>920</v>
      </c>
      <c r="B3039" s="141">
        <v>2.9409272663921998E-3</v>
      </c>
      <c r="D3039" s="141"/>
    </row>
    <row r="3040" spans="1:4" x14ac:dyDescent="0.2">
      <c r="A3040" s="140" t="s">
        <v>1193</v>
      </c>
      <c r="B3040" s="141">
        <v>2.9341794243979802E-3</v>
      </c>
      <c r="D3040" s="141"/>
    </row>
    <row r="3041" spans="1:4" x14ac:dyDescent="0.2">
      <c r="A3041" s="140" t="s">
        <v>1797</v>
      </c>
      <c r="B3041" s="141">
        <v>2.9330311221413799E-3</v>
      </c>
      <c r="D3041" s="141"/>
    </row>
    <row r="3042" spans="1:4" x14ac:dyDescent="0.2">
      <c r="A3042" s="140" t="s">
        <v>5601</v>
      </c>
      <c r="B3042" s="141">
        <v>2.9323539832547198E-3</v>
      </c>
      <c r="D3042" s="141"/>
    </row>
    <row r="3043" spans="1:4" x14ac:dyDescent="0.2">
      <c r="A3043" s="140" t="s">
        <v>5307</v>
      </c>
      <c r="B3043" s="141">
        <v>2.9273193017140598E-3</v>
      </c>
      <c r="D3043" s="141"/>
    </row>
    <row r="3044" spans="1:4" x14ac:dyDescent="0.2">
      <c r="A3044" s="140" t="s">
        <v>5157</v>
      </c>
      <c r="B3044" s="141">
        <v>2.9273193017140598E-3</v>
      </c>
      <c r="D3044" s="141"/>
    </row>
    <row r="3045" spans="1:4" x14ac:dyDescent="0.2">
      <c r="A3045" s="140" t="s">
        <v>4779</v>
      </c>
      <c r="B3045" s="141">
        <v>2.9273193017140598E-3</v>
      </c>
      <c r="D3045" s="141"/>
    </row>
    <row r="3046" spans="1:4" x14ac:dyDescent="0.2">
      <c r="A3046" s="140" t="s">
        <v>7483</v>
      </c>
      <c r="B3046" s="141">
        <v>2.9272410896929802E-3</v>
      </c>
      <c r="D3046" s="141"/>
    </row>
    <row r="3047" spans="1:4" x14ac:dyDescent="0.2">
      <c r="A3047" s="140" t="s">
        <v>7484</v>
      </c>
      <c r="B3047" s="141">
        <v>2.92678455808451E-3</v>
      </c>
      <c r="D3047" s="141"/>
    </row>
    <row r="3048" spans="1:4" x14ac:dyDescent="0.2">
      <c r="A3048" s="140" t="s">
        <v>947</v>
      </c>
      <c r="B3048" s="141">
        <v>2.9217468706102998E-3</v>
      </c>
      <c r="D3048" s="141"/>
    </row>
    <row r="3049" spans="1:4" x14ac:dyDescent="0.2">
      <c r="A3049" s="140" t="s">
        <v>7485</v>
      </c>
      <c r="B3049" s="141">
        <v>2.9097480769045901E-3</v>
      </c>
      <c r="D3049" s="141"/>
    </row>
    <row r="3050" spans="1:4" x14ac:dyDescent="0.2">
      <c r="A3050" s="140" t="s">
        <v>7486</v>
      </c>
      <c r="B3050" s="141">
        <v>2.9093760045316298E-3</v>
      </c>
      <c r="D3050" s="141"/>
    </row>
    <row r="3051" spans="1:4" x14ac:dyDescent="0.2">
      <c r="A3051" s="140" t="s">
        <v>3930</v>
      </c>
      <c r="B3051" s="141">
        <v>2.9093377760102102E-3</v>
      </c>
      <c r="D3051" s="141"/>
    </row>
    <row r="3052" spans="1:4" x14ac:dyDescent="0.2">
      <c r="A3052" s="140" t="s">
        <v>6071</v>
      </c>
      <c r="B3052" s="141">
        <v>2.9092035150876301E-3</v>
      </c>
      <c r="D3052" s="141"/>
    </row>
    <row r="3053" spans="1:4" x14ac:dyDescent="0.2">
      <c r="A3053" s="140" t="s">
        <v>2244</v>
      </c>
      <c r="B3053" s="141">
        <v>2.9082579789926201E-3</v>
      </c>
      <c r="D3053" s="141"/>
    </row>
    <row r="3054" spans="1:4" x14ac:dyDescent="0.2">
      <c r="A3054" s="140" t="s">
        <v>7487</v>
      </c>
      <c r="B3054" s="141">
        <v>2.9078413324724701E-3</v>
      </c>
      <c r="D3054" s="141"/>
    </row>
    <row r="3055" spans="1:4" x14ac:dyDescent="0.2">
      <c r="A3055" s="140" t="s">
        <v>2689</v>
      </c>
      <c r="B3055" s="141">
        <v>2.9055687989874598E-3</v>
      </c>
      <c r="D3055" s="141"/>
    </row>
    <row r="3056" spans="1:4" x14ac:dyDescent="0.2">
      <c r="A3056" s="140" t="s">
        <v>2239</v>
      </c>
      <c r="B3056" s="141">
        <v>2.9025038759642702E-3</v>
      </c>
      <c r="D3056" s="141"/>
    </row>
    <row r="3057" spans="1:4" x14ac:dyDescent="0.2">
      <c r="A3057" s="140" t="s">
        <v>7488</v>
      </c>
      <c r="B3057" s="141">
        <v>2.9017321442039901E-3</v>
      </c>
      <c r="D3057" s="141"/>
    </row>
    <row r="3058" spans="1:4" x14ac:dyDescent="0.2">
      <c r="A3058" s="140" t="s">
        <v>3570</v>
      </c>
      <c r="B3058" s="141">
        <v>2.9000244779816301E-3</v>
      </c>
      <c r="D3058" s="141"/>
    </row>
    <row r="3059" spans="1:4" x14ac:dyDescent="0.2">
      <c r="A3059" s="140" t="s">
        <v>3531</v>
      </c>
      <c r="B3059" s="141">
        <v>2.89671481762146E-3</v>
      </c>
      <c r="D3059" s="141"/>
    </row>
    <row r="3060" spans="1:4" x14ac:dyDescent="0.2">
      <c r="A3060" s="140" t="s">
        <v>2986</v>
      </c>
      <c r="B3060" s="141">
        <v>2.8956636477106201E-3</v>
      </c>
      <c r="D3060" s="141"/>
    </row>
    <row r="3061" spans="1:4" x14ac:dyDescent="0.2">
      <c r="A3061" s="140" t="s">
        <v>1305</v>
      </c>
      <c r="B3061" s="141">
        <v>2.8943688359757101E-3</v>
      </c>
      <c r="D3061" s="141"/>
    </row>
    <row r="3062" spans="1:4" x14ac:dyDescent="0.2">
      <c r="A3062" s="140" t="s">
        <v>7489</v>
      </c>
      <c r="B3062" s="141">
        <v>2.8895684254083699E-3</v>
      </c>
      <c r="D3062" s="141"/>
    </row>
    <row r="3063" spans="1:4" x14ac:dyDescent="0.2">
      <c r="A3063" s="140" t="s">
        <v>7490</v>
      </c>
      <c r="B3063" s="141">
        <v>2.88933056169715E-3</v>
      </c>
      <c r="D3063" s="141"/>
    </row>
    <row r="3064" spans="1:4" x14ac:dyDescent="0.2">
      <c r="A3064" s="140" t="s">
        <v>7491</v>
      </c>
      <c r="B3064" s="141">
        <v>2.88933056169715E-3</v>
      </c>
      <c r="D3064" s="141"/>
    </row>
    <row r="3065" spans="1:4" x14ac:dyDescent="0.2">
      <c r="A3065" s="140" t="s">
        <v>7492</v>
      </c>
      <c r="B3065" s="141">
        <v>2.88933056169715E-3</v>
      </c>
      <c r="D3065" s="141"/>
    </row>
    <row r="3066" spans="1:4" x14ac:dyDescent="0.2">
      <c r="A3066" s="140" t="s">
        <v>2994</v>
      </c>
      <c r="B3066" s="141">
        <v>2.8892860097179799E-3</v>
      </c>
      <c r="D3066" s="141"/>
    </row>
    <row r="3067" spans="1:4" x14ac:dyDescent="0.2">
      <c r="A3067" s="140" t="s">
        <v>7493</v>
      </c>
      <c r="B3067" s="141">
        <v>2.8881811424946498E-3</v>
      </c>
      <c r="D3067" s="141"/>
    </row>
    <row r="3068" spans="1:4" x14ac:dyDescent="0.2">
      <c r="A3068" s="140" t="s">
        <v>460</v>
      </c>
      <c r="B3068" s="141">
        <v>2.88366453239063E-3</v>
      </c>
      <c r="D3068" s="141"/>
    </row>
    <row r="3069" spans="1:4" x14ac:dyDescent="0.2">
      <c r="A3069" s="140" t="s">
        <v>2594</v>
      </c>
      <c r="B3069" s="141">
        <v>2.8835794888978999E-3</v>
      </c>
      <c r="D3069" s="141"/>
    </row>
    <row r="3070" spans="1:4" x14ac:dyDescent="0.2">
      <c r="A3070" s="140" t="s">
        <v>2276</v>
      </c>
      <c r="B3070" s="141">
        <v>2.8770929892285701E-3</v>
      </c>
      <c r="D3070" s="141"/>
    </row>
    <row r="3071" spans="1:4" x14ac:dyDescent="0.2">
      <c r="A3071" s="140" t="s">
        <v>7494</v>
      </c>
      <c r="B3071" s="141">
        <v>2.8750990292862599E-3</v>
      </c>
      <c r="D3071" s="141"/>
    </row>
    <row r="3072" spans="1:4" x14ac:dyDescent="0.2">
      <c r="A3072" s="140" t="s">
        <v>4026</v>
      </c>
      <c r="B3072" s="141">
        <v>2.8732971961371399E-3</v>
      </c>
      <c r="D3072" s="141"/>
    </row>
    <row r="3073" spans="1:4" x14ac:dyDescent="0.2">
      <c r="A3073" s="140" t="s">
        <v>7495</v>
      </c>
      <c r="B3073" s="141">
        <v>2.8731468391134398E-3</v>
      </c>
      <c r="D3073" s="141"/>
    </row>
    <row r="3074" spans="1:4" x14ac:dyDescent="0.2">
      <c r="A3074" s="140" t="s">
        <v>7496</v>
      </c>
      <c r="B3074" s="141">
        <v>2.8729162914239502E-3</v>
      </c>
      <c r="D3074" s="141"/>
    </row>
    <row r="3075" spans="1:4" x14ac:dyDescent="0.2">
      <c r="A3075" s="140" t="s">
        <v>7497</v>
      </c>
      <c r="B3075" s="141">
        <v>2.8703357495250101E-3</v>
      </c>
      <c r="D3075" s="141"/>
    </row>
    <row r="3076" spans="1:4" x14ac:dyDescent="0.2">
      <c r="A3076" s="140" t="s">
        <v>4687</v>
      </c>
      <c r="B3076" s="141">
        <v>2.8684100101113098E-3</v>
      </c>
      <c r="D3076" s="141"/>
    </row>
    <row r="3077" spans="1:4" x14ac:dyDescent="0.2">
      <c r="A3077" s="140" t="s">
        <v>1980</v>
      </c>
      <c r="B3077" s="141">
        <v>2.86738830820652E-3</v>
      </c>
      <c r="D3077" s="141"/>
    </row>
    <row r="3078" spans="1:4" x14ac:dyDescent="0.2">
      <c r="A3078" s="140" t="s">
        <v>1389</v>
      </c>
      <c r="B3078" s="141">
        <v>2.86619923781336E-3</v>
      </c>
      <c r="D3078" s="141"/>
    </row>
    <row r="3079" spans="1:4" x14ac:dyDescent="0.2">
      <c r="A3079" s="140" t="s">
        <v>5438</v>
      </c>
      <c r="B3079" s="141">
        <v>2.86235153853671E-3</v>
      </c>
      <c r="D3079" s="141"/>
    </row>
    <row r="3080" spans="1:4" x14ac:dyDescent="0.2">
      <c r="A3080" s="140" t="s">
        <v>1218</v>
      </c>
      <c r="B3080" s="141">
        <v>2.8611475894284501E-3</v>
      </c>
      <c r="D3080" s="141"/>
    </row>
    <row r="3081" spans="1:4" x14ac:dyDescent="0.2">
      <c r="A3081" s="140" t="s">
        <v>1290</v>
      </c>
      <c r="B3081" s="141">
        <v>2.8549429709904799E-3</v>
      </c>
      <c r="D3081" s="141"/>
    </row>
    <row r="3082" spans="1:4" x14ac:dyDescent="0.2">
      <c r="A3082" s="140" t="s">
        <v>7498</v>
      </c>
      <c r="B3082" s="141">
        <v>2.85299941986952E-3</v>
      </c>
      <c r="D3082" s="141"/>
    </row>
    <row r="3083" spans="1:4" x14ac:dyDescent="0.2">
      <c r="A3083" s="140" t="s">
        <v>5082</v>
      </c>
      <c r="B3083" s="141">
        <v>2.8510901204329602E-3</v>
      </c>
      <c r="D3083" s="141"/>
    </row>
    <row r="3084" spans="1:4" x14ac:dyDescent="0.2">
      <c r="A3084" s="140" t="s">
        <v>7499</v>
      </c>
      <c r="B3084" s="141">
        <v>2.8476032412752201E-3</v>
      </c>
      <c r="D3084" s="141"/>
    </row>
    <row r="3085" spans="1:4" x14ac:dyDescent="0.2">
      <c r="A3085" s="140" t="s">
        <v>1331</v>
      </c>
      <c r="B3085" s="141">
        <v>2.8466187274195499E-3</v>
      </c>
      <c r="D3085" s="141"/>
    </row>
    <row r="3086" spans="1:4" x14ac:dyDescent="0.2">
      <c r="A3086" s="140" t="s">
        <v>3945</v>
      </c>
      <c r="B3086" s="141">
        <v>2.8464445614699899E-3</v>
      </c>
      <c r="D3086" s="141"/>
    </row>
    <row r="3087" spans="1:4" x14ac:dyDescent="0.2">
      <c r="A3087" s="140" t="s">
        <v>2910</v>
      </c>
      <c r="B3087" s="141">
        <v>2.8460594173547299E-3</v>
      </c>
      <c r="D3087" s="141"/>
    </row>
    <row r="3088" spans="1:4" x14ac:dyDescent="0.2">
      <c r="A3088" s="140" t="s">
        <v>7500</v>
      </c>
      <c r="B3088" s="141">
        <v>2.83741897201164E-3</v>
      </c>
      <c r="D3088" s="141"/>
    </row>
    <row r="3089" spans="1:4" x14ac:dyDescent="0.2">
      <c r="A3089" s="140" t="s">
        <v>7501</v>
      </c>
      <c r="B3089" s="141">
        <v>2.8363564566697402E-3</v>
      </c>
      <c r="D3089" s="141"/>
    </row>
    <row r="3090" spans="1:4" x14ac:dyDescent="0.2">
      <c r="A3090" s="140" t="s">
        <v>2662</v>
      </c>
      <c r="B3090" s="141">
        <v>2.83537317573805E-3</v>
      </c>
      <c r="D3090" s="141"/>
    </row>
    <row r="3091" spans="1:4" x14ac:dyDescent="0.2">
      <c r="A3091" s="140" t="s">
        <v>7502</v>
      </c>
      <c r="B3091" s="141">
        <v>2.8304887990265501E-3</v>
      </c>
      <c r="D3091" s="141"/>
    </row>
    <row r="3092" spans="1:4" x14ac:dyDescent="0.2">
      <c r="A3092" s="140" t="s">
        <v>7503</v>
      </c>
      <c r="B3092" s="141">
        <v>2.8304887990265501E-3</v>
      </c>
      <c r="D3092" s="141"/>
    </row>
    <row r="3093" spans="1:4" x14ac:dyDescent="0.2">
      <c r="A3093" s="140" t="s">
        <v>7504</v>
      </c>
      <c r="B3093" s="141">
        <v>2.8304887990265501E-3</v>
      </c>
      <c r="D3093" s="141"/>
    </row>
    <row r="3094" spans="1:4" x14ac:dyDescent="0.2">
      <c r="A3094" s="140" t="s">
        <v>7505</v>
      </c>
      <c r="B3094" s="141">
        <v>2.8304887990265501E-3</v>
      </c>
      <c r="D3094" s="141"/>
    </row>
    <row r="3095" spans="1:4" x14ac:dyDescent="0.2">
      <c r="A3095" s="140" t="s">
        <v>2356</v>
      </c>
      <c r="B3095" s="141">
        <v>2.8227607721400898E-3</v>
      </c>
      <c r="D3095" s="141"/>
    </row>
    <row r="3096" spans="1:4" x14ac:dyDescent="0.2">
      <c r="A3096" s="140" t="s">
        <v>1762</v>
      </c>
      <c r="B3096" s="141">
        <v>2.8183152584750001E-3</v>
      </c>
      <c r="D3096" s="141"/>
    </row>
    <row r="3097" spans="1:4" x14ac:dyDescent="0.2">
      <c r="A3097" s="140" t="s">
        <v>6302</v>
      </c>
      <c r="B3097" s="141">
        <v>2.81394287095406E-3</v>
      </c>
      <c r="D3097" s="141"/>
    </row>
    <row r="3098" spans="1:4" x14ac:dyDescent="0.2">
      <c r="A3098" s="140" t="s">
        <v>2633</v>
      </c>
      <c r="B3098" s="141">
        <v>2.8130415274416798E-3</v>
      </c>
      <c r="D3098" s="141"/>
    </row>
    <row r="3099" spans="1:4" x14ac:dyDescent="0.2">
      <c r="A3099" s="140" t="s">
        <v>7506</v>
      </c>
      <c r="B3099" s="141">
        <v>2.8080463529068299E-3</v>
      </c>
      <c r="D3099" s="141"/>
    </row>
    <row r="3100" spans="1:4" x14ac:dyDescent="0.2">
      <c r="A3100" s="140" t="s">
        <v>685</v>
      </c>
      <c r="B3100" s="141">
        <v>2.80577936725545E-3</v>
      </c>
      <c r="D3100" s="141"/>
    </row>
    <row r="3101" spans="1:4" x14ac:dyDescent="0.2">
      <c r="A3101" s="140" t="s">
        <v>2983</v>
      </c>
      <c r="B3101" s="141">
        <v>2.7976293253305102E-3</v>
      </c>
      <c r="D3101" s="141"/>
    </row>
    <row r="3102" spans="1:4" x14ac:dyDescent="0.2">
      <c r="A3102" s="140" t="s">
        <v>3042</v>
      </c>
      <c r="B3102" s="141">
        <v>2.7970727547709101E-3</v>
      </c>
      <c r="D3102" s="141"/>
    </row>
    <row r="3103" spans="1:4" x14ac:dyDescent="0.2">
      <c r="A3103" s="140" t="s">
        <v>594</v>
      </c>
      <c r="B3103" s="141">
        <v>2.7967319278607902E-3</v>
      </c>
      <c r="D3103" s="141"/>
    </row>
    <row r="3104" spans="1:4" x14ac:dyDescent="0.2">
      <c r="A3104" s="140" t="s">
        <v>2637</v>
      </c>
      <c r="B3104" s="141">
        <v>2.7922910268375102E-3</v>
      </c>
      <c r="D3104" s="141"/>
    </row>
    <row r="3105" spans="1:4" x14ac:dyDescent="0.2">
      <c r="A3105" s="140" t="s">
        <v>1688</v>
      </c>
      <c r="B3105" s="141">
        <v>2.7915313892387899E-3</v>
      </c>
      <c r="D3105" s="141"/>
    </row>
    <row r="3106" spans="1:4" x14ac:dyDescent="0.2">
      <c r="A3106" s="140" t="s">
        <v>7507</v>
      </c>
      <c r="B3106" s="141">
        <v>2.7835467695000202E-3</v>
      </c>
      <c r="D3106" s="141"/>
    </row>
    <row r="3107" spans="1:4" x14ac:dyDescent="0.2">
      <c r="A3107" s="140" t="s">
        <v>7508</v>
      </c>
      <c r="B3107" s="141">
        <v>2.7835467695000202E-3</v>
      </c>
      <c r="D3107" s="141"/>
    </row>
    <row r="3108" spans="1:4" x14ac:dyDescent="0.2">
      <c r="A3108" s="140" t="s">
        <v>6163</v>
      </c>
      <c r="B3108" s="141">
        <v>2.78264389919607E-3</v>
      </c>
      <c r="D3108" s="141"/>
    </row>
    <row r="3109" spans="1:4" x14ac:dyDescent="0.2">
      <c r="A3109" s="140" t="s">
        <v>1981</v>
      </c>
      <c r="B3109" s="141">
        <v>2.77507915568782E-3</v>
      </c>
      <c r="D3109" s="141"/>
    </row>
    <row r="3110" spans="1:4" x14ac:dyDescent="0.2">
      <c r="A3110" s="140" t="s">
        <v>616</v>
      </c>
      <c r="B3110" s="141">
        <v>2.7648509115436098E-3</v>
      </c>
      <c r="D3110" s="141"/>
    </row>
    <row r="3111" spans="1:4" x14ac:dyDescent="0.2">
      <c r="A3111" s="140" t="s">
        <v>5316</v>
      </c>
      <c r="B3111" s="141">
        <v>2.7648222609136098E-3</v>
      </c>
      <c r="D3111" s="141"/>
    </row>
    <row r="3112" spans="1:4" x14ac:dyDescent="0.2">
      <c r="A3112" s="140" t="s">
        <v>5159</v>
      </c>
      <c r="B3112" s="141">
        <v>2.7618526192484901E-3</v>
      </c>
      <c r="D3112" s="141"/>
    </row>
    <row r="3113" spans="1:4" x14ac:dyDescent="0.2">
      <c r="A3113" s="140" t="s">
        <v>5774</v>
      </c>
      <c r="B3113" s="141">
        <v>2.7582805296086799E-3</v>
      </c>
      <c r="D3113" s="141"/>
    </row>
    <row r="3114" spans="1:4" x14ac:dyDescent="0.2">
      <c r="A3114" s="140" t="s">
        <v>3555</v>
      </c>
      <c r="B3114" s="141">
        <v>2.7549511063998402E-3</v>
      </c>
      <c r="D3114" s="141"/>
    </row>
    <row r="3115" spans="1:4" x14ac:dyDescent="0.2">
      <c r="A3115" s="140" t="s">
        <v>2984</v>
      </c>
      <c r="B3115" s="141">
        <v>2.7462205941123298E-3</v>
      </c>
      <c r="D3115" s="141"/>
    </row>
    <row r="3116" spans="1:4" x14ac:dyDescent="0.2">
      <c r="A3116" s="140" t="s">
        <v>1522</v>
      </c>
      <c r="B3116" s="141">
        <v>2.7451792622028601E-3</v>
      </c>
      <c r="D3116" s="141"/>
    </row>
    <row r="3117" spans="1:4" x14ac:dyDescent="0.2">
      <c r="A3117" s="140" t="s">
        <v>5546</v>
      </c>
      <c r="B3117" s="141">
        <v>2.7438757988839501E-3</v>
      </c>
      <c r="D3117" s="141"/>
    </row>
    <row r="3118" spans="1:4" x14ac:dyDescent="0.2">
      <c r="A3118" s="140" t="s">
        <v>2677</v>
      </c>
      <c r="B3118" s="141">
        <v>2.73927978429478E-3</v>
      </c>
      <c r="D3118" s="141"/>
    </row>
    <row r="3119" spans="1:4" x14ac:dyDescent="0.2">
      <c r="A3119" s="140" t="s">
        <v>7509</v>
      </c>
      <c r="B3119" s="141">
        <v>2.7386969753343199E-3</v>
      </c>
      <c r="D3119" s="141"/>
    </row>
    <row r="3120" spans="1:4" x14ac:dyDescent="0.2">
      <c r="A3120" s="140" t="s">
        <v>6047</v>
      </c>
      <c r="B3120" s="141">
        <v>2.7378542901860701E-3</v>
      </c>
      <c r="D3120" s="141"/>
    </row>
    <row r="3121" spans="1:4" x14ac:dyDescent="0.2">
      <c r="A3121" s="140" t="s">
        <v>4631</v>
      </c>
      <c r="B3121" s="141">
        <v>2.7366937379311399E-3</v>
      </c>
      <c r="D3121" s="141"/>
    </row>
    <row r="3122" spans="1:4" x14ac:dyDescent="0.2">
      <c r="A3122" s="140" t="s">
        <v>7510</v>
      </c>
      <c r="B3122" s="141">
        <v>2.7363749319170398E-3</v>
      </c>
      <c r="D3122" s="141"/>
    </row>
    <row r="3123" spans="1:4" x14ac:dyDescent="0.2">
      <c r="A3123" s="140" t="s">
        <v>2493</v>
      </c>
      <c r="B3123" s="141">
        <v>2.7361361706485401E-3</v>
      </c>
      <c r="D3123" s="141"/>
    </row>
    <row r="3124" spans="1:4" x14ac:dyDescent="0.2">
      <c r="A3124" s="140" t="s">
        <v>4937</v>
      </c>
      <c r="B3124" s="141">
        <v>2.7347603398879799E-3</v>
      </c>
      <c r="D3124" s="141"/>
    </row>
    <row r="3125" spans="1:4" x14ac:dyDescent="0.2">
      <c r="A3125" s="140" t="s">
        <v>3455</v>
      </c>
      <c r="B3125" s="141">
        <v>2.73471573840908E-3</v>
      </c>
      <c r="D3125" s="141"/>
    </row>
    <row r="3126" spans="1:4" x14ac:dyDescent="0.2">
      <c r="A3126" s="140" t="s">
        <v>2246</v>
      </c>
      <c r="B3126" s="141">
        <v>2.7313295166948898E-3</v>
      </c>
      <c r="D3126" s="141"/>
    </row>
    <row r="3127" spans="1:4" x14ac:dyDescent="0.2">
      <c r="A3127" s="140" t="s">
        <v>5424</v>
      </c>
      <c r="B3127" s="141">
        <v>2.7298619911736901E-3</v>
      </c>
      <c r="D3127" s="141"/>
    </row>
    <row r="3128" spans="1:4" x14ac:dyDescent="0.2">
      <c r="A3128" s="140" t="s">
        <v>1537</v>
      </c>
      <c r="B3128" s="141">
        <v>2.7223455390167801E-3</v>
      </c>
      <c r="D3128" s="141"/>
    </row>
    <row r="3129" spans="1:4" x14ac:dyDescent="0.2">
      <c r="A3129" s="140" t="s">
        <v>7511</v>
      </c>
      <c r="B3129" s="141">
        <v>2.7197259516614E-3</v>
      </c>
      <c r="D3129" s="141"/>
    </row>
    <row r="3130" spans="1:4" x14ac:dyDescent="0.2">
      <c r="A3130" s="140" t="s">
        <v>7512</v>
      </c>
      <c r="B3130" s="141">
        <v>2.71763518846246E-3</v>
      </c>
      <c r="D3130" s="141"/>
    </row>
    <row r="3131" spans="1:4" x14ac:dyDescent="0.2">
      <c r="A3131" s="140" t="s">
        <v>3579</v>
      </c>
      <c r="B3131" s="141">
        <v>2.71727586518154E-3</v>
      </c>
      <c r="D3131" s="141"/>
    </row>
    <row r="3132" spans="1:4" x14ac:dyDescent="0.2">
      <c r="A3132" s="140" t="s">
        <v>3567</v>
      </c>
      <c r="B3132" s="141">
        <v>2.7165651240398702E-3</v>
      </c>
      <c r="D3132" s="141"/>
    </row>
    <row r="3133" spans="1:4" x14ac:dyDescent="0.2">
      <c r="A3133" s="140" t="s">
        <v>7513</v>
      </c>
      <c r="B3133" s="141">
        <v>2.7138298510056098E-3</v>
      </c>
      <c r="D3133" s="141"/>
    </row>
    <row r="3134" spans="1:4" x14ac:dyDescent="0.2">
      <c r="A3134" s="140" t="s">
        <v>1642</v>
      </c>
      <c r="B3134" s="141">
        <v>2.7122861044982802E-3</v>
      </c>
      <c r="D3134" s="141"/>
    </row>
    <row r="3135" spans="1:4" x14ac:dyDescent="0.2">
      <c r="A3135" s="140" t="s">
        <v>3195</v>
      </c>
      <c r="B3135" s="141">
        <v>2.7043828069319201E-3</v>
      </c>
      <c r="D3135" s="141"/>
    </row>
    <row r="3136" spans="1:4" x14ac:dyDescent="0.2">
      <c r="A3136" s="140" t="s">
        <v>1207</v>
      </c>
      <c r="B3136" s="141">
        <v>2.7032266631341101E-3</v>
      </c>
      <c r="D3136" s="141"/>
    </row>
    <row r="3137" spans="1:4" x14ac:dyDescent="0.2">
      <c r="A3137" s="140" t="s">
        <v>5920</v>
      </c>
      <c r="B3137" s="141">
        <v>2.70275447570313E-3</v>
      </c>
      <c r="D3137" s="141"/>
    </row>
    <row r="3138" spans="1:4" x14ac:dyDescent="0.2">
      <c r="A3138" s="140" t="s">
        <v>7514</v>
      </c>
      <c r="B3138" s="141">
        <v>2.7010580242822499E-3</v>
      </c>
      <c r="D3138" s="141"/>
    </row>
    <row r="3139" spans="1:4" x14ac:dyDescent="0.2">
      <c r="A3139" s="140" t="s">
        <v>7515</v>
      </c>
      <c r="B3139" s="141">
        <v>2.6993312432872902E-3</v>
      </c>
      <c r="D3139" s="141"/>
    </row>
    <row r="3140" spans="1:4" x14ac:dyDescent="0.2">
      <c r="A3140" s="140" t="s">
        <v>1224</v>
      </c>
      <c r="B3140" s="141">
        <v>2.69708335072522E-3</v>
      </c>
      <c r="D3140" s="141"/>
    </row>
    <row r="3141" spans="1:4" x14ac:dyDescent="0.2">
      <c r="A3141" s="140" t="s">
        <v>2112</v>
      </c>
      <c r="B3141" s="141">
        <v>2.6942503837069798E-3</v>
      </c>
      <c r="D3141" s="141"/>
    </row>
    <row r="3142" spans="1:4" x14ac:dyDescent="0.2">
      <c r="A3142" s="140" t="s">
        <v>2835</v>
      </c>
      <c r="B3142" s="141">
        <v>2.6928533786610702E-3</v>
      </c>
      <c r="D3142" s="141"/>
    </row>
    <row r="3143" spans="1:4" x14ac:dyDescent="0.2">
      <c r="A3143" s="140" t="s">
        <v>5135</v>
      </c>
      <c r="B3143" s="141">
        <v>2.6912754687529799E-3</v>
      </c>
      <c r="D3143" s="141"/>
    </row>
    <row r="3144" spans="1:4" x14ac:dyDescent="0.2">
      <c r="A3144" s="140" t="s">
        <v>2605</v>
      </c>
      <c r="B3144" s="141">
        <v>2.6848858979523099E-3</v>
      </c>
      <c r="D3144" s="141"/>
    </row>
    <row r="3145" spans="1:4" x14ac:dyDescent="0.2">
      <c r="A3145" s="140" t="s">
        <v>7516</v>
      </c>
      <c r="B3145" s="141">
        <v>2.6792264805018599E-3</v>
      </c>
      <c r="D3145" s="141"/>
    </row>
    <row r="3146" spans="1:4" x14ac:dyDescent="0.2">
      <c r="A3146" s="140" t="s">
        <v>2549</v>
      </c>
      <c r="B3146" s="141">
        <v>2.6784025271641798E-3</v>
      </c>
      <c r="D3146" s="141"/>
    </row>
    <row r="3147" spans="1:4" x14ac:dyDescent="0.2">
      <c r="A3147" s="140" t="s">
        <v>7517</v>
      </c>
      <c r="B3147" s="141">
        <v>2.6774563762014501E-3</v>
      </c>
      <c r="D3147" s="141"/>
    </row>
    <row r="3148" spans="1:4" x14ac:dyDescent="0.2">
      <c r="A3148" s="140" t="s">
        <v>5245</v>
      </c>
      <c r="B3148" s="141">
        <v>2.6750485000980699E-3</v>
      </c>
      <c r="D3148" s="141"/>
    </row>
    <row r="3149" spans="1:4" x14ac:dyDescent="0.2">
      <c r="A3149" s="140" t="s">
        <v>7518</v>
      </c>
      <c r="B3149" s="141">
        <v>2.6745441823780199E-3</v>
      </c>
      <c r="D3149" s="141"/>
    </row>
    <row r="3150" spans="1:4" x14ac:dyDescent="0.2">
      <c r="A3150" s="140" t="s">
        <v>7519</v>
      </c>
      <c r="B3150" s="141">
        <v>2.6745441823780199E-3</v>
      </c>
      <c r="D3150" s="141"/>
    </row>
    <row r="3151" spans="1:4" x14ac:dyDescent="0.2">
      <c r="A3151" s="140" t="s">
        <v>7520</v>
      </c>
      <c r="B3151" s="141">
        <v>2.6745441823780199E-3</v>
      </c>
      <c r="D3151" s="141"/>
    </row>
    <row r="3152" spans="1:4" x14ac:dyDescent="0.2">
      <c r="A3152" s="140" t="s">
        <v>7521</v>
      </c>
      <c r="B3152" s="141">
        <v>2.6745441823780199E-3</v>
      </c>
      <c r="D3152" s="141"/>
    </row>
    <row r="3153" spans="1:4" x14ac:dyDescent="0.2">
      <c r="A3153" s="140" t="s">
        <v>7522</v>
      </c>
      <c r="B3153" s="141">
        <v>2.6745441823780199E-3</v>
      </c>
      <c r="D3153" s="141"/>
    </row>
    <row r="3154" spans="1:4" x14ac:dyDescent="0.2">
      <c r="A3154" s="140" t="s">
        <v>7523</v>
      </c>
      <c r="B3154" s="141">
        <v>2.6745441823780199E-3</v>
      </c>
      <c r="D3154" s="141"/>
    </row>
    <row r="3155" spans="1:4" x14ac:dyDescent="0.2">
      <c r="A3155" s="140" t="s">
        <v>7524</v>
      </c>
      <c r="B3155" s="141">
        <v>2.6745441823780199E-3</v>
      </c>
      <c r="D3155" s="141"/>
    </row>
    <row r="3156" spans="1:4" x14ac:dyDescent="0.2">
      <c r="A3156" s="140" t="s">
        <v>7525</v>
      </c>
      <c r="B3156" s="141">
        <v>2.6745441823780199E-3</v>
      </c>
      <c r="D3156" s="141"/>
    </row>
    <row r="3157" spans="1:4" x14ac:dyDescent="0.2">
      <c r="A3157" s="140" t="s">
        <v>7526</v>
      </c>
      <c r="B3157" s="141">
        <v>2.6745441823780199E-3</v>
      </c>
      <c r="D3157" s="141"/>
    </row>
    <row r="3158" spans="1:4" x14ac:dyDescent="0.2">
      <c r="A3158" s="140" t="s">
        <v>7527</v>
      </c>
      <c r="B3158" s="141">
        <v>2.6745441823780199E-3</v>
      </c>
      <c r="D3158" s="141"/>
    </row>
    <row r="3159" spans="1:4" x14ac:dyDescent="0.2">
      <c r="A3159" s="140" t="s">
        <v>7528</v>
      </c>
      <c r="B3159" s="141">
        <v>2.6745441823780199E-3</v>
      </c>
      <c r="D3159" s="141"/>
    </row>
    <row r="3160" spans="1:4" x14ac:dyDescent="0.2">
      <c r="A3160" s="140" t="s">
        <v>6048</v>
      </c>
      <c r="B3160" s="141">
        <v>2.6670835375877402E-3</v>
      </c>
      <c r="D3160" s="141"/>
    </row>
    <row r="3161" spans="1:4" x14ac:dyDescent="0.2">
      <c r="A3161" s="140" t="s">
        <v>3434</v>
      </c>
      <c r="B3161" s="141">
        <v>2.6639399126555398E-3</v>
      </c>
      <c r="D3161" s="141"/>
    </row>
    <row r="3162" spans="1:4" x14ac:dyDescent="0.2">
      <c r="A3162" s="140" t="s">
        <v>4341</v>
      </c>
      <c r="B3162" s="141">
        <v>2.6624653242984801E-3</v>
      </c>
      <c r="D3162" s="141"/>
    </row>
    <row r="3163" spans="1:4" x14ac:dyDescent="0.2">
      <c r="A3163" s="140" t="s">
        <v>7529</v>
      </c>
      <c r="B3163" s="141">
        <v>2.6587456139653301E-3</v>
      </c>
      <c r="D3163" s="141"/>
    </row>
    <row r="3164" spans="1:4" x14ac:dyDescent="0.2">
      <c r="A3164" s="140" t="s">
        <v>7530</v>
      </c>
      <c r="B3164" s="141">
        <v>2.6582891306625302E-3</v>
      </c>
      <c r="D3164" s="141"/>
    </row>
    <row r="3165" spans="1:4" x14ac:dyDescent="0.2">
      <c r="A3165" s="140" t="s">
        <v>7531</v>
      </c>
      <c r="B3165" s="141">
        <v>2.6532051190355098E-3</v>
      </c>
      <c r="D3165" s="141"/>
    </row>
    <row r="3166" spans="1:4" x14ac:dyDescent="0.2">
      <c r="A3166" s="140" t="s">
        <v>3232</v>
      </c>
      <c r="B3166" s="141">
        <v>2.6501224121495402E-3</v>
      </c>
      <c r="D3166" s="141"/>
    </row>
    <row r="3167" spans="1:4" x14ac:dyDescent="0.2">
      <c r="A3167" s="140" t="s">
        <v>4592</v>
      </c>
      <c r="B3167" s="141">
        <v>2.6432339308725501E-3</v>
      </c>
      <c r="D3167" s="141"/>
    </row>
    <row r="3168" spans="1:4" x14ac:dyDescent="0.2">
      <c r="A3168" s="140" t="s">
        <v>7532</v>
      </c>
      <c r="B3168" s="141">
        <v>2.6423494196399699E-3</v>
      </c>
      <c r="D3168" s="141"/>
    </row>
    <row r="3169" spans="1:4" x14ac:dyDescent="0.2">
      <c r="A3169" s="140" t="s">
        <v>5450</v>
      </c>
      <c r="B3169" s="141">
        <v>2.63901844161454E-3</v>
      </c>
      <c r="D3169" s="141"/>
    </row>
    <row r="3170" spans="1:4" x14ac:dyDescent="0.2">
      <c r="A3170" s="140" t="s">
        <v>3348</v>
      </c>
      <c r="B3170" s="141">
        <v>2.6344376644795399E-3</v>
      </c>
      <c r="D3170" s="141"/>
    </row>
    <row r="3171" spans="1:4" x14ac:dyDescent="0.2">
      <c r="A3171" s="140" t="s">
        <v>4826</v>
      </c>
      <c r="B3171" s="141">
        <v>2.6343715476747501E-3</v>
      </c>
      <c r="D3171" s="141"/>
    </row>
    <row r="3172" spans="1:4" x14ac:dyDescent="0.2">
      <c r="A3172" s="140" t="s">
        <v>3350</v>
      </c>
      <c r="B3172" s="141">
        <v>2.6324967949575102E-3</v>
      </c>
      <c r="D3172" s="141"/>
    </row>
    <row r="3173" spans="1:4" x14ac:dyDescent="0.2">
      <c r="A3173" s="140" t="s">
        <v>7533</v>
      </c>
      <c r="B3173" s="141">
        <v>2.6318787507806098E-3</v>
      </c>
      <c r="D3173" s="141"/>
    </row>
    <row r="3174" spans="1:4" x14ac:dyDescent="0.2">
      <c r="A3174" s="140" t="s">
        <v>2044</v>
      </c>
      <c r="B3174" s="141">
        <v>2.6312394502773198E-3</v>
      </c>
      <c r="D3174" s="141"/>
    </row>
    <row r="3175" spans="1:4" x14ac:dyDescent="0.2">
      <c r="A3175" s="140" t="s">
        <v>4256</v>
      </c>
      <c r="B3175" s="141">
        <v>2.62698606052189E-3</v>
      </c>
      <c r="D3175" s="141"/>
    </row>
    <row r="3176" spans="1:4" x14ac:dyDescent="0.2">
      <c r="A3176" s="140" t="s">
        <v>1061</v>
      </c>
      <c r="B3176" s="141">
        <v>2.6227343921417698E-3</v>
      </c>
      <c r="D3176" s="141"/>
    </row>
    <row r="3177" spans="1:4" x14ac:dyDescent="0.2">
      <c r="A3177" s="140" t="s">
        <v>5130</v>
      </c>
      <c r="B3177" s="141">
        <v>2.6226411343515501E-3</v>
      </c>
      <c r="D3177" s="141"/>
    </row>
    <row r="3178" spans="1:4" x14ac:dyDescent="0.2">
      <c r="A3178" s="140" t="s">
        <v>4453</v>
      </c>
      <c r="B3178" s="141">
        <v>2.62025615515879E-3</v>
      </c>
      <c r="D3178" s="141"/>
    </row>
    <row r="3179" spans="1:4" x14ac:dyDescent="0.2">
      <c r="A3179" s="140" t="s">
        <v>7534</v>
      </c>
      <c r="B3179" s="141">
        <v>2.61844715697113E-3</v>
      </c>
      <c r="D3179" s="141"/>
    </row>
    <row r="3180" spans="1:4" x14ac:dyDescent="0.2">
      <c r="A3180" s="140" t="s">
        <v>5060</v>
      </c>
      <c r="B3180" s="141">
        <v>2.6169015859149698E-3</v>
      </c>
      <c r="D3180" s="141"/>
    </row>
    <row r="3181" spans="1:4" x14ac:dyDescent="0.2">
      <c r="A3181" s="140" t="s">
        <v>1345</v>
      </c>
      <c r="B3181" s="141">
        <v>2.6165072204996699E-3</v>
      </c>
      <c r="D3181" s="141"/>
    </row>
    <row r="3182" spans="1:4" x14ac:dyDescent="0.2">
      <c r="A3182" s="140" t="s">
        <v>2948</v>
      </c>
      <c r="B3182" s="141">
        <v>2.6150646132437E-3</v>
      </c>
      <c r="D3182" s="141"/>
    </row>
    <row r="3183" spans="1:4" x14ac:dyDescent="0.2">
      <c r="A3183" s="140" t="s">
        <v>7535</v>
      </c>
      <c r="B3183" s="141">
        <v>2.6127406879766098E-3</v>
      </c>
      <c r="D3183" s="141"/>
    </row>
    <row r="3184" spans="1:4" x14ac:dyDescent="0.2">
      <c r="A3184" s="140" t="s">
        <v>7536</v>
      </c>
      <c r="B3184" s="141">
        <v>2.6127406879766098E-3</v>
      </c>
      <c r="D3184" s="141"/>
    </row>
    <row r="3185" spans="1:4" x14ac:dyDescent="0.2">
      <c r="A3185" s="140" t="s">
        <v>7537</v>
      </c>
      <c r="B3185" s="141">
        <v>2.6127406879766098E-3</v>
      </c>
      <c r="D3185" s="141"/>
    </row>
    <row r="3186" spans="1:4" x14ac:dyDescent="0.2">
      <c r="A3186" s="140" t="s">
        <v>3762</v>
      </c>
      <c r="B3186" s="141">
        <v>2.6127406879766098E-3</v>
      </c>
      <c r="D3186" s="141"/>
    </row>
    <row r="3187" spans="1:4" x14ac:dyDescent="0.2">
      <c r="A3187" s="140" t="s">
        <v>2952</v>
      </c>
      <c r="B3187" s="141">
        <v>2.6107689187584099E-3</v>
      </c>
      <c r="D3187" s="141"/>
    </row>
    <row r="3188" spans="1:4" x14ac:dyDescent="0.2">
      <c r="A3188" s="140" t="s">
        <v>7538</v>
      </c>
      <c r="B3188" s="141">
        <v>2.6059701439412001E-3</v>
      </c>
      <c r="D3188" s="141"/>
    </row>
    <row r="3189" spans="1:4" x14ac:dyDescent="0.2">
      <c r="A3189" s="140" t="s">
        <v>7539</v>
      </c>
      <c r="B3189" s="141">
        <v>2.60237078572686E-3</v>
      </c>
      <c r="D3189" s="141"/>
    </row>
    <row r="3190" spans="1:4" x14ac:dyDescent="0.2">
      <c r="A3190" s="140" t="s">
        <v>7540</v>
      </c>
      <c r="B3190" s="141">
        <v>2.60237078572686E-3</v>
      </c>
      <c r="D3190" s="141"/>
    </row>
    <row r="3191" spans="1:4" x14ac:dyDescent="0.2">
      <c r="A3191" s="140" t="s">
        <v>7541</v>
      </c>
      <c r="B3191" s="141">
        <v>2.60237078572686E-3</v>
      </c>
      <c r="D3191" s="141"/>
    </row>
    <row r="3192" spans="1:4" x14ac:dyDescent="0.2">
      <c r="A3192" s="140" t="s">
        <v>7542</v>
      </c>
      <c r="B3192" s="141">
        <v>2.60237078572686E-3</v>
      </c>
      <c r="D3192" s="141"/>
    </row>
    <row r="3193" spans="1:4" x14ac:dyDescent="0.2">
      <c r="A3193" s="140" t="s">
        <v>7543</v>
      </c>
      <c r="B3193" s="141">
        <v>2.60237078572686E-3</v>
      </c>
      <c r="D3193" s="141"/>
    </row>
    <row r="3194" spans="1:4" x14ac:dyDescent="0.2">
      <c r="A3194" s="140" t="s">
        <v>5895</v>
      </c>
      <c r="B3194" s="141">
        <v>2.6015938493584401E-3</v>
      </c>
      <c r="D3194" s="141"/>
    </row>
    <row r="3195" spans="1:4" x14ac:dyDescent="0.2">
      <c r="A3195" s="140" t="s">
        <v>7544</v>
      </c>
      <c r="B3195" s="141">
        <v>2.5957408585702102E-3</v>
      </c>
      <c r="D3195" s="141"/>
    </row>
    <row r="3196" spans="1:4" x14ac:dyDescent="0.2">
      <c r="A3196" s="140" t="s">
        <v>1858</v>
      </c>
      <c r="B3196" s="141">
        <v>2.5914474439574201E-3</v>
      </c>
      <c r="D3196" s="141"/>
    </row>
    <row r="3197" spans="1:4" x14ac:dyDescent="0.2">
      <c r="A3197" s="140" t="s">
        <v>2883</v>
      </c>
      <c r="B3197" s="141">
        <v>2.59092453808032E-3</v>
      </c>
      <c r="D3197" s="141"/>
    </row>
    <row r="3198" spans="1:4" x14ac:dyDescent="0.2">
      <c r="A3198" s="140" t="s">
        <v>2500</v>
      </c>
      <c r="B3198" s="141">
        <v>2.5890465075695699E-3</v>
      </c>
      <c r="D3198" s="141"/>
    </row>
    <row r="3199" spans="1:4" x14ac:dyDescent="0.2">
      <c r="A3199" s="140" t="s">
        <v>2798</v>
      </c>
      <c r="B3199" s="141">
        <v>2.5850785512079701E-3</v>
      </c>
      <c r="D3199" s="141"/>
    </row>
    <row r="3200" spans="1:4" x14ac:dyDescent="0.2">
      <c r="A3200" s="140" t="s">
        <v>2525</v>
      </c>
      <c r="B3200" s="141">
        <v>2.5848932744530701E-3</v>
      </c>
      <c r="D3200" s="141"/>
    </row>
    <row r="3201" spans="1:4" x14ac:dyDescent="0.2">
      <c r="A3201" s="140" t="s">
        <v>1984</v>
      </c>
      <c r="B3201" s="141">
        <v>2.5847943793197198E-3</v>
      </c>
      <c r="D3201" s="141"/>
    </row>
    <row r="3202" spans="1:4" x14ac:dyDescent="0.2">
      <c r="A3202" s="140" t="s">
        <v>7545</v>
      </c>
      <c r="B3202" s="141">
        <v>2.57552124412503E-3</v>
      </c>
      <c r="D3202" s="141"/>
    </row>
    <row r="3203" spans="1:4" x14ac:dyDescent="0.2">
      <c r="A3203" s="140" t="s">
        <v>4667</v>
      </c>
      <c r="B3203" s="141">
        <v>2.5744660643645702E-3</v>
      </c>
      <c r="D3203" s="141"/>
    </row>
    <row r="3204" spans="1:4" x14ac:dyDescent="0.2">
      <c r="A3204" s="140" t="s">
        <v>5990</v>
      </c>
      <c r="B3204" s="141">
        <v>2.5710324745242602E-3</v>
      </c>
      <c r="D3204" s="141"/>
    </row>
    <row r="3205" spans="1:4" x14ac:dyDescent="0.2">
      <c r="A3205" s="140" t="s">
        <v>1906</v>
      </c>
      <c r="B3205" s="141">
        <v>2.5700095704715999E-3</v>
      </c>
      <c r="D3205" s="141"/>
    </row>
    <row r="3206" spans="1:4" x14ac:dyDescent="0.2">
      <c r="A3206" s="140" t="s">
        <v>5915</v>
      </c>
      <c r="B3206" s="141">
        <v>2.5693438375506699E-3</v>
      </c>
      <c r="D3206" s="141"/>
    </row>
    <row r="3207" spans="1:4" x14ac:dyDescent="0.2">
      <c r="A3207" s="140" t="s">
        <v>7546</v>
      </c>
      <c r="B3207" s="141">
        <v>2.5693438375506699E-3</v>
      </c>
      <c r="D3207" s="141"/>
    </row>
    <row r="3208" spans="1:4" x14ac:dyDescent="0.2">
      <c r="A3208" s="140" t="s">
        <v>4364</v>
      </c>
      <c r="B3208" s="141">
        <v>2.5693438375506699E-3</v>
      </c>
      <c r="D3208" s="141"/>
    </row>
    <row r="3209" spans="1:4" x14ac:dyDescent="0.2">
      <c r="A3209" s="140" t="s">
        <v>6005</v>
      </c>
      <c r="B3209" s="141">
        <v>2.5654352224770498E-3</v>
      </c>
      <c r="D3209" s="141"/>
    </row>
    <row r="3210" spans="1:4" x14ac:dyDescent="0.2">
      <c r="A3210" s="140" t="s">
        <v>3156</v>
      </c>
      <c r="B3210" s="141">
        <v>2.5654352224770498E-3</v>
      </c>
      <c r="D3210" s="141"/>
    </row>
    <row r="3211" spans="1:4" x14ac:dyDescent="0.2">
      <c r="A3211" s="140" t="s">
        <v>7547</v>
      </c>
      <c r="B3211" s="141">
        <v>2.5646786169530702E-3</v>
      </c>
      <c r="D3211" s="141"/>
    </row>
    <row r="3212" spans="1:4" x14ac:dyDescent="0.2">
      <c r="A3212" s="140" t="s">
        <v>7548</v>
      </c>
      <c r="B3212" s="141">
        <v>2.5642963482898698E-3</v>
      </c>
      <c r="D3212" s="141"/>
    </row>
    <row r="3213" spans="1:4" x14ac:dyDescent="0.2">
      <c r="A3213" s="140" t="s">
        <v>7549</v>
      </c>
      <c r="B3213" s="141">
        <v>2.5623651158604502E-3</v>
      </c>
      <c r="D3213" s="141"/>
    </row>
    <row r="3214" spans="1:4" x14ac:dyDescent="0.2">
      <c r="A3214" s="140" t="s">
        <v>2272</v>
      </c>
      <c r="B3214" s="141">
        <v>2.5601532102941102E-3</v>
      </c>
      <c r="D3214" s="141"/>
    </row>
    <row r="3215" spans="1:4" x14ac:dyDescent="0.2">
      <c r="A3215" s="140" t="s">
        <v>2840</v>
      </c>
      <c r="B3215" s="141">
        <v>2.56011764165027E-3</v>
      </c>
      <c r="D3215" s="141"/>
    </row>
    <row r="3216" spans="1:4" x14ac:dyDescent="0.2">
      <c r="A3216" s="140" t="s">
        <v>1151</v>
      </c>
      <c r="B3216" s="141">
        <v>2.5592794638929599E-3</v>
      </c>
      <c r="D3216" s="141"/>
    </row>
    <row r="3217" spans="1:4" x14ac:dyDescent="0.2">
      <c r="A3217" s="140" t="s">
        <v>7550</v>
      </c>
      <c r="B3217" s="141">
        <v>2.5560604118985298E-3</v>
      </c>
      <c r="D3217" s="141"/>
    </row>
    <row r="3218" spans="1:4" x14ac:dyDescent="0.2">
      <c r="A3218" s="140" t="s">
        <v>7551</v>
      </c>
      <c r="B3218" s="141">
        <v>2.5553110498876502E-3</v>
      </c>
      <c r="D3218" s="141"/>
    </row>
    <row r="3219" spans="1:4" x14ac:dyDescent="0.2">
      <c r="A3219" s="140" t="s">
        <v>1829</v>
      </c>
      <c r="B3219" s="141">
        <v>2.5495396762184402E-3</v>
      </c>
      <c r="D3219" s="141"/>
    </row>
    <row r="3220" spans="1:4" x14ac:dyDescent="0.2">
      <c r="A3220" s="140" t="s">
        <v>2160</v>
      </c>
      <c r="B3220" s="141">
        <v>2.5494715693763301E-3</v>
      </c>
      <c r="D3220" s="141"/>
    </row>
    <row r="3221" spans="1:4" x14ac:dyDescent="0.2">
      <c r="A3221" s="140" t="s">
        <v>4102</v>
      </c>
      <c r="B3221" s="141">
        <v>2.5451285287042499E-3</v>
      </c>
      <c r="D3221" s="141"/>
    </row>
    <row r="3222" spans="1:4" x14ac:dyDescent="0.2">
      <c r="A3222" s="140" t="s">
        <v>5756</v>
      </c>
      <c r="B3222" s="141">
        <v>2.54456589124245E-3</v>
      </c>
      <c r="D3222" s="141"/>
    </row>
    <row r="3223" spans="1:4" x14ac:dyDescent="0.2">
      <c r="A3223" s="140" t="s">
        <v>2560</v>
      </c>
      <c r="B3223" s="141">
        <v>2.54384472008256E-3</v>
      </c>
      <c r="D3223" s="141"/>
    </row>
    <row r="3224" spans="1:4" x14ac:dyDescent="0.2">
      <c r="A3224" s="140" t="s">
        <v>7552</v>
      </c>
      <c r="B3224" s="141">
        <v>2.5406637159530298E-3</v>
      </c>
      <c r="D3224" s="141"/>
    </row>
    <row r="3225" spans="1:4" x14ac:dyDescent="0.2">
      <c r="A3225" s="140" t="s">
        <v>7553</v>
      </c>
      <c r="B3225" s="141">
        <v>2.5404546811589501E-3</v>
      </c>
      <c r="D3225" s="141"/>
    </row>
    <row r="3226" spans="1:4" x14ac:dyDescent="0.2">
      <c r="A3226" s="140" t="s">
        <v>1521</v>
      </c>
      <c r="B3226" s="141">
        <v>2.5374776231821298E-3</v>
      </c>
      <c r="D3226" s="141"/>
    </row>
    <row r="3227" spans="1:4" x14ac:dyDescent="0.2">
      <c r="A3227" s="140" t="s">
        <v>2875</v>
      </c>
      <c r="B3227" s="141">
        <v>2.5364076170626502E-3</v>
      </c>
      <c r="D3227" s="141"/>
    </row>
    <row r="3228" spans="1:4" x14ac:dyDescent="0.2">
      <c r="A3228" s="140" t="s">
        <v>7554</v>
      </c>
      <c r="B3228" s="141">
        <v>2.5353670173781599E-3</v>
      </c>
      <c r="D3228" s="141"/>
    </row>
    <row r="3229" spans="1:4" x14ac:dyDescent="0.2">
      <c r="A3229" s="140" t="s">
        <v>5485</v>
      </c>
      <c r="B3229" s="141">
        <v>2.53180247043915E-3</v>
      </c>
      <c r="D3229" s="141"/>
    </row>
    <row r="3230" spans="1:4" x14ac:dyDescent="0.2">
      <c r="A3230" s="140" t="s">
        <v>7555</v>
      </c>
      <c r="B3230" s="141">
        <v>2.53173046777088E-3</v>
      </c>
      <c r="D3230" s="141"/>
    </row>
    <row r="3231" spans="1:4" x14ac:dyDescent="0.2">
      <c r="A3231" s="140" t="s">
        <v>5941</v>
      </c>
      <c r="B3231" s="141">
        <v>2.5283381764612698E-3</v>
      </c>
      <c r="D3231" s="141"/>
    </row>
    <row r="3232" spans="1:4" x14ac:dyDescent="0.2">
      <c r="A3232" s="140" t="s">
        <v>7556</v>
      </c>
      <c r="B3232" s="141">
        <v>2.5281091826617999E-3</v>
      </c>
      <c r="D3232" s="141"/>
    </row>
    <row r="3233" spans="1:4" x14ac:dyDescent="0.2">
      <c r="A3233" s="140" t="s">
        <v>7557</v>
      </c>
      <c r="B3233" s="141">
        <v>2.5246434194795202E-3</v>
      </c>
      <c r="D3233" s="141"/>
    </row>
    <row r="3234" spans="1:4" x14ac:dyDescent="0.2">
      <c r="A3234" s="140" t="s">
        <v>6177</v>
      </c>
      <c r="B3234" s="141">
        <v>2.5223880805062501E-3</v>
      </c>
      <c r="D3234" s="141"/>
    </row>
    <row r="3235" spans="1:4" x14ac:dyDescent="0.2">
      <c r="A3235" s="140" t="s">
        <v>3582</v>
      </c>
      <c r="B3235" s="141">
        <v>2.5187567162768799E-3</v>
      </c>
      <c r="D3235" s="141"/>
    </row>
    <row r="3236" spans="1:4" x14ac:dyDescent="0.2">
      <c r="A3236" s="140" t="s">
        <v>7558</v>
      </c>
      <c r="B3236" s="141">
        <v>2.5178804075307501E-3</v>
      </c>
      <c r="D3236" s="141"/>
    </row>
    <row r="3237" spans="1:4" x14ac:dyDescent="0.2">
      <c r="A3237" s="140" t="s">
        <v>6045</v>
      </c>
      <c r="B3237" s="141">
        <v>2.5161053168544899E-3</v>
      </c>
      <c r="D3237" s="141"/>
    </row>
    <row r="3238" spans="1:4" x14ac:dyDescent="0.2">
      <c r="A3238" s="140" t="s">
        <v>4103</v>
      </c>
      <c r="B3238" s="141">
        <v>2.5132962874751001E-3</v>
      </c>
      <c r="D3238" s="141"/>
    </row>
    <row r="3239" spans="1:4" x14ac:dyDescent="0.2">
      <c r="A3239" s="140" t="s">
        <v>4492</v>
      </c>
      <c r="B3239" s="141">
        <v>2.5116304452227102E-3</v>
      </c>
      <c r="D3239" s="141"/>
    </row>
    <row r="3240" spans="1:4" x14ac:dyDescent="0.2">
      <c r="A3240" s="140" t="s">
        <v>4365</v>
      </c>
      <c r="B3240" s="141">
        <v>2.5107072229809701E-3</v>
      </c>
      <c r="D3240" s="141"/>
    </row>
    <row r="3241" spans="1:4" x14ac:dyDescent="0.2">
      <c r="A3241" s="140" t="s">
        <v>7559</v>
      </c>
      <c r="B3241" s="141">
        <v>2.5103691445898398E-3</v>
      </c>
      <c r="D3241" s="141"/>
    </row>
    <row r="3242" spans="1:4" x14ac:dyDescent="0.2">
      <c r="A3242" s="140" t="s">
        <v>5587</v>
      </c>
      <c r="B3242" s="141">
        <v>2.5042550157894001E-3</v>
      </c>
      <c r="D3242" s="141"/>
    </row>
    <row r="3243" spans="1:4" x14ac:dyDescent="0.2">
      <c r="A3243" s="140" t="s">
        <v>7560</v>
      </c>
      <c r="B3243" s="141">
        <v>2.5042550157894001E-3</v>
      </c>
      <c r="D3243" s="141"/>
    </row>
    <row r="3244" spans="1:4" x14ac:dyDescent="0.2">
      <c r="A3244" s="140" t="s">
        <v>5726</v>
      </c>
      <c r="B3244" s="141">
        <v>2.50425262291645E-3</v>
      </c>
      <c r="D3244" s="141"/>
    </row>
    <row r="3245" spans="1:4" x14ac:dyDescent="0.2">
      <c r="A3245" s="140" t="s">
        <v>532</v>
      </c>
      <c r="B3245" s="141">
        <v>2.5010908290143E-3</v>
      </c>
      <c r="D3245" s="141"/>
    </row>
    <row r="3246" spans="1:4" x14ac:dyDescent="0.2">
      <c r="A3246" s="140" t="s">
        <v>5974</v>
      </c>
      <c r="B3246" s="141">
        <v>2.5004499829617598E-3</v>
      </c>
      <c r="D3246" s="141"/>
    </row>
    <row r="3247" spans="1:4" x14ac:dyDescent="0.2">
      <c r="A3247" s="140" t="s">
        <v>7561</v>
      </c>
      <c r="B3247" s="141">
        <v>2.5003256982963698E-3</v>
      </c>
      <c r="D3247" s="141"/>
    </row>
    <row r="3248" spans="1:4" x14ac:dyDescent="0.2">
      <c r="A3248" s="140" t="s">
        <v>2183</v>
      </c>
      <c r="B3248" s="141">
        <v>2.4961528157138799E-3</v>
      </c>
      <c r="D3248" s="141"/>
    </row>
    <row r="3249" spans="1:4" x14ac:dyDescent="0.2">
      <c r="A3249" s="140" t="s">
        <v>7562</v>
      </c>
      <c r="B3249" s="141">
        <v>2.4954974302809599E-3</v>
      </c>
      <c r="D3249" s="141"/>
    </row>
    <row r="3250" spans="1:4" x14ac:dyDescent="0.2">
      <c r="A3250" s="140" t="s">
        <v>2111</v>
      </c>
      <c r="B3250" s="141">
        <v>2.4927113411914999E-3</v>
      </c>
      <c r="D3250" s="141"/>
    </row>
    <row r="3251" spans="1:4" x14ac:dyDescent="0.2">
      <c r="A3251" s="140" t="s">
        <v>3207</v>
      </c>
      <c r="B3251" s="141">
        <v>2.4909468164103399E-3</v>
      </c>
      <c r="D3251" s="141"/>
    </row>
    <row r="3252" spans="1:4" x14ac:dyDescent="0.2">
      <c r="A3252" s="140" t="s">
        <v>7563</v>
      </c>
      <c r="B3252" s="141">
        <v>2.4902447143714201E-3</v>
      </c>
      <c r="D3252" s="141"/>
    </row>
    <row r="3253" spans="1:4" x14ac:dyDescent="0.2">
      <c r="A3253" s="140" t="s">
        <v>2607</v>
      </c>
      <c r="B3253" s="141">
        <v>2.4901566293943399E-3</v>
      </c>
      <c r="D3253" s="141"/>
    </row>
    <row r="3254" spans="1:4" x14ac:dyDescent="0.2">
      <c r="A3254" s="140" t="s">
        <v>1256</v>
      </c>
      <c r="B3254" s="141">
        <v>2.48826451554927E-3</v>
      </c>
      <c r="D3254" s="141"/>
    </row>
    <row r="3255" spans="1:4" x14ac:dyDescent="0.2">
      <c r="A3255" s="140" t="s">
        <v>5008</v>
      </c>
      <c r="B3255" s="141">
        <v>2.4880862031816998E-3</v>
      </c>
      <c r="D3255" s="141"/>
    </row>
    <row r="3256" spans="1:4" x14ac:dyDescent="0.2">
      <c r="A3256" s="140" t="s">
        <v>5379</v>
      </c>
      <c r="B3256" s="141">
        <v>2.4879830189580799E-3</v>
      </c>
      <c r="D3256" s="141"/>
    </row>
    <row r="3257" spans="1:4" x14ac:dyDescent="0.2">
      <c r="A3257" s="140" t="s">
        <v>3672</v>
      </c>
      <c r="B3257" s="141">
        <v>2.4877326765594598E-3</v>
      </c>
      <c r="D3257" s="141"/>
    </row>
    <row r="3258" spans="1:4" x14ac:dyDescent="0.2">
      <c r="A3258" s="140" t="s">
        <v>7564</v>
      </c>
      <c r="B3258" s="141">
        <v>2.4865636904237202E-3</v>
      </c>
      <c r="D3258" s="141"/>
    </row>
    <row r="3259" spans="1:4" x14ac:dyDescent="0.2">
      <c r="A3259" s="140" t="s">
        <v>5360</v>
      </c>
      <c r="B3259" s="141">
        <v>2.4855344245154E-3</v>
      </c>
      <c r="D3259" s="141"/>
    </row>
    <row r="3260" spans="1:4" x14ac:dyDescent="0.2">
      <c r="A3260" s="140" t="s">
        <v>5371</v>
      </c>
      <c r="B3260" s="141">
        <v>2.4837943636539001E-3</v>
      </c>
      <c r="D3260" s="141"/>
    </row>
    <row r="3261" spans="1:4" x14ac:dyDescent="0.2">
      <c r="A3261" s="140" t="s">
        <v>3423</v>
      </c>
      <c r="B3261" s="141">
        <v>2.4835802025694699E-3</v>
      </c>
      <c r="D3261" s="141"/>
    </row>
    <row r="3262" spans="1:4" x14ac:dyDescent="0.2">
      <c r="A3262" s="140" t="s">
        <v>2811</v>
      </c>
      <c r="B3262" s="141">
        <v>2.4833828384215099E-3</v>
      </c>
      <c r="D3262" s="141"/>
    </row>
    <row r="3263" spans="1:4" x14ac:dyDescent="0.2">
      <c r="A3263" s="140" t="s">
        <v>6000</v>
      </c>
      <c r="B3263" s="141">
        <v>2.4833417504336098E-3</v>
      </c>
      <c r="D3263" s="141"/>
    </row>
    <row r="3264" spans="1:4" x14ac:dyDescent="0.2">
      <c r="A3264" s="140" t="s">
        <v>4317</v>
      </c>
      <c r="B3264" s="141">
        <v>2.47932107324395E-3</v>
      </c>
      <c r="D3264" s="141"/>
    </row>
    <row r="3265" spans="1:4" x14ac:dyDescent="0.2">
      <c r="A3265" s="140" t="s">
        <v>3548</v>
      </c>
      <c r="B3265" s="141">
        <v>2.4767140445624601E-3</v>
      </c>
      <c r="D3265" s="141"/>
    </row>
    <row r="3266" spans="1:4" x14ac:dyDescent="0.2">
      <c r="A3266" s="140" t="s">
        <v>5574</v>
      </c>
      <c r="B3266" s="141">
        <v>2.4750832702024098E-3</v>
      </c>
      <c r="D3266" s="141"/>
    </row>
    <row r="3267" spans="1:4" x14ac:dyDescent="0.2">
      <c r="A3267" s="140" t="s">
        <v>7565</v>
      </c>
      <c r="B3267" s="141">
        <v>2.4748160489125501E-3</v>
      </c>
      <c r="D3267" s="141"/>
    </row>
    <row r="3268" spans="1:4" x14ac:dyDescent="0.2">
      <c r="A3268" s="140" t="s">
        <v>2059</v>
      </c>
      <c r="B3268" s="141">
        <v>2.4706899837190501E-3</v>
      </c>
      <c r="D3268" s="141"/>
    </row>
    <row r="3269" spans="1:4" x14ac:dyDescent="0.2">
      <c r="A3269" s="140" t="s">
        <v>7566</v>
      </c>
      <c r="B3269" s="141">
        <v>2.4672924890578201E-3</v>
      </c>
      <c r="D3269" s="141"/>
    </row>
    <row r="3270" spans="1:4" x14ac:dyDescent="0.2">
      <c r="A3270" s="140" t="s">
        <v>7567</v>
      </c>
      <c r="B3270" s="141">
        <v>2.4672924890578201E-3</v>
      </c>
      <c r="D3270" s="141"/>
    </row>
    <row r="3271" spans="1:4" x14ac:dyDescent="0.2">
      <c r="A3271" s="140" t="s">
        <v>7568</v>
      </c>
      <c r="B3271" s="141">
        <v>2.4672924890578201E-3</v>
      </c>
      <c r="D3271" s="141"/>
    </row>
    <row r="3272" spans="1:4" x14ac:dyDescent="0.2">
      <c r="A3272" s="140" t="s">
        <v>7569</v>
      </c>
      <c r="B3272" s="141">
        <v>2.4672924890578201E-3</v>
      </c>
      <c r="D3272" s="141"/>
    </row>
    <row r="3273" spans="1:4" x14ac:dyDescent="0.2">
      <c r="A3273" s="140" t="s">
        <v>5700</v>
      </c>
      <c r="B3273" s="141">
        <v>2.4672924890578201E-3</v>
      </c>
      <c r="D3273" s="141"/>
    </row>
    <row r="3274" spans="1:4" x14ac:dyDescent="0.2">
      <c r="A3274" s="140" t="s">
        <v>7570</v>
      </c>
      <c r="B3274" s="141">
        <v>2.4672924890578201E-3</v>
      </c>
      <c r="D3274" s="141"/>
    </row>
    <row r="3275" spans="1:4" x14ac:dyDescent="0.2">
      <c r="A3275" s="140" t="s">
        <v>7571</v>
      </c>
      <c r="B3275" s="141">
        <v>2.4672924890578201E-3</v>
      </c>
      <c r="D3275" s="141"/>
    </row>
    <row r="3276" spans="1:4" x14ac:dyDescent="0.2">
      <c r="A3276" s="140" t="s">
        <v>7572</v>
      </c>
      <c r="B3276" s="141">
        <v>2.4672924890578201E-3</v>
      </c>
      <c r="D3276" s="141"/>
    </row>
    <row r="3277" spans="1:4" x14ac:dyDescent="0.2">
      <c r="A3277" s="140" t="s">
        <v>7573</v>
      </c>
      <c r="B3277" s="141">
        <v>2.4672924890578201E-3</v>
      </c>
      <c r="D3277" s="141"/>
    </row>
    <row r="3278" spans="1:4" x14ac:dyDescent="0.2">
      <c r="A3278" s="140" t="s">
        <v>7574</v>
      </c>
      <c r="B3278" s="141">
        <v>2.4670690324446101E-3</v>
      </c>
      <c r="D3278" s="141"/>
    </row>
    <row r="3279" spans="1:4" x14ac:dyDescent="0.2">
      <c r="A3279" s="140" t="s">
        <v>7575</v>
      </c>
      <c r="B3279" s="141">
        <v>2.4670690324446101E-3</v>
      </c>
      <c r="D3279" s="141"/>
    </row>
    <row r="3280" spans="1:4" x14ac:dyDescent="0.2">
      <c r="A3280" s="140" t="s">
        <v>7576</v>
      </c>
      <c r="B3280" s="141">
        <v>2.4670690324446101E-3</v>
      </c>
      <c r="D3280" s="141"/>
    </row>
    <row r="3281" spans="1:4" x14ac:dyDescent="0.2">
      <c r="A3281" s="140" t="s">
        <v>7577</v>
      </c>
      <c r="B3281" s="141">
        <v>2.4670690324446101E-3</v>
      </c>
      <c r="D3281" s="141"/>
    </row>
    <row r="3282" spans="1:4" x14ac:dyDescent="0.2">
      <c r="A3282" s="140" t="s">
        <v>7578</v>
      </c>
      <c r="B3282" s="141">
        <v>2.4670690324446101E-3</v>
      </c>
      <c r="D3282" s="141"/>
    </row>
    <row r="3283" spans="1:4" x14ac:dyDescent="0.2">
      <c r="A3283" s="140" t="s">
        <v>7579</v>
      </c>
      <c r="B3283" s="141">
        <v>2.4670690324446101E-3</v>
      </c>
      <c r="D3283" s="141"/>
    </row>
    <row r="3284" spans="1:4" x14ac:dyDescent="0.2">
      <c r="A3284" s="140" t="s">
        <v>7580</v>
      </c>
      <c r="B3284" s="141">
        <v>2.4670690324446101E-3</v>
      </c>
      <c r="D3284" s="141"/>
    </row>
    <row r="3285" spans="1:4" x14ac:dyDescent="0.2">
      <c r="A3285" s="140" t="s">
        <v>7581</v>
      </c>
      <c r="B3285" s="141">
        <v>2.4670690324446101E-3</v>
      </c>
      <c r="D3285" s="141"/>
    </row>
    <row r="3286" spans="1:4" x14ac:dyDescent="0.2">
      <c r="A3286" s="140" t="s">
        <v>7582</v>
      </c>
      <c r="B3286" s="141">
        <v>2.4670690324446101E-3</v>
      </c>
      <c r="D3286" s="141"/>
    </row>
    <row r="3287" spans="1:4" x14ac:dyDescent="0.2">
      <c r="A3287" s="140" t="s">
        <v>1440</v>
      </c>
      <c r="B3287" s="141">
        <v>2.4622392522255401E-3</v>
      </c>
      <c r="D3287" s="141"/>
    </row>
    <row r="3288" spans="1:4" x14ac:dyDescent="0.2">
      <c r="A3288" s="140" t="s">
        <v>7583</v>
      </c>
      <c r="B3288" s="141">
        <v>2.4532394889728699E-3</v>
      </c>
      <c r="D3288" s="141"/>
    </row>
    <row r="3289" spans="1:4" x14ac:dyDescent="0.2">
      <c r="A3289" s="140" t="s">
        <v>7584</v>
      </c>
      <c r="B3289" s="141">
        <v>2.44879256296505E-3</v>
      </c>
      <c r="D3289" s="141"/>
    </row>
    <row r="3290" spans="1:4" x14ac:dyDescent="0.2">
      <c r="A3290" s="140" t="s">
        <v>7585</v>
      </c>
      <c r="B3290" s="141">
        <v>2.44879256296505E-3</v>
      </c>
      <c r="D3290" s="141"/>
    </row>
    <row r="3291" spans="1:4" x14ac:dyDescent="0.2">
      <c r="A3291" s="140" t="s">
        <v>7586</v>
      </c>
      <c r="B3291" s="141">
        <v>2.4457175213190101E-3</v>
      </c>
      <c r="D3291" s="141"/>
    </row>
    <row r="3292" spans="1:4" x14ac:dyDescent="0.2">
      <c r="A3292" s="140" t="s">
        <v>5548</v>
      </c>
      <c r="B3292" s="141">
        <v>2.4402713326372501E-3</v>
      </c>
      <c r="D3292" s="141"/>
    </row>
    <row r="3293" spans="1:4" x14ac:dyDescent="0.2">
      <c r="A3293" s="140" t="s">
        <v>5820</v>
      </c>
      <c r="B3293" s="141">
        <v>2.4399407753233002E-3</v>
      </c>
      <c r="D3293" s="141"/>
    </row>
    <row r="3294" spans="1:4" x14ac:dyDescent="0.2">
      <c r="A3294" s="140" t="s">
        <v>3257</v>
      </c>
      <c r="B3294" s="141">
        <v>2.4374037904830899E-3</v>
      </c>
      <c r="D3294" s="141"/>
    </row>
    <row r="3295" spans="1:4" x14ac:dyDescent="0.2">
      <c r="A3295" s="140" t="s">
        <v>3944</v>
      </c>
      <c r="B3295" s="141">
        <v>2.4372351420808599E-3</v>
      </c>
      <c r="D3295" s="141"/>
    </row>
    <row r="3296" spans="1:4" x14ac:dyDescent="0.2">
      <c r="A3296" s="140" t="s">
        <v>7587</v>
      </c>
      <c r="B3296" s="141">
        <v>2.4302800231713602E-3</v>
      </c>
      <c r="D3296" s="141"/>
    </row>
    <row r="3297" spans="1:4" x14ac:dyDescent="0.2">
      <c r="A3297" s="140" t="s">
        <v>2760</v>
      </c>
      <c r="B3297" s="141">
        <v>2.4297750001022701E-3</v>
      </c>
      <c r="D3297" s="141"/>
    </row>
    <row r="3298" spans="1:4" x14ac:dyDescent="0.2">
      <c r="A3298" s="140" t="s">
        <v>2672</v>
      </c>
      <c r="B3298" s="141">
        <v>2.4290426558843002E-3</v>
      </c>
      <c r="D3298" s="141"/>
    </row>
    <row r="3299" spans="1:4" x14ac:dyDescent="0.2">
      <c r="A3299" s="140" t="s">
        <v>7588</v>
      </c>
      <c r="B3299" s="141">
        <v>2.42869084933353E-3</v>
      </c>
      <c r="D3299" s="141"/>
    </row>
    <row r="3300" spans="1:4" x14ac:dyDescent="0.2">
      <c r="A3300" s="140" t="s">
        <v>3603</v>
      </c>
      <c r="B3300" s="141">
        <v>2.4240748170138702E-3</v>
      </c>
      <c r="D3300" s="141"/>
    </row>
    <row r="3301" spans="1:4" x14ac:dyDescent="0.2">
      <c r="A3301" s="140" t="s">
        <v>7589</v>
      </c>
      <c r="B3301" s="141">
        <v>2.4234553790860799E-3</v>
      </c>
      <c r="D3301" s="141"/>
    </row>
    <row r="3302" spans="1:4" x14ac:dyDescent="0.2">
      <c r="A3302" s="140" t="s">
        <v>4959</v>
      </c>
      <c r="B3302" s="141">
        <v>2.4157984651086901E-3</v>
      </c>
      <c r="D3302" s="141"/>
    </row>
    <row r="3303" spans="1:4" x14ac:dyDescent="0.2">
      <c r="A3303" s="140" t="s">
        <v>1328</v>
      </c>
      <c r="B3303" s="141">
        <v>2.40847612702399E-3</v>
      </c>
      <c r="D3303" s="141"/>
    </row>
    <row r="3304" spans="1:4" x14ac:dyDescent="0.2">
      <c r="A3304" s="140" t="s">
        <v>2999</v>
      </c>
      <c r="B3304" s="141">
        <v>2.4074266052727801E-3</v>
      </c>
      <c r="D3304" s="141"/>
    </row>
    <row r="3305" spans="1:4" x14ac:dyDescent="0.2">
      <c r="A3305" s="140" t="s">
        <v>6067</v>
      </c>
      <c r="B3305" s="141">
        <v>2.40590539475015E-3</v>
      </c>
      <c r="D3305" s="141"/>
    </row>
    <row r="3306" spans="1:4" x14ac:dyDescent="0.2">
      <c r="A3306" s="140" t="s">
        <v>3363</v>
      </c>
      <c r="B3306" s="141">
        <v>2.4000579618809101E-3</v>
      </c>
      <c r="D3306" s="141"/>
    </row>
    <row r="3307" spans="1:4" x14ac:dyDescent="0.2">
      <c r="A3307" s="140" t="s">
        <v>6168</v>
      </c>
      <c r="B3307" s="141">
        <v>2.39860203517663E-3</v>
      </c>
      <c r="D3307" s="141"/>
    </row>
    <row r="3308" spans="1:4" x14ac:dyDescent="0.2">
      <c r="A3308" s="140" t="s">
        <v>1174</v>
      </c>
      <c r="B3308" s="141">
        <v>2.39860203517663E-3</v>
      </c>
      <c r="D3308" s="141"/>
    </row>
    <row r="3309" spans="1:4" x14ac:dyDescent="0.2">
      <c r="A3309" s="140" t="s">
        <v>7590</v>
      </c>
      <c r="B3309" s="141">
        <v>2.39860203517663E-3</v>
      </c>
      <c r="D3309" s="141"/>
    </row>
    <row r="3310" spans="1:4" x14ac:dyDescent="0.2">
      <c r="A3310" s="140" t="s">
        <v>7591</v>
      </c>
      <c r="B3310" s="141">
        <v>2.39860203517663E-3</v>
      </c>
      <c r="D3310" s="141"/>
    </row>
    <row r="3311" spans="1:4" x14ac:dyDescent="0.2">
      <c r="A3311" s="140" t="s">
        <v>7592</v>
      </c>
      <c r="B3311" s="141">
        <v>2.39860203517663E-3</v>
      </c>
      <c r="D3311" s="141"/>
    </row>
    <row r="3312" spans="1:4" x14ac:dyDescent="0.2">
      <c r="A3312" s="140" t="s">
        <v>3675</v>
      </c>
      <c r="B3312" s="141">
        <v>2.39860203517663E-3</v>
      </c>
      <c r="D3312" s="141"/>
    </row>
    <row r="3313" spans="1:4" x14ac:dyDescent="0.2">
      <c r="A3313" s="140" t="s">
        <v>7593</v>
      </c>
      <c r="B3313" s="141">
        <v>2.39860203517663E-3</v>
      </c>
      <c r="D3313" s="141"/>
    </row>
    <row r="3314" spans="1:4" x14ac:dyDescent="0.2">
      <c r="A3314" s="140" t="s">
        <v>2098</v>
      </c>
      <c r="B3314" s="141">
        <v>2.39656430541022E-3</v>
      </c>
      <c r="D3314" s="141"/>
    </row>
    <row r="3315" spans="1:4" x14ac:dyDescent="0.2">
      <c r="A3315" s="140" t="s">
        <v>2749</v>
      </c>
      <c r="B3315" s="141">
        <v>2.3907719288684898E-3</v>
      </c>
      <c r="D3315" s="141"/>
    </row>
    <row r="3316" spans="1:4" x14ac:dyDescent="0.2">
      <c r="A3316" s="140" t="s">
        <v>4441</v>
      </c>
      <c r="B3316" s="141">
        <v>2.3887769707516501E-3</v>
      </c>
      <c r="D3316" s="141"/>
    </row>
    <row r="3317" spans="1:4" x14ac:dyDescent="0.2">
      <c r="A3317" s="140" t="s">
        <v>7594</v>
      </c>
      <c r="B3317" s="141">
        <v>2.38679746939409E-3</v>
      </c>
      <c r="D3317" s="141"/>
    </row>
    <row r="3318" spans="1:4" x14ac:dyDescent="0.2">
      <c r="A3318" s="140" t="s">
        <v>3768</v>
      </c>
      <c r="B3318" s="141">
        <v>2.3852497780014101E-3</v>
      </c>
      <c r="D3318" s="141"/>
    </row>
    <row r="3319" spans="1:4" x14ac:dyDescent="0.2">
      <c r="A3319" s="140" t="s">
        <v>1474</v>
      </c>
      <c r="B3319" s="141">
        <v>2.3801610563853898E-3</v>
      </c>
      <c r="D3319" s="141"/>
    </row>
    <row r="3320" spans="1:4" x14ac:dyDescent="0.2">
      <c r="A3320" s="140" t="s">
        <v>7595</v>
      </c>
      <c r="B3320" s="141">
        <v>2.3764702098083902E-3</v>
      </c>
      <c r="D3320" s="141"/>
    </row>
    <row r="3321" spans="1:4" x14ac:dyDescent="0.2">
      <c r="A3321" s="140" t="s">
        <v>7596</v>
      </c>
      <c r="B3321" s="141">
        <v>2.3764702098083902E-3</v>
      </c>
      <c r="D3321" s="141"/>
    </row>
    <row r="3322" spans="1:4" x14ac:dyDescent="0.2">
      <c r="A3322" s="140" t="s">
        <v>7597</v>
      </c>
      <c r="B3322" s="141">
        <v>2.3764702098083902E-3</v>
      </c>
      <c r="D3322" s="141"/>
    </row>
    <row r="3323" spans="1:4" x14ac:dyDescent="0.2">
      <c r="A3323" s="140" t="s">
        <v>3975</v>
      </c>
      <c r="B3323" s="141">
        <v>2.37535403428118E-3</v>
      </c>
      <c r="D3323" s="141"/>
    </row>
    <row r="3324" spans="1:4" x14ac:dyDescent="0.2">
      <c r="A3324" s="140" t="s">
        <v>5992</v>
      </c>
      <c r="B3324" s="141">
        <v>2.3752714653486702E-3</v>
      </c>
      <c r="D3324" s="141"/>
    </row>
    <row r="3325" spans="1:4" x14ac:dyDescent="0.2">
      <c r="A3325" s="140" t="s">
        <v>943</v>
      </c>
      <c r="B3325" s="141">
        <v>2.3727269753361299E-3</v>
      </c>
      <c r="D3325" s="141"/>
    </row>
    <row r="3326" spans="1:4" x14ac:dyDescent="0.2">
      <c r="A3326" s="140" t="s">
        <v>1565</v>
      </c>
      <c r="B3326" s="141">
        <v>2.3713358445767601E-3</v>
      </c>
      <c r="D3326" s="141"/>
    </row>
    <row r="3327" spans="1:4" x14ac:dyDescent="0.2">
      <c r="A3327" s="140" t="s">
        <v>3731</v>
      </c>
      <c r="B3327" s="141">
        <v>2.37021581639171E-3</v>
      </c>
      <c r="D3327" s="141"/>
    </row>
    <row r="3328" spans="1:4" x14ac:dyDescent="0.2">
      <c r="A3328" s="140" t="s">
        <v>7598</v>
      </c>
      <c r="B3328" s="141">
        <v>2.3694120324910398E-3</v>
      </c>
      <c r="D3328" s="141"/>
    </row>
    <row r="3329" spans="1:4" x14ac:dyDescent="0.2">
      <c r="A3329" s="140" t="s">
        <v>7599</v>
      </c>
      <c r="B3329" s="141">
        <v>2.3689871952744801E-3</v>
      </c>
      <c r="D3329" s="141"/>
    </row>
    <row r="3330" spans="1:4" x14ac:dyDescent="0.2">
      <c r="A3330" s="140" t="s">
        <v>7600</v>
      </c>
      <c r="B3330" s="141">
        <v>2.3689871952744801E-3</v>
      </c>
      <c r="D3330" s="141"/>
    </row>
    <row r="3331" spans="1:4" x14ac:dyDescent="0.2">
      <c r="A3331" s="140" t="s">
        <v>7601</v>
      </c>
      <c r="B3331" s="141">
        <v>2.3689871952744801E-3</v>
      </c>
      <c r="D3331" s="141"/>
    </row>
    <row r="3332" spans="1:4" x14ac:dyDescent="0.2">
      <c r="A3332" s="140" t="s">
        <v>7602</v>
      </c>
      <c r="B3332" s="141">
        <v>2.3689871952744801E-3</v>
      </c>
      <c r="D3332" s="141"/>
    </row>
    <row r="3333" spans="1:4" x14ac:dyDescent="0.2">
      <c r="A3333" s="140" t="s">
        <v>7603</v>
      </c>
      <c r="B3333" s="141">
        <v>2.3674201450748001E-3</v>
      </c>
      <c r="D3333" s="141"/>
    </row>
    <row r="3334" spans="1:4" x14ac:dyDescent="0.2">
      <c r="A3334" s="140" t="s">
        <v>4518</v>
      </c>
      <c r="B3334" s="141">
        <v>2.3674046551586899E-3</v>
      </c>
      <c r="D3334" s="141"/>
    </row>
    <row r="3335" spans="1:4" x14ac:dyDescent="0.2">
      <c r="A3335" s="140" t="s">
        <v>4349</v>
      </c>
      <c r="B3335" s="141">
        <v>2.3657519961848002E-3</v>
      </c>
      <c r="D3335" s="141"/>
    </row>
    <row r="3336" spans="1:4" x14ac:dyDescent="0.2">
      <c r="A3336" s="140" t="s">
        <v>2422</v>
      </c>
      <c r="B3336" s="141">
        <v>2.3649370650679199E-3</v>
      </c>
      <c r="D3336" s="141"/>
    </row>
    <row r="3337" spans="1:4" x14ac:dyDescent="0.2">
      <c r="A3337" s="140" t="s">
        <v>3328</v>
      </c>
      <c r="B3337" s="141">
        <v>2.3640870073350201E-3</v>
      </c>
      <c r="D3337" s="141"/>
    </row>
    <row r="3338" spans="1:4" x14ac:dyDescent="0.2">
      <c r="A3338" s="140" t="s">
        <v>3861</v>
      </c>
      <c r="B3338" s="141">
        <v>2.3627431161539602E-3</v>
      </c>
      <c r="D3338" s="141"/>
    </row>
    <row r="3339" spans="1:4" x14ac:dyDescent="0.2">
      <c r="A3339" s="140" t="s">
        <v>7604</v>
      </c>
      <c r="B3339" s="141">
        <v>2.3623155650919002E-3</v>
      </c>
      <c r="D3339" s="141"/>
    </row>
    <row r="3340" spans="1:4" x14ac:dyDescent="0.2">
      <c r="A3340" s="140" t="s">
        <v>6010</v>
      </c>
      <c r="B3340" s="141">
        <v>2.3617704254749201E-3</v>
      </c>
      <c r="D3340" s="141"/>
    </row>
    <row r="3341" spans="1:4" x14ac:dyDescent="0.2">
      <c r="A3341" s="140" t="s">
        <v>5532</v>
      </c>
      <c r="B3341" s="141">
        <v>2.3601539378351301E-3</v>
      </c>
      <c r="D3341" s="141"/>
    </row>
    <row r="3342" spans="1:4" x14ac:dyDescent="0.2">
      <c r="A3342" s="140" t="s">
        <v>7605</v>
      </c>
      <c r="B3342" s="141">
        <v>2.3601539378351301E-3</v>
      </c>
      <c r="D3342" s="141"/>
    </row>
    <row r="3343" spans="1:4" x14ac:dyDescent="0.2">
      <c r="A3343" s="140" t="s">
        <v>7606</v>
      </c>
      <c r="B3343" s="141">
        <v>2.3601539378351301E-3</v>
      </c>
      <c r="D3343" s="141"/>
    </row>
    <row r="3344" spans="1:4" x14ac:dyDescent="0.2">
      <c r="A3344" s="140" t="s">
        <v>4087</v>
      </c>
      <c r="B3344" s="141">
        <v>2.34838880319293E-3</v>
      </c>
      <c r="D3344" s="141"/>
    </row>
    <row r="3345" spans="1:4" x14ac:dyDescent="0.2">
      <c r="A3345" s="140" t="s">
        <v>7607</v>
      </c>
      <c r="B3345" s="141">
        <v>2.3434153744083001E-3</v>
      </c>
      <c r="D3345" s="141"/>
    </row>
    <row r="3346" spans="1:4" x14ac:dyDescent="0.2">
      <c r="A3346" s="140" t="s">
        <v>5816</v>
      </c>
      <c r="B3346" s="141">
        <v>2.3426051078669799E-3</v>
      </c>
      <c r="D3346" s="141"/>
    </row>
    <row r="3347" spans="1:4" x14ac:dyDescent="0.2">
      <c r="A3347" s="140" t="s">
        <v>5689</v>
      </c>
      <c r="B3347" s="141">
        <v>2.34198952709127E-3</v>
      </c>
      <c r="D3347" s="141"/>
    </row>
    <row r="3348" spans="1:4" x14ac:dyDescent="0.2">
      <c r="A3348" s="140" t="s">
        <v>7608</v>
      </c>
      <c r="B3348" s="141">
        <v>2.3418575434254602E-3</v>
      </c>
      <c r="D3348" s="141"/>
    </row>
    <row r="3349" spans="1:4" x14ac:dyDescent="0.2">
      <c r="A3349" s="140" t="s">
        <v>5951</v>
      </c>
      <c r="B3349" s="141">
        <v>2.3350300389840001E-3</v>
      </c>
      <c r="D3349" s="141"/>
    </row>
    <row r="3350" spans="1:4" x14ac:dyDescent="0.2">
      <c r="A3350" s="140" t="s">
        <v>7609</v>
      </c>
      <c r="B3350" s="141">
        <v>2.33489208909205E-3</v>
      </c>
      <c r="D3350" s="141"/>
    </row>
    <row r="3351" spans="1:4" x14ac:dyDescent="0.2">
      <c r="A3351" s="140" t="s">
        <v>3047</v>
      </c>
      <c r="B3351" s="141">
        <v>2.3321117222668401E-3</v>
      </c>
      <c r="D3351" s="141"/>
    </row>
    <row r="3352" spans="1:4" x14ac:dyDescent="0.2">
      <c r="A3352" s="140" t="s">
        <v>713</v>
      </c>
      <c r="B3352" s="141">
        <v>2.32995010366297E-3</v>
      </c>
      <c r="D3352" s="141"/>
    </row>
    <row r="3353" spans="1:4" x14ac:dyDescent="0.2">
      <c r="A3353" s="140" t="s">
        <v>2041</v>
      </c>
      <c r="B3353" s="141">
        <v>2.3290410077728202E-3</v>
      </c>
      <c r="D3353" s="141"/>
    </row>
    <row r="3354" spans="1:4" x14ac:dyDescent="0.2">
      <c r="A3354" s="140" t="s">
        <v>1842</v>
      </c>
      <c r="B3354" s="141">
        <v>2.3259916868381301E-3</v>
      </c>
      <c r="D3354" s="141"/>
    </row>
    <row r="3355" spans="1:4" x14ac:dyDescent="0.2">
      <c r="A3355" s="140" t="s">
        <v>5686</v>
      </c>
      <c r="B3355" s="141">
        <v>2.3253395619080401E-3</v>
      </c>
      <c r="D3355" s="141"/>
    </row>
    <row r="3356" spans="1:4" x14ac:dyDescent="0.2">
      <c r="A3356" s="140" t="s">
        <v>7610</v>
      </c>
      <c r="B3356" s="141">
        <v>2.32453173908557E-3</v>
      </c>
      <c r="D3356" s="141"/>
    </row>
    <row r="3357" spans="1:4" x14ac:dyDescent="0.2">
      <c r="A3357" s="140" t="s">
        <v>7611</v>
      </c>
      <c r="B3357" s="141">
        <v>2.3237334060067002E-3</v>
      </c>
      <c r="D3357" s="141"/>
    </row>
    <row r="3358" spans="1:4" x14ac:dyDescent="0.2">
      <c r="A3358" s="140" t="s">
        <v>2631</v>
      </c>
      <c r="B3358" s="141">
        <v>2.3218137794007998E-3</v>
      </c>
      <c r="D3358" s="141"/>
    </row>
    <row r="3359" spans="1:4" x14ac:dyDescent="0.2">
      <c r="A3359" s="140" t="s">
        <v>759</v>
      </c>
      <c r="B3359" s="141">
        <v>2.3211259146802199E-3</v>
      </c>
      <c r="D3359" s="141"/>
    </row>
    <row r="3360" spans="1:4" x14ac:dyDescent="0.2">
      <c r="A3360" s="140" t="s">
        <v>6160</v>
      </c>
      <c r="B3360" s="141">
        <v>2.3164835660089201E-3</v>
      </c>
      <c r="D3360" s="141"/>
    </row>
    <row r="3361" spans="1:4" x14ac:dyDescent="0.2">
      <c r="A3361" s="140" t="s">
        <v>7612</v>
      </c>
      <c r="B3361" s="141">
        <v>2.31129788404425E-3</v>
      </c>
      <c r="D3361" s="141"/>
    </row>
    <row r="3362" spans="1:4" x14ac:dyDescent="0.2">
      <c r="A3362" s="140" t="s">
        <v>7613</v>
      </c>
      <c r="B3362" s="141">
        <v>2.31123770757679E-3</v>
      </c>
      <c r="D3362" s="141"/>
    </row>
    <row r="3363" spans="1:4" x14ac:dyDescent="0.2">
      <c r="A3363" s="140" t="s">
        <v>1651</v>
      </c>
      <c r="B3363" s="141">
        <v>2.3104125252714001E-3</v>
      </c>
      <c r="D3363" s="141"/>
    </row>
    <row r="3364" spans="1:4" x14ac:dyDescent="0.2">
      <c r="A3364" s="140" t="s">
        <v>6331</v>
      </c>
      <c r="B3364" s="141">
        <v>2.3085046209033698E-3</v>
      </c>
      <c r="D3364" s="141"/>
    </row>
    <row r="3365" spans="1:4" x14ac:dyDescent="0.2">
      <c r="A3365" s="140" t="s">
        <v>3739</v>
      </c>
      <c r="B3365" s="141">
        <v>2.3078450555836E-3</v>
      </c>
      <c r="D3365" s="141"/>
    </row>
    <row r="3366" spans="1:4" x14ac:dyDescent="0.2">
      <c r="A3366" s="140" t="s">
        <v>2247</v>
      </c>
      <c r="B3366" s="141">
        <v>2.30551195410294E-3</v>
      </c>
      <c r="D3366" s="141"/>
    </row>
    <row r="3367" spans="1:4" x14ac:dyDescent="0.2">
      <c r="A3367" s="140" t="s">
        <v>3148</v>
      </c>
      <c r="B3367" s="141">
        <v>2.3034191081013002E-3</v>
      </c>
      <c r="D3367" s="141"/>
    </row>
    <row r="3368" spans="1:4" x14ac:dyDescent="0.2">
      <c r="A3368" s="140" t="s">
        <v>3256</v>
      </c>
      <c r="B3368" s="141">
        <v>2.3028633532433101E-3</v>
      </c>
      <c r="D3368" s="141"/>
    </row>
    <row r="3369" spans="1:4" x14ac:dyDescent="0.2">
      <c r="A3369" s="140" t="s">
        <v>7614</v>
      </c>
      <c r="B3369" s="141">
        <v>2.2997660481175099E-3</v>
      </c>
      <c r="D3369" s="141"/>
    </row>
    <row r="3370" spans="1:4" x14ac:dyDescent="0.2">
      <c r="A3370" s="140" t="s">
        <v>2235</v>
      </c>
      <c r="B3370" s="141">
        <v>2.29828670421286E-3</v>
      </c>
      <c r="D3370" s="141"/>
    </row>
    <row r="3371" spans="1:4" x14ac:dyDescent="0.2">
      <c r="A3371" s="140" t="s">
        <v>4095</v>
      </c>
      <c r="B3371" s="141">
        <v>2.2972025896144002E-3</v>
      </c>
      <c r="D3371" s="141"/>
    </row>
    <row r="3372" spans="1:4" x14ac:dyDescent="0.2">
      <c r="A3372" s="140" t="s">
        <v>6293</v>
      </c>
      <c r="B3372" s="141">
        <v>2.29601353020709E-3</v>
      </c>
      <c r="D3372" s="141"/>
    </row>
    <row r="3373" spans="1:4" x14ac:dyDescent="0.2">
      <c r="A3373" s="140" t="s">
        <v>3804</v>
      </c>
      <c r="B3373" s="141">
        <v>2.2930277427313499E-3</v>
      </c>
      <c r="D3373" s="141"/>
    </row>
    <row r="3374" spans="1:4" x14ac:dyDescent="0.2">
      <c r="A3374" s="140" t="s">
        <v>1767</v>
      </c>
      <c r="B3374" s="141">
        <v>2.2822332971086001E-3</v>
      </c>
      <c r="D3374" s="141"/>
    </row>
    <row r="3375" spans="1:4" x14ac:dyDescent="0.2">
      <c r="A3375" s="140" t="s">
        <v>1228</v>
      </c>
      <c r="B3375" s="141">
        <v>2.2821940024055801E-3</v>
      </c>
      <c r="D3375" s="141"/>
    </row>
    <row r="3376" spans="1:4" x14ac:dyDescent="0.2">
      <c r="A3376" s="140" t="s">
        <v>7615</v>
      </c>
      <c r="B3376" s="141">
        <v>2.2810830145051698E-3</v>
      </c>
      <c r="D3376" s="141"/>
    </row>
    <row r="3377" spans="1:4" x14ac:dyDescent="0.2">
      <c r="A3377" s="140" t="s">
        <v>3492</v>
      </c>
      <c r="B3377" s="141">
        <v>2.2808151866224001E-3</v>
      </c>
      <c r="D3377" s="141"/>
    </row>
    <row r="3378" spans="1:4" x14ac:dyDescent="0.2">
      <c r="A3378" s="140" t="s">
        <v>3088</v>
      </c>
      <c r="B3378" s="141">
        <v>2.2780756319078E-3</v>
      </c>
      <c r="D3378" s="141"/>
    </row>
    <row r="3379" spans="1:4" x14ac:dyDescent="0.2">
      <c r="A3379" s="140" t="s">
        <v>5222</v>
      </c>
      <c r="B3379" s="141">
        <v>2.27748335043119E-3</v>
      </c>
      <c r="D3379" s="141"/>
    </row>
    <row r="3380" spans="1:4" x14ac:dyDescent="0.2">
      <c r="A3380" s="140" t="s">
        <v>1312</v>
      </c>
      <c r="B3380" s="141">
        <v>2.2759209055961201E-3</v>
      </c>
      <c r="D3380" s="141"/>
    </row>
    <row r="3381" spans="1:4" x14ac:dyDescent="0.2">
      <c r="A3381" s="140" t="s">
        <v>7616</v>
      </c>
      <c r="B3381" s="141">
        <v>2.2734574785150999E-3</v>
      </c>
      <c r="D3381" s="141"/>
    </row>
    <row r="3382" spans="1:4" x14ac:dyDescent="0.2">
      <c r="A3382" s="140" t="s">
        <v>3044</v>
      </c>
      <c r="B3382" s="141">
        <v>2.27273050138792E-3</v>
      </c>
      <c r="D3382" s="141"/>
    </row>
    <row r="3383" spans="1:4" x14ac:dyDescent="0.2">
      <c r="A3383" s="140" t="s">
        <v>7617</v>
      </c>
      <c r="B3383" s="141">
        <v>2.2722370236352798E-3</v>
      </c>
      <c r="D3383" s="141"/>
    </row>
    <row r="3384" spans="1:4" x14ac:dyDescent="0.2">
      <c r="A3384" s="140" t="s">
        <v>7618</v>
      </c>
      <c r="B3384" s="141">
        <v>2.2686695176796102E-3</v>
      </c>
      <c r="D3384" s="141"/>
    </row>
    <row r="3385" spans="1:4" x14ac:dyDescent="0.2">
      <c r="A3385" s="140" t="s">
        <v>1586</v>
      </c>
      <c r="B3385" s="141">
        <v>2.26606513942569E-3</v>
      </c>
      <c r="D3385" s="141"/>
    </row>
    <row r="3386" spans="1:4" x14ac:dyDescent="0.2">
      <c r="A3386" s="140" t="s">
        <v>2684</v>
      </c>
      <c r="B3386" s="141">
        <v>2.2655651450548E-3</v>
      </c>
      <c r="D3386" s="141"/>
    </row>
    <row r="3387" spans="1:4" x14ac:dyDescent="0.2">
      <c r="A3387" s="140" t="s">
        <v>5027</v>
      </c>
      <c r="B3387" s="141">
        <v>2.2615254201314499E-3</v>
      </c>
      <c r="D3387" s="141"/>
    </row>
    <row r="3388" spans="1:4" x14ac:dyDescent="0.2">
      <c r="A3388" s="140" t="s">
        <v>4632</v>
      </c>
      <c r="B3388" s="141">
        <v>2.26127831957465E-3</v>
      </c>
      <c r="D3388" s="141"/>
    </row>
    <row r="3389" spans="1:4" x14ac:dyDescent="0.2">
      <c r="A3389" s="140" t="s">
        <v>7619</v>
      </c>
      <c r="B3389" s="141">
        <v>2.2590659627961598E-3</v>
      </c>
      <c r="D3389" s="141"/>
    </row>
    <row r="3390" spans="1:4" x14ac:dyDescent="0.2">
      <c r="A3390" s="140" t="s">
        <v>3150</v>
      </c>
      <c r="B3390" s="141">
        <v>2.2581275713024298E-3</v>
      </c>
      <c r="D3390" s="141"/>
    </row>
    <row r="3391" spans="1:4" x14ac:dyDescent="0.2">
      <c r="A3391" s="140" t="s">
        <v>6107</v>
      </c>
      <c r="B3391" s="141">
        <v>2.2488842819094299E-3</v>
      </c>
      <c r="D3391" s="141"/>
    </row>
    <row r="3392" spans="1:4" x14ac:dyDescent="0.2">
      <c r="A3392" s="140" t="s">
        <v>2833</v>
      </c>
      <c r="B3392" s="141">
        <v>2.24874216283502E-3</v>
      </c>
      <c r="D3392" s="141"/>
    </row>
    <row r="3393" spans="1:4" x14ac:dyDescent="0.2">
      <c r="A3393" s="140" t="s">
        <v>7620</v>
      </c>
      <c r="B3393" s="141">
        <v>2.2456400801403398E-3</v>
      </c>
      <c r="D3393" s="141"/>
    </row>
    <row r="3394" spans="1:4" x14ac:dyDescent="0.2">
      <c r="A3394" s="140" t="s">
        <v>7621</v>
      </c>
      <c r="B3394" s="141">
        <v>2.24331506803756E-3</v>
      </c>
      <c r="D3394" s="141"/>
    </row>
    <row r="3395" spans="1:4" x14ac:dyDescent="0.2">
      <c r="A3395" s="140" t="s">
        <v>7622</v>
      </c>
      <c r="B3395" s="141">
        <v>2.2427236378478599E-3</v>
      </c>
      <c r="D3395" s="141"/>
    </row>
    <row r="3396" spans="1:4" x14ac:dyDescent="0.2">
      <c r="A3396" s="140" t="s">
        <v>5020</v>
      </c>
      <c r="B3396" s="141">
        <v>2.2419911547894899E-3</v>
      </c>
      <c r="D3396" s="141"/>
    </row>
    <row r="3397" spans="1:4" x14ac:dyDescent="0.2">
      <c r="A3397" s="140" t="s">
        <v>1528</v>
      </c>
      <c r="B3397" s="141">
        <v>2.2389939276639698E-3</v>
      </c>
      <c r="D3397" s="141"/>
    </row>
    <row r="3398" spans="1:4" x14ac:dyDescent="0.2">
      <c r="A3398" s="140" t="s">
        <v>4418</v>
      </c>
      <c r="B3398" s="141">
        <v>2.2334980203178902E-3</v>
      </c>
      <c r="D3398" s="141"/>
    </row>
    <row r="3399" spans="1:4" x14ac:dyDescent="0.2">
      <c r="A3399" s="140" t="s">
        <v>1862</v>
      </c>
      <c r="B3399" s="141">
        <v>2.2328913986372099E-3</v>
      </c>
      <c r="D3399" s="141"/>
    </row>
    <row r="3400" spans="1:4" x14ac:dyDescent="0.2">
      <c r="A3400" s="140" t="s">
        <v>2429</v>
      </c>
      <c r="B3400" s="141">
        <v>2.2290757362600001E-3</v>
      </c>
      <c r="D3400" s="141"/>
    </row>
    <row r="3401" spans="1:4" x14ac:dyDescent="0.2">
      <c r="A3401" s="140" t="s">
        <v>4926</v>
      </c>
      <c r="B3401" s="141">
        <v>2.2286102530083701E-3</v>
      </c>
      <c r="D3401" s="141"/>
    </row>
    <row r="3402" spans="1:4" x14ac:dyDescent="0.2">
      <c r="A3402" s="140" t="s">
        <v>7623</v>
      </c>
      <c r="B3402" s="141">
        <v>2.2284963044187701E-3</v>
      </c>
      <c r="D3402" s="141"/>
    </row>
    <row r="3403" spans="1:4" x14ac:dyDescent="0.2">
      <c r="A3403" s="140" t="s">
        <v>7624</v>
      </c>
      <c r="B3403" s="141">
        <v>2.2284963044187701E-3</v>
      </c>
      <c r="D3403" s="141"/>
    </row>
    <row r="3404" spans="1:4" x14ac:dyDescent="0.2">
      <c r="A3404" s="140" t="s">
        <v>7625</v>
      </c>
      <c r="B3404" s="141">
        <v>2.2284330239314698E-3</v>
      </c>
      <c r="D3404" s="141"/>
    </row>
    <row r="3405" spans="1:4" x14ac:dyDescent="0.2">
      <c r="A3405" s="140" t="s">
        <v>7626</v>
      </c>
      <c r="B3405" s="141">
        <v>2.2249446005619799E-3</v>
      </c>
      <c r="D3405" s="141"/>
    </row>
    <row r="3406" spans="1:4" x14ac:dyDescent="0.2">
      <c r="A3406" s="140" t="s">
        <v>6257</v>
      </c>
      <c r="B3406" s="141">
        <v>2.2241339171513701E-3</v>
      </c>
      <c r="D3406" s="141"/>
    </row>
    <row r="3407" spans="1:4" x14ac:dyDescent="0.2">
      <c r="A3407" s="140" t="s">
        <v>550</v>
      </c>
      <c r="B3407" s="141">
        <v>2.2236535043107502E-3</v>
      </c>
      <c r="D3407" s="141"/>
    </row>
    <row r="3408" spans="1:4" x14ac:dyDescent="0.2">
      <c r="A3408" s="140" t="s">
        <v>7627</v>
      </c>
      <c r="B3408" s="141">
        <v>2.2207158073741899E-3</v>
      </c>
      <c r="D3408" s="141"/>
    </row>
    <row r="3409" spans="1:4" x14ac:dyDescent="0.2">
      <c r="A3409" s="140" t="s">
        <v>2423</v>
      </c>
      <c r="B3409" s="141">
        <v>2.2181254849553298E-3</v>
      </c>
      <c r="D3409" s="141"/>
    </row>
    <row r="3410" spans="1:4" x14ac:dyDescent="0.2">
      <c r="A3410" s="140" t="s">
        <v>4795</v>
      </c>
      <c r="B3410" s="141">
        <v>2.2164649048629199E-3</v>
      </c>
      <c r="D3410" s="141"/>
    </row>
    <row r="3411" spans="1:4" x14ac:dyDescent="0.2">
      <c r="A3411" s="140" t="s">
        <v>3718</v>
      </c>
      <c r="B3411" s="141">
        <v>2.2164207062034601E-3</v>
      </c>
      <c r="D3411" s="141"/>
    </row>
    <row r="3412" spans="1:4" x14ac:dyDescent="0.2">
      <c r="A3412" s="140" t="s">
        <v>3243</v>
      </c>
      <c r="B3412" s="141">
        <v>2.2161346776761901E-3</v>
      </c>
      <c r="D3412" s="141"/>
    </row>
    <row r="3413" spans="1:4" x14ac:dyDescent="0.2">
      <c r="A3413" s="140" t="s">
        <v>4007</v>
      </c>
      <c r="B3413" s="141">
        <v>2.2136803840178002E-3</v>
      </c>
      <c r="D3413" s="141"/>
    </row>
    <row r="3414" spans="1:4" x14ac:dyDescent="0.2">
      <c r="A3414" s="140" t="s">
        <v>1983</v>
      </c>
      <c r="B3414" s="141">
        <v>2.2121420994016998E-3</v>
      </c>
      <c r="D3414" s="141"/>
    </row>
    <row r="3415" spans="1:4" x14ac:dyDescent="0.2">
      <c r="A3415" s="140" t="s">
        <v>558</v>
      </c>
      <c r="B3415" s="141">
        <v>2.2107495381883699E-3</v>
      </c>
      <c r="D3415" s="141"/>
    </row>
    <row r="3416" spans="1:4" x14ac:dyDescent="0.2">
      <c r="A3416" s="140" t="s">
        <v>1250</v>
      </c>
      <c r="B3416" s="141">
        <v>2.2102687613942298E-3</v>
      </c>
      <c r="D3416" s="141"/>
    </row>
    <row r="3417" spans="1:4" x14ac:dyDescent="0.2">
      <c r="A3417" s="140" t="s">
        <v>7628</v>
      </c>
      <c r="B3417" s="141">
        <v>2.20864430543512E-3</v>
      </c>
      <c r="D3417" s="141"/>
    </row>
    <row r="3418" spans="1:4" x14ac:dyDescent="0.2">
      <c r="A3418" s="140" t="s">
        <v>2909</v>
      </c>
      <c r="B3418" s="141">
        <v>2.2041731280237702E-3</v>
      </c>
      <c r="D3418" s="141"/>
    </row>
    <row r="3419" spans="1:4" x14ac:dyDescent="0.2">
      <c r="A3419" s="140" t="s">
        <v>7629</v>
      </c>
      <c r="B3419" s="141">
        <v>2.2038888799338998E-3</v>
      </c>
      <c r="D3419" s="141"/>
    </row>
    <row r="3420" spans="1:4" x14ac:dyDescent="0.2">
      <c r="A3420" s="140" t="s">
        <v>7630</v>
      </c>
      <c r="B3420" s="141">
        <v>2.2038888799338998E-3</v>
      </c>
      <c r="D3420" s="141"/>
    </row>
    <row r="3421" spans="1:4" x14ac:dyDescent="0.2">
      <c r="A3421" s="140" t="s">
        <v>7631</v>
      </c>
      <c r="B3421" s="141">
        <v>2.20124361863786E-3</v>
      </c>
      <c r="D3421" s="141"/>
    </row>
    <row r="3422" spans="1:4" x14ac:dyDescent="0.2">
      <c r="A3422" s="140" t="s">
        <v>7632</v>
      </c>
      <c r="B3422" s="141">
        <v>2.1970519509034998E-3</v>
      </c>
      <c r="D3422" s="141"/>
    </row>
    <row r="3423" spans="1:4" x14ac:dyDescent="0.2">
      <c r="A3423" s="140" t="s">
        <v>762</v>
      </c>
      <c r="B3423" s="141">
        <v>2.1933714345071299E-3</v>
      </c>
      <c r="D3423" s="141"/>
    </row>
    <row r="3424" spans="1:4" x14ac:dyDescent="0.2">
      <c r="A3424" s="140" t="s">
        <v>2180</v>
      </c>
      <c r="B3424" s="141">
        <v>2.1917411677022801E-3</v>
      </c>
      <c r="D3424" s="141"/>
    </row>
    <row r="3425" spans="1:4" x14ac:dyDescent="0.2">
      <c r="A3425" s="140" t="s">
        <v>1791</v>
      </c>
      <c r="B3425" s="141">
        <v>2.1847259959826199E-3</v>
      </c>
      <c r="D3425" s="141"/>
    </row>
    <row r="3426" spans="1:4" x14ac:dyDescent="0.2">
      <c r="A3426" s="140" t="s">
        <v>5455</v>
      </c>
      <c r="B3426" s="141">
        <v>2.1845341766851801E-3</v>
      </c>
      <c r="D3426" s="141"/>
    </row>
    <row r="3427" spans="1:4" x14ac:dyDescent="0.2">
      <c r="A3427" s="140" t="s">
        <v>2823</v>
      </c>
      <c r="B3427" s="141">
        <v>2.17686711621608E-3</v>
      </c>
      <c r="D3427" s="141"/>
    </row>
    <row r="3428" spans="1:4" x14ac:dyDescent="0.2">
      <c r="A3428" s="140" t="s">
        <v>3479</v>
      </c>
      <c r="B3428" s="141">
        <v>2.1763562926822499E-3</v>
      </c>
      <c r="D3428" s="141"/>
    </row>
    <row r="3429" spans="1:4" x14ac:dyDescent="0.2">
      <c r="A3429" s="140" t="s">
        <v>2686</v>
      </c>
      <c r="B3429" s="141">
        <v>2.1752768931128401E-3</v>
      </c>
      <c r="D3429" s="141"/>
    </row>
    <row r="3430" spans="1:4" x14ac:dyDescent="0.2">
      <c r="A3430" s="140" t="s">
        <v>787</v>
      </c>
      <c r="B3430" s="141">
        <v>2.1733826898009301E-3</v>
      </c>
      <c r="D3430" s="141"/>
    </row>
    <row r="3431" spans="1:4" x14ac:dyDescent="0.2">
      <c r="A3431" s="140" t="s">
        <v>7633</v>
      </c>
      <c r="B3431" s="141">
        <v>2.1708209255068699E-3</v>
      </c>
      <c r="D3431" s="141"/>
    </row>
    <row r="3432" spans="1:4" x14ac:dyDescent="0.2">
      <c r="A3432" s="140" t="s">
        <v>5147</v>
      </c>
      <c r="B3432" s="141">
        <v>2.1697517810587998E-3</v>
      </c>
      <c r="D3432" s="141"/>
    </row>
    <row r="3433" spans="1:4" x14ac:dyDescent="0.2">
      <c r="A3433" s="140" t="s">
        <v>7634</v>
      </c>
      <c r="B3433" s="141">
        <v>2.1678048578298199E-3</v>
      </c>
      <c r="D3433" s="141"/>
    </row>
    <row r="3434" spans="1:4" x14ac:dyDescent="0.2">
      <c r="A3434" s="140" t="s">
        <v>5201</v>
      </c>
      <c r="B3434" s="141">
        <v>2.1678048578298199E-3</v>
      </c>
      <c r="D3434" s="141"/>
    </row>
    <row r="3435" spans="1:4" x14ac:dyDescent="0.2">
      <c r="A3435" s="140" t="s">
        <v>7635</v>
      </c>
      <c r="B3435" s="141">
        <v>2.1678048578298199E-3</v>
      </c>
      <c r="D3435" s="141"/>
    </row>
    <row r="3436" spans="1:4" x14ac:dyDescent="0.2">
      <c r="A3436" s="140" t="s">
        <v>1332</v>
      </c>
      <c r="B3436" s="141">
        <v>2.1678048578298199E-3</v>
      </c>
      <c r="D3436" s="141"/>
    </row>
    <row r="3437" spans="1:4" x14ac:dyDescent="0.2">
      <c r="A3437" s="140" t="s">
        <v>3610</v>
      </c>
      <c r="B3437" s="141">
        <v>2.1678048578298199E-3</v>
      </c>
      <c r="D3437" s="141"/>
    </row>
    <row r="3438" spans="1:4" x14ac:dyDescent="0.2">
      <c r="A3438" s="140" t="s">
        <v>7636</v>
      </c>
      <c r="B3438" s="141">
        <v>2.1633193042093898E-3</v>
      </c>
      <c r="D3438" s="141"/>
    </row>
    <row r="3439" spans="1:4" x14ac:dyDescent="0.2">
      <c r="A3439" s="140" t="s">
        <v>2250</v>
      </c>
      <c r="B3439" s="141">
        <v>2.1632995823334098E-3</v>
      </c>
      <c r="D3439" s="141"/>
    </row>
    <row r="3440" spans="1:4" x14ac:dyDescent="0.2">
      <c r="A3440" s="140" t="s">
        <v>2966</v>
      </c>
      <c r="B3440" s="141">
        <v>2.1631808707880101E-3</v>
      </c>
      <c r="D3440" s="141"/>
    </row>
    <row r="3441" spans="1:4" x14ac:dyDescent="0.2">
      <c r="A3441" s="140" t="s">
        <v>6025</v>
      </c>
      <c r="B3441" s="141">
        <v>2.1626774578104402E-3</v>
      </c>
      <c r="D3441" s="141"/>
    </row>
    <row r="3442" spans="1:4" x14ac:dyDescent="0.2">
      <c r="A3442" s="140" t="s">
        <v>2149</v>
      </c>
      <c r="B3442" s="141">
        <v>2.1594236738538101E-3</v>
      </c>
      <c r="D3442" s="141"/>
    </row>
    <row r="3443" spans="1:4" x14ac:dyDescent="0.2">
      <c r="A3443" s="140" t="s">
        <v>4091</v>
      </c>
      <c r="B3443" s="141">
        <v>2.1583537587962702E-3</v>
      </c>
      <c r="D3443" s="141"/>
    </row>
    <row r="3444" spans="1:4" x14ac:dyDescent="0.2">
      <c r="A3444" s="140" t="s">
        <v>2350</v>
      </c>
      <c r="B3444" s="141">
        <v>2.1518321576002E-3</v>
      </c>
      <c r="D3444" s="141"/>
    </row>
    <row r="3445" spans="1:4" x14ac:dyDescent="0.2">
      <c r="A3445" s="140" t="s">
        <v>7637</v>
      </c>
      <c r="B3445" s="141">
        <v>2.1496064726115099E-3</v>
      </c>
      <c r="D3445" s="141"/>
    </row>
    <row r="3446" spans="1:4" x14ac:dyDescent="0.2">
      <c r="A3446" s="140" t="s">
        <v>7638</v>
      </c>
      <c r="B3446" s="141">
        <v>2.1496064726115099E-3</v>
      </c>
      <c r="D3446" s="141"/>
    </row>
    <row r="3447" spans="1:4" x14ac:dyDescent="0.2">
      <c r="A3447" s="140" t="s">
        <v>4653</v>
      </c>
      <c r="B3447" s="141">
        <v>2.14911571383735E-3</v>
      </c>
      <c r="D3447" s="141"/>
    </row>
    <row r="3448" spans="1:4" x14ac:dyDescent="0.2">
      <c r="A3448" s="140" t="s">
        <v>5938</v>
      </c>
      <c r="B3448" s="141">
        <v>2.1460066974731801E-3</v>
      </c>
      <c r="D3448" s="141"/>
    </row>
    <row r="3449" spans="1:4" x14ac:dyDescent="0.2">
      <c r="A3449" s="140" t="s">
        <v>5055</v>
      </c>
      <c r="B3449" s="141">
        <v>2.14374887198819E-3</v>
      </c>
      <c r="D3449" s="141"/>
    </row>
    <row r="3450" spans="1:4" x14ac:dyDescent="0.2">
      <c r="A3450" s="140" t="s">
        <v>7639</v>
      </c>
      <c r="B3450" s="141">
        <v>2.1434663745676301E-3</v>
      </c>
      <c r="D3450" s="141"/>
    </row>
    <row r="3451" spans="1:4" x14ac:dyDescent="0.2">
      <c r="A3451" s="140" t="s">
        <v>3120</v>
      </c>
      <c r="B3451" s="141">
        <v>2.142823050082E-3</v>
      </c>
      <c r="D3451" s="141"/>
    </row>
    <row r="3452" spans="1:4" x14ac:dyDescent="0.2">
      <c r="A3452" s="140" t="s">
        <v>4911</v>
      </c>
      <c r="B3452" s="141">
        <v>2.1416261257173799E-3</v>
      </c>
      <c r="D3452" s="141"/>
    </row>
    <row r="3453" spans="1:4" x14ac:dyDescent="0.2">
      <c r="A3453" s="140" t="s">
        <v>3317</v>
      </c>
      <c r="B3453" s="141">
        <v>2.1416261257173799E-3</v>
      </c>
      <c r="D3453" s="141"/>
    </row>
    <row r="3454" spans="1:4" x14ac:dyDescent="0.2">
      <c r="A3454" s="140" t="s">
        <v>7640</v>
      </c>
      <c r="B3454" s="141">
        <v>2.14159406188462E-3</v>
      </c>
      <c r="D3454" s="141"/>
    </row>
    <row r="3455" spans="1:4" x14ac:dyDescent="0.2">
      <c r="A3455" s="140" t="s">
        <v>3639</v>
      </c>
      <c r="B3455" s="141">
        <v>2.1381374984411699E-3</v>
      </c>
      <c r="D3455" s="141"/>
    </row>
    <row r="3456" spans="1:4" x14ac:dyDescent="0.2">
      <c r="A3456" s="140" t="s">
        <v>1330</v>
      </c>
      <c r="B3456" s="141">
        <v>2.13306047371652E-3</v>
      </c>
      <c r="D3456" s="141"/>
    </row>
    <row r="3457" spans="1:4" x14ac:dyDescent="0.2">
      <c r="A3457" s="140" t="s">
        <v>865</v>
      </c>
      <c r="B3457" s="141">
        <v>2.1309356714475599E-3</v>
      </c>
      <c r="D3457" s="141"/>
    </row>
    <row r="3458" spans="1:4" x14ac:dyDescent="0.2">
      <c r="A3458" s="140" t="s">
        <v>7641</v>
      </c>
      <c r="B3458" s="141">
        <v>2.1304388331347102E-3</v>
      </c>
      <c r="D3458" s="141"/>
    </row>
    <row r="3459" spans="1:4" x14ac:dyDescent="0.2">
      <c r="A3459" s="140" t="s">
        <v>2746</v>
      </c>
      <c r="B3459" s="141">
        <v>2.1296922602666601E-3</v>
      </c>
      <c r="D3459" s="141"/>
    </row>
    <row r="3460" spans="1:4" x14ac:dyDescent="0.2">
      <c r="A3460" s="140" t="s">
        <v>7642</v>
      </c>
      <c r="B3460" s="141">
        <v>2.1279253881500699E-3</v>
      </c>
      <c r="D3460" s="141"/>
    </row>
    <row r="3461" spans="1:4" x14ac:dyDescent="0.2">
      <c r="A3461" s="140" t="s">
        <v>4914</v>
      </c>
      <c r="B3461" s="141">
        <v>2.1255269789778198E-3</v>
      </c>
      <c r="D3461" s="141"/>
    </row>
    <row r="3462" spans="1:4" x14ac:dyDescent="0.2">
      <c r="A3462" s="140" t="s">
        <v>5991</v>
      </c>
      <c r="B3462" s="141">
        <v>2.12485785952763E-3</v>
      </c>
      <c r="D3462" s="141"/>
    </row>
    <row r="3463" spans="1:4" x14ac:dyDescent="0.2">
      <c r="A3463" s="140" t="s">
        <v>7643</v>
      </c>
      <c r="B3463" s="141">
        <v>2.1247170606926999E-3</v>
      </c>
      <c r="D3463" s="141"/>
    </row>
    <row r="3464" spans="1:4" x14ac:dyDescent="0.2">
      <c r="A3464" s="140" t="s">
        <v>4815</v>
      </c>
      <c r="B3464" s="141">
        <v>2.1199284026541501E-3</v>
      </c>
      <c r="D3464" s="141"/>
    </row>
    <row r="3465" spans="1:4" x14ac:dyDescent="0.2">
      <c r="A3465" s="140" t="s">
        <v>7644</v>
      </c>
      <c r="B3465" s="141">
        <v>2.1196141996218201E-3</v>
      </c>
      <c r="D3465" s="141"/>
    </row>
    <row r="3466" spans="1:4" x14ac:dyDescent="0.2">
      <c r="A3466" s="140" t="s">
        <v>7645</v>
      </c>
      <c r="B3466" s="141">
        <v>2.1196141996218201E-3</v>
      </c>
      <c r="D3466" s="141"/>
    </row>
    <row r="3467" spans="1:4" x14ac:dyDescent="0.2">
      <c r="A3467" s="140" t="s">
        <v>7646</v>
      </c>
      <c r="B3467" s="141">
        <v>2.1196141996218201E-3</v>
      </c>
      <c r="D3467" s="141"/>
    </row>
    <row r="3468" spans="1:4" x14ac:dyDescent="0.2">
      <c r="A3468" s="140" t="s">
        <v>3116</v>
      </c>
      <c r="B3468" s="141">
        <v>2.1168586638800899E-3</v>
      </c>
      <c r="D3468" s="141"/>
    </row>
    <row r="3469" spans="1:4" x14ac:dyDescent="0.2">
      <c r="A3469" s="140" t="s">
        <v>1628</v>
      </c>
      <c r="B3469" s="141">
        <v>2.1127219388612302E-3</v>
      </c>
      <c r="D3469" s="141"/>
    </row>
    <row r="3470" spans="1:4" x14ac:dyDescent="0.2">
      <c r="A3470" s="140" t="s">
        <v>7647</v>
      </c>
      <c r="B3470" s="141">
        <v>2.1114941771080298E-3</v>
      </c>
      <c r="D3470" s="141"/>
    </row>
    <row r="3471" spans="1:4" x14ac:dyDescent="0.2">
      <c r="A3471" s="140" t="s">
        <v>2763</v>
      </c>
      <c r="B3471" s="141">
        <v>2.1067247047829901E-3</v>
      </c>
      <c r="D3471" s="141"/>
    </row>
    <row r="3472" spans="1:4" x14ac:dyDescent="0.2">
      <c r="A3472" s="140" t="s">
        <v>6125</v>
      </c>
      <c r="B3472" s="141">
        <v>2.1065809184568499E-3</v>
      </c>
      <c r="D3472" s="141"/>
    </row>
    <row r="3473" spans="1:4" x14ac:dyDescent="0.2">
      <c r="A3473" s="140" t="s">
        <v>7648</v>
      </c>
      <c r="B3473" s="141">
        <v>2.1065809184568499E-3</v>
      </c>
      <c r="D3473" s="141"/>
    </row>
    <row r="3474" spans="1:4" x14ac:dyDescent="0.2">
      <c r="A3474" s="140" t="s">
        <v>4742</v>
      </c>
      <c r="B3474" s="141">
        <v>2.1065809184568499E-3</v>
      </c>
      <c r="D3474" s="141"/>
    </row>
    <row r="3475" spans="1:4" x14ac:dyDescent="0.2">
      <c r="A3475" s="140" t="s">
        <v>7649</v>
      </c>
      <c r="B3475" s="141">
        <v>2.1065809184568499E-3</v>
      </c>
      <c r="D3475" s="141"/>
    </row>
    <row r="3476" spans="1:4" x14ac:dyDescent="0.2">
      <c r="A3476" s="140" t="s">
        <v>7650</v>
      </c>
      <c r="B3476" s="141">
        <v>2.1065809184568499E-3</v>
      </c>
      <c r="D3476" s="141"/>
    </row>
    <row r="3477" spans="1:4" x14ac:dyDescent="0.2">
      <c r="A3477" s="140" t="s">
        <v>5117</v>
      </c>
      <c r="B3477" s="141">
        <v>2.1048633577523302E-3</v>
      </c>
      <c r="D3477" s="141"/>
    </row>
    <row r="3478" spans="1:4" x14ac:dyDescent="0.2">
      <c r="A3478" s="140" t="s">
        <v>5665</v>
      </c>
      <c r="B3478" s="141">
        <v>2.1022901160738798E-3</v>
      </c>
      <c r="D3478" s="141"/>
    </row>
    <row r="3479" spans="1:4" x14ac:dyDescent="0.2">
      <c r="A3479" s="140" t="s">
        <v>4608</v>
      </c>
      <c r="B3479" s="141">
        <v>2.1017497526838701E-3</v>
      </c>
      <c r="D3479" s="141"/>
    </row>
    <row r="3480" spans="1:4" x14ac:dyDescent="0.2">
      <c r="A3480" s="140" t="s">
        <v>7651</v>
      </c>
      <c r="B3480" s="141">
        <v>2.1010218190329398E-3</v>
      </c>
      <c r="D3480" s="141"/>
    </row>
    <row r="3481" spans="1:4" x14ac:dyDescent="0.2">
      <c r="A3481" s="140" t="s">
        <v>4006</v>
      </c>
      <c r="B3481" s="141">
        <v>2.0951194438220502E-3</v>
      </c>
      <c r="D3481" s="141"/>
    </row>
    <row r="3482" spans="1:4" x14ac:dyDescent="0.2">
      <c r="A3482" s="140" t="s">
        <v>2996</v>
      </c>
      <c r="B3482" s="141">
        <v>2.0947646412729998E-3</v>
      </c>
      <c r="D3482" s="141"/>
    </row>
    <row r="3483" spans="1:4" x14ac:dyDescent="0.2">
      <c r="A3483" s="140" t="s">
        <v>1840</v>
      </c>
      <c r="B3483" s="141">
        <v>2.0912168897239802E-3</v>
      </c>
      <c r="D3483" s="141"/>
    </row>
    <row r="3484" spans="1:4" x14ac:dyDescent="0.2">
      <c r="A3484" s="140" t="s">
        <v>2020</v>
      </c>
      <c r="B3484" s="141">
        <v>2.0908166452974202E-3</v>
      </c>
      <c r="D3484" s="141"/>
    </row>
    <row r="3485" spans="1:4" x14ac:dyDescent="0.2">
      <c r="A3485" s="140" t="s">
        <v>7652</v>
      </c>
      <c r="B3485" s="141">
        <v>2.0901737933266E-3</v>
      </c>
      <c r="D3485" s="141"/>
    </row>
    <row r="3486" spans="1:4" x14ac:dyDescent="0.2">
      <c r="A3486" s="140" t="s">
        <v>7653</v>
      </c>
      <c r="B3486" s="141">
        <v>2.0897033869796099E-3</v>
      </c>
      <c r="D3486" s="141"/>
    </row>
    <row r="3487" spans="1:4" x14ac:dyDescent="0.2">
      <c r="A3487" s="140" t="s">
        <v>1024</v>
      </c>
      <c r="B3487" s="141">
        <v>2.0884264276246301E-3</v>
      </c>
      <c r="D3487" s="141"/>
    </row>
    <row r="3488" spans="1:4" x14ac:dyDescent="0.2">
      <c r="A3488" s="140" t="s">
        <v>7654</v>
      </c>
      <c r="B3488" s="141">
        <v>2.0876799261722698E-3</v>
      </c>
      <c r="D3488" s="141"/>
    </row>
    <row r="3489" spans="1:4" x14ac:dyDescent="0.2">
      <c r="A3489" s="140" t="s">
        <v>7655</v>
      </c>
      <c r="B3489" s="141">
        <v>2.0871313280383598E-3</v>
      </c>
      <c r="D3489" s="141"/>
    </row>
    <row r="3490" spans="1:4" x14ac:dyDescent="0.2">
      <c r="A3490" s="140" t="s">
        <v>1112</v>
      </c>
      <c r="B3490" s="141">
        <v>2.0847034204239299E-3</v>
      </c>
      <c r="D3490" s="141"/>
    </row>
    <row r="3491" spans="1:4" x14ac:dyDescent="0.2">
      <c r="A3491" s="140" t="s">
        <v>7656</v>
      </c>
      <c r="B3491" s="141">
        <v>2.08319286111167E-3</v>
      </c>
      <c r="D3491" s="141"/>
    </row>
    <row r="3492" spans="1:4" x14ac:dyDescent="0.2">
      <c r="A3492" s="140" t="s">
        <v>7657</v>
      </c>
      <c r="B3492" s="141">
        <v>2.08319286111167E-3</v>
      </c>
      <c r="D3492" s="141"/>
    </row>
    <row r="3493" spans="1:4" x14ac:dyDescent="0.2">
      <c r="A3493" s="140" t="s">
        <v>5572</v>
      </c>
      <c r="B3493" s="141">
        <v>2.08319286111167E-3</v>
      </c>
      <c r="D3493" s="141"/>
    </row>
    <row r="3494" spans="1:4" x14ac:dyDescent="0.2">
      <c r="A3494" s="140" t="s">
        <v>5527</v>
      </c>
      <c r="B3494" s="141">
        <v>2.08319286111167E-3</v>
      </c>
      <c r="D3494" s="141"/>
    </row>
    <row r="3495" spans="1:4" x14ac:dyDescent="0.2">
      <c r="A3495" s="140" t="s">
        <v>7658</v>
      </c>
      <c r="B3495" s="141">
        <v>2.08319286111167E-3</v>
      </c>
      <c r="D3495" s="141"/>
    </row>
    <row r="3496" spans="1:4" x14ac:dyDescent="0.2">
      <c r="A3496" s="140" t="s">
        <v>7659</v>
      </c>
      <c r="B3496" s="141">
        <v>2.08319286111167E-3</v>
      </c>
      <c r="D3496" s="141"/>
    </row>
    <row r="3497" spans="1:4" x14ac:dyDescent="0.2">
      <c r="A3497" s="140" t="s">
        <v>2486</v>
      </c>
      <c r="B3497" s="141">
        <v>2.0813564547891399E-3</v>
      </c>
      <c r="D3497" s="141"/>
    </row>
    <row r="3498" spans="1:4" x14ac:dyDescent="0.2">
      <c r="A3498" s="140" t="s">
        <v>5792</v>
      </c>
      <c r="B3498" s="141">
        <v>2.0798514832729201E-3</v>
      </c>
      <c r="D3498" s="141"/>
    </row>
    <row r="3499" spans="1:4" x14ac:dyDescent="0.2">
      <c r="A3499" s="140" t="s">
        <v>385</v>
      </c>
      <c r="B3499" s="141">
        <v>2.07868921679186E-3</v>
      </c>
      <c r="D3499" s="141"/>
    </row>
    <row r="3500" spans="1:4" x14ac:dyDescent="0.2">
      <c r="A3500" s="140" t="s">
        <v>3645</v>
      </c>
      <c r="B3500" s="141">
        <v>2.0785925217006E-3</v>
      </c>
      <c r="D3500" s="141"/>
    </row>
    <row r="3501" spans="1:4" x14ac:dyDescent="0.2">
      <c r="A3501" s="140" t="s">
        <v>2554</v>
      </c>
      <c r="B3501" s="141">
        <v>2.0750579362435401E-3</v>
      </c>
      <c r="D3501" s="141"/>
    </row>
    <row r="3502" spans="1:4" x14ac:dyDescent="0.2">
      <c r="A3502" s="140" t="s">
        <v>2896</v>
      </c>
      <c r="B3502" s="141">
        <v>2.0681930789273901E-3</v>
      </c>
      <c r="D3502" s="141"/>
    </row>
    <row r="3503" spans="1:4" x14ac:dyDescent="0.2">
      <c r="A3503" s="140" t="s">
        <v>1769</v>
      </c>
      <c r="B3503" s="141">
        <v>2.0676544516791801E-3</v>
      </c>
      <c r="D3503" s="141"/>
    </row>
    <row r="3504" spans="1:4" x14ac:dyDescent="0.2">
      <c r="A3504" s="140" t="s">
        <v>3828</v>
      </c>
      <c r="B3504" s="141">
        <v>2.0666163200734099E-3</v>
      </c>
      <c r="D3504" s="141"/>
    </row>
    <row r="3505" spans="1:4" x14ac:dyDescent="0.2">
      <c r="A3505" s="140" t="s">
        <v>5315</v>
      </c>
      <c r="B3505" s="141">
        <v>2.0650664964889098E-3</v>
      </c>
      <c r="D3505" s="141"/>
    </row>
    <row r="3506" spans="1:4" x14ac:dyDescent="0.2">
      <c r="A3506" s="140" t="s">
        <v>3050</v>
      </c>
      <c r="B3506" s="141">
        <v>2.0621701242984898E-3</v>
      </c>
      <c r="D3506" s="141"/>
    </row>
    <row r="3507" spans="1:4" x14ac:dyDescent="0.2">
      <c r="A3507" s="140" t="s">
        <v>1793</v>
      </c>
      <c r="B3507" s="141">
        <v>2.0619487481959302E-3</v>
      </c>
      <c r="D3507" s="141"/>
    </row>
    <row r="3508" spans="1:4" x14ac:dyDescent="0.2">
      <c r="A3508" s="140" t="s">
        <v>3394</v>
      </c>
      <c r="B3508" s="141">
        <v>2.05619157875032E-3</v>
      </c>
      <c r="D3508" s="141"/>
    </row>
    <row r="3509" spans="1:4" x14ac:dyDescent="0.2">
      <c r="A3509" s="140" t="s">
        <v>2639</v>
      </c>
      <c r="B3509" s="141">
        <v>2.0540609565367599E-3</v>
      </c>
      <c r="D3509" s="141"/>
    </row>
    <row r="3510" spans="1:4" x14ac:dyDescent="0.2">
      <c r="A3510" s="140" t="s">
        <v>2816</v>
      </c>
      <c r="B3510" s="141">
        <v>2.0524473655753098E-3</v>
      </c>
      <c r="D3510" s="141"/>
    </row>
    <row r="3511" spans="1:4" x14ac:dyDescent="0.2">
      <c r="A3511" s="140" t="s">
        <v>1012</v>
      </c>
      <c r="B3511" s="141">
        <v>2.05241047529436E-3</v>
      </c>
      <c r="D3511" s="141"/>
    </row>
    <row r="3512" spans="1:4" x14ac:dyDescent="0.2">
      <c r="A3512" s="140" t="s">
        <v>3588</v>
      </c>
      <c r="B3512" s="141">
        <v>2.0522077885557501E-3</v>
      </c>
      <c r="D3512" s="141"/>
    </row>
    <row r="3513" spans="1:4" x14ac:dyDescent="0.2">
      <c r="A3513" s="140" t="s">
        <v>6059</v>
      </c>
      <c r="B3513" s="141">
        <v>2.0494474702449001E-3</v>
      </c>
      <c r="D3513" s="141"/>
    </row>
    <row r="3514" spans="1:4" x14ac:dyDescent="0.2">
      <c r="A3514" s="140" t="s">
        <v>7660</v>
      </c>
      <c r="B3514" s="141">
        <v>2.0483328041274499E-3</v>
      </c>
      <c r="D3514" s="141"/>
    </row>
    <row r="3515" spans="1:4" x14ac:dyDescent="0.2">
      <c r="A3515" s="140" t="s">
        <v>7661</v>
      </c>
      <c r="B3515" s="141">
        <v>2.0483328041274499E-3</v>
      </c>
      <c r="D3515" s="141"/>
    </row>
    <row r="3516" spans="1:4" x14ac:dyDescent="0.2">
      <c r="A3516" s="140" t="s">
        <v>7662</v>
      </c>
      <c r="B3516" s="141">
        <v>2.0403926942273399E-3</v>
      </c>
      <c r="D3516" s="141"/>
    </row>
    <row r="3517" spans="1:4" x14ac:dyDescent="0.2">
      <c r="A3517" s="140" t="s">
        <v>6232</v>
      </c>
      <c r="B3517" s="141">
        <v>2.0396611184277801E-3</v>
      </c>
      <c r="D3517" s="141"/>
    </row>
    <row r="3518" spans="1:4" x14ac:dyDescent="0.2">
      <c r="A3518" s="140" t="s">
        <v>5911</v>
      </c>
      <c r="B3518" s="141">
        <v>2.0395436378547599E-3</v>
      </c>
      <c r="D3518" s="141"/>
    </row>
    <row r="3519" spans="1:4" x14ac:dyDescent="0.2">
      <c r="A3519" s="140" t="s">
        <v>2518</v>
      </c>
      <c r="B3519" s="141">
        <v>2.0353233093007399E-3</v>
      </c>
      <c r="D3519" s="141"/>
    </row>
    <row r="3520" spans="1:4" x14ac:dyDescent="0.2">
      <c r="A3520" s="140" t="s">
        <v>2103</v>
      </c>
      <c r="B3520" s="141">
        <v>2.0340622083465502E-3</v>
      </c>
      <c r="D3520" s="141"/>
    </row>
    <row r="3521" spans="1:4" x14ac:dyDescent="0.2">
      <c r="A3521" s="140" t="s">
        <v>7663</v>
      </c>
      <c r="B3521" s="141">
        <v>2.0306107155746299E-3</v>
      </c>
      <c r="D3521" s="141"/>
    </row>
    <row r="3522" spans="1:4" x14ac:dyDescent="0.2">
      <c r="A3522" s="140" t="s">
        <v>6208</v>
      </c>
      <c r="B3522" s="141">
        <v>2.0303121271714099E-3</v>
      </c>
      <c r="D3522" s="141"/>
    </row>
    <row r="3523" spans="1:4" x14ac:dyDescent="0.2">
      <c r="A3523" s="140" t="s">
        <v>7664</v>
      </c>
      <c r="B3523" s="141">
        <v>2.0302852961713298E-3</v>
      </c>
      <c r="D3523" s="141"/>
    </row>
    <row r="3524" spans="1:4" x14ac:dyDescent="0.2">
      <c r="A3524" s="140" t="s">
        <v>4149</v>
      </c>
      <c r="B3524" s="141">
        <v>2.0300046563823801E-3</v>
      </c>
      <c r="D3524" s="141"/>
    </row>
    <row r="3525" spans="1:4" x14ac:dyDescent="0.2">
      <c r="A3525" s="140" t="s">
        <v>7665</v>
      </c>
      <c r="B3525" s="141">
        <v>2.0243875880706602E-3</v>
      </c>
      <c r="D3525" s="141"/>
    </row>
    <row r="3526" spans="1:4" x14ac:dyDescent="0.2">
      <c r="A3526" s="140" t="s">
        <v>7666</v>
      </c>
      <c r="B3526" s="141">
        <v>2.0243875880706602E-3</v>
      </c>
      <c r="D3526" s="141"/>
    </row>
    <row r="3527" spans="1:4" x14ac:dyDescent="0.2">
      <c r="A3527" s="140" t="s">
        <v>7667</v>
      </c>
      <c r="B3527" s="141">
        <v>2.0243875880706602E-3</v>
      </c>
      <c r="D3527" s="141"/>
    </row>
    <row r="3528" spans="1:4" x14ac:dyDescent="0.2">
      <c r="A3528" s="140" t="s">
        <v>3209</v>
      </c>
      <c r="B3528" s="141">
        <v>2.0243875880706602E-3</v>
      </c>
      <c r="D3528" s="141"/>
    </row>
    <row r="3529" spans="1:4" x14ac:dyDescent="0.2">
      <c r="A3529" s="140" t="s">
        <v>2608</v>
      </c>
      <c r="B3529" s="141">
        <v>2.0241719673680801E-3</v>
      </c>
      <c r="D3529" s="141"/>
    </row>
    <row r="3530" spans="1:4" x14ac:dyDescent="0.2">
      <c r="A3530" s="140" t="s">
        <v>1285</v>
      </c>
      <c r="B3530" s="141">
        <v>2.0226349502403301E-3</v>
      </c>
      <c r="D3530" s="141"/>
    </row>
    <row r="3531" spans="1:4" x14ac:dyDescent="0.2">
      <c r="A3531" s="140" t="s">
        <v>7668</v>
      </c>
      <c r="B3531" s="141">
        <v>2.0200750601129499E-3</v>
      </c>
      <c r="D3531" s="141"/>
    </row>
    <row r="3532" spans="1:4" x14ac:dyDescent="0.2">
      <c r="A3532" s="140" t="s">
        <v>3543</v>
      </c>
      <c r="B3532" s="141">
        <v>2.0194895080500098E-3</v>
      </c>
      <c r="D3532" s="141"/>
    </row>
    <row r="3533" spans="1:4" x14ac:dyDescent="0.2">
      <c r="A3533" s="140" t="s">
        <v>4001</v>
      </c>
      <c r="B3533" s="141">
        <v>2.0180918272804799E-3</v>
      </c>
      <c r="D3533" s="141"/>
    </row>
    <row r="3534" spans="1:4" x14ac:dyDescent="0.2">
      <c r="A3534" s="140" t="s">
        <v>7669</v>
      </c>
      <c r="B3534" s="141">
        <v>2.01270169698916E-3</v>
      </c>
      <c r="D3534" s="141"/>
    </row>
    <row r="3535" spans="1:4" x14ac:dyDescent="0.2">
      <c r="A3535" s="140" t="s">
        <v>1202</v>
      </c>
      <c r="B3535" s="141">
        <v>2.00963887842897E-3</v>
      </c>
      <c r="D3535" s="141"/>
    </row>
    <row r="3536" spans="1:4" x14ac:dyDescent="0.2">
      <c r="A3536" s="140" t="s">
        <v>2766</v>
      </c>
      <c r="B3536" s="141">
        <v>2.0090889386813401E-3</v>
      </c>
      <c r="D3536" s="141"/>
    </row>
    <row r="3537" spans="1:4" x14ac:dyDescent="0.2">
      <c r="A3537" s="140" t="s">
        <v>3471</v>
      </c>
      <c r="B3537" s="141">
        <v>2.0057277243261899E-3</v>
      </c>
      <c r="D3537" s="141"/>
    </row>
    <row r="3538" spans="1:4" x14ac:dyDescent="0.2">
      <c r="A3538" s="140" t="s">
        <v>3653</v>
      </c>
      <c r="B3538" s="141">
        <v>2.0048478775101298E-3</v>
      </c>
      <c r="D3538" s="141"/>
    </row>
    <row r="3539" spans="1:4" x14ac:dyDescent="0.2">
      <c r="A3539" s="140" t="s">
        <v>3014</v>
      </c>
      <c r="B3539" s="141">
        <v>2.0026802287388401E-3</v>
      </c>
      <c r="D3539" s="141"/>
    </row>
    <row r="3540" spans="1:4" x14ac:dyDescent="0.2">
      <c r="A3540" s="140" t="s">
        <v>747</v>
      </c>
      <c r="B3540" s="141">
        <v>1.9971969266001002E-3</v>
      </c>
      <c r="D3540" s="141"/>
    </row>
    <row r="3541" spans="1:4" x14ac:dyDescent="0.2">
      <c r="A3541" s="140" t="s">
        <v>1058</v>
      </c>
      <c r="B3541" s="141">
        <v>1.9971355981998999E-3</v>
      </c>
      <c r="D3541" s="141"/>
    </row>
    <row r="3542" spans="1:4" x14ac:dyDescent="0.2">
      <c r="A3542" s="140" t="s">
        <v>3312</v>
      </c>
      <c r="B3542" s="141">
        <v>1.9942876624474901E-3</v>
      </c>
      <c r="D3542" s="141"/>
    </row>
    <row r="3543" spans="1:4" x14ac:dyDescent="0.2">
      <c r="A3543" s="140" t="s">
        <v>7670</v>
      </c>
      <c r="B3543" s="141">
        <v>1.99334131271525E-3</v>
      </c>
      <c r="D3543" s="141"/>
    </row>
    <row r="3544" spans="1:4" x14ac:dyDescent="0.2">
      <c r="A3544" s="140" t="s">
        <v>7671</v>
      </c>
      <c r="B3544" s="141">
        <v>1.9919217736280199E-3</v>
      </c>
      <c r="D3544" s="141"/>
    </row>
    <row r="3545" spans="1:4" x14ac:dyDescent="0.2">
      <c r="A3545" s="140" t="s">
        <v>4533</v>
      </c>
      <c r="B3545" s="141">
        <v>1.9917406665106501E-3</v>
      </c>
      <c r="D3545" s="141"/>
    </row>
    <row r="3546" spans="1:4" x14ac:dyDescent="0.2">
      <c r="A3546" s="140" t="s">
        <v>7672</v>
      </c>
      <c r="B3546" s="141">
        <v>1.9913375594941799E-3</v>
      </c>
      <c r="D3546" s="141"/>
    </row>
    <row r="3547" spans="1:4" x14ac:dyDescent="0.2">
      <c r="A3547" s="140" t="s">
        <v>3123</v>
      </c>
      <c r="B3547" s="141">
        <v>1.9903456693781399E-3</v>
      </c>
      <c r="D3547" s="141"/>
    </row>
    <row r="3548" spans="1:4" x14ac:dyDescent="0.2">
      <c r="A3548" s="140" t="s">
        <v>5708</v>
      </c>
      <c r="B3548" s="141">
        <v>1.9867896428807401E-3</v>
      </c>
      <c r="D3548" s="141"/>
    </row>
    <row r="3549" spans="1:4" x14ac:dyDescent="0.2">
      <c r="A3549" s="140" t="s">
        <v>4008</v>
      </c>
      <c r="B3549" s="141">
        <v>1.9829674181450598E-3</v>
      </c>
      <c r="D3549" s="141"/>
    </row>
    <row r="3550" spans="1:4" x14ac:dyDescent="0.2">
      <c r="A3550" s="140" t="s">
        <v>7673</v>
      </c>
      <c r="B3550" s="141">
        <v>1.98152731900576E-3</v>
      </c>
      <c r="D3550" s="141"/>
    </row>
    <row r="3551" spans="1:4" x14ac:dyDescent="0.2">
      <c r="A3551" s="140" t="s">
        <v>7674</v>
      </c>
      <c r="B3551" s="141">
        <v>1.9794673329823101E-3</v>
      </c>
      <c r="D3551" s="141"/>
    </row>
    <row r="3552" spans="1:4" x14ac:dyDescent="0.2">
      <c r="A3552" s="140" t="s">
        <v>1787</v>
      </c>
      <c r="B3552" s="141">
        <v>1.9794122529597702E-3</v>
      </c>
      <c r="D3552" s="141"/>
    </row>
    <row r="3553" spans="1:4" x14ac:dyDescent="0.2">
      <c r="A3553" s="140" t="s">
        <v>7675</v>
      </c>
      <c r="B3553" s="141">
        <v>1.9793856969466598E-3</v>
      </c>
      <c r="D3553" s="141"/>
    </row>
    <row r="3554" spans="1:4" x14ac:dyDescent="0.2">
      <c r="A3554" s="140" t="s">
        <v>2619</v>
      </c>
      <c r="B3554" s="141">
        <v>1.9792090522973401E-3</v>
      </c>
      <c r="D3554" s="141"/>
    </row>
    <row r="3555" spans="1:4" x14ac:dyDescent="0.2">
      <c r="A3555" s="140" t="s">
        <v>7676</v>
      </c>
      <c r="B3555" s="141">
        <v>1.9754479748992802E-3</v>
      </c>
      <c r="D3555" s="141"/>
    </row>
    <row r="3556" spans="1:4" x14ac:dyDescent="0.2">
      <c r="A3556" s="140" t="s">
        <v>7677</v>
      </c>
      <c r="B3556" s="141">
        <v>1.9754479748992802E-3</v>
      </c>
      <c r="D3556" s="141"/>
    </row>
    <row r="3557" spans="1:4" x14ac:dyDescent="0.2">
      <c r="A3557" s="140" t="s">
        <v>7678</v>
      </c>
      <c r="B3557" s="141">
        <v>1.9754039123737002E-3</v>
      </c>
      <c r="D3557" s="141"/>
    </row>
    <row r="3558" spans="1:4" x14ac:dyDescent="0.2">
      <c r="A3558" s="140" t="s">
        <v>7679</v>
      </c>
      <c r="B3558" s="141">
        <v>1.9754039123737002E-3</v>
      </c>
      <c r="D3558" s="141"/>
    </row>
    <row r="3559" spans="1:4" x14ac:dyDescent="0.2">
      <c r="A3559" s="140" t="s">
        <v>7680</v>
      </c>
      <c r="B3559" s="141">
        <v>1.9754039123737002E-3</v>
      </c>
      <c r="D3559" s="141"/>
    </row>
    <row r="3560" spans="1:4" x14ac:dyDescent="0.2">
      <c r="A3560" s="140" t="s">
        <v>6354</v>
      </c>
      <c r="B3560" s="141">
        <v>1.9752010590971302E-3</v>
      </c>
      <c r="D3560" s="141"/>
    </row>
    <row r="3561" spans="1:4" x14ac:dyDescent="0.2">
      <c r="A3561" s="140" t="s">
        <v>2141</v>
      </c>
      <c r="B3561" s="141">
        <v>1.9734731331256198E-3</v>
      </c>
      <c r="D3561" s="141"/>
    </row>
    <row r="3562" spans="1:4" x14ac:dyDescent="0.2">
      <c r="A3562" s="140" t="s">
        <v>4824</v>
      </c>
      <c r="B3562" s="141">
        <v>1.9724495189152699E-3</v>
      </c>
      <c r="D3562" s="141"/>
    </row>
    <row r="3563" spans="1:4" x14ac:dyDescent="0.2">
      <c r="A3563" s="140" t="s">
        <v>6081</v>
      </c>
      <c r="B3563" s="141">
        <v>1.9712685528956702E-3</v>
      </c>
      <c r="D3563" s="141"/>
    </row>
    <row r="3564" spans="1:4" x14ac:dyDescent="0.2">
      <c r="A3564" s="140" t="s">
        <v>3327</v>
      </c>
      <c r="B3564" s="141">
        <v>1.9710939751162002E-3</v>
      </c>
      <c r="D3564" s="141"/>
    </row>
    <row r="3565" spans="1:4" x14ac:dyDescent="0.2">
      <c r="A3565" s="140" t="s">
        <v>7681</v>
      </c>
      <c r="B3565" s="141">
        <v>1.9709163570028302E-3</v>
      </c>
      <c r="D3565" s="141"/>
    </row>
    <row r="3566" spans="1:4" x14ac:dyDescent="0.2">
      <c r="A3566" s="140" t="s">
        <v>3734</v>
      </c>
      <c r="B3566" s="141">
        <v>1.9701767445256201E-3</v>
      </c>
      <c r="D3566" s="141"/>
    </row>
    <row r="3567" spans="1:4" x14ac:dyDescent="0.2">
      <c r="A3567" s="140" t="s">
        <v>2147</v>
      </c>
      <c r="B3567" s="141">
        <v>1.9682876193560799E-3</v>
      </c>
      <c r="D3567" s="141"/>
    </row>
    <row r="3568" spans="1:4" x14ac:dyDescent="0.2">
      <c r="A3568" s="140" t="s">
        <v>2055</v>
      </c>
      <c r="B3568" s="141">
        <v>1.9676155058184E-3</v>
      </c>
      <c r="D3568" s="141"/>
    </row>
    <row r="3569" spans="1:4" x14ac:dyDescent="0.2">
      <c r="A3569" s="140" t="s">
        <v>7682</v>
      </c>
      <c r="B3569" s="141">
        <v>1.9654452200192E-3</v>
      </c>
      <c r="D3569" s="141"/>
    </row>
    <row r="3570" spans="1:4" x14ac:dyDescent="0.2">
      <c r="A3570" s="140" t="s">
        <v>7683</v>
      </c>
      <c r="B3570" s="141">
        <v>1.9651945175295101E-3</v>
      </c>
      <c r="D3570" s="141"/>
    </row>
    <row r="3571" spans="1:4" x14ac:dyDescent="0.2">
      <c r="A3571" s="140" t="s">
        <v>2080</v>
      </c>
      <c r="B3571" s="141">
        <v>1.95741742946842E-3</v>
      </c>
      <c r="D3571" s="141"/>
    </row>
    <row r="3572" spans="1:4" x14ac:dyDescent="0.2">
      <c r="A3572" s="140" t="s">
        <v>396</v>
      </c>
      <c r="B3572" s="141">
        <v>1.9555044611171499E-3</v>
      </c>
      <c r="D3572" s="141"/>
    </row>
    <row r="3573" spans="1:4" x14ac:dyDescent="0.2">
      <c r="A3573" s="140" t="s">
        <v>1481</v>
      </c>
      <c r="B3573" s="141">
        <v>1.9538314402699599E-3</v>
      </c>
      <c r="D3573" s="141"/>
    </row>
    <row r="3574" spans="1:4" x14ac:dyDescent="0.2">
      <c r="A3574" s="140" t="s">
        <v>4906</v>
      </c>
      <c r="B3574" s="141">
        <v>1.9524205777776099E-3</v>
      </c>
      <c r="D3574" s="141"/>
    </row>
    <row r="3575" spans="1:4" x14ac:dyDescent="0.2">
      <c r="A3575" s="140" t="s">
        <v>1120</v>
      </c>
      <c r="B3575" s="141">
        <v>1.95185615101176E-3</v>
      </c>
      <c r="D3575" s="141"/>
    </row>
    <row r="3576" spans="1:4" x14ac:dyDescent="0.2">
      <c r="A3576" s="140" t="s">
        <v>2906</v>
      </c>
      <c r="B3576" s="141">
        <v>1.95113503988949E-3</v>
      </c>
      <c r="D3576" s="141"/>
    </row>
    <row r="3577" spans="1:4" x14ac:dyDescent="0.2">
      <c r="A3577" s="140" t="s">
        <v>3767</v>
      </c>
      <c r="B3577" s="141">
        <v>1.94965753657319E-3</v>
      </c>
      <c r="D3577" s="141"/>
    </row>
    <row r="3578" spans="1:4" x14ac:dyDescent="0.2">
      <c r="A3578" s="140" t="s">
        <v>4259</v>
      </c>
      <c r="B3578" s="141">
        <v>1.9469237309537001E-3</v>
      </c>
      <c r="D3578" s="141"/>
    </row>
    <row r="3579" spans="1:4" x14ac:dyDescent="0.2">
      <c r="A3579" s="140" t="s">
        <v>2634</v>
      </c>
      <c r="B3579" s="141">
        <v>1.9459805884762601E-3</v>
      </c>
      <c r="D3579" s="141"/>
    </row>
    <row r="3580" spans="1:4" x14ac:dyDescent="0.2">
      <c r="A3580" s="140" t="s">
        <v>4758</v>
      </c>
      <c r="B3580" s="141">
        <v>1.94472653378261E-3</v>
      </c>
      <c r="D3580" s="141"/>
    </row>
    <row r="3581" spans="1:4" x14ac:dyDescent="0.2">
      <c r="A3581" s="140" t="s">
        <v>7684</v>
      </c>
      <c r="B3581" s="141">
        <v>1.9408676642026399E-3</v>
      </c>
      <c r="D3581" s="141"/>
    </row>
    <row r="3582" spans="1:4" x14ac:dyDescent="0.2">
      <c r="A3582" s="140" t="s">
        <v>7685</v>
      </c>
      <c r="B3582" s="141">
        <v>1.9408676642026399E-3</v>
      </c>
      <c r="D3582" s="141"/>
    </row>
    <row r="3583" spans="1:4" x14ac:dyDescent="0.2">
      <c r="A3583" s="140" t="s">
        <v>7686</v>
      </c>
      <c r="B3583" s="141">
        <v>1.9408676642026399E-3</v>
      </c>
      <c r="D3583" s="141"/>
    </row>
    <row r="3584" spans="1:4" x14ac:dyDescent="0.2">
      <c r="A3584" s="140" t="s">
        <v>7687</v>
      </c>
      <c r="B3584" s="141">
        <v>1.94075204179036E-3</v>
      </c>
      <c r="D3584" s="141"/>
    </row>
    <row r="3585" spans="1:4" x14ac:dyDescent="0.2">
      <c r="A3585" s="140" t="s">
        <v>7688</v>
      </c>
      <c r="B3585" s="141">
        <v>1.9405376751986099E-3</v>
      </c>
      <c r="D3585" s="141"/>
    </row>
    <row r="3586" spans="1:4" x14ac:dyDescent="0.2">
      <c r="A3586" s="140" t="s">
        <v>1974</v>
      </c>
      <c r="B3586" s="141">
        <v>1.9397728170967301E-3</v>
      </c>
      <c r="D3586" s="141"/>
    </row>
    <row r="3587" spans="1:4" x14ac:dyDescent="0.2">
      <c r="A3587" s="140" t="s">
        <v>7689</v>
      </c>
      <c r="B3587" s="141">
        <v>1.93803425393643E-3</v>
      </c>
      <c r="D3587" s="141"/>
    </row>
    <row r="3588" spans="1:4" x14ac:dyDescent="0.2">
      <c r="A3588" s="140" t="s">
        <v>5807</v>
      </c>
      <c r="B3588" s="141">
        <v>1.9342314582535599E-3</v>
      </c>
      <c r="D3588" s="141"/>
    </row>
    <row r="3589" spans="1:4" x14ac:dyDescent="0.2">
      <c r="A3589" s="140" t="s">
        <v>6321</v>
      </c>
      <c r="B3589" s="141">
        <v>1.9325676222162499E-3</v>
      </c>
      <c r="D3589" s="141"/>
    </row>
    <row r="3590" spans="1:4" x14ac:dyDescent="0.2">
      <c r="A3590" s="140" t="s">
        <v>1964</v>
      </c>
      <c r="B3590" s="141">
        <v>1.9243186784124501E-3</v>
      </c>
      <c r="D3590" s="141"/>
    </row>
    <row r="3591" spans="1:4" x14ac:dyDescent="0.2">
      <c r="A3591" s="140" t="s">
        <v>5579</v>
      </c>
      <c r="B3591" s="141">
        <v>1.92359838249994E-3</v>
      </c>
      <c r="D3591" s="141"/>
    </row>
    <row r="3592" spans="1:4" x14ac:dyDescent="0.2">
      <c r="A3592" s="140" t="s">
        <v>2217</v>
      </c>
      <c r="B3592" s="141">
        <v>1.92348304996841E-3</v>
      </c>
      <c r="D3592" s="141"/>
    </row>
    <row r="3593" spans="1:4" x14ac:dyDescent="0.2">
      <c r="A3593" s="140" t="s">
        <v>1851</v>
      </c>
      <c r="B3593" s="141">
        <v>1.9210638301395101E-3</v>
      </c>
      <c r="D3593" s="141"/>
    </row>
    <row r="3594" spans="1:4" x14ac:dyDescent="0.2">
      <c r="A3594" s="140" t="s">
        <v>5713</v>
      </c>
      <c r="B3594" s="141">
        <v>1.9202268706882901E-3</v>
      </c>
      <c r="D3594" s="141"/>
    </row>
    <row r="3595" spans="1:4" x14ac:dyDescent="0.2">
      <c r="A3595" s="140" t="s">
        <v>2613</v>
      </c>
      <c r="B3595" s="141">
        <v>1.91759875635108E-3</v>
      </c>
      <c r="D3595" s="141"/>
    </row>
    <row r="3596" spans="1:4" x14ac:dyDescent="0.2">
      <c r="A3596" s="140" t="s">
        <v>1182</v>
      </c>
      <c r="B3596" s="141">
        <v>1.9118517227250001E-3</v>
      </c>
      <c r="D3596" s="141"/>
    </row>
    <row r="3597" spans="1:4" x14ac:dyDescent="0.2">
      <c r="A3597" s="140" t="s">
        <v>902</v>
      </c>
      <c r="B3597" s="141">
        <v>1.9081830707437799E-3</v>
      </c>
      <c r="D3597" s="141"/>
    </row>
    <row r="3598" spans="1:4" x14ac:dyDescent="0.2">
      <c r="A3598" s="140" t="s">
        <v>7690</v>
      </c>
      <c r="B3598" s="141">
        <v>1.90683709797947E-3</v>
      </c>
      <c r="D3598" s="141"/>
    </row>
    <row r="3599" spans="1:4" x14ac:dyDescent="0.2">
      <c r="A3599" s="140" t="s">
        <v>7691</v>
      </c>
      <c r="B3599" s="141">
        <v>1.90683709797947E-3</v>
      </c>
      <c r="D3599" s="141"/>
    </row>
    <row r="3600" spans="1:4" x14ac:dyDescent="0.2">
      <c r="A3600" s="140" t="s">
        <v>7692</v>
      </c>
      <c r="B3600" s="141">
        <v>1.90683709797947E-3</v>
      </c>
      <c r="D3600" s="141"/>
    </row>
    <row r="3601" spans="1:4" x14ac:dyDescent="0.2">
      <c r="A3601" s="140" t="s">
        <v>7693</v>
      </c>
      <c r="B3601" s="141">
        <v>1.90683709797947E-3</v>
      </c>
      <c r="D3601" s="141"/>
    </row>
    <row r="3602" spans="1:4" x14ac:dyDescent="0.2">
      <c r="A3602" s="140" t="s">
        <v>7694</v>
      </c>
      <c r="B3602" s="141">
        <v>1.90683709797947E-3</v>
      </c>
      <c r="D3602" s="141"/>
    </row>
    <row r="3603" spans="1:4" x14ac:dyDescent="0.2">
      <c r="A3603" s="140" t="s">
        <v>2555</v>
      </c>
      <c r="B3603" s="141">
        <v>1.9062329813909599E-3</v>
      </c>
      <c r="D3603" s="141"/>
    </row>
    <row r="3604" spans="1:4" x14ac:dyDescent="0.2">
      <c r="A3604" s="140" t="s">
        <v>7695</v>
      </c>
      <c r="B3604" s="141">
        <v>1.9055965780755901E-3</v>
      </c>
      <c r="D3604" s="141"/>
    </row>
    <row r="3605" spans="1:4" x14ac:dyDescent="0.2">
      <c r="A3605" s="140" t="s">
        <v>5801</v>
      </c>
      <c r="B3605" s="141">
        <v>1.9052380840037799E-3</v>
      </c>
      <c r="D3605" s="141"/>
    </row>
    <row r="3606" spans="1:4" x14ac:dyDescent="0.2">
      <c r="A3606" s="140" t="s">
        <v>1913</v>
      </c>
      <c r="B3606" s="141">
        <v>1.9045481751466301E-3</v>
      </c>
      <c r="D3606" s="141"/>
    </row>
    <row r="3607" spans="1:4" x14ac:dyDescent="0.2">
      <c r="A3607" s="140" t="s">
        <v>7696</v>
      </c>
      <c r="B3607" s="141">
        <v>1.90385466536981E-3</v>
      </c>
      <c r="D3607" s="141"/>
    </row>
    <row r="3608" spans="1:4" x14ac:dyDescent="0.2">
      <c r="A3608" s="140" t="s">
        <v>569</v>
      </c>
      <c r="B3608" s="141">
        <v>1.90341572656737E-3</v>
      </c>
      <c r="D3608" s="141"/>
    </row>
    <row r="3609" spans="1:4" x14ac:dyDescent="0.2">
      <c r="A3609" s="140" t="s">
        <v>6157</v>
      </c>
      <c r="B3609" s="141">
        <v>1.9028693183339E-3</v>
      </c>
      <c r="D3609" s="141"/>
    </row>
    <row r="3610" spans="1:4" x14ac:dyDescent="0.2">
      <c r="A3610" s="140" t="s">
        <v>1067</v>
      </c>
      <c r="B3610" s="141">
        <v>1.90134523886452E-3</v>
      </c>
      <c r="D3610" s="141"/>
    </row>
    <row r="3611" spans="1:4" x14ac:dyDescent="0.2">
      <c r="A3611" s="140" t="s">
        <v>7697</v>
      </c>
      <c r="B3611" s="141">
        <v>1.8990700551797599E-3</v>
      </c>
      <c r="D3611" s="141"/>
    </row>
    <row r="3612" spans="1:4" x14ac:dyDescent="0.2">
      <c r="A3612" s="140" t="s">
        <v>2522</v>
      </c>
      <c r="B3612" s="141">
        <v>1.8954838384542499E-3</v>
      </c>
      <c r="D3612" s="141"/>
    </row>
    <row r="3613" spans="1:4" x14ac:dyDescent="0.2">
      <c r="A3613" s="140" t="s">
        <v>3598</v>
      </c>
      <c r="B3613" s="141">
        <v>1.8949632906237999E-3</v>
      </c>
      <c r="D3613" s="141"/>
    </row>
    <row r="3614" spans="1:4" x14ac:dyDescent="0.2">
      <c r="A3614" s="140" t="s">
        <v>7698</v>
      </c>
      <c r="B3614" s="141">
        <v>1.8949453043199001E-3</v>
      </c>
      <c r="D3614" s="141"/>
    </row>
    <row r="3615" spans="1:4" x14ac:dyDescent="0.2">
      <c r="A3615" s="140" t="s">
        <v>814</v>
      </c>
      <c r="B3615" s="141">
        <v>1.89182794214724E-3</v>
      </c>
      <c r="D3615" s="141"/>
    </row>
    <row r="3616" spans="1:4" x14ac:dyDescent="0.2">
      <c r="A3616" s="140" t="s">
        <v>2292</v>
      </c>
      <c r="B3616" s="141">
        <v>1.88858528595288E-3</v>
      </c>
      <c r="D3616" s="141"/>
    </row>
    <row r="3617" spans="1:4" x14ac:dyDescent="0.2">
      <c r="A3617" s="140" t="s">
        <v>2939</v>
      </c>
      <c r="B3617" s="141">
        <v>1.8867538278114701E-3</v>
      </c>
      <c r="D3617" s="141"/>
    </row>
    <row r="3618" spans="1:4" x14ac:dyDescent="0.2">
      <c r="A3618" s="140" t="s">
        <v>4204</v>
      </c>
      <c r="B3618" s="141">
        <v>1.8864212347319399E-3</v>
      </c>
      <c r="D3618" s="141"/>
    </row>
    <row r="3619" spans="1:4" x14ac:dyDescent="0.2">
      <c r="A3619" s="140" t="s">
        <v>2157</v>
      </c>
      <c r="B3619" s="141">
        <v>1.8856623239269601E-3</v>
      </c>
      <c r="D3619" s="141"/>
    </row>
    <row r="3620" spans="1:4" x14ac:dyDescent="0.2">
      <c r="A3620" s="140" t="s">
        <v>2944</v>
      </c>
      <c r="B3620" s="141">
        <v>1.8844873391562001E-3</v>
      </c>
      <c r="D3620" s="141"/>
    </row>
    <row r="3621" spans="1:4" x14ac:dyDescent="0.2">
      <c r="A3621" s="140" t="s">
        <v>5884</v>
      </c>
      <c r="B3621" s="141">
        <v>1.8843919926972901E-3</v>
      </c>
      <c r="D3621" s="141"/>
    </row>
    <row r="3622" spans="1:4" x14ac:dyDescent="0.2">
      <c r="A3622" s="140" t="s">
        <v>3842</v>
      </c>
      <c r="B3622" s="141">
        <v>1.88012211160044E-3</v>
      </c>
      <c r="D3622" s="141"/>
    </row>
    <row r="3623" spans="1:4" x14ac:dyDescent="0.2">
      <c r="A3623" s="140" t="s">
        <v>1401</v>
      </c>
      <c r="B3623" s="141">
        <v>1.87805111416427E-3</v>
      </c>
      <c r="D3623" s="141"/>
    </row>
    <row r="3624" spans="1:4" x14ac:dyDescent="0.2">
      <c r="A3624" s="140" t="s">
        <v>7699</v>
      </c>
      <c r="B3624" s="141">
        <v>1.8759439496278201E-3</v>
      </c>
      <c r="D3624" s="141"/>
    </row>
    <row r="3625" spans="1:4" x14ac:dyDescent="0.2">
      <c r="A3625" s="140" t="s">
        <v>7700</v>
      </c>
      <c r="B3625" s="141">
        <v>1.8756400587505899E-3</v>
      </c>
      <c r="D3625" s="141"/>
    </row>
    <row r="3626" spans="1:4" x14ac:dyDescent="0.2">
      <c r="A3626" s="140" t="s">
        <v>1754</v>
      </c>
      <c r="B3626" s="141">
        <v>1.87396702923074E-3</v>
      </c>
      <c r="D3626" s="141"/>
    </row>
    <row r="3627" spans="1:4" x14ac:dyDescent="0.2">
      <c r="A3627" s="140" t="s">
        <v>5691</v>
      </c>
      <c r="B3627" s="141">
        <v>1.8733996246921799E-3</v>
      </c>
      <c r="D3627" s="141"/>
    </row>
    <row r="3628" spans="1:4" x14ac:dyDescent="0.2">
      <c r="A3628" s="140" t="s">
        <v>2077</v>
      </c>
      <c r="B3628" s="141">
        <v>1.87328282485468E-3</v>
      </c>
      <c r="D3628" s="141"/>
    </row>
    <row r="3629" spans="1:4" x14ac:dyDescent="0.2">
      <c r="A3629" s="140" t="s">
        <v>3382</v>
      </c>
      <c r="B3629" s="141">
        <v>1.87274232710891E-3</v>
      </c>
      <c r="D3629" s="141"/>
    </row>
    <row r="3630" spans="1:4" x14ac:dyDescent="0.2">
      <c r="A3630" s="140" t="s">
        <v>7701</v>
      </c>
      <c r="B3630" s="141">
        <v>1.8705615828954201E-3</v>
      </c>
      <c r="D3630" s="141"/>
    </row>
    <row r="3631" spans="1:4" x14ac:dyDescent="0.2">
      <c r="A3631" s="140" t="s">
        <v>5162</v>
      </c>
      <c r="B3631" s="141">
        <v>1.8703269114079099E-3</v>
      </c>
      <c r="D3631" s="141"/>
    </row>
    <row r="3632" spans="1:4" x14ac:dyDescent="0.2">
      <c r="A3632" s="140" t="s">
        <v>5403</v>
      </c>
      <c r="B3632" s="141">
        <v>1.8690627661969101E-3</v>
      </c>
      <c r="D3632" s="141"/>
    </row>
    <row r="3633" spans="1:4" x14ac:dyDescent="0.2">
      <c r="A3633" s="140" t="s">
        <v>5503</v>
      </c>
      <c r="B3633" s="141">
        <v>1.86766769194703E-3</v>
      </c>
      <c r="D3633" s="141"/>
    </row>
    <row r="3634" spans="1:4" x14ac:dyDescent="0.2">
      <c r="A3634" s="140" t="s">
        <v>6162</v>
      </c>
      <c r="B3634" s="141">
        <v>1.8610372055426099E-3</v>
      </c>
      <c r="D3634" s="141"/>
    </row>
    <row r="3635" spans="1:4" x14ac:dyDescent="0.2">
      <c r="A3635" s="140" t="s">
        <v>5677</v>
      </c>
      <c r="B3635" s="141">
        <v>1.8607828423672099E-3</v>
      </c>
      <c r="D3635" s="141"/>
    </row>
    <row r="3636" spans="1:4" x14ac:dyDescent="0.2">
      <c r="A3636" s="140" t="s">
        <v>7702</v>
      </c>
      <c r="B3636" s="141">
        <v>1.8597103819574399E-3</v>
      </c>
      <c r="D3636" s="141"/>
    </row>
    <row r="3637" spans="1:4" x14ac:dyDescent="0.2">
      <c r="A3637" s="140" t="s">
        <v>2606</v>
      </c>
      <c r="B3637" s="141">
        <v>1.8584685531819101E-3</v>
      </c>
      <c r="D3637" s="141"/>
    </row>
    <row r="3638" spans="1:4" x14ac:dyDescent="0.2">
      <c r="A3638" s="140" t="s">
        <v>2404</v>
      </c>
      <c r="B3638" s="141">
        <v>1.85804850668522E-3</v>
      </c>
      <c r="D3638" s="141"/>
    </row>
    <row r="3639" spans="1:4" x14ac:dyDescent="0.2">
      <c r="A3639" s="140" t="s">
        <v>7703</v>
      </c>
      <c r="B3639" s="141">
        <v>1.85666585081713E-3</v>
      </c>
      <c r="D3639" s="141"/>
    </row>
    <row r="3640" spans="1:4" x14ac:dyDescent="0.2">
      <c r="A3640" s="140" t="s">
        <v>1926</v>
      </c>
      <c r="B3640" s="141">
        <v>1.85509552844141E-3</v>
      </c>
      <c r="D3640" s="141"/>
    </row>
    <row r="3641" spans="1:4" x14ac:dyDescent="0.2">
      <c r="A3641" s="140" t="s">
        <v>7704</v>
      </c>
      <c r="B3641" s="141">
        <v>1.85436121380527E-3</v>
      </c>
      <c r="D3641" s="141"/>
    </row>
    <row r="3642" spans="1:4" x14ac:dyDescent="0.2">
      <c r="A3642" s="140" t="s">
        <v>2618</v>
      </c>
      <c r="B3642" s="141">
        <v>1.8527920042480501E-3</v>
      </c>
      <c r="D3642" s="141"/>
    </row>
    <row r="3643" spans="1:4" x14ac:dyDescent="0.2">
      <c r="A3643" s="140" t="s">
        <v>3770</v>
      </c>
      <c r="B3643" s="141">
        <v>1.8496039521488899E-3</v>
      </c>
      <c r="D3643" s="141"/>
    </row>
    <row r="3644" spans="1:4" x14ac:dyDescent="0.2">
      <c r="A3644" s="140" t="s">
        <v>6231</v>
      </c>
      <c r="B3644" s="141">
        <v>1.8469214298450999E-3</v>
      </c>
      <c r="D3644" s="141"/>
    </row>
    <row r="3645" spans="1:4" x14ac:dyDescent="0.2">
      <c r="A3645" s="140" t="s">
        <v>5793</v>
      </c>
      <c r="B3645" s="141">
        <v>1.84627476198824E-3</v>
      </c>
      <c r="D3645" s="141"/>
    </row>
    <row r="3646" spans="1:4" x14ac:dyDescent="0.2">
      <c r="A3646" s="140" t="s">
        <v>7705</v>
      </c>
      <c r="B3646" s="141">
        <v>1.84560105129364E-3</v>
      </c>
      <c r="D3646" s="141"/>
    </row>
    <row r="3647" spans="1:4" x14ac:dyDescent="0.2">
      <c r="A3647" s="140" t="s">
        <v>5837</v>
      </c>
      <c r="B3647" s="141">
        <v>1.8455752582120801E-3</v>
      </c>
      <c r="D3647" s="141"/>
    </row>
    <row r="3648" spans="1:4" x14ac:dyDescent="0.2">
      <c r="A3648" s="140" t="s">
        <v>5795</v>
      </c>
      <c r="B3648" s="141">
        <v>1.8455752582120801E-3</v>
      </c>
      <c r="D3648" s="141"/>
    </row>
    <row r="3649" spans="1:4" x14ac:dyDescent="0.2">
      <c r="A3649" s="140" t="s">
        <v>5221</v>
      </c>
      <c r="B3649" s="141">
        <v>1.8455752582120801E-3</v>
      </c>
      <c r="D3649" s="141"/>
    </row>
    <row r="3650" spans="1:4" x14ac:dyDescent="0.2">
      <c r="A3650" s="140" t="s">
        <v>4601</v>
      </c>
      <c r="B3650" s="141">
        <v>1.8455752582120801E-3</v>
      </c>
      <c r="D3650" s="141"/>
    </row>
    <row r="3651" spans="1:4" x14ac:dyDescent="0.2">
      <c r="A3651" s="140" t="s">
        <v>4554</v>
      </c>
      <c r="B3651" s="141">
        <v>1.8455752582120801E-3</v>
      </c>
      <c r="D3651" s="141"/>
    </row>
    <row r="3652" spans="1:4" x14ac:dyDescent="0.2">
      <c r="A3652" s="140" t="s">
        <v>4309</v>
      </c>
      <c r="B3652" s="141">
        <v>1.8455752582120801E-3</v>
      </c>
      <c r="D3652" s="141"/>
    </row>
    <row r="3653" spans="1:4" x14ac:dyDescent="0.2">
      <c r="A3653" s="140" t="s">
        <v>7706</v>
      </c>
      <c r="B3653" s="141">
        <v>1.8455752582120801E-3</v>
      </c>
      <c r="D3653" s="141"/>
    </row>
    <row r="3654" spans="1:4" x14ac:dyDescent="0.2">
      <c r="A3654" s="140" t="s">
        <v>7707</v>
      </c>
      <c r="B3654" s="141">
        <v>1.8455752582120801E-3</v>
      </c>
      <c r="D3654" s="141"/>
    </row>
    <row r="3655" spans="1:4" x14ac:dyDescent="0.2">
      <c r="A3655" s="140" t="s">
        <v>4830</v>
      </c>
      <c r="B3655" s="141">
        <v>1.8440114629477899E-3</v>
      </c>
      <c r="D3655" s="141"/>
    </row>
    <row r="3656" spans="1:4" x14ac:dyDescent="0.2">
      <c r="A3656" s="140" t="s">
        <v>2924</v>
      </c>
      <c r="B3656" s="141">
        <v>1.8407163970071199E-3</v>
      </c>
      <c r="D3656" s="141"/>
    </row>
    <row r="3657" spans="1:4" x14ac:dyDescent="0.2">
      <c r="A3657" s="140" t="s">
        <v>7708</v>
      </c>
      <c r="B3657" s="141">
        <v>1.8358626730926801E-3</v>
      </c>
      <c r="D3657" s="141"/>
    </row>
    <row r="3658" spans="1:4" x14ac:dyDescent="0.2">
      <c r="A3658" s="140" t="s">
        <v>7709</v>
      </c>
      <c r="B3658" s="141">
        <v>1.8348052456753001E-3</v>
      </c>
      <c r="D3658" s="141"/>
    </row>
    <row r="3659" spans="1:4" x14ac:dyDescent="0.2">
      <c r="A3659" s="140" t="s">
        <v>4270</v>
      </c>
      <c r="B3659" s="141">
        <v>1.8345608870628601E-3</v>
      </c>
      <c r="D3659" s="141"/>
    </row>
    <row r="3660" spans="1:4" x14ac:dyDescent="0.2">
      <c r="A3660" s="140" t="s">
        <v>7710</v>
      </c>
      <c r="B3660" s="141">
        <v>1.8326052011695701E-3</v>
      </c>
      <c r="D3660" s="141"/>
    </row>
    <row r="3661" spans="1:4" x14ac:dyDescent="0.2">
      <c r="A3661" s="140" t="s">
        <v>5711</v>
      </c>
      <c r="B3661" s="141">
        <v>1.83076865303523E-3</v>
      </c>
      <c r="D3661" s="141"/>
    </row>
    <row r="3662" spans="1:4" x14ac:dyDescent="0.2">
      <c r="A3662" s="140" t="s">
        <v>2106</v>
      </c>
      <c r="B3662" s="141">
        <v>1.82707010901971E-3</v>
      </c>
      <c r="D3662" s="141"/>
    </row>
    <row r="3663" spans="1:4" x14ac:dyDescent="0.2">
      <c r="A3663" s="140" t="s">
        <v>2352</v>
      </c>
      <c r="B3663" s="141">
        <v>1.82694579004733E-3</v>
      </c>
      <c r="D3663" s="141"/>
    </row>
    <row r="3664" spans="1:4" x14ac:dyDescent="0.2">
      <c r="A3664" s="140" t="s">
        <v>7711</v>
      </c>
      <c r="B3664" s="141">
        <v>1.8268847203925199E-3</v>
      </c>
      <c r="D3664" s="141"/>
    </row>
    <row r="3665" spans="1:4" x14ac:dyDescent="0.2">
      <c r="A3665" s="140" t="s">
        <v>4821</v>
      </c>
      <c r="B3665" s="141">
        <v>1.8263570319628499E-3</v>
      </c>
      <c r="D3665" s="141"/>
    </row>
    <row r="3666" spans="1:4" x14ac:dyDescent="0.2">
      <c r="A3666" s="140" t="s">
        <v>4851</v>
      </c>
      <c r="B3666" s="141">
        <v>1.8206754228017501E-3</v>
      </c>
      <c r="D3666" s="141"/>
    </row>
    <row r="3667" spans="1:4" x14ac:dyDescent="0.2">
      <c r="A3667" s="140" t="s">
        <v>954</v>
      </c>
      <c r="B3667" s="141">
        <v>1.8202617571171701E-3</v>
      </c>
      <c r="D3667" s="141"/>
    </row>
    <row r="3668" spans="1:4" x14ac:dyDescent="0.2">
      <c r="A3668" s="140" t="s">
        <v>2603</v>
      </c>
      <c r="B3668" s="141">
        <v>1.81967662035385E-3</v>
      </c>
      <c r="D3668" s="141"/>
    </row>
    <row r="3669" spans="1:4" x14ac:dyDescent="0.2">
      <c r="A3669" s="140" t="s">
        <v>1018</v>
      </c>
      <c r="B3669" s="141">
        <v>1.8166115286114099E-3</v>
      </c>
      <c r="D3669" s="141"/>
    </row>
    <row r="3670" spans="1:4" x14ac:dyDescent="0.2">
      <c r="A3670" s="140" t="s">
        <v>7712</v>
      </c>
      <c r="B3670" s="141">
        <v>1.81656067195636E-3</v>
      </c>
      <c r="D3670" s="141"/>
    </row>
    <row r="3671" spans="1:4" x14ac:dyDescent="0.2">
      <c r="A3671" s="140" t="s">
        <v>5931</v>
      </c>
      <c r="B3671" s="141">
        <v>1.8149295019131201E-3</v>
      </c>
      <c r="D3671" s="141"/>
    </row>
    <row r="3672" spans="1:4" x14ac:dyDescent="0.2">
      <c r="A3672" s="140" t="s">
        <v>3241</v>
      </c>
      <c r="B3672" s="141">
        <v>1.8144005439778E-3</v>
      </c>
      <c r="D3672" s="141"/>
    </row>
    <row r="3673" spans="1:4" x14ac:dyDescent="0.2">
      <c r="A3673" s="140" t="s">
        <v>3188</v>
      </c>
      <c r="B3673" s="141">
        <v>1.8131892823855199E-3</v>
      </c>
      <c r="D3673" s="141"/>
    </row>
    <row r="3674" spans="1:4" x14ac:dyDescent="0.2">
      <c r="A3674" s="140" t="s">
        <v>4980</v>
      </c>
      <c r="B3674" s="141">
        <v>1.8125026415983601E-3</v>
      </c>
      <c r="D3674" s="141"/>
    </row>
    <row r="3675" spans="1:4" x14ac:dyDescent="0.2">
      <c r="A3675" s="140" t="s">
        <v>2053</v>
      </c>
      <c r="B3675" s="141">
        <v>1.8123238976720699E-3</v>
      </c>
      <c r="D3675" s="141"/>
    </row>
    <row r="3676" spans="1:4" x14ac:dyDescent="0.2">
      <c r="A3676" s="140" t="s">
        <v>7713</v>
      </c>
      <c r="B3676" s="141">
        <v>1.8115086321384101E-3</v>
      </c>
      <c r="D3676" s="141"/>
    </row>
    <row r="3677" spans="1:4" x14ac:dyDescent="0.2">
      <c r="A3677" s="140" t="s">
        <v>4488</v>
      </c>
      <c r="B3677" s="141">
        <v>1.8115042342754699E-3</v>
      </c>
      <c r="D3677" s="141"/>
    </row>
    <row r="3678" spans="1:4" x14ac:dyDescent="0.2">
      <c r="A3678" s="140" t="s">
        <v>2712</v>
      </c>
      <c r="B3678" s="141">
        <v>1.81053278435994E-3</v>
      </c>
      <c r="D3678" s="141"/>
    </row>
    <row r="3679" spans="1:4" x14ac:dyDescent="0.2">
      <c r="A3679" s="140" t="s">
        <v>5707</v>
      </c>
      <c r="B3679" s="141">
        <v>1.8077482908797501E-3</v>
      </c>
      <c r="D3679" s="141"/>
    </row>
    <row r="3680" spans="1:4" x14ac:dyDescent="0.2">
      <c r="A3680" s="140" t="s">
        <v>1375</v>
      </c>
      <c r="B3680" s="141">
        <v>1.8051188659358799E-3</v>
      </c>
      <c r="D3680" s="141"/>
    </row>
    <row r="3681" spans="1:4" x14ac:dyDescent="0.2">
      <c r="A3681" s="140" t="s">
        <v>7714</v>
      </c>
      <c r="B3681" s="141">
        <v>1.80329771165562E-3</v>
      </c>
      <c r="D3681" s="141"/>
    </row>
    <row r="3682" spans="1:4" x14ac:dyDescent="0.2">
      <c r="A3682" s="140" t="s">
        <v>1289</v>
      </c>
      <c r="B3682" s="141">
        <v>1.8002826861162201E-3</v>
      </c>
      <c r="D3682" s="141"/>
    </row>
    <row r="3683" spans="1:4" x14ac:dyDescent="0.2">
      <c r="A3683" s="140" t="s">
        <v>4762</v>
      </c>
      <c r="B3683" s="141">
        <v>1.7970950214587899E-3</v>
      </c>
      <c r="D3683" s="141"/>
    </row>
    <row r="3684" spans="1:4" x14ac:dyDescent="0.2">
      <c r="A3684" s="140" t="s">
        <v>3288</v>
      </c>
      <c r="B3684" s="141">
        <v>1.7970950214587899E-3</v>
      </c>
      <c r="D3684" s="141"/>
    </row>
    <row r="3685" spans="1:4" x14ac:dyDescent="0.2">
      <c r="A3685" s="140" t="s">
        <v>2888</v>
      </c>
      <c r="B3685" s="141">
        <v>1.79659627326885E-3</v>
      </c>
      <c r="D3685" s="141"/>
    </row>
    <row r="3686" spans="1:4" x14ac:dyDescent="0.2">
      <c r="A3686" s="140" t="s">
        <v>7715</v>
      </c>
      <c r="B3686" s="141">
        <v>1.7946181810477499E-3</v>
      </c>
      <c r="D3686" s="141"/>
    </row>
    <row r="3687" spans="1:4" x14ac:dyDescent="0.2">
      <c r="A3687" s="140" t="s">
        <v>1696</v>
      </c>
      <c r="B3687" s="141">
        <v>1.7920031943521699E-3</v>
      </c>
      <c r="D3687" s="141"/>
    </row>
    <row r="3688" spans="1:4" x14ac:dyDescent="0.2">
      <c r="A3688" s="140" t="s">
        <v>3868</v>
      </c>
      <c r="B3688" s="141">
        <v>1.7895978646201901E-3</v>
      </c>
      <c r="D3688" s="141"/>
    </row>
    <row r="3689" spans="1:4" x14ac:dyDescent="0.2">
      <c r="A3689" s="140" t="s">
        <v>4764</v>
      </c>
      <c r="B3689" s="141">
        <v>1.78883878708599E-3</v>
      </c>
      <c r="D3689" s="141"/>
    </row>
    <row r="3690" spans="1:4" x14ac:dyDescent="0.2">
      <c r="A3690" s="140" t="s">
        <v>4311</v>
      </c>
      <c r="B3690" s="141">
        <v>1.78649960990227E-3</v>
      </c>
      <c r="D3690" s="141"/>
    </row>
    <row r="3691" spans="1:4" x14ac:dyDescent="0.2">
      <c r="A3691" s="140" t="s">
        <v>2645</v>
      </c>
      <c r="B3691" s="141">
        <v>1.7857094709299299E-3</v>
      </c>
      <c r="D3691" s="141"/>
    </row>
    <row r="3692" spans="1:4" x14ac:dyDescent="0.2">
      <c r="A3692" s="140" t="s">
        <v>4726</v>
      </c>
      <c r="B3692" s="141">
        <v>1.7851104220942E-3</v>
      </c>
      <c r="D3692" s="141"/>
    </row>
    <row r="3693" spans="1:4" x14ac:dyDescent="0.2">
      <c r="A3693" s="140" t="s">
        <v>1068</v>
      </c>
      <c r="B3693" s="141">
        <v>1.7821184255044501E-3</v>
      </c>
      <c r="D3693" s="141"/>
    </row>
    <row r="3694" spans="1:4" x14ac:dyDescent="0.2">
      <c r="A3694" s="140" t="s">
        <v>1031</v>
      </c>
      <c r="B3694" s="141">
        <v>1.78022263022575E-3</v>
      </c>
      <c r="D3694" s="141"/>
    </row>
    <row r="3695" spans="1:4" x14ac:dyDescent="0.2">
      <c r="A3695" s="140" t="s">
        <v>4702</v>
      </c>
      <c r="B3695" s="141">
        <v>1.7800333903959999E-3</v>
      </c>
      <c r="D3695" s="141"/>
    </row>
    <row r="3696" spans="1:4" x14ac:dyDescent="0.2">
      <c r="A3696" s="140" t="s">
        <v>2359</v>
      </c>
      <c r="B3696" s="141">
        <v>1.77982642798701E-3</v>
      </c>
      <c r="D3696" s="141"/>
    </row>
    <row r="3697" spans="1:4" x14ac:dyDescent="0.2">
      <c r="A3697" s="140" t="s">
        <v>366</v>
      </c>
      <c r="B3697" s="141">
        <v>1.77946281390812E-3</v>
      </c>
      <c r="D3697" s="141"/>
    </row>
    <row r="3698" spans="1:4" x14ac:dyDescent="0.2">
      <c r="A3698" s="140" t="s">
        <v>7716</v>
      </c>
      <c r="B3698" s="141">
        <v>1.77859051655424E-3</v>
      </c>
      <c r="D3698" s="141"/>
    </row>
    <row r="3699" spans="1:4" x14ac:dyDescent="0.2">
      <c r="A3699" s="140" t="s">
        <v>1268</v>
      </c>
      <c r="B3699" s="141">
        <v>1.7784685275629799E-3</v>
      </c>
      <c r="D3699" s="141"/>
    </row>
    <row r="3700" spans="1:4" x14ac:dyDescent="0.2">
      <c r="A3700" s="140" t="s">
        <v>7717</v>
      </c>
      <c r="B3700" s="141">
        <v>1.77799590683207E-3</v>
      </c>
      <c r="D3700" s="141"/>
    </row>
    <row r="3701" spans="1:4" x14ac:dyDescent="0.2">
      <c r="A3701" s="140" t="s">
        <v>7718</v>
      </c>
      <c r="B3701" s="141">
        <v>1.7776400207288601E-3</v>
      </c>
      <c r="D3701" s="141"/>
    </row>
    <row r="3702" spans="1:4" x14ac:dyDescent="0.2">
      <c r="A3702" s="140" t="s">
        <v>7719</v>
      </c>
      <c r="B3702" s="141">
        <v>1.7755564765084E-3</v>
      </c>
      <c r="D3702" s="141"/>
    </row>
    <row r="3703" spans="1:4" x14ac:dyDescent="0.2">
      <c r="A3703" s="140" t="s">
        <v>6197</v>
      </c>
      <c r="B3703" s="141">
        <v>1.7735518969924299E-3</v>
      </c>
      <c r="D3703" s="141"/>
    </row>
    <row r="3704" spans="1:4" x14ac:dyDescent="0.2">
      <c r="A3704" s="140" t="s">
        <v>1464</v>
      </c>
      <c r="B3704" s="141">
        <v>1.7728636013174799E-3</v>
      </c>
      <c r="D3704" s="141"/>
    </row>
    <row r="3705" spans="1:4" x14ac:dyDescent="0.2">
      <c r="A3705" s="140" t="s">
        <v>2745</v>
      </c>
      <c r="B3705" s="141">
        <v>1.77163376562874E-3</v>
      </c>
      <c r="D3705" s="141"/>
    </row>
    <row r="3706" spans="1:4" x14ac:dyDescent="0.2">
      <c r="A3706" s="140" t="s">
        <v>7720</v>
      </c>
      <c r="B3706" s="141">
        <v>1.77101784209988E-3</v>
      </c>
      <c r="D3706" s="141"/>
    </row>
    <row r="3707" spans="1:4" x14ac:dyDescent="0.2">
      <c r="A3707" s="140" t="s">
        <v>2951</v>
      </c>
      <c r="B3707" s="141">
        <v>1.7707143807057699E-3</v>
      </c>
      <c r="D3707" s="141"/>
    </row>
    <row r="3708" spans="1:4" x14ac:dyDescent="0.2">
      <c r="A3708" s="140" t="s">
        <v>3054</v>
      </c>
      <c r="B3708" s="141">
        <v>1.77071150152184E-3</v>
      </c>
      <c r="D3708" s="141"/>
    </row>
    <row r="3709" spans="1:4" x14ac:dyDescent="0.2">
      <c r="A3709" s="140" t="s">
        <v>6159</v>
      </c>
      <c r="B3709" s="141">
        <v>1.7706966262348699E-3</v>
      </c>
      <c r="D3709" s="141"/>
    </row>
    <row r="3710" spans="1:4" x14ac:dyDescent="0.2">
      <c r="A3710" s="140" t="s">
        <v>5997</v>
      </c>
      <c r="B3710" s="141">
        <v>1.7706966262348699E-3</v>
      </c>
      <c r="D3710" s="141"/>
    </row>
    <row r="3711" spans="1:4" x14ac:dyDescent="0.2">
      <c r="A3711" s="140" t="s">
        <v>5805</v>
      </c>
      <c r="B3711" s="141">
        <v>1.7706966262348699E-3</v>
      </c>
      <c r="D3711" s="141"/>
    </row>
    <row r="3712" spans="1:4" x14ac:dyDescent="0.2">
      <c r="A3712" s="140" t="s">
        <v>7721</v>
      </c>
      <c r="B3712" s="141">
        <v>1.7706966262348699E-3</v>
      </c>
      <c r="D3712" s="141"/>
    </row>
    <row r="3713" spans="1:4" x14ac:dyDescent="0.2">
      <c r="A3713" s="140" t="s">
        <v>7722</v>
      </c>
      <c r="B3713" s="141">
        <v>1.7706966262348699E-3</v>
      </c>
      <c r="D3713" s="141"/>
    </row>
    <row r="3714" spans="1:4" x14ac:dyDescent="0.2">
      <c r="A3714" s="140" t="s">
        <v>4214</v>
      </c>
      <c r="B3714" s="141">
        <v>1.7706966262348699E-3</v>
      </c>
      <c r="D3714" s="141"/>
    </row>
    <row r="3715" spans="1:4" x14ac:dyDescent="0.2">
      <c r="A3715" s="140" t="s">
        <v>4107</v>
      </c>
      <c r="B3715" s="141">
        <v>1.7706966262348699E-3</v>
      </c>
      <c r="D3715" s="141"/>
    </row>
    <row r="3716" spans="1:4" x14ac:dyDescent="0.2">
      <c r="A3716" s="140" t="s">
        <v>2439</v>
      </c>
      <c r="B3716" s="141">
        <v>1.7706966262348699E-3</v>
      </c>
      <c r="D3716" s="141"/>
    </row>
    <row r="3717" spans="1:4" x14ac:dyDescent="0.2">
      <c r="A3717" s="140" t="s">
        <v>3536</v>
      </c>
      <c r="B3717" s="141">
        <v>1.7706966262348699E-3</v>
      </c>
      <c r="D3717" s="141"/>
    </row>
    <row r="3718" spans="1:4" x14ac:dyDescent="0.2">
      <c r="A3718" s="140" t="s">
        <v>3418</v>
      </c>
      <c r="B3718" s="141">
        <v>1.7706966262348699E-3</v>
      </c>
      <c r="D3718" s="141"/>
    </row>
    <row r="3719" spans="1:4" x14ac:dyDescent="0.2">
      <c r="A3719" s="140" t="s">
        <v>3315</v>
      </c>
      <c r="B3719" s="141">
        <v>1.7706966262348699E-3</v>
      </c>
      <c r="D3719" s="141"/>
    </row>
    <row r="3720" spans="1:4" x14ac:dyDescent="0.2">
      <c r="A3720" s="140" t="s">
        <v>7723</v>
      </c>
      <c r="B3720" s="141">
        <v>1.7706966262348699E-3</v>
      </c>
      <c r="D3720" s="141"/>
    </row>
    <row r="3721" spans="1:4" x14ac:dyDescent="0.2">
      <c r="A3721" s="140" t="s">
        <v>7724</v>
      </c>
      <c r="B3721" s="141">
        <v>1.7706966262348699E-3</v>
      </c>
      <c r="D3721" s="141"/>
    </row>
    <row r="3722" spans="1:4" x14ac:dyDescent="0.2">
      <c r="A3722" s="140" t="s">
        <v>1943</v>
      </c>
      <c r="B3722" s="141">
        <v>1.7705482676448E-3</v>
      </c>
      <c r="D3722" s="141"/>
    </row>
    <row r="3723" spans="1:4" x14ac:dyDescent="0.2">
      <c r="A3723" s="140" t="s">
        <v>2139</v>
      </c>
      <c r="B3723" s="141">
        <v>1.76701086998795E-3</v>
      </c>
      <c r="D3723" s="141"/>
    </row>
    <row r="3724" spans="1:4" x14ac:dyDescent="0.2">
      <c r="A3724" s="140" t="s">
        <v>2259</v>
      </c>
      <c r="B3724" s="141">
        <v>1.7663902215210099E-3</v>
      </c>
      <c r="D3724" s="141"/>
    </row>
    <row r="3725" spans="1:4" x14ac:dyDescent="0.2">
      <c r="A3725" s="140" t="s">
        <v>478</v>
      </c>
      <c r="B3725" s="141">
        <v>1.76626298341134E-3</v>
      </c>
      <c r="D3725" s="141"/>
    </row>
    <row r="3726" spans="1:4" x14ac:dyDescent="0.2">
      <c r="A3726" s="140" t="s">
        <v>4376</v>
      </c>
      <c r="B3726" s="141">
        <v>1.7653909396749799E-3</v>
      </c>
      <c r="D3726" s="141"/>
    </row>
    <row r="3727" spans="1:4" x14ac:dyDescent="0.2">
      <c r="A3727" s="140" t="s">
        <v>2119</v>
      </c>
      <c r="B3727" s="141">
        <v>1.7617903422920301E-3</v>
      </c>
      <c r="D3727" s="141"/>
    </row>
    <row r="3728" spans="1:4" x14ac:dyDescent="0.2">
      <c r="A3728" s="140" t="s">
        <v>2171</v>
      </c>
      <c r="B3728" s="141">
        <v>1.7615647530172501E-3</v>
      </c>
      <c r="D3728" s="141"/>
    </row>
    <row r="3729" spans="1:4" x14ac:dyDescent="0.2">
      <c r="A3729" s="140" t="s">
        <v>2943</v>
      </c>
      <c r="B3729" s="141">
        <v>1.7597760225766001E-3</v>
      </c>
      <c r="D3729" s="141"/>
    </row>
    <row r="3730" spans="1:4" x14ac:dyDescent="0.2">
      <c r="A3730" s="140" t="s">
        <v>7725</v>
      </c>
      <c r="B3730" s="141">
        <v>1.7584858581185399E-3</v>
      </c>
      <c r="D3730" s="141"/>
    </row>
    <row r="3731" spans="1:4" x14ac:dyDescent="0.2">
      <c r="A3731" s="140" t="s">
        <v>4750</v>
      </c>
      <c r="B3731" s="141">
        <v>1.75631881525492E-3</v>
      </c>
      <c r="D3731" s="141"/>
    </row>
    <row r="3732" spans="1:4" x14ac:dyDescent="0.2">
      <c r="A3732" s="140" t="s">
        <v>7726</v>
      </c>
      <c r="B3732" s="141">
        <v>1.7559170883974899E-3</v>
      </c>
      <c r="D3732" s="141"/>
    </row>
    <row r="3733" spans="1:4" x14ac:dyDescent="0.2">
      <c r="A3733" s="140" t="s">
        <v>7727</v>
      </c>
      <c r="B3733" s="141">
        <v>1.75290563115643E-3</v>
      </c>
      <c r="D3733" s="141"/>
    </row>
    <row r="3734" spans="1:4" x14ac:dyDescent="0.2">
      <c r="A3734" s="140" t="s">
        <v>3719</v>
      </c>
      <c r="B3734" s="141">
        <v>1.7445594851669499E-3</v>
      </c>
      <c r="D3734" s="141"/>
    </row>
    <row r="3735" spans="1:4" x14ac:dyDescent="0.2">
      <c r="A3735" s="140" t="s">
        <v>5263</v>
      </c>
      <c r="B3735" s="141">
        <v>1.7401461114778601E-3</v>
      </c>
      <c r="D3735" s="141"/>
    </row>
    <row r="3736" spans="1:4" x14ac:dyDescent="0.2">
      <c r="A3736" s="140" t="s">
        <v>7728</v>
      </c>
      <c r="B3736" s="141">
        <v>1.7398812967501899E-3</v>
      </c>
      <c r="D3736" s="141"/>
    </row>
    <row r="3737" spans="1:4" x14ac:dyDescent="0.2">
      <c r="A3737" s="140" t="s">
        <v>1107</v>
      </c>
      <c r="B3737" s="141">
        <v>1.7395835128611E-3</v>
      </c>
      <c r="D3737" s="141"/>
    </row>
    <row r="3738" spans="1:4" x14ac:dyDescent="0.2">
      <c r="A3738" s="140" t="s">
        <v>7729</v>
      </c>
      <c r="B3738" s="141">
        <v>1.73884599711067E-3</v>
      </c>
      <c r="D3738" s="141"/>
    </row>
    <row r="3739" spans="1:4" x14ac:dyDescent="0.2">
      <c r="A3739" s="140" t="s">
        <v>1025</v>
      </c>
      <c r="B3739" s="141">
        <v>1.7383494923468999E-3</v>
      </c>
      <c r="D3739" s="141"/>
    </row>
    <row r="3740" spans="1:4" x14ac:dyDescent="0.2">
      <c r="A3740" s="140" t="s">
        <v>2369</v>
      </c>
      <c r="B3740" s="141">
        <v>1.73816999492129E-3</v>
      </c>
      <c r="D3740" s="141"/>
    </row>
    <row r="3741" spans="1:4" x14ac:dyDescent="0.2">
      <c r="A3741" s="140" t="s">
        <v>4556</v>
      </c>
      <c r="B3741" s="141">
        <v>1.7377316654783E-3</v>
      </c>
      <c r="D3741" s="141"/>
    </row>
    <row r="3742" spans="1:4" x14ac:dyDescent="0.2">
      <c r="A3742" s="140" t="s">
        <v>7730</v>
      </c>
      <c r="B3742" s="141">
        <v>1.7368848686860399E-3</v>
      </c>
      <c r="D3742" s="141"/>
    </row>
    <row r="3743" spans="1:4" x14ac:dyDescent="0.2">
      <c r="A3743" s="140" t="s">
        <v>7731</v>
      </c>
      <c r="B3743" s="141">
        <v>1.73569339113097E-3</v>
      </c>
      <c r="D3743" s="141"/>
    </row>
    <row r="3744" spans="1:4" x14ac:dyDescent="0.2">
      <c r="A3744" s="140" t="s">
        <v>873</v>
      </c>
      <c r="B3744" s="141">
        <v>1.7353792152359599E-3</v>
      </c>
      <c r="D3744" s="141"/>
    </row>
    <row r="3745" spans="1:4" x14ac:dyDescent="0.2">
      <c r="A3745" s="140" t="s">
        <v>7732</v>
      </c>
      <c r="B3745" s="141">
        <v>1.73525192830091E-3</v>
      </c>
      <c r="D3745" s="141"/>
    </row>
    <row r="3746" spans="1:4" x14ac:dyDescent="0.2">
      <c r="A3746" s="140" t="s">
        <v>4951</v>
      </c>
      <c r="B3746" s="141">
        <v>1.73520702874173E-3</v>
      </c>
      <c r="D3746" s="141"/>
    </row>
    <row r="3747" spans="1:4" x14ac:dyDescent="0.2">
      <c r="A3747" s="140" t="s">
        <v>5453</v>
      </c>
      <c r="B3747" s="141">
        <v>1.73516765942011E-3</v>
      </c>
      <c r="D3747" s="141"/>
    </row>
    <row r="3748" spans="1:4" x14ac:dyDescent="0.2">
      <c r="A3748" s="140" t="s">
        <v>7733</v>
      </c>
      <c r="B3748" s="141">
        <v>1.7349508040513399E-3</v>
      </c>
      <c r="D3748" s="141"/>
    </row>
    <row r="3749" spans="1:4" x14ac:dyDescent="0.2">
      <c r="A3749" s="140" t="s">
        <v>1315</v>
      </c>
      <c r="B3749" s="141">
        <v>1.73360450781398E-3</v>
      </c>
      <c r="D3749" s="141"/>
    </row>
    <row r="3750" spans="1:4" x14ac:dyDescent="0.2">
      <c r="A3750" s="140" t="s">
        <v>7734</v>
      </c>
      <c r="B3750" s="141">
        <v>1.7333845974186199E-3</v>
      </c>
      <c r="D3750" s="141"/>
    </row>
    <row r="3751" spans="1:4" x14ac:dyDescent="0.2">
      <c r="A3751" s="140" t="s">
        <v>4350</v>
      </c>
      <c r="B3751" s="141">
        <v>1.7322302231608899E-3</v>
      </c>
      <c r="D3751" s="141"/>
    </row>
    <row r="3752" spans="1:4" x14ac:dyDescent="0.2">
      <c r="A3752" s="140" t="s">
        <v>2585</v>
      </c>
      <c r="B3752" s="141">
        <v>1.73173205907837E-3</v>
      </c>
      <c r="D3752" s="141"/>
    </row>
    <row r="3753" spans="1:4" x14ac:dyDescent="0.2">
      <c r="A3753" s="140" t="s">
        <v>3791</v>
      </c>
      <c r="B3753" s="141">
        <v>1.7303235271043599E-3</v>
      </c>
      <c r="D3753" s="141"/>
    </row>
    <row r="3754" spans="1:4" x14ac:dyDescent="0.2">
      <c r="A3754" s="140" t="s">
        <v>2838</v>
      </c>
      <c r="B3754" s="141">
        <v>1.7286171591653801E-3</v>
      </c>
      <c r="D3754" s="141"/>
    </row>
    <row r="3755" spans="1:4" x14ac:dyDescent="0.2">
      <c r="A3755" s="140" t="s">
        <v>3904</v>
      </c>
      <c r="B3755" s="141">
        <v>1.7283292165009201E-3</v>
      </c>
      <c r="D3755" s="141"/>
    </row>
    <row r="3756" spans="1:4" x14ac:dyDescent="0.2">
      <c r="A3756" s="140" t="s">
        <v>2590</v>
      </c>
      <c r="B3756" s="141">
        <v>1.7275412363232799E-3</v>
      </c>
      <c r="D3756" s="141"/>
    </row>
    <row r="3757" spans="1:4" x14ac:dyDescent="0.2">
      <c r="A3757" s="140" t="s">
        <v>7735</v>
      </c>
      <c r="B3757" s="141">
        <v>1.7241800929777E-3</v>
      </c>
      <c r="D3757" s="141"/>
    </row>
    <row r="3758" spans="1:4" x14ac:dyDescent="0.2">
      <c r="A3758" s="140" t="s">
        <v>7736</v>
      </c>
      <c r="B3758" s="141">
        <v>1.7240811267037501E-3</v>
      </c>
      <c r="D3758" s="141"/>
    </row>
    <row r="3759" spans="1:4" x14ac:dyDescent="0.2">
      <c r="A3759" s="140" t="s">
        <v>5185</v>
      </c>
      <c r="B3759" s="141">
        <v>1.7240811267037501E-3</v>
      </c>
      <c r="D3759" s="141"/>
    </row>
    <row r="3760" spans="1:4" x14ac:dyDescent="0.2">
      <c r="A3760" s="140" t="s">
        <v>7737</v>
      </c>
      <c r="B3760" s="141">
        <v>1.7240811267037501E-3</v>
      </c>
      <c r="D3760" s="141"/>
    </row>
    <row r="3761" spans="1:4" x14ac:dyDescent="0.2">
      <c r="A3761" s="140" t="s">
        <v>7738</v>
      </c>
      <c r="B3761" s="141">
        <v>1.7210258562879799E-3</v>
      </c>
      <c r="D3761" s="141"/>
    </row>
    <row r="3762" spans="1:4" x14ac:dyDescent="0.2">
      <c r="A3762" s="140" t="s">
        <v>6296</v>
      </c>
      <c r="B3762" s="141">
        <v>1.7209507951127399E-3</v>
      </c>
      <c r="D3762" s="141"/>
    </row>
    <row r="3763" spans="1:4" x14ac:dyDescent="0.2">
      <c r="A3763" s="140" t="s">
        <v>5198</v>
      </c>
      <c r="B3763" s="141">
        <v>1.7205780336755801E-3</v>
      </c>
      <c r="D3763" s="141"/>
    </row>
    <row r="3764" spans="1:4" x14ac:dyDescent="0.2">
      <c r="A3764" s="140" t="s">
        <v>3260</v>
      </c>
      <c r="B3764" s="141">
        <v>1.71871714016359E-3</v>
      </c>
      <c r="D3764" s="141"/>
    </row>
    <row r="3765" spans="1:4" x14ac:dyDescent="0.2">
      <c r="A3765" s="140" t="s">
        <v>4918</v>
      </c>
      <c r="B3765" s="141">
        <v>1.7178920189166299E-3</v>
      </c>
      <c r="D3765" s="141"/>
    </row>
    <row r="3766" spans="1:4" x14ac:dyDescent="0.2">
      <c r="A3766" s="140" t="s">
        <v>6241</v>
      </c>
      <c r="B3766" s="141">
        <v>1.7166957386989699E-3</v>
      </c>
      <c r="D3766" s="141"/>
    </row>
    <row r="3767" spans="1:4" x14ac:dyDescent="0.2">
      <c r="A3767" s="140" t="s">
        <v>1213</v>
      </c>
      <c r="B3767" s="141">
        <v>1.71285709652011E-3</v>
      </c>
      <c r="D3767" s="141"/>
    </row>
    <row r="3768" spans="1:4" x14ac:dyDescent="0.2">
      <c r="A3768" s="140" t="s">
        <v>7739</v>
      </c>
      <c r="B3768" s="141">
        <v>1.71166188662114E-3</v>
      </c>
      <c r="D3768" s="141"/>
    </row>
    <row r="3769" spans="1:4" x14ac:dyDescent="0.2">
      <c r="A3769" s="140" t="s">
        <v>7740</v>
      </c>
      <c r="B3769" s="141">
        <v>1.7076087570339199E-3</v>
      </c>
      <c r="D3769" s="141"/>
    </row>
    <row r="3770" spans="1:4" x14ac:dyDescent="0.2">
      <c r="A3770" s="140" t="s">
        <v>2593</v>
      </c>
      <c r="B3770" s="141">
        <v>1.7053736067914201E-3</v>
      </c>
      <c r="D3770" s="141"/>
    </row>
    <row r="3771" spans="1:4" x14ac:dyDescent="0.2">
      <c r="A3771" s="140" t="s">
        <v>3713</v>
      </c>
      <c r="B3771" s="141">
        <v>1.70490407328515E-3</v>
      </c>
      <c r="D3771" s="141"/>
    </row>
    <row r="3772" spans="1:4" x14ac:dyDescent="0.2">
      <c r="A3772" s="140" t="s">
        <v>3272</v>
      </c>
      <c r="B3772" s="141">
        <v>1.70408403172296E-3</v>
      </c>
      <c r="D3772" s="141"/>
    </row>
    <row r="3773" spans="1:4" x14ac:dyDescent="0.2">
      <c r="A3773" s="140" t="s">
        <v>7741</v>
      </c>
      <c r="B3773" s="141">
        <v>1.70405844580688E-3</v>
      </c>
      <c r="D3773" s="141"/>
    </row>
    <row r="3774" spans="1:4" x14ac:dyDescent="0.2">
      <c r="A3774" s="140" t="s">
        <v>6357</v>
      </c>
      <c r="B3774" s="141">
        <v>1.7037464531463699E-3</v>
      </c>
      <c r="D3774" s="141"/>
    </row>
    <row r="3775" spans="1:4" x14ac:dyDescent="0.2">
      <c r="A3775" s="140" t="s">
        <v>7742</v>
      </c>
      <c r="B3775" s="141">
        <v>1.7031094852153501E-3</v>
      </c>
      <c r="D3775" s="141"/>
    </row>
    <row r="3776" spans="1:4" x14ac:dyDescent="0.2">
      <c r="A3776" s="140" t="s">
        <v>2931</v>
      </c>
      <c r="B3776" s="141">
        <v>1.7022323553070001E-3</v>
      </c>
      <c r="D3776" s="141"/>
    </row>
    <row r="3777" spans="1:4" x14ac:dyDescent="0.2">
      <c r="A3777" s="140" t="s">
        <v>7743</v>
      </c>
      <c r="B3777" s="141">
        <v>1.69893384946422E-3</v>
      </c>
      <c r="D3777" s="141"/>
    </row>
    <row r="3778" spans="1:4" x14ac:dyDescent="0.2">
      <c r="A3778" s="140" t="s">
        <v>2536</v>
      </c>
      <c r="B3778" s="141">
        <v>1.6988874638499899E-3</v>
      </c>
      <c r="D3778" s="141"/>
    </row>
    <row r="3779" spans="1:4" x14ac:dyDescent="0.2">
      <c r="A3779" s="140" t="s">
        <v>7744</v>
      </c>
      <c r="B3779" s="141">
        <v>1.6988005856297501E-3</v>
      </c>
      <c r="D3779" s="141"/>
    </row>
    <row r="3780" spans="1:4" x14ac:dyDescent="0.2">
      <c r="A3780" s="140" t="s">
        <v>3010</v>
      </c>
      <c r="B3780" s="141">
        <v>1.69578659201299E-3</v>
      </c>
      <c r="D3780" s="141"/>
    </row>
    <row r="3781" spans="1:4" x14ac:dyDescent="0.2">
      <c r="A3781" s="140" t="s">
        <v>1927</v>
      </c>
      <c r="B3781" s="141">
        <v>1.6953911066789099E-3</v>
      </c>
      <c r="D3781" s="141"/>
    </row>
    <row r="3782" spans="1:4" x14ac:dyDescent="0.2">
      <c r="A3782" s="140" t="s">
        <v>7745</v>
      </c>
      <c r="B3782" s="141">
        <v>1.69463831382137E-3</v>
      </c>
      <c r="D3782" s="141"/>
    </row>
    <row r="3783" spans="1:4" x14ac:dyDescent="0.2">
      <c r="A3783" s="140" t="s">
        <v>5783</v>
      </c>
      <c r="B3783" s="141">
        <v>1.69353293535845E-3</v>
      </c>
      <c r="D3783" s="141"/>
    </row>
    <row r="3784" spans="1:4" x14ac:dyDescent="0.2">
      <c r="A3784" s="140" t="s">
        <v>5115</v>
      </c>
      <c r="B3784" s="141">
        <v>1.69304785670232E-3</v>
      </c>
      <c r="D3784" s="141"/>
    </row>
    <row r="3785" spans="1:4" x14ac:dyDescent="0.2">
      <c r="A3785" s="140" t="s">
        <v>417</v>
      </c>
      <c r="B3785" s="141">
        <v>1.6884780345471501E-3</v>
      </c>
      <c r="D3785" s="141"/>
    </row>
    <row r="3786" spans="1:4" x14ac:dyDescent="0.2">
      <c r="A3786" s="140" t="s">
        <v>783</v>
      </c>
      <c r="B3786" s="141">
        <v>1.68809026450299E-3</v>
      </c>
      <c r="D3786" s="141"/>
    </row>
    <row r="3787" spans="1:4" x14ac:dyDescent="0.2">
      <c r="A3787" s="140" t="s">
        <v>5733</v>
      </c>
      <c r="B3787" s="141">
        <v>1.6840321593119701E-3</v>
      </c>
      <c r="D3787" s="141"/>
    </row>
    <row r="3788" spans="1:4" x14ac:dyDescent="0.2">
      <c r="A3788" s="140" t="s">
        <v>7746</v>
      </c>
      <c r="B3788" s="141">
        <v>1.68397184786887E-3</v>
      </c>
      <c r="D3788" s="141"/>
    </row>
    <row r="3789" spans="1:4" x14ac:dyDescent="0.2">
      <c r="A3789" s="140" t="s">
        <v>5853</v>
      </c>
      <c r="B3789" s="141">
        <v>1.6809189297303699E-3</v>
      </c>
      <c r="D3789" s="141"/>
    </row>
    <row r="3790" spans="1:4" x14ac:dyDescent="0.2">
      <c r="A3790" s="140" t="s">
        <v>6245</v>
      </c>
      <c r="B3790" s="141">
        <v>1.68002699018646E-3</v>
      </c>
      <c r="D3790" s="141"/>
    </row>
    <row r="3791" spans="1:4" x14ac:dyDescent="0.2">
      <c r="A3791" s="140" t="s">
        <v>7747</v>
      </c>
      <c r="B3791" s="141">
        <v>1.6793723420356699E-3</v>
      </c>
      <c r="D3791" s="141"/>
    </row>
    <row r="3792" spans="1:4" x14ac:dyDescent="0.2">
      <c r="A3792" s="140" t="s">
        <v>7748</v>
      </c>
      <c r="B3792" s="141">
        <v>1.67841754346498E-3</v>
      </c>
      <c r="D3792" s="141"/>
    </row>
    <row r="3793" spans="1:4" x14ac:dyDescent="0.2">
      <c r="A3793" s="140" t="s">
        <v>750</v>
      </c>
      <c r="B3793" s="141">
        <v>1.6781500143309301E-3</v>
      </c>
      <c r="D3793" s="141"/>
    </row>
    <row r="3794" spans="1:4" x14ac:dyDescent="0.2">
      <c r="A3794" s="140" t="s">
        <v>7749</v>
      </c>
      <c r="B3794" s="141">
        <v>1.6781082410774399E-3</v>
      </c>
      <c r="D3794" s="141"/>
    </row>
    <row r="3795" spans="1:4" x14ac:dyDescent="0.2">
      <c r="A3795" s="140" t="s">
        <v>2078</v>
      </c>
      <c r="B3795" s="141">
        <v>1.6732299807339401E-3</v>
      </c>
      <c r="D3795" s="141"/>
    </row>
    <row r="3796" spans="1:4" x14ac:dyDescent="0.2">
      <c r="A3796" s="140" t="s">
        <v>7750</v>
      </c>
      <c r="B3796" s="141">
        <v>1.6722290105466E-3</v>
      </c>
      <c r="D3796" s="141"/>
    </row>
    <row r="3797" spans="1:4" x14ac:dyDescent="0.2">
      <c r="A3797" s="140" t="s">
        <v>1817</v>
      </c>
      <c r="B3797" s="141">
        <v>1.67172097151832E-3</v>
      </c>
      <c r="D3797" s="141"/>
    </row>
    <row r="3798" spans="1:4" x14ac:dyDescent="0.2">
      <c r="A3798" s="140" t="s">
        <v>5886</v>
      </c>
      <c r="B3798" s="141">
        <v>1.67150353691433E-3</v>
      </c>
      <c r="D3798" s="141"/>
    </row>
    <row r="3799" spans="1:4" x14ac:dyDescent="0.2">
      <c r="A3799" s="140" t="s">
        <v>7751</v>
      </c>
      <c r="B3799" s="141">
        <v>1.67083295203627E-3</v>
      </c>
      <c r="D3799" s="141"/>
    </row>
    <row r="3800" spans="1:4" x14ac:dyDescent="0.2">
      <c r="A3800" s="140" t="s">
        <v>4889</v>
      </c>
      <c r="B3800" s="141">
        <v>1.67083295203627E-3</v>
      </c>
      <c r="D3800" s="141"/>
    </row>
    <row r="3801" spans="1:4" x14ac:dyDescent="0.2">
      <c r="A3801" s="140" t="s">
        <v>2588</v>
      </c>
      <c r="B3801" s="141">
        <v>1.66909433700018E-3</v>
      </c>
      <c r="D3801" s="141"/>
    </row>
    <row r="3802" spans="1:4" x14ac:dyDescent="0.2">
      <c r="A3802" s="140" t="s">
        <v>1864</v>
      </c>
      <c r="B3802" s="141">
        <v>1.6634840799978599E-3</v>
      </c>
      <c r="D3802" s="141"/>
    </row>
    <row r="3803" spans="1:4" x14ac:dyDescent="0.2">
      <c r="A3803" s="140" t="s">
        <v>4131</v>
      </c>
      <c r="B3803" s="141">
        <v>1.66339084151964E-3</v>
      </c>
      <c r="D3803" s="141"/>
    </row>
    <row r="3804" spans="1:4" x14ac:dyDescent="0.2">
      <c r="A3804" s="140" t="s">
        <v>5806</v>
      </c>
      <c r="B3804" s="141">
        <v>1.6627601970610501E-3</v>
      </c>
      <c r="D3804" s="141"/>
    </row>
    <row r="3805" spans="1:4" x14ac:dyDescent="0.2">
      <c r="A3805" s="140" t="s">
        <v>7752</v>
      </c>
      <c r="B3805" s="141">
        <v>1.6627601970610501E-3</v>
      </c>
      <c r="D3805" s="141"/>
    </row>
    <row r="3806" spans="1:4" x14ac:dyDescent="0.2">
      <c r="A3806" s="140" t="s">
        <v>3022</v>
      </c>
      <c r="B3806" s="141">
        <v>1.66113593186711E-3</v>
      </c>
      <c r="D3806" s="141"/>
    </row>
    <row r="3807" spans="1:4" x14ac:dyDescent="0.2">
      <c r="A3807" s="140" t="s">
        <v>3444</v>
      </c>
      <c r="B3807" s="141">
        <v>1.6611165112626199E-3</v>
      </c>
      <c r="D3807" s="141"/>
    </row>
    <row r="3808" spans="1:4" x14ac:dyDescent="0.2">
      <c r="A3808" s="140" t="s">
        <v>6147</v>
      </c>
      <c r="B3808" s="141">
        <v>1.6602748934496901E-3</v>
      </c>
      <c r="D3808" s="141"/>
    </row>
    <row r="3809" spans="1:4" x14ac:dyDescent="0.2">
      <c r="A3809" s="140" t="s">
        <v>7753</v>
      </c>
      <c r="B3809" s="141">
        <v>1.66004753947142E-3</v>
      </c>
      <c r="D3809" s="141"/>
    </row>
    <row r="3810" spans="1:4" x14ac:dyDescent="0.2">
      <c r="A3810" s="140" t="s">
        <v>7754</v>
      </c>
      <c r="B3810" s="141">
        <v>1.66004753947142E-3</v>
      </c>
      <c r="D3810" s="141"/>
    </row>
    <row r="3811" spans="1:4" x14ac:dyDescent="0.2">
      <c r="A3811" s="140" t="s">
        <v>7755</v>
      </c>
      <c r="B3811" s="141">
        <v>1.66004753947142E-3</v>
      </c>
      <c r="D3811" s="141"/>
    </row>
    <row r="3812" spans="1:4" x14ac:dyDescent="0.2">
      <c r="A3812" s="140" t="s">
        <v>7756</v>
      </c>
      <c r="B3812" s="141">
        <v>1.66004753947142E-3</v>
      </c>
      <c r="D3812" s="141"/>
    </row>
    <row r="3813" spans="1:4" x14ac:dyDescent="0.2">
      <c r="A3813" s="140" t="s">
        <v>7757</v>
      </c>
      <c r="B3813" s="141">
        <v>1.66004753947142E-3</v>
      </c>
      <c r="D3813" s="141"/>
    </row>
    <row r="3814" spans="1:4" x14ac:dyDescent="0.2">
      <c r="A3814" s="140" t="s">
        <v>7758</v>
      </c>
      <c r="B3814" s="141">
        <v>1.65839478152868E-3</v>
      </c>
      <c r="D3814" s="141"/>
    </row>
    <row r="3815" spans="1:4" x14ac:dyDescent="0.2">
      <c r="A3815" s="140" t="s">
        <v>1652</v>
      </c>
      <c r="B3815" s="141">
        <v>1.65763126956936E-3</v>
      </c>
      <c r="D3815" s="141"/>
    </row>
    <row r="3816" spans="1:4" x14ac:dyDescent="0.2">
      <c r="A3816" s="140" t="s">
        <v>7759</v>
      </c>
      <c r="B3816" s="141">
        <v>1.65576402798382E-3</v>
      </c>
      <c r="D3816" s="141"/>
    </row>
    <row r="3817" spans="1:4" x14ac:dyDescent="0.2">
      <c r="A3817" s="140" t="s">
        <v>4296</v>
      </c>
      <c r="B3817" s="141">
        <v>1.6535719766308599E-3</v>
      </c>
      <c r="D3817" s="141"/>
    </row>
    <row r="3818" spans="1:4" x14ac:dyDescent="0.2">
      <c r="A3818" s="140" t="s">
        <v>7760</v>
      </c>
      <c r="B3818" s="141">
        <v>1.6510294084252199E-3</v>
      </c>
      <c r="D3818" s="141"/>
    </row>
    <row r="3819" spans="1:4" x14ac:dyDescent="0.2">
      <c r="A3819" s="140" t="s">
        <v>1611</v>
      </c>
      <c r="B3819" s="141">
        <v>1.64996551294329E-3</v>
      </c>
      <c r="D3819" s="141"/>
    </row>
    <row r="3820" spans="1:4" x14ac:dyDescent="0.2">
      <c r="A3820" s="140" t="s">
        <v>7761</v>
      </c>
      <c r="B3820" s="141">
        <v>1.6490440168487801E-3</v>
      </c>
      <c r="D3820" s="141"/>
    </row>
    <row r="3821" spans="1:4" x14ac:dyDescent="0.2">
      <c r="A3821" s="140" t="s">
        <v>1678</v>
      </c>
      <c r="B3821" s="141">
        <v>1.64841795593375E-3</v>
      </c>
      <c r="D3821" s="141"/>
    </row>
    <row r="3822" spans="1:4" x14ac:dyDescent="0.2">
      <c r="A3822" s="140" t="s">
        <v>5748</v>
      </c>
      <c r="B3822" s="141">
        <v>1.6475811324677999E-3</v>
      </c>
      <c r="D3822" s="141"/>
    </row>
    <row r="3823" spans="1:4" x14ac:dyDescent="0.2">
      <c r="A3823" s="140" t="s">
        <v>5003</v>
      </c>
      <c r="B3823" s="141">
        <v>1.64640634206143E-3</v>
      </c>
      <c r="D3823" s="141"/>
    </row>
    <row r="3824" spans="1:4" x14ac:dyDescent="0.2">
      <c r="A3824" s="140" t="s">
        <v>7762</v>
      </c>
      <c r="B3824" s="141">
        <v>1.6453766855689599E-3</v>
      </c>
      <c r="D3824" s="141"/>
    </row>
    <row r="3825" spans="1:4" x14ac:dyDescent="0.2">
      <c r="A3825" s="140" t="s">
        <v>5133</v>
      </c>
      <c r="B3825" s="141">
        <v>1.6450954700945499E-3</v>
      </c>
      <c r="D3825" s="141"/>
    </row>
    <row r="3826" spans="1:4" x14ac:dyDescent="0.2">
      <c r="A3826" s="140" t="s">
        <v>4863</v>
      </c>
      <c r="B3826" s="141">
        <v>1.6450954700945499E-3</v>
      </c>
      <c r="D3826" s="141"/>
    </row>
    <row r="3827" spans="1:4" x14ac:dyDescent="0.2">
      <c r="A3827" s="140" t="s">
        <v>7763</v>
      </c>
      <c r="B3827" s="141">
        <v>1.6420663732342399E-3</v>
      </c>
      <c r="D3827" s="141"/>
    </row>
    <row r="3828" spans="1:4" x14ac:dyDescent="0.2">
      <c r="A3828" s="140" t="s">
        <v>7764</v>
      </c>
      <c r="B3828" s="141">
        <v>1.6393876374442701E-3</v>
      </c>
      <c r="D3828" s="141"/>
    </row>
    <row r="3829" spans="1:4" x14ac:dyDescent="0.2">
      <c r="A3829" s="140" t="s">
        <v>7765</v>
      </c>
      <c r="B3829" s="141">
        <v>1.6381234392393201E-3</v>
      </c>
      <c r="D3829" s="141"/>
    </row>
    <row r="3830" spans="1:4" x14ac:dyDescent="0.2">
      <c r="A3830" s="140" t="s">
        <v>7766</v>
      </c>
      <c r="B3830" s="141">
        <v>1.63759462392029E-3</v>
      </c>
      <c r="D3830" s="141"/>
    </row>
    <row r="3831" spans="1:4" x14ac:dyDescent="0.2">
      <c r="A3831" s="140" t="s">
        <v>2220</v>
      </c>
      <c r="B3831" s="141">
        <v>1.6352586188910199E-3</v>
      </c>
      <c r="D3831" s="141"/>
    </row>
    <row r="3832" spans="1:4" x14ac:dyDescent="0.2">
      <c r="A3832" s="140" t="s">
        <v>2559</v>
      </c>
      <c r="B3832" s="141">
        <v>1.6349760357709799E-3</v>
      </c>
      <c r="D3832" s="141"/>
    </row>
    <row r="3833" spans="1:4" x14ac:dyDescent="0.2">
      <c r="A3833" s="140" t="s">
        <v>3863</v>
      </c>
      <c r="B3833" s="141">
        <v>1.6310363513951901E-3</v>
      </c>
      <c r="D3833" s="141"/>
    </row>
    <row r="3834" spans="1:4" x14ac:dyDescent="0.2">
      <c r="A3834" s="140" t="s">
        <v>2242</v>
      </c>
      <c r="B3834" s="141">
        <v>1.62968815720438E-3</v>
      </c>
      <c r="D3834" s="141"/>
    </row>
    <row r="3835" spans="1:4" x14ac:dyDescent="0.2">
      <c r="A3835" s="140" t="s">
        <v>7767</v>
      </c>
      <c r="B3835" s="141">
        <v>1.62282880034574E-3</v>
      </c>
      <c r="D3835" s="141"/>
    </row>
    <row r="3836" spans="1:4" x14ac:dyDescent="0.2">
      <c r="A3836" s="140" t="s">
        <v>7768</v>
      </c>
      <c r="B3836" s="141">
        <v>1.6196177526524201E-3</v>
      </c>
      <c r="D3836" s="141"/>
    </row>
    <row r="3837" spans="1:4" x14ac:dyDescent="0.2">
      <c r="A3837" s="140" t="s">
        <v>1453</v>
      </c>
      <c r="B3837" s="141">
        <v>1.6191992253710499E-3</v>
      </c>
      <c r="D3837" s="141"/>
    </row>
    <row r="3838" spans="1:4" x14ac:dyDescent="0.2">
      <c r="A3838" s="140" t="s">
        <v>1221</v>
      </c>
      <c r="B3838" s="141">
        <v>1.61806182144962E-3</v>
      </c>
      <c r="D3838" s="141"/>
    </row>
    <row r="3839" spans="1:4" x14ac:dyDescent="0.2">
      <c r="A3839" s="140" t="s">
        <v>7769</v>
      </c>
      <c r="B3839" s="141">
        <v>1.61803674834711E-3</v>
      </c>
      <c r="D3839" s="141"/>
    </row>
    <row r="3840" spans="1:4" x14ac:dyDescent="0.2">
      <c r="A3840" s="140" t="s">
        <v>7770</v>
      </c>
      <c r="B3840" s="141">
        <v>1.61677584481134E-3</v>
      </c>
      <c r="D3840" s="141"/>
    </row>
    <row r="3841" spans="1:4" x14ac:dyDescent="0.2">
      <c r="A3841" s="140" t="s">
        <v>498</v>
      </c>
      <c r="B3841" s="141">
        <v>1.6162535916337099E-3</v>
      </c>
      <c r="D3841" s="141"/>
    </row>
    <row r="3842" spans="1:4" x14ac:dyDescent="0.2">
      <c r="A3842" s="140" t="s">
        <v>7771</v>
      </c>
      <c r="B3842" s="141">
        <v>1.6157750605289101E-3</v>
      </c>
      <c r="D3842" s="141"/>
    </row>
    <row r="3843" spans="1:4" x14ac:dyDescent="0.2">
      <c r="A3843" s="140" t="s">
        <v>3968</v>
      </c>
      <c r="B3843" s="141">
        <v>1.61430732689316E-3</v>
      </c>
      <c r="D3843" s="141"/>
    </row>
    <row r="3844" spans="1:4" x14ac:dyDescent="0.2">
      <c r="A3844" s="140" t="s">
        <v>2508</v>
      </c>
      <c r="B3844" s="141">
        <v>1.6142703776747399E-3</v>
      </c>
      <c r="D3844" s="141"/>
    </row>
    <row r="3845" spans="1:4" x14ac:dyDescent="0.2">
      <c r="A3845" s="140" t="s">
        <v>7772</v>
      </c>
      <c r="B3845" s="141">
        <v>1.6134138421238899E-3</v>
      </c>
      <c r="D3845" s="141"/>
    </row>
    <row r="3846" spans="1:4" x14ac:dyDescent="0.2">
      <c r="A3846" s="140" t="s">
        <v>5022</v>
      </c>
      <c r="B3846" s="141">
        <v>1.61174141909273E-3</v>
      </c>
      <c r="D3846" s="141"/>
    </row>
    <row r="3847" spans="1:4" x14ac:dyDescent="0.2">
      <c r="A3847" s="140" t="s">
        <v>3160</v>
      </c>
      <c r="B3847" s="141">
        <v>1.6099462137428001E-3</v>
      </c>
      <c r="D3847" s="141"/>
    </row>
    <row r="3848" spans="1:4" x14ac:dyDescent="0.2">
      <c r="A3848" s="140" t="s">
        <v>1400</v>
      </c>
      <c r="B3848" s="141">
        <v>1.6091351061934701E-3</v>
      </c>
      <c r="D3848" s="141"/>
    </row>
    <row r="3849" spans="1:4" x14ac:dyDescent="0.2">
      <c r="A3849" s="140" t="s">
        <v>4809</v>
      </c>
      <c r="B3849" s="141">
        <v>1.6089875700764299E-3</v>
      </c>
      <c r="D3849" s="141"/>
    </row>
    <row r="3850" spans="1:4" x14ac:dyDescent="0.2">
      <c r="A3850" s="140" t="s">
        <v>5281</v>
      </c>
      <c r="B3850" s="141">
        <v>1.6079592163458199E-3</v>
      </c>
      <c r="D3850" s="141"/>
    </row>
    <row r="3851" spans="1:4" x14ac:dyDescent="0.2">
      <c r="A3851" s="140" t="s">
        <v>4502</v>
      </c>
      <c r="B3851" s="141">
        <v>1.6051125176174701E-3</v>
      </c>
      <c r="D3851" s="141"/>
    </row>
    <row r="3852" spans="1:4" x14ac:dyDescent="0.2">
      <c r="A3852" s="140" t="s">
        <v>3326</v>
      </c>
      <c r="B3852" s="141">
        <v>1.60466186466338E-3</v>
      </c>
      <c r="D3852" s="141"/>
    </row>
    <row r="3853" spans="1:4" x14ac:dyDescent="0.2">
      <c r="A3853" s="140" t="s">
        <v>2050</v>
      </c>
      <c r="B3853" s="141">
        <v>1.6042680356918399E-3</v>
      </c>
      <c r="D3853" s="141"/>
    </row>
    <row r="3854" spans="1:4" x14ac:dyDescent="0.2">
      <c r="A3854" s="140" t="s">
        <v>7773</v>
      </c>
      <c r="B3854" s="141">
        <v>1.6035193750077001E-3</v>
      </c>
      <c r="D3854" s="141"/>
    </row>
    <row r="3855" spans="1:4" x14ac:dyDescent="0.2">
      <c r="A3855" s="140" t="s">
        <v>7774</v>
      </c>
      <c r="B3855" s="141">
        <v>1.60273878112441E-3</v>
      </c>
      <c r="D3855" s="141"/>
    </row>
    <row r="3856" spans="1:4" x14ac:dyDescent="0.2">
      <c r="A3856" s="140" t="s">
        <v>7775</v>
      </c>
      <c r="B3856" s="141">
        <v>1.6022357767418E-3</v>
      </c>
      <c r="D3856" s="141"/>
    </row>
    <row r="3857" spans="1:4" x14ac:dyDescent="0.2">
      <c r="A3857" s="140" t="s">
        <v>1905</v>
      </c>
      <c r="B3857" s="141">
        <v>1.60126046366305E-3</v>
      </c>
      <c r="D3857" s="141"/>
    </row>
    <row r="3858" spans="1:4" x14ac:dyDescent="0.2">
      <c r="A3858" s="140" t="s">
        <v>2224</v>
      </c>
      <c r="B3858" s="141">
        <v>1.5998351899246699E-3</v>
      </c>
      <c r="D3858" s="141"/>
    </row>
    <row r="3859" spans="1:4" x14ac:dyDescent="0.2">
      <c r="A3859" s="140" t="s">
        <v>7776</v>
      </c>
      <c r="B3859" s="141">
        <v>1.5987785735555799E-3</v>
      </c>
      <c r="D3859" s="141"/>
    </row>
    <row r="3860" spans="1:4" x14ac:dyDescent="0.2">
      <c r="A3860" s="140" t="s">
        <v>1967</v>
      </c>
      <c r="B3860" s="141">
        <v>1.5979228978973399E-3</v>
      </c>
      <c r="D3860" s="141"/>
    </row>
    <row r="3861" spans="1:4" x14ac:dyDescent="0.2">
      <c r="A3861" s="140" t="s">
        <v>7777</v>
      </c>
      <c r="B3861" s="141">
        <v>1.5978605771833701E-3</v>
      </c>
      <c r="D3861" s="141"/>
    </row>
    <row r="3862" spans="1:4" x14ac:dyDescent="0.2">
      <c r="A3862" s="140" t="s">
        <v>7778</v>
      </c>
      <c r="B3862" s="141">
        <v>1.59706573078627E-3</v>
      </c>
      <c r="D3862" s="141"/>
    </row>
    <row r="3863" spans="1:4" x14ac:dyDescent="0.2">
      <c r="A3863" s="140" t="s">
        <v>7779</v>
      </c>
      <c r="B3863" s="141">
        <v>1.59592421806063E-3</v>
      </c>
      <c r="D3863" s="141"/>
    </row>
    <row r="3864" spans="1:4" x14ac:dyDescent="0.2">
      <c r="A3864" s="140" t="s">
        <v>542</v>
      </c>
      <c r="B3864" s="141">
        <v>1.59466010838196E-3</v>
      </c>
      <c r="D3864" s="141"/>
    </row>
    <row r="3865" spans="1:4" x14ac:dyDescent="0.2">
      <c r="A3865" s="140" t="s">
        <v>692</v>
      </c>
      <c r="B3865" s="141">
        <v>1.59192660457675E-3</v>
      </c>
      <c r="D3865" s="141"/>
    </row>
    <row r="3866" spans="1:4" x14ac:dyDescent="0.2">
      <c r="A3866" s="140" t="s">
        <v>1372</v>
      </c>
      <c r="B3866" s="141">
        <v>1.59122186518299E-3</v>
      </c>
      <c r="D3866" s="141"/>
    </row>
    <row r="3867" spans="1:4" x14ac:dyDescent="0.2">
      <c r="A3867" s="140" t="s">
        <v>1741</v>
      </c>
      <c r="B3867" s="141">
        <v>1.59015240721989E-3</v>
      </c>
      <c r="D3867" s="141"/>
    </row>
    <row r="3868" spans="1:4" x14ac:dyDescent="0.2">
      <c r="A3868" s="140" t="s">
        <v>4289</v>
      </c>
      <c r="B3868" s="141">
        <v>1.5858276744853601E-3</v>
      </c>
      <c r="D3868" s="141"/>
    </row>
    <row r="3869" spans="1:4" x14ac:dyDescent="0.2">
      <c r="A3869" s="140" t="s">
        <v>4529</v>
      </c>
      <c r="B3869" s="141">
        <v>1.58452684690025E-3</v>
      </c>
      <c r="D3869" s="141"/>
    </row>
    <row r="3870" spans="1:4" x14ac:dyDescent="0.2">
      <c r="A3870" s="140" t="s">
        <v>2469</v>
      </c>
      <c r="B3870" s="141">
        <v>1.58136235115314E-3</v>
      </c>
      <c r="D3870" s="141"/>
    </row>
    <row r="3871" spans="1:4" x14ac:dyDescent="0.2">
      <c r="A3871" s="140" t="s">
        <v>1235</v>
      </c>
      <c r="B3871" s="141">
        <v>1.58023552945336E-3</v>
      </c>
      <c r="D3871" s="141"/>
    </row>
    <row r="3872" spans="1:4" x14ac:dyDescent="0.2">
      <c r="A3872" s="140" t="s">
        <v>3132</v>
      </c>
      <c r="B3872" s="141">
        <v>1.5796154704483499E-3</v>
      </c>
      <c r="D3872" s="141"/>
    </row>
    <row r="3873" spans="1:4" x14ac:dyDescent="0.2">
      <c r="A3873" s="140" t="s">
        <v>7780</v>
      </c>
      <c r="B3873" s="141">
        <v>1.5796154704483499E-3</v>
      </c>
      <c r="D3873" s="141"/>
    </row>
    <row r="3874" spans="1:4" x14ac:dyDescent="0.2">
      <c r="A3874" s="140" t="s">
        <v>4330</v>
      </c>
      <c r="B3874" s="141">
        <v>1.57910890178494E-3</v>
      </c>
      <c r="D3874" s="141"/>
    </row>
    <row r="3875" spans="1:4" x14ac:dyDescent="0.2">
      <c r="A3875" s="140" t="s">
        <v>7781</v>
      </c>
      <c r="B3875" s="141">
        <v>1.57533952880545E-3</v>
      </c>
      <c r="D3875" s="141"/>
    </row>
    <row r="3876" spans="1:4" x14ac:dyDescent="0.2">
      <c r="A3876" s="140" t="s">
        <v>4542</v>
      </c>
      <c r="B3876" s="141">
        <v>1.57533952880545E-3</v>
      </c>
      <c r="D3876" s="141"/>
    </row>
    <row r="3877" spans="1:4" x14ac:dyDescent="0.2">
      <c r="A3877" s="140" t="s">
        <v>4486</v>
      </c>
      <c r="B3877" s="141">
        <v>1.57533952880545E-3</v>
      </c>
      <c r="D3877" s="141"/>
    </row>
    <row r="3878" spans="1:4" x14ac:dyDescent="0.2">
      <c r="A3878" s="140" t="s">
        <v>7782</v>
      </c>
      <c r="B3878" s="141">
        <v>1.57533952880545E-3</v>
      </c>
      <c r="D3878" s="141"/>
    </row>
    <row r="3879" spans="1:4" x14ac:dyDescent="0.2">
      <c r="A3879" s="140" t="s">
        <v>1539</v>
      </c>
      <c r="B3879" s="141">
        <v>1.57498262270421E-3</v>
      </c>
      <c r="D3879" s="141"/>
    </row>
    <row r="3880" spans="1:4" x14ac:dyDescent="0.2">
      <c r="A3880" s="140" t="s">
        <v>4778</v>
      </c>
      <c r="B3880" s="141">
        <v>1.5740710054365701E-3</v>
      </c>
      <c r="D3880" s="141"/>
    </row>
    <row r="3881" spans="1:4" x14ac:dyDescent="0.2">
      <c r="A3881" s="140" t="s">
        <v>7783</v>
      </c>
      <c r="B3881" s="141">
        <v>1.5730128614162399E-3</v>
      </c>
      <c r="D3881" s="141"/>
    </row>
    <row r="3882" spans="1:4" x14ac:dyDescent="0.2">
      <c r="A3882" s="140" t="s">
        <v>7784</v>
      </c>
      <c r="B3882" s="141">
        <v>1.5707134105463799E-3</v>
      </c>
      <c r="D3882" s="141"/>
    </row>
    <row r="3883" spans="1:4" x14ac:dyDescent="0.2">
      <c r="A3883" s="140" t="s">
        <v>2316</v>
      </c>
      <c r="B3883" s="141">
        <v>1.57004780618442E-3</v>
      </c>
      <c r="D3883" s="141"/>
    </row>
    <row r="3884" spans="1:4" x14ac:dyDescent="0.2">
      <c r="A3884" s="140" t="s">
        <v>5586</v>
      </c>
      <c r="B3884" s="141">
        <v>1.5697053114780599E-3</v>
      </c>
      <c r="D3884" s="141"/>
    </row>
    <row r="3885" spans="1:4" x14ac:dyDescent="0.2">
      <c r="A3885" s="140" t="s">
        <v>2054</v>
      </c>
      <c r="B3885" s="141">
        <v>1.5696964571945699E-3</v>
      </c>
      <c r="D3885" s="141"/>
    </row>
    <row r="3886" spans="1:4" x14ac:dyDescent="0.2">
      <c r="A3886" s="140" t="s">
        <v>3781</v>
      </c>
      <c r="B3886" s="141">
        <v>1.56876421010444E-3</v>
      </c>
      <c r="D3886" s="141"/>
    </row>
    <row r="3887" spans="1:4" x14ac:dyDescent="0.2">
      <c r="A3887" s="140" t="s">
        <v>1300</v>
      </c>
      <c r="B3887" s="141">
        <v>1.5672758379409301E-3</v>
      </c>
      <c r="D3887" s="141"/>
    </row>
    <row r="3888" spans="1:4" x14ac:dyDescent="0.2">
      <c r="A3888" s="140" t="s">
        <v>3466</v>
      </c>
      <c r="B3888" s="141">
        <v>1.5662643194850701E-3</v>
      </c>
      <c r="D3888" s="141"/>
    </row>
    <row r="3889" spans="1:4" x14ac:dyDescent="0.2">
      <c r="A3889" s="140" t="s">
        <v>2373</v>
      </c>
      <c r="B3889" s="141">
        <v>1.5660634244706001E-3</v>
      </c>
      <c r="D3889" s="141"/>
    </row>
    <row r="3890" spans="1:4" x14ac:dyDescent="0.2">
      <c r="A3890" s="140" t="s">
        <v>1784</v>
      </c>
      <c r="B3890" s="141">
        <v>1.56502685907889E-3</v>
      </c>
      <c r="D3890" s="141"/>
    </row>
    <row r="3891" spans="1:4" x14ac:dyDescent="0.2">
      <c r="A3891" s="140" t="s">
        <v>7785</v>
      </c>
      <c r="B3891" s="141">
        <v>1.56430416759896E-3</v>
      </c>
      <c r="D3891" s="141"/>
    </row>
    <row r="3892" spans="1:4" x14ac:dyDescent="0.2">
      <c r="A3892" s="140" t="s">
        <v>1952</v>
      </c>
      <c r="B3892" s="141">
        <v>1.5618693659203301E-3</v>
      </c>
      <c r="D3892" s="141"/>
    </row>
    <row r="3893" spans="1:4" x14ac:dyDescent="0.2">
      <c r="A3893" s="140" t="s">
        <v>7786</v>
      </c>
      <c r="B3893" s="141">
        <v>1.56109086560997E-3</v>
      </c>
      <c r="D3893" s="141"/>
    </row>
    <row r="3894" spans="1:4" x14ac:dyDescent="0.2">
      <c r="A3894" s="140" t="s">
        <v>7787</v>
      </c>
      <c r="B3894" s="141">
        <v>1.56102966842124E-3</v>
      </c>
      <c r="D3894" s="141"/>
    </row>
    <row r="3895" spans="1:4" x14ac:dyDescent="0.2">
      <c r="A3895" s="140" t="s">
        <v>2911</v>
      </c>
      <c r="B3895" s="141">
        <v>1.56093317126663E-3</v>
      </c>
      <c r="D3895" s="141"/>
    </row>
    <row r="3896" spans="1:4" x14ac:dyDescent="0.2">
      <c r="A3896" s="140" t="s">
        <v>2956</v>
      </c>
      <c r="B3896" s="141">
        <v>1.5605636036588901E-3</v>
      </c>
      <c r="D3896" s="141"/>
    </row>
    <row r="3897" spans="1:4" x14ac:dyDescent="0.2">
      <c r="A3897" s="140" t="s">
        <v>4745</v>
      </c>
      <c r="B3897" s="141">
        <v>1.56027544498392E-3</v>
      </c>
      <c r="D3897" s="141"/>
    </row>
    <row r="3898" spans="1:4" x14ac:dyDescent="0.2">
      <c r="A3898" s="140" t="s">
        <v>7788</v>
      </c>
      <c r="B3898" s="141">
        <v>1.5594994295747E-3</v>
      </c>
      <c r="D3898" s="141"/>
    </row>
    <row r="3899" spans="1:4" x14ac:dyDescent="0.2">
      <c r="A3899" s="140" t="s">
        <v>4139</v>
      </c>
      <c r="B3899" s="141">
        <v>1.55880199767672E-3</v>
      </c>
      <c r="D3899" s="141"/>
    </row>
    <row r="3900" spans="1:4" x14ac:dyDescent="0.2">
      <c r="A3900" s="140" t="s">
        <v>1801</v>
      </c>
      <c r="B3900" s="141">
        <v>1.5574898772006899E-3</v>
      </c>
      <c r="D3900" s="141"/>
    </row>
    <row r="3901" spans="1:4" x14ac:dyDescent="0.2">
      <c r="A3901" s="140" t="s">
        <v>7789</v>
      </c>
      <c r="B3901" s="141">
        <v>1.5574055546585201E-3</v>
      </c>
      <c r="D3901" s="141"/>
    </row>
    <row r="3902" spans="1:4" x14ac:dyDescent="0.2">
      <c r="A3902" s="140" t="s">
        <v>2710</v>
      </c>
      <c r="B3902" s="141">
        <v>1.5572152045964E-3</v>
      </c>
      <c r="D3902" s="141"/>
    </row>
    <row r="3903" spans="1:4" x14ac:dyDescent="0.2">
      <c r="A3903" s="140" t="s">
        <v>4828</v>
      </c>
      <c r="B3903" s="141">
        <v>1.55492947086585E-3</v>
      </c>
      <c r="D3903" s="141"/>
    </row>
    <row r="3904" spans="1:4" x14ac:dyDescent="0.2">
      <c r="A3904" s="140" t="s">
        <v>2901</v>
      </c>
      <c r="B3904" s="141">
        <v>1.5531854516242899E-3</v>
      </c>
      <c r="D3904" s="141"/>
    </row>
    <row r="3905" spans="1:4" x14ac:dyDescent="0.2">
      <c r="A3905" s="140" t="s">
        <v>2279</v>
      </c>
      <c r="B3905" s="141">
        <v>1.5530884588990899E-3</v>
      </c>
      <c r="D3905" s="141"/>
    </row>
    <row r="3906" spans="1:4" x14ac:dyDescent="0.2">
      <c r="A3906" s="140" t="s">
        <v>7790</v>
      </c>
      <c r="B3906" s="141">
        <v>1.5521552275411701E-3</v>
      </c>
      <c r="D3906" s="141"/>
    </row>
    <row r="3907" spans="1:4" x14ac:dyDescent="0.2">
      <c r="A3907" s="140" t="s">
        <v>5715</v>
      </c>
      <c r="B3907" s="141">
        <v>1.55200801806738E-3</v>
      </c>
      <c r="D3907" s="141"/>
    </row>
    <row r="3908" spans="1:4" x14ac:dyDescent="0.2">
      <c r="A3908" s="140" t="s">
        <v>7791</v>
      </c>
      <c r="B3908" s="141">
        <v>1.5516030362685499E-3</v>
      </c>
      <c r="D3908" s="141"/>
    </row>
    <row r="3909" spans="1:4" x14ac:dyDescent="0.2">
      <c r="A3909" s="140" t="s">
        <v>2101</v>
      </c>
      <c r="B3909" s="141">
        <v>1.55112600296521E-3</v>
      </c>
      <c r="D3909" s="141"/>
    </row>
    <row r="3910" spans="1:4" x14ac:dyDescent="0.2">
      <c r="A3910" s="140" t="s">
        <v>3587</v>
      </c>
      <c r="B3910" s="141">
        <v>1.5496744721326301E-3</v>
      </c>
      <c r="D3910" s="141"/>
    </row>
    <row r="3911" spans="1:4" x14ac:dyDescent="0.2">
      <c r="A3911" s="140" t="s">
        <v>3045</v>
      </c>
      <c r="B3911" s="141">
        <v>1.54552529335949E-3</v>
      </c>
      <c r="D3911" s="141"/>
    </row>
    <row r="3912" spans="1:4" x14ac:dyDescent="0.2">
      <c r="A3912" s="140" t="s">
        <v>7792</v>
      </c>
      <c r="B3912" s="141">
        <v>1.5446165903466899E-3</v>
      </c>
      <c r="D3912" s="141"/>
    </row>
    <row r="3913" spans="1:4" x14ac:dyDescent="0.2">
      <c r="A3913" s="140" t="s">
        <v>1014</v>
      </c>
      <c r="B3913" s="141">
        <v>1.5446034747899501E-3</v>
      </c>
      <c r="D3913" s="141"/>
    </row>
    <row r="3914" spans="1:4" x14ac:dyDescent="0.2">
      <c r="A3914" s="140" t="s">
        <v>535</v>
      </c>
      <c r="B3914" s="141">
        <v>1.54342538489781E-3</v>
      </c>
      <c r="D3914" s="141"/>
    </row>
    <row r="3915" spans="1:4" x14ac:dyDescent="0.2">
      <c r="A3915" s="140" t="s">
        <v>7793</v>
      </c>
      <c r="B3915" s="141">
        <v>1.5399997505153801E-3</v>
      </c>
      <c r="D3915" s="141"/>
    </row>
    <row r="3916" spans="1:4" x14ac:dyDescent="0.2">
      <c r="A3916" s="140" t="s">
        <v>4973</v>
      </c>
      <c r="B3916" s="141">
        <v>1.53834303225546E-3</v>
      </c>
      <c r="D3916" s="141"/>
    </row>
    <row r="3917" spans="1:4" x14ac:dyDescent="0.2">
      <c r="A3917" s="140" t="s">
        <v>7794</v>
      </c>
      <c r="B3917" s="141">
        <v>1.53834303225546E-3</v>
      </c>
      <c r="D3917" s="141"/>
    </row>
    <row r="3918" spans="1:4" x14ac:dyDescent="0.2">
      <c r="A3918" s="140" t="s">
        <v>7795</v>
      </c>
      <c r="B3918" s="141">
        <v>1.5361993602809501E-3</v>
      </c>
      <c r="D3918" s="141"/>
    </row>
    <row r="3919" spans="1:4" x14ac:dyDescent="0.2">
      <c r="A3919" s="140" t="s">
        <v>7796</v>
      </c>
      <c r="B3919" s="141">
        <v>1.53294633385927E-3</v>
      </c>
      <c r="D3919" s="141"/>
    </row>
    <row r="3920" spans="1:4" x14ac:dyDescent="0.2">
      <c r="A3920" s="140" t="s">
        <v>3721</v>
      </c>
      <c r="B3920" s="141">
        <v>1.53254414499356E-3</v>
      </c>
      <c r="D3920" s="141"/>
    </row>
    <row r="3921" spans="1:4" x14ac:dyDescent="0.2">
      <c r="A3921" s="140" t="s">
        <v>2733</v>
      </c>
      <c r="B3921" s="141">
        <v>1.53201565889492E-3</v>
      </c>
      <c r="D3921" s="141"/>
    </row>
    <row r="3922" spans="1:4" x14ac:dyDescent="0.2">
      <c r="A3922" s="140" t="s">
        <v>6254</v>
      </c>
      <c r="B3922" s="141">
        <v>1.5293160073743899E-3</v>
      </c>
      <c r="D3922" s="141"/>
    </row>
    <row r="3923" spans="1:4" x14ac:dyDescent="0.2">
      <c r="A3923" s="140" t="s">
        <v>5239</v>
      </c>
      <c r="B3923" s="141">
        <v>1.5286014602178999E-3</v>
      </c>
      <c r="D3923" s="141"/>
    </row>
    <row r="3924" spans="1:4" x14ac:dyDescent="0.2">
      <c r="A3924" s="140" t="s">
        <v>7797</v>
      </c>
      <c r="B3924" s="141">
        <v>1.5281123938042599E-3</v>
      </c>
      <c r="D3924" s="141"/>
    </row>
    <row r="3925" spans="1:4" x14ac:dyDescent="0.2">
      <c r="A3925" s="140" t="s">
        <v>429</v>
      </c>
      <c r="B3925" s="141">
        <v>1.52766679251681E-3</v>
      </c>
      <c r="D3925" s="141"/>
    </row>
    <row r="3926" spans="1:4" x14ac:dyDescent="0.2">
      <c r="A3926" s="140" t="s">
        <v>7798</v>
      </c>
      <c r="B3926" s="141">
        <v>1.52687393034065E-3</v>
      </c>
      <c r="D3926" s="141"/>
    </row>
    <row r="3927" spans="1:4" x14ac:dyDescent="0.2">
      <c r="A3927" s="140" t="s">
        <v>7799</v>
      </c>
      <c r="B3927" s="141">
        <v>1.5268458678498499E-3</v>
      </c>
      <c r="D3927" s="141"/>
    </row>
    <row r="3928" spans="1:4" x14ac:dyDescent="0.2">
      <c r="A3928" s="140" t="s">
        <v>2856</v>
      </c>
      <c r="B3928" s="141">
        <v>1.5268413064161901E-3</v>
      </c>
      <c r="D3928" s="141"/>
    </row>
    <row r="3929" spans="1:4" x14ac:dyDescent="0.2">
      <c r="A3929" s="140" t="s">
        <v>7800</v>
      </c>
      <c r="B3929" s="141">
        <v>1.5237488195686199E-3</v>
      </c>
      <c r="D3929" s="141"/>
    </row>
    <row r="3930" spans="1:4" x14ac:dyDescent="0.2">
      <c r="A3930" s="140" t="s">
        <v>7801</v>
      </c>
      <c r="B3930" s="141">
        <v>1.5237488195686199E-3</v>
      </c>
      <c r="D3930" s="141"/>
    </row>
    <row r="3931" spans="1:4" x14ac:dyDescent="0.2">
      <c r="A3931" s="140" t="s">
        <v>3174</v>
      </c>
      <c r="B3931" s="141">
        <v>1.5209004898349501E-3</v>
      </c>
      <c r="D3931" s="141"/>
    </row>
    <row r="3932" spans="1:4" x14ac:dyDescent="0.2">
      <c r="A3932" s="140" t="s">
        <v>5900</v>
      </c>
      <c r="B3932" s="141">
        <v>1.51710582650782E-3</v>
      </c>
      <c r="D3932" s="141"/>
    </row>
    <row r="3933" spans="1:4" x14ac:dyDescent="0.2">
      <c r="A3933" s="140" t="s">
        <v>1790</v>
      </c>
      <c r="B3933" s="141">
        <v>1.5139696258985899E-3</v>
      </c>
      <c r="D3933" s="141"/>
    </row>
    <row r="3934" spans="1:4" x14ac:dyDescent="0.2">
      <c r="A3934" s="140" t="s">
        <v>2291</v>
      </c>
      <c r="B3934" s="141">
        <v>1.5123394477217899E-3</v>
      </c>
      <c r="D3934" s="141"/>
    </row>
    <row r="3935" spans="1:4" x14ac:dyDescent="0.2">
      <c r="A3935" s="140" t="s">
        <v>2046</v>
      </c>
      <c r="B3935" s="141">
        <v>1.50920767657835E-3</v>
      </c>
      <c r="D3935" s="141"/>
    </row>
    <row r="3936" spans="1:4" x14ac:dyDescent="0.2">
      <c r="A3936" s="140" t="s">
        <v>1917</v>
      </c>
      <c r="B3936" s="141">
        <v>1.5068473240531599E-3</v>
      </c>
      <c r="D3936" s="141"/>
    </row>
    <row r="3937" spans="1:4" x14ac:dyDescent="0.2">
      <c r="A3937" s="140" t="s">
        <v>4599</v>
      </c>
      <c r="B3937" s="141">
        <v>1.5068131060884801E-3</v>
      </c>
      <c r="D3937" s="141"/>
    </row>
    <row r="3938" spans="1:4" x14ac:dyDescent="0.2">
      <c r="A3938" s="140" t="s">
        <v>1627</v>
      </c>
      <c r="B3938" s="141">
        <v>1.5060874579358101E-3</v>
      </c>
      <c r="D3938" s="141"/>
    </row>
    <row r="3939" spans="1:4" x14ac:dyDescent="0.2">
      <c r="A3939" s="140" t="s">
        <v>2452</v>
      </c>
      <c r="B3939" s="141">
        <v>1.5059932387884701E-3</v>
      </c>
      <c r="D3939" s="141"/>
    </row>
    <row r="3940" spans="1:4" x14ac:dyDescent="0.2">
      <c r="A3940" s="140" t="s">
        <v>3179</v>
      </c>
      <c r="B3940" s="141">
        <v>1.50597747603678E-3</v>
      </c>
      <c r="D3940" s="141"/>
    </row>
    <row r="3941" spans="1:4" x14ac:dyDescent="0.2">
      <c r="A3941" s="140" t="s">
        <v>2362</v>
      </c>
      <c r="B3941" s="141">
        <v>1.50472093765906E-3</v>
      </c>
      <c r="D3941" s="141"/>
    </row>
    <row r="3942" spans="1:4" x14ac:dyDescent="0.2">
      <c r="A3942" s="140" t="s">
        <v>1968</v>
      </c>
      <c r="B3942" s="141">
        <v>1.5000843988121799E-3</v>
      </c>
      <c r="D3942" s="141"/>
    </row>
    <row r="3943" spans="1:4" x14ac:dyDescent="0.2">
      <c r="A3943" s="140" t="s">
        <v>3780</v>
      </c>
      <c r="B3943" s="141">
        <v>1.4992231497046901E-3</v>
      </c>
      <c r="D3943" s="141"/>
    </row>
    <row r="3944" spans="1:4" x14ac:dyDescent="0.2">
      <c r="A3944" s="140" t="s">
        <v>2894</v>
      </c>
      <c r="B3944" s="141">
        <v>1.49905309516328E-3</v>
      </c>
      <c r="D3944" s="141"/>
    </row>
    <row r="3945" spans="1:4" x14ac:dyDescent="0.2">
      <c r="A3945" s="140" t="s">
        <v>2663</v>
      </c>
      <c r="B3945" s="141">
        <v>1.4990071984537501E-3</v>
      </c>
      <c r="D3945" s="141"/>
    </row>
    <row r="3946" spans="1:4" x14ac:dyDescent="0.2">
      <c r="A3946" s="140" t="s">
        <v>2434</v>
      </c>
      <c r="B3946" s="141">
        <v>1.4967735323325299E-3</v>
      </c>
      <c r="D3946" s="141"/>
    </row>
    <row r="3947" spans="1:4" x14ac:dyDescent="0.2">
      <c r="A3947" s="140" t="s">
        <v>2701</v>
      </c>
      <c r="B3947" s="141">
        <v>1.4958148040489999E-3</v>
      </c>
      <c r="D3947" s="141"/>
    </row>
    <row r="3948" spans="1:4" x14ac:dyDescent="0.2">
      <c r="A3948" s="140" t="s">
        <v>440</v>
      </c>
      <c r="B3948" s="141">
        <v>1.49376033197236E-3</v>
      </c>
      <c r="D3948" s="141"/>
    </row>
    <row r="3949" spans="1:4" x14ac:dyDescent="0.2">
      <c r="A3949" s="140" t="s">
        <v>1512</v>
      </c>
      <c r="B3949" s="141">
        <v>1.4931292945341999E-3</v>
      </c>
      <c r="D3949" s="141"/>
    </row>
    <row r="3950" spans="1:4" x14ac:dyDescent="0.2">
      <c r="A3950" s="140" t="s">
        <v>6262</v>
      </c>
      <c r="B3950" s="141">
        <v>1.4904004501275199E-3</v>
      </c>
      <c r="D3950" s="141"/>
    </row>
    <row r="3951" spans="1:4" x14ac:dyDescent="0.2">
      <c r="A3951" s="140" t="s">
        <v>7802</v>
      </c>
      <c r="B3951" s="141">
        <v>1.4902131710586299E-3</v>
      </c>
      <c r="D3951" s="141"/>
    </row>
    <row r="3952" spans="1:4" x14ac:dyDescent="0.2">
      <c r="A3952" s="140" t="s">
        <v>6017</v>
      </c>
      <c r="B3952" s="141">
        <v>1.4897721582818001E-3</v>
      </c>
      <c r="D3952" s="141"/>
    </row>
    <row r="3953" spans="1:4" x14ac:dyDescent="0.2">
      <c r="A3953" s="140" t="s">
        <v>6104</v>
      </c>
      <c r="B3953" s="141">
        <v>1.4878230433624301E-3</v>
      </c>
      <c r="D3953" s="141"/>
    </row>
    <row r="3954" spans="1:4" x14ac:dyDescent="0.2">
      <c r="A3954" s="140" t="s">
        <v>4527</v>
      </c>
      <c r="B3954" s="141">
        <v>1.4871107843513801E-3</v>
      </c>
      <c r="D3954" s="141"/>
    </row>
    <row r="3955" spans="1:4" x14ac:dyDescent="0.2">
      <c r="A3955" s="140" t="s">
        <v>1146</v>
      </c>
      <c r="B3955" s="141">
        <v>1.4868151716631299E-3</v>
      </c>
      <c r="D3955" s="141"/>
    </row>
    <row r="3956" spans="1:4" x14ac:dyDescent="0.2">
      <c r="A3956" s="140" t="s">
        <v>4825</v>
      </c>
      <c r="B3956" s="141">
        <v>1.4853656767981501E-3</v>
      </c>
      <c r="D3956" s="141"/>
    </row>
    <row r="3957" spans="1:4" x14ac:dyDescent="0.2">
      <c r="A3957" s="140" t="s">
        <v>2552</v>
      </c>
      <c r="B3957" s="141">
        <v>1.4853533174755901E-3</v>
      </c>
      <c r="D3957" s="141"/>
    </row>
    <row r="3958" spans="1:4" x14ac:dyDescent="0.2">
      <c r="A3958" s="140" t="s">
        <v>3857</v>
      </c>
      <c r="B3958" s="141">
        <v>1.4822540990211E-3</v>
      </c>
      <c r="D3958" s="141"/>
    </row>
    <row r="3959" spans="1:4" x14ac:dyDescent="0.2">
      <c r="A3959" s="140" t="s">
        <v>3117</v>
      </c>
      <c r="B3959" s="141">
        <v>1.47850394452115E-3</v>
      </c>
      <c r="D3959" s="141"/>
    </row>
    <row r="3960" spans="1:4" x14ac:dyDescent="0.2">
      <c r="A3960" s="140" t="s">
        <v>2629</v>
      </c>
      <c r="B3960" s="141">
        <v>1.47732945173235E-3</v>
      </c>
      <c r="D3960" s="141"/>
    </row>
    <row r="3961" spans="1:4" x14ac:dyDescent="0.2">
      <c r="A3961" s="140" t="s">
        <v>7803</v>
      </c>
      <c r="B3961" s="141">
        <v>1.4771780784105001E-3</v>
      </c>
      <c r="D3961" s="141"/>
    </row>
    <row r="3962" spans="1:4" x14ac:dyDescent="0.2">
      <c r="A3962" s="140" t="s">
        <v>5112</v>
      </c>
      <c r="B3962" s="141">
        <v>1.4759609630485E-3</v>
      </c>
      <c r="D3962" s="141"/>
    </row>
    <row r="3963" spans="1:4" x14ac:dyDescent="0.2">
      <c r="A3963" s="140" t="s">
        <v>7804</v>
      </c>
      <c r="B3963" s="141">
        <v>1.4752840623169E-3</v>
      </c>
      <c r="D3963" s="141"/>
    </row>
    <row r="3964" spans="1:4" x14ac:dyDescent="0.2">
      <c r="A3964" s="140" t="s">
        <v>7805</v>
      </c>
      <c r="B3964" s="141">
        <v>1.4745188704968601E-3</v>
      </c>
      <c r="D3964" s="141"/>
    </row>
    <row r="3965" spans="1:4" x14ac:dyDescent="0.2">
      <c r="A3965" s="140" t="s">
        <v>7806</v>
      </c>
      <c r="B3965" s="141">
        <v>1.47440787289382E-3</v>
      </c>
      <c r="D3965" s="141"/>
    </row>
    <row r="3966" spans="1:4" x14ac:dyDescent="0.2">
      <c r="A3966" s="140" t="s">
        <v>7807</v>
      </c>
      <c r="B3966" s="141">
        <v>1.4741199440744201E-3</v>
      </c>
      <c r="D3966" s="141"/>
    </row>
    <row r="3967" spans="1:4" x14ac:dyDescent="0.2">
      <c r="A3967" s="140" t="s">
        <v>7808</v>
      </c>
      <c r="B3967" s="141">
        <v>1.4716417652568001E-3</v>
      </c>
      <c r="D3967" s="141"/>
    </row>
    <row r="3968" spans="1:4" x14ac:dyDescent="0.2">
      <c r="A3968" s="140" t="s">
        <v>2691</v>
      </c>
      <c r="B3968" s="141">
        <v>1.47131007664183E-3</v>
      </c>
      <c r="D3968" s="141"/>
    </row>
    <row r="3969" spans="1:4" x14ac:dyDescent="0.2">
      <c r="A3969" s="140" t="s">
        <v>1650</v>
      </c>
      <c r="B3969" s="141">
        <v>1.4704955932002899E-3</v>
      </c>
      <c r="D3969" s="141"/>
    </row>
    <row r="3970" spans="1:4" x14ac:dyDescent="0.2">
      <c r="A3970" s="140" t="s">
        <v>7809</v>
      </c>
      <c r="B3970" s="141">
        <v>1.46972594199905E-3</v>
      </c>
      <c r="D3970" s="141"/>
    </row>
    <row r="3971" spans="1:4" x14ac:dyDescent="0.2">
      <c r="A3971" s="140" t="s">
        <v>1248</v>
      </c>
      <c r="B3971" s="141">
        <v>1.4684208678562799E-3</v>
      </c>
      <c r="D3971" s="141"/>
    </row>
    <row r="3972" spans="1:4" x14ac:dyDescent="0.2">
      <c r="A3972" s="140" t="s">
        <v>1165</v>
      </c>
      <c r="B3972" s="141">
        <v>1.46823287420173E-3</v>
      </c>
      <c r="D3972" s="141"/>
    </row>
    <row r="3973" spans="1:4" x14ac:dyDescent="0.2">
      <c r="A3973" s="140" t="s">
        <v>7810</v>
      </c>
      <c r="B3973" s="141">
        <v>1.4673925300569999E-3</v>
      </c>
      <c r="D3973" s="141"/>
    </row>
    <row r="3974" spans="1:4" x14ac:dyDescent="0.2">
      <c r="A3974" s="140" t="s">
        <v>5351</v>
      </c>
      <c r="B3974" s="141">
        <v>1.46479359627537E-3</v>
      </c>
      <c r="D3974" s="141"/>
    </row>
    <row r="3975" spans="1:4" x14ac:dyDescent="0.2">
      <c r="A3975" s="140" t="s">
        <v>2179</v>
      </c>
      <c r="B3975" s="141">
        <v>1.4646600335148699E-3</v>
      </c>
      <c r="D3975" s="141"/>
    </row>
    <row r="3976" spans="1:4" x14ac:dyDescent="0.2">
      <c r="A3976" s="140" t="s">
        <v>5815</v>
      </c>
      <c r="B3976" s="141">
        <v>1.4625998256624E-3</v>
      </c>
      <c r="D3976" s="141"/>
    </row>
    <row r="3977" spans="1:4" x14ac:dyDescent="0.2">
      <c r="A3977" s="140" t="s">
        <v>3720</v>
      </c>
      <c r="B3977" s="141">
        <v>1.4623110600821001E-3</v>
      </c>
      <c r="D3977" s="141"/>
    </row>
    <row r="3978" spans="1:4" x14ac:dyDescent="0.2">
      <c r="A3978" s="140" t="s">
        <v>7811</v>
      </c>
      <c r="B3978" s="141">
        <v>1.4614207601075101E-3</v>
      </c>
      <c r="D3978" s="141"/>
    </row>
    <row r="3979" spans="1:4" x14ac:dyDescent="0.2">
      <c r="A3979" s="140" t="s">
        <v>4572</v>
      </c>
      <c r="B3979" s="141">
        <v>1.46006494634099E-3</v>
      </c>
      <c r="D3979" s="141"/>
    </row>
    <row r="3980" spans="1:4" x14ac:dyDescent="0.2">
      <c r="A3980" s="140" t="s">
        <v>3293</v>
      </c>
      <c r="B3980" s="141">
        <v>1.4586146506164E-3</v>
      </c>
      <c r="D3980" s="141"/>
    </row>
    <row r="3981" spans="1:4" x14ac:dyDescent="0.2">
      <c r="A3981" s="140" t="s">
        <v>6088</v>
      </c>
      <c r="B3981" s="141">
        <v>1.4562366687093E-3</v>
      </c>
      <c r="D3981" s="141"/>
    </row>
    <row r="3982" spans="1:4" x14ac:dyDescent="0.2">
      <c r="A3982" s="140" t="s">
        <v>3957</v>
      </c>
      <c r="B3982" s="141">
        <v>1.4550809594845401E-3</v>
      </c>
      <c r="D3982" s="141"/>
    </row>
    <row r="3983" spans="1:4" x14ac:dyDescent="0.2">
      <c r="A3983" s="140" t="s">
        <v>5672</v>
      </c>
      <c r="B3983" s="141">
        <v>1.4537684216199499E-3</v>
      </c>
      <c r="D3983" s="141"/>
    </row>
    <row r="3984" spans="1:4" x14ac:dyDescent="0.2">
      <c r="A3984" s="140" t="s">
        <v>3166</v>
      </c>
      <c r="B3984" s="141">
        <v>1.45361537449295E-3</v>
      </c>
      <c r="D3984" s="141"/>
    </row>
    <row r="3985" spans="1:4" x14ac:dyDescent="0.2">
      <c r="A3985" s="140" t="s">
        <v>6166</v>
      </c>
      <c r="B3985" s="141">
        <v>1.4530500249636199E-3</v>
      </c>
      <c r="D3985" s="141"/>
    </row>
    <row r="3986" spans="1:4" x14ac:dyDescent="0.2">
      <c r="A3986" s="140" t="s">
        <v>2354</v>
      </c>
      <c r="B3986" s="141">
        <v>1.4515311798031099E-3</v>
      </c>
      <c r="D3986" s="141"/>
    </row>
    <row r="3987" spans="1:4" x14ac:dyDescent="0.2">
      <c r="A3987" s="140" t="s">
        <v>7812</v>
      </c>
      <c r="B3987" s="141">
        <v>1.45146257985631E-3</v>
      </c>
      <c r="D3987" s="141"/>
    </row>
    <row r="3988" spans="1:4" x14ac:dyDescent="0.2">
      <c r="A3988" s="140" t="s">
        <v>3405</v>
      </c>
      <c r="B3988" s="141">
        <v>1.45136943914114E-3</v>
      </c>
      <c r="D3988" s="141"/>
    </row>
    <row r="3989" spans="1:4" x14ac:dyDescent="0.2">
      <c r="A3989" s="140" t="s">
        <v>4923</v>
      </c>
      <c r="B3989" s="141">
        <v>1.44965034076501E-3</v>
      </c>
      <c r="D3989" s="141"/>
    </row>
    <row r="3990" spans="1:4" x14ac:dyDescent="0.2">
      <c r="A3990" s="140" t="s">
        <v>3821</v>
      </c>
      <c r="B3990" s="141">
        <v>1.4483119486416701E-3</v>
      </c>
      <c r="D3990" s="141"/>
    </row>
    <row r="3991" spans="1:4" x14ac:dyDescent="0.2">
      <c r="A3991" s="140" t="s">
        <v>5131</v>
      </c>
      <c r="B3991" s="141">
        <v>1.4464699078578799E-3</v>
      </c>
      <c r="D3991" s="141"/>
    </row>
    <row r="3992" spans="1:4" x14ac:dyDescent="0.2">
      <c r="A3992" s="140" t="s">
        <v>3163</v>
      </c>
      <c r="B3992" s="141">
        <v>1.4462583422742599E-3</v>
      </c>
      <c r="D3992" s="141"/>
    </row>
    <row r="3993" spans="1:4" x14ac:dyDescent="0.2">
      <c r="A3993" s="140" t="s">
        <v>7813</v>
      </c>
      <c r="B3993" s="141">
        <v>1.4445898341437901E-3</v>
      </c>
      <c r="D3993" s="141"/>
    </row>
    <row r="3994" spans="1:4" x14ac:dyDescent="0.2">
      <c r="A3994" s="140" t="s">
        <v>7814</v>
      </c>
      <c r="B3994" s="141">
        <v>1.4412740172043E-3</v>
      </c>
      <c r="D3994" s="141"/>
    </row>
    <row r="3995" spans="1:4" x14ac:dyDescent="0.2">
      <c r="A3995" s="140" t="s">
        <v>7815</v>
      </c>
      <c r="B3995" s="141">
        <v>1.43988022021886E-3</v>
      </c>
      <c r="D3995" s="141"/>
    </row>
    <row r="3996" spans="1:4" x14ac:dyDescent="0.2">
      <c r="A3996" s="140" t="s">
        <v>2667</v>
      </c>
      <c r="B3996" s="141">
        <v>1.4389171973804901E-3</v>
      </c>
      <c r="D3996" s="141"/>
    </row>
    <row r="3997" spans="1:4" x14ac:dyDescent="0.2">
      <c r="A3997" s="140" t="s">
        <v>7816</v>
      </c>
      <c r="B3997" s="141">
        <v>1.4380665658410799E-3</v>
      </c>
      <c r="D3997" s="141"/>
    </row>
    <row r="3998" spans="1:4" x14ac:dyDescent="0.2">
      <c r="A3998" s="140" t="s">
        <v>1413</v>
      </c>
      <c r="B3998" s="141">
        <v>1.43667045223705E-3</v>
      </c>
      <c r="D3998" s="141"/>
    </row>
    <row r="3999" spans="1:4" x14ac:dyDescent="0.2">
      <c r="A3999" s="140" t="s">
        <v>1942</v>
      </c>
      <c r="B3999" s="141">
        <v>1.43577137058693E-3</v>
      </c>
      <c r="D3999" s="141"/>
    </row>
    <row r="4000" spans="1:4" x14ac:dyDescent="0.2">
      <c r="A4000" s="140" t="s">
        <v>3145</v>
      </c>
      <c r="B4000" s="141">
        <v>1.4349019226080699E-3</v>
      </c>
      <c r="D4000" s="141"/>
    </row>
    <row r="4001" spans="1:4" x14ac:dyDescent="0.2">
      <c r="A4001" s="140" t="s">
        <v>2786</v>
      </c>
      <c r="B4001" s="141">
        <v>1.43323478672493E-3</v>
      </c>
      <c r="D4001" s="141"/>
    </row>
    <row r="4002" spans="1:4" x14ac:dyDescent="0.2">
      <c r="A4002" s="140" t="s">
        <v>5640</v>
      </c>
      <c r="B4002" s="141">
        <v>1.43296620349588E-3</v>
      </c>
      <c r="D4002" s="141"/>
    </row>
    <row r="4003" spans="1:4" x14ac:dyDescent="0.2">
      <c r="A4003" s="140" t="s">
        <v>2596</v>
      </c>
      <c r="B4003" s="141">
        <v>1.4324755849486101E-3</v>
      </c>
      <c r="D4003" s="141"/>
    </row>
    <row r="4004" spans="1:4" x14ac:dyDescent="0.2">
      <c r="A4004" s="140" t="s">
        <v>5870</v>
      </c>
      <c r="B4004" s="141">
        <v>1.43238623687312E-3</v>
      </c>
      <c r="D4004" s="141"/>
    </row>
    <row r="4005" spans="1:4" x14ac:dyDescent="0.2">
      <c r="A4005" s="140" t="s">
        <v>6089</v>
      </c>
      <c r="B4005" s="141">
        <v>1.4321904594902101E-3</v>
      </c>
      <c r="D4005" s="141"/>
    </row>
    <row r="4006" spans="1:4" x14ac:dyDescent="0.2">
      <c r="A4006" s="140" t="s">
        <v>2880</v>
      </c>
      <c r="B4006" s="141">
        <v>1.4313791307714E-3</v>
      </c>
      <c r="D4006" s="141"/>
    </row>
    <row r="4007" spans="1:4" x14ac:dyDescent="0.2">
      <c r="A4007" s="140" t="s">
        <v>3782</v>
      </c>
      <c r="B4007" s="141">
        <v>1.43051903391698E-3</v>
      </c>
      <c r="D4007" s="141"/>
    </row>
    <row r="4008" spans="1:4" x14ac:dyDescent="0.2">
      <c r="A4008" s="140" t="s">
        <v>2616</v>
      </c>
      <c r="B4008" s="141">
        <v>1.4276660733214301E-3</v>
      </c>
      <c r="D4008" s="141"/>
    </row>
    <row r="4009" spans="1:4" x14ac:dyDescent="0.2">
      <c r="A4009" s="140" t="s">
        <v>7817</v>
      </c>
      <c r="B4009" s="141">
        <v>1.4268370224685501E-3</v>
      </c>
      <c r="D4009" s="141"/>
    </row>
    <row r="4010" spans="1:4" x14ac:dyDescent="0.2">
      <c r="A4010" s="140" t="s">
        <v>7818</v>
      </c>
      <c r="B4010" s="141">
        <v>1.4268370224685501E-3</v>
      </c>
      <c r="D4010" s="141"/>
    </row>
    <row r="4011" spans="1:4" x14ac:dyDescent="0.2">
      <c r="A4011" s="140" t="s">
        <v>7819</v>
      </c>
      <c r="B4011" s="141">
        <v>1.4259411782565801E-3</v>
      </c>
      <c r="D4011" s="141"/>
    </row>
    <row r="4012" spans="1:4" x14ac:dyDescent="0.2">
      <c r="A4012" s="140" t="s">
        <v>6174</v>
      </c>
      <c r="B4012" s="141">
        <v>1.42561353767589E-3</v>
      </c>
      <c r="D4012" s="141"/>
    </row>
    <row r="4013" spans="1:4" x14ac:dyDescent="0.2">
      <c r="A4013" s="140" t="s">
        <v>1818</v>
      </c>
      <c r="B4013" s="141">
        <v>1.4255255501320801E-3</v>
      </c>
      <c r="D4013" s="141"/>
    </row>
    <row r="4014" spans="1:4" x14ac:dyDescent="0.2">
      <c r="A4014" s="140" t="s">
        <v>1059</v>
      </c>
      <c r="B4014" s="141">
        <v>1.42430624266509E-3</v>
      </c>
      <c r="D4014" s="141"/>
    </row>
    <row r="4015" spans="1:4" x14ac:dyDescent="0.2">
      <c r="A4015" s="140" t="s">
        <v>2687</v>
      </c>
      <c r="B4015" s="141">
        <v>1.42301243423206E-3</v>
      </c>
      <c r="D4015" s="141"/>
    </row>
    <row r="4016" spans="1:4" x14ac:dyDescent="0.2">
      <c r="A4016" s="140" t="s">
        <v>3217</v>
      </c>
      <c r="B4016" s="141">
        <v>1.4203571200889201E-3</v>
      </c>
      <c r="D4016" s="141"/>
    </row>
    <row r="4017" spans="1:4" x14ac:dyDescent="0.2">
      <c r="A4017" s="140" t="s">
        <v>1159</v>
      </c>
      <c r="B4017" s="141">
        <v>1.41980864281939E-3</v>
      </c>
      <c r="D4017" s="141"/>
    </row>
    <row r="4018" spans="1:4" x14ac:dyDescent="0.2">
      <c r="A4018" s="140" t="s">
        <v>7820</v>
      </c>
      <c r="B4018" s="141">
        <v>1.4182437491462301E-3</v>
      </c>
      <c r="D4018" s="141"/>
    </row>
    <row r="4019" spans="1:4" x14ac:dyDescent="0.2">
      <c r="A4019" s="140" t="s">
        <v>5678</v>
      </c>
      <c r="B4019" s="141">
        <v>1.4112337886241499E-3</v>
      </c>
      <c r="D4019" s="141"/>
    </row>
    <row r="4020" spans="1:4" x14ac:dyDescent="0.2">
      <c r="A4020" s="140" t="s">
        <v>1979</v>
      </c>
      <c r="B4020" s="141">
        <v>1.4105699148358199E-3</v>
      </c>
      <c r="D4020" s="141"/>
    </row>
    <row r="4021" spans="1:4" x14ac:dyDescent="0.2">
      <c r="A4021" s="140" t="s">
        <v>3794</v>
      </c>
      <c r="B4021" s="141">
        <v>1.41000212327972E-3</v>
      </c>
      <c r="D4021" s="141"/>
    </row>
    <row r="4022" spans="1:4" x14ac:dyDescent="0.2">
      <c r="A4022" s="140" t="s">
        <v>7821</v>
      </c>
      <c r="B4022" s="141">
        <v>1.4078885428752299E-3</v>
      </c>
      <c r="D4022" s="141"/>
    </row>
    <row r="4023" spans="1:4" x14ac:dyDescent="0.2">
      <c r="A4023" s="140" t="s">
        <v>2768</v>
      </c>
      <c r="B4023" s="141">
        <v>1.4073377938728E-3</v>
      </c>
      <c r="D4023" s="141"/>
    </row>
    <row r="4024" spans="1:4" x14ac:dyDescent="0.2">
      <c r="A4024" s="140" t="s">
        <v>813</v>
      </c>
      <c r="B4024" s="141">
        <v>1.4072792427676699E-3</v>
      </c>
      <c r="D4024" s="141"/>
    </row>
    <row r="4025" spans="1:4" x14ac:dyDescent="0.2">
      <c r="A4025" s="140" t="s">
        <v>1757</v>
      </c>
      <c r="B4025" s="141">
        <v>1.40721439315623E-3</v>
      </c>
      <c r="D4025" s="141"/>
    </row>
    <row r="4026" spans="1:4" x14ac:dyDescent="0.2">
      <c r="A4026" s="140" t="s">
        <v>5984</v>
      </c>
      <c r="B4026" s="141">
        <v>1.4063896502608201E-3</v>
      </c>
      <c r="D4026" s="141"/>
    </row>
    <row r="4027" spans="1:4" x14ac:dyDescent="0.2">
      <c r="A4027" s="140" t="s">
        <v>5598</v>
      </c>
      <c r="B4027" s="141">
        <v>1.4063896502608201E-3</v>
      </c>
      <c r="D4027" s="141"/>
    </row>
    <row r="4028" spans="1:4" x14ac:dyDescent="0.2">
      <c r="A4028" s="140" t="s">
        <v>5413</v>
      </c>
      <c r="B4028" s="141">
        <v>1.4063896502608201E-3</v>
      </c>
      <c r="D4028" s="141"/>
    </row>
    <row r="4029" spans="1:4" x14ac:dyDescent="0.2">
      <c r="A4029" s="140" t="s">
        <v>1527</v>
      </c>
      <c r="B4029" s="141">
        <v>1.4016747829347E-3</v>
      </c>
      <c r="D4029" s="141"/>
    </row>
    <row r="4030" spans="1:4" x14ac:dyDescent="0.2">
      <c r="A4030" s="140" t="s">
        <v>2028</v>
      </c>
      <c r="B4030" s="141">
        <v>1.39980520048756E-3</v>
      </c>
      <c r="D4030" s="141"/>
    </row>
    <row r="4031" spans="1:4" x14ac:dyDescent="0.2">
      <c r="A4031" s="140" t="s">
        <v>7822</v>
      </c>
      <c r="B4031" s="141">
        <v>1.3974299151983699E-3</v>
      </c>
      <c r="D4031" s="141"/>
    </row>
    <row r="4032" spans="1:4" x14ac:dyDescent="0.2">
      <c r="A4032" s="140" t="s">
        <v>1361</v>
      </c>
      <c r="B4032" s="141">
        <v>1.3961415972577401E-3</v>
      </c>
      <c r="D4032" s="141"/>
    </row>
    <row r="4033" spans="1:4" x14ac:dyDescent="0.2">
      <c r="A4033" s="140" t="s">
        <v>2125</v>
      </c>
      <c r="B4033" s="141">
        <v>1.3950732387996601E-3</v>
      </c>
      <c r="D4033" s="141"/>
    </row>
    <row r="4034" spans="1:4" x14ac:dyDescent="0.2">
      <c r="A4034" s="140" t="s">
        <v>5113</v>
      </c>
      <c r="B4034" s="141">
        <v>1.3923835945801901E-3</v>
      </c>
      <c r="D4034" s="141"/>
    </row>
    <row r="4035" spans="1:4" x14ac:dyDescent="0.2">
      <c r="A4035" s="140" t="s">
        <v>7823</v>
      </c>
      <c r="B4035" s="141">
        <v>1.3923835945801901E-3</v>
      </c>
      <c r="D4035" s="141"/>
    </row>
    <row r="4036" spans="1:4" x14ac:dyDescent="0.2">
      <c r="A4036" s="140" t="s">
        <v>7824</v>
      </c>
      <c r="B4036" s="141">
        <v>1.3909500074601501E-3</v>
      </c>
      <c r="D4036" s="141"/>
    </row>
    <row r="4037" spans="1:4" x14ac:dyDescent="0.2">
      <c r="A4037" s="140" t="s">
        <v>5418</v>
      </c>
      <c r="B4037" s="141">
        <v>1.3900791686290101E-3</v>
      </c>
      <c r="D4037" s="141"/>
    </row>
    <row r="4038" spans="1:4" x14ac:dyDescent="0.2">
      <c r="A4038" s="140" t="s">
        <v>716</v>
      </c>
      <c r="B4038" s="141">
        <v>1.38839855359698E-3</v>
      </c>
      <c r="D4038" s="141"/>
    </row>
    <row r="4039" spans="1:4" x14ac:dyDescent="0.2">
      <c r="A4039" s="140" t="s">
        <v>7825</v>
      </c>
      <c r="B4039" s="141">
        <v>1.3883888610247001E-3</v>
      </c>
      <c r="D4039" s="141"/>
    </row>
    <row r="4040" spans="1:4" x14ac:dyDescent="0.2">
      <c r="A4040" s="140" t="s">
        <v>7826</v>
      </c>
      <c r="B4040" s="141">
        <v>1.38684877427535E-3</v>
      </c>
      <c r="D4040" s="141"/>
    </row>
    <row r="4041" spans="1:4" x14ac:dyDescent="0.2">
      <c r="A4041" s="140" t="s">
        <v>1334</v>
      </c>
      <c r="B4041" s="141">
        <v>1.38648866941884E-3</v>
      </c>
      <c r="D4041" s="141"/>
    </row>
    <row r="4042" spans="1:4" x14ac:dyDescent="0.2">
      <c r="A4042" s="140" t="s">
        <v>606</v>
      </c>
      <c r="B4042" s="141">
        <v>1.3862552897311801E-3</v>
      </c>
      <c r="D4042" s="141"/>
    </row>
    <row r="4043" spans="1:4" x14ac:dyDescent="0.2">
      <c r="A4043" s="140" t="s">
        <v>1925</v>
      </c>
      <c r="B4043" s="141">
        <v>1.3857093327855801E-3</v>
      </c>
      <c r="D4043" s="141"/>
    </row>
    <row r="4044" spans="1:4" x14ac:dyDescent="0.2">
      <c r="A4044" s="140" t="s">
        <v>645</v>
      </c>
      <c r="B4044" s="141">
        <v>1.3840446841615901E-3</v>
      </c>
      <c r="D4044" s="141"/>
    </row>
    <row r="4045" spans="1:4" x14ac:dyDescent="0.2">
      <c r="A4045" s="140" t="s">
        <v>4838</v>
      </c>
      <c r="B4045" s="141">
        <v>1.3827473756909401E-3</v>
      </c>
      <c r="D4045" s="141"/>
    </row>
    <row r="4046" spans="1:4" x14ac:dyDescent="0.2">
      <c r="A4046" s="140" t="s">
        <v>2187</v>
      </c>
      <c r="B4046" s="141">
        <v>1.3805231114208201E-3</v>
      </c>
      <c r="D4046" s="141"/>
    </row>
    <row r="4047" spans="1:4" x14ac:dyDescent="0.2">
      <c r="A4047" s="140" t="s">
        <v>6196</v>
      </c>
      <c r="B4047" s="141">
        <v>1.3791169500979299E-3</v>
      </c>
      <c r="D4047" s="141"/>
    </row>
    <row r="4048" spans="1:4" x14ac:dyDescent="0.2">
      <c r="A4048" s="140" t="s">
        <v>2322</v>
      </c>
      <c r="B4048" s="141">
        <v>1.3788820940682999E-3</v>
      </c>
      <c r="D4048" s="141"/>
    </row>
    <row r="4049" spans="1:4" x14ac:dyDescent="0.2">
      <c r="A4049" s="140" t="s">
        <v>4163</v>
      </c>
      <c r="B4049" s="141">
        <v>1.37876696158268E-3</v>
      </c>
      <c r="D4049" s="141"/>
    </row>
    <row r="4050" spans="1:4" x14ac:dyDescent="0.2">
      <c r="A4050" s="140" t="s">
        <v>2051</v>
      </c>
      <c r="B4050" s="141">
        <v>1.37698921399596E-3</v>
      </c>
      <c r="D4050" s="141"/>
    </row>
    <row r="4051" spans="1:4" x14ac:dyDescent="0.2">
      <c r="A4051" s="140" t="s">
        <v>2255</v>
      </c>
      <c r="B4051" s="141">
        <v>1.3745399547450601E-3</v>
      </c>
      <c r="D4051" s="141"/>
    </row>
    <row r="4052" spans="1:4" x14ac:dyDescent="0.2">
      <c r="A4052" s="140" t="s">
        <v>6304</v>
      </c>
      <c r="B4052" s="141">
        <v>1.3740166666892999E-3</v>
      </c>
      <c r="D4052" s="141"/>
    </row>
    <row r="4053" spans="1:4" x14ac:dyDescent="0.2">
      <c r="A4053" s="140" t="s">
        <v>3524</v>
      </c>
      <c r="B4053" s="141">
        <v>1.37398291121454E-3</v>
      </c>
      <c r="D4053" s="141"/>
    </row>
    <row r="4054" spans="1:4" x14ac:dyDescent="0.2">
      <c r="A4054" s="140" t="s">
        <v>7827</v>
      </c>
      <c r="B4054" s="141">
        <v>1.3722150232989101E-3</v>
      </c>
      <c r="D4054" s="141"/>
    </row>
    <row r="4055" spans="1:4" x14ac:dyDescent="0.2">
      <c r="A4055" s="140" t="s">
        <v>5619</v>
      </c>
      <c r="B4055" s="141">
        <v>1.36942853842617E-3</v>
      </c>
      <c r="D4055" s="141"/>
    </row>
    <row r="4056" spans="1:4" x14ac:dyDescent="0.2">
      <c r="A4056" s="140" t="s">
        <v>4681</v>
      </c>
      <c r="B4056" s="141">
        <v>1.36833319197658E-3</v>
      </c>
      <c r="D4056" s="141"/>
    </row>
    <row r="4057" spans="1:4" x14ac:dyDescent="0.2">
      <c r="A4057" s="140" t="s">
        <v>7828</v>
      </c>
      <c r="B4057" s="141">
        <v>1.3674601451088E-3</v>
      </c>
      <c r="D4057" s="141"/>
    </row>
    <row r="4058" spans="1:4" x14ac:dyDescent="0.2">
      <c r="A4058" s="140" t="s">
        <v>7829</v>
      </c>
      <c r="B4058" s="141">
        <v>1.3673803241257599E-3</v>
      </c>
      <c r="D4058" s="141"/>
    </row>
    <row r="4059" spans="1:4" x14ac:dyDescent="0.2">
      <c r="A4059" s="140" t="s">
        <v>3902</v>
      </c>
      <c r="B4059" s="141">
        <v>1.36637746170857E-3</v>
      </c>
      <c r="D4059" s="141"/>
    </row>
    <row r="4060" spans="1:4" x14ac:dyDescent="0.2">
      <c r="A4060" s="140" t="s">
        <v>7830</v>
      </c>
      <c r="B4060" s="141">
        <v>1.3657915180629E-3</v>
      </c>
      <c r="D4060" s="141"/>
    </row>
    <row r="4061" spans="1:4" x14ac:dyDescent="0.2">
      <c r="A4061" s="140" t="s">
        <v>5519</v>
      </c>
      <c r="B4061" s="141">
        <v>1.36303348244644E-3</v>
      </c>
      <c r="D4061" s="141"/>
    </row>
    <row r="4062" spans="1:4" x14ac:dyDescent="0.2">
      <c r="A4062" s="140" t="s">
        <v>3809</v>
      </c>
      <c r="B4062" s="141">
        <v>1.3613625368443501E-3</v>
      </c>
      <c r="D4062" s="141"/>
    </row>
    <row r="4063" spans="1:4" x14ac:dyDescent="0.2">
      <c r="A4063" s="140" t="s">
        <v>7831</v>
      </c>
      <c r="B4063" s="141">
        <v>1.36111340061137E-3</v>
      </c>
      <c r="D4063" s="141"/>
    </row>
    <row r="4064" spans="1:4" x14ac:dyDescent="0.2">
      <c r="A4064" s="140" t="s">
        <v>5333</v>
      </c>
      <c r="B4064" s="141">
        <v>1.3594246503423699E-3</v>
      </c>
      <c r="D4064" s="141"/>
    </row>
    <row r="4065" spans="1:4" x14ac:dyDescent="0.2">
      <c r="A4065" s="140" t="s">
        <v>3858</v>
      </c>
      <c r="B4065" s="141">
        <v>1.3591402677148299E-3</v>
      </c>
      <c r="D4065" s="141"/>
    </row>
    <row r="4066" spans="1:4" x14ac:dyDescent="0.2">
      <c r="A4066" s="140" t="s">
        <v>2642</v>
      </c>
      <c r="B4066" s="141">
        <v>1.35734289703311E-3</v>
      </c>
      <c r="D4066" s="141"/>
    </row>
    <row r="4067" spans="1:4" x14ac:dyDescent="0.2">
      <c r="A4067" s="140" t="s">
        <v>5480</v>
      </c>
      <c r="B4067" s="141">
        <v>1.35646518633945E-3</v>
      </c>
      <c r="D4067" s="141"/>
    </row>
    <row r="4068" spans="1:4" x14ac:dyDescent="0.2">
      <c r="A4068" s="140" t="s">
        <v>6020</v>
      </c>
      <c r="B4068" s="141">
        <v>1.35581861022861E-3</v>
      </c>
      <c r="D4068" s="141"/>
    </row>
    <row r="4069" spans="1:4" x14ac:dyDescent="0.2">
      <c r="A4069" s="140" t="s">
        <v>2474</v>
      </c>
      <c r="B4069" s="141">
        <v>1.3555970150991501E-3</v>
      </c>
      <c r="D4069" s="141"/>
    </row>
    <row r="4070" spans="1:4" x14ac:dyDescent="0.2">
      <c r="A4070" s="140" t="s">
        <v>2206</v>
      </c>
      <c r="B4070" s="141">
        <v>1.35245155130847E-3</v>
      </c>
      <c r="D4070" s="141"/>
    </row>
    <row r="4071" spans="1:4" x14ac:dyDescent="0.2">
      <c r="A4071" s="140" t="s">
        <v>7832</v>
      </c>
      <c r="B4071" s="141">
        <v>1.3520203569871E-3</v>
      </c>
      <c r="D4071" s="141"/>
    </row>
    <row r="4072" spans="1:4" x14ac:dyDescent="0.2">
      <c r="A4072" s="140" t="s">
        <v>2074</v>
      </c>
      <c r="B4072" s="141">
        <v>1.3506765192232101E-3</v>
      </c>
      <c r="D4072" s="141"/>
    </row>
    <row r="4073" spans="1:4" x14ac:dyDescent="0.2">
      <c r="A4073" s="140" t="s">
        <v>7833</v>
      </c>
      <c r="B4073" s="141">
        <v>1.3491596318262701E-3</v>
      </c>
      <c r="D4073" s="141"/>
    </row>
    <row r="4074" spans="1:4" x14ac:dyDescent="0.2">
      <c r="A4074" s="140" t="s">
        <v>4148</v>
      </c>
      <c r="B4074" s="141">
        <v>1.34905840634893E-3</v>
      </c>
      <c r="D4074" s="141"/>
    </row>
    <row r="4075" spans="1:4" x14ac:dyDescent="0.2">
      <c r="A4075" s="140" t="s">
        <v>2723</v>
      </c>
      <c r="B4075" s="141">
        <v>1.3487847733148299E-3</v>
      </c>
      <c r="D4075" s="141"/>
    </row>
    <row r="4076" spans="1:4" x14ac:dyDescent="0.2">
      <c r="A4076" s="140" t="s">
        <v>6014</v>
      </c>
      <c r="B4076" s="141">
        <v>1.3475822633709201E-3</v>
      </c>
      <c r="D4076" s="141"/>
    </row>
    <row r="4077" spans="1:4" x14ac:dyDescent="0.2">
      <c r="A4077" s="140" t="s">
        <v>1798</v>
      </c>
      <c r="B4077" s="141">
        <v>1.3474409682673601E-3</v>
      </c>
      <c r="D4077" s="141"/>
    </row>
    <row r="4078" spans="1:4" x14ac:dyDescent="0.2">
      <c r="A4078" s="140" t="s">
        <v>1648</v>
      </c>
      <c r="B4078" s="141">
        <v>1.34303464835937E-3</v>
      </c>
      <c r="D4078" s="141"/>
    </row>
    <row r="4079" spans="1:4" x14ac:dyDescent="0.2">
      <c r="A4079" s="140" t="s">
        <v>1341</v>
      </c>
      <c r="B4079" s="141">
        <v>1.34296674507264E-3</v>
      </c>
      <c r="D4079" s="141"/>
    </row>
    <row r="4080" spans="1:4" x14ac:dyDescent="0.2">
      <c r="A4080" s="140" t="s">
        <v>7834</v>
      </c>
      <c r="B4080" s="141">
        <v>1.3384506493409299E-3</v>
      </c>
      <c r="D4080" s="141"/>
    </row>
    <row r="4081" spans="1:4" x14ac:dyDescent="0.2">
      <c r="A4081" s="140" t="s">
        <v>7835</v>
      </c>
      <c r="B4081" s="141">
        <v>1.3384506493409299E-3</v>
      </c>
      <c r="D4081" s="141"/>
    </row>
    <row r="4082" spans="1:4" x14ac:dyDescent="0.2">
      <c r="A4082" s="140" t="s">
        <v>7836</v>
      </c>
      <c r="B4082" s="141">
        <v>1.3384506493409299E-3</v>
      </c>
      <c r="D4082" s="141"/>
    </row>
    <row r="4083" spans="1:4" x14ac:dyDescent="0.2">
      <c r="A4083" s="140" t="s">
        <v>7837</v>
      </c>
      <c r="B4083" s="141">
        <v>1.3384506493409299E-3</v>
      </c>
      <c r="D4083" s="141"/>
    </row>
    <row r="4084" spans="1:4" x14ac:dyDescent="0.2">
      <c r="A4084" s="140" t="s">
        <v>5647</v>
      </c>
      <c r="B4084" s="141">
        <v>1.3384506493409299E-3</v>
      </c>
      <c r="D4084" s="141"/>
    </row>
    <row r="4085" spans="1:4" x14ac:dyDescent="0.2">
      <c r="A4085" s="140" t="s">
        <v>7838</v>
      </c>
      <c r="B4085" s="141">
        <v>1.3384506493409299E-3</v>
      </c>
      <c r="D4085" s="141"/>
    </row>
    <row r="4086" spans="1:4" x14ac:dyDescent="0.2">
      <c r="A4086" s="140" t="s">
        <v>7839</v>
      </c>
      <c r="B4086" s="141">
        <v>1.3384506493409299E-3</v>
      </c>
      <c r="D4086" s="141"/>
    </row>
    <row r="4087" spans="1:4" x14ac:dyDescent="0.2">
      <c r="A4087" s="140" t="s">
        <v>7840</v>
      </c>
      <c r="B4087" s="141">
        <v>1.3384506493409299E-3</v>
      </c>
      <c r="D4087" s="141"/>
    </row>
    <row r="4088" spans="1:4" x14ac:dyDescent="0.2">
      <c r="A4088" s="140" t="s">
        <v>7841</v>
      </c>
      <c r="B4088" s="141">
        <v>1.3384506493409299E-3</v>
      </c>
      <c r="D4088" s="141"/>
    </row>
    <row r="4089" spans="1:4" x14ac:dyDescent="0.2">
      <c r="A4089" s="140" t="s">
        <v>5482</v>
      </c>
      <c r="B4089" s="141">
        <v>1.3384506493409299E-3</v>
      </c>
      <c r="D4089" s="141"/>
    </row>
    <row r="4090" spans="1:4" x14ac:dyDescent="0.2">
      <c r="A4090" s="140" t="s">
        <v>7842</v>
      </c>
      <c r="B4090" s="141">
        <v>1.3384506493409299E-3</v>
      </c>
      <c r="D4090" s="141"/>
    </row>
    <row r="4091" spans="1:4" x14ac:dyDescent="0.2">
      <c r="A4091" s="140" t="s">
        <v>5393</v>
      </c>
      <c r="B4091" s="141">
        <v>1.3384506493409299E-3</v>
      </c>
      <c r="D4091" s="141"/>
    </row>
    <row r="4092" spans="1:4" x14ac:dyDescent="0.2">
      <c r="A4092" s="140" t="s">
        <v>7843</v>
      </c>
      <c r="B4092" s="141">
        <v>1.3384506493409299E-3</v>
      </c>
      <c r="D4092" s="141"/>
    </row>
    <row r="4093" spans="1:4" x14ac:dyDescent="0.2">
      <c r="A4093" s="140" t="s">
        <v>7844</v>
      </c>
      <c r="B4093" s="141">
        <v>1.3384506493409299E-3</v>
      </c>
      <c r="D4093" s="141"/>
    </row>
    <row r="4094" spans="1:4" x14ac:dyDescent="0.2">
      <c r="A4094" s="140" t="s">
        <v>7845</v>
      </c>
      <c r="B4094" s="141">
        <v>1.3384506493409299E-3</v>
      </c>
      <c r="D4094" s="141"/>
    </row>
    <row r="4095" spans="1:4" x14ac:dyDescent="0.2">
      <c r="A4095" s="140" t="s">
        <v>7846</v>
      </c>
      <c r="B4095" s="141">
        <v>1.3384506493409299E-3</v>
      </c>
      <c r="D4095" s="141"/>
    </row>
    <row r="4096" spans="1:4" x14ac:dyDescent="0.2">
      <c r="A4096" s="140" t="s">
        <v>7847</v>
      </c>
      <c r="B4096" s="141">
        <v>1.3384506493409299E-3</v>
      </c>
      <c r="D4096" s="141"/>
    </row>
    <row r="4097" spans="1:4" x14ac:dyDescent="0.2">
      <c r="A4097" s="140" t="s">
        <v>7848</v>
      </c>
      <c r="B4097" s="141">
        <v>1.3384506493409299E-3</v>
      </c>
      <c r="D4097" s="141"/>
    </row>
    <row r="4098" spans="1:4" x14ac:dyDescent="0.2">
      <c r="A4098" s="140" t="s">
        <v>7849</v>
      </c>
      <c r="B4098" s="141">
        <v>1.3384506493409299E-3</v>
      </c>
      <c r="D4098" s="141"/>
    </row>
    <row r="4099" spans="1:4" x14ac:dyDescent="0.2">
      <c r="A4099" s="140" t="s">
        <v>7850</v>
      </c>
      <c r="B4099" s="141">
        <v>1.3384506493409299E-3</v>
      </c>
      <c r="D4099" s="141"/>
    </row>
    <row r="4100" spans="1:4" x14ac:dyDescent="0.2">
      <c r="A4100" s="140" t="s">
        <v>7851</v>
      </c>
      <c r="B4100" s="141">
        <v>1.3384506493409299E-3</v>
      </c>
      <c r="D4100" s="141"/>
    </row>
    <row r="4101" spans="1:4" x14ac:dyDescent="0.2">
      <c r="A4101" s="140" t="s">
        <v>7852</v>
      </c>
      <c r="B4101" s="141">
        <v>1.3384506493409299E-3</v>
      </c>
      <c r="D4101" s="141"/>
    </row>
    <row r="4102" spans="1:4" x14ac:dyDescent="0.2">
      <c r="A4102" s="140" t="s">
        <v>7853</v>
      </c>
      <c r="B4102" s="141">
        <v>1.3384506493409299E-3</v>
      </c>
      <c r="D4102" s="141"/>
    </row>
    <row r="4103" spans="1:4" x14ac:dyDescent="0.2">
      <c r="A4103" s="140" t="s">
        <v>7854</v>
      </c>
      <c r="B4103" s="141">
        <v>1.3384506493409299E-3</v>
      </c>
      <c r="D4103" s="141"/>
    </row>
    <row r="4104" spans="1:4" x14ac:dyDescent="0.2">
      <c r="A4104" s="140" t="s">
        <v>7855</v>
      </c>
      <c r="B4104" s="141">
        <v>1.3384506493409299E-3</v>
      </c>
      <c r="D4104" s="141"/>
    </row>
    <row r="4105" spans="1:4" x14ac:dyDescent="0.2">
      <c r="A4105" s="140" t="s">
        <v>7856</v>
      </c>
      <c r="B4105" s="141">
        <v>1.3384506493409299E-3</v>
      </c>
      <c r="D4105" s="141"/>
    </row>
    <row r="4106" spans="1:4" x14ac:dyDescent="0.2">
      <c r="A4106" s="140" t="s">
        <v>4510</v>
      </c>
      <c r="B4106" s="141">
        <v>1.3384506493409299E-3</v>
      </c>
      <c r="D4106" s="141"/>
    </row>
    <row r="4107" spans="1:4" x14ac:dyDescent="0.2">
      <c r="A4107" s="140" t="s">
        <v>4420</v>
      </c>
      <c r="B4107" s="141">
        <v>1.3384506493409299E-3</v>
      </c>
      <c r="D4107" s="141"/>
    </row>
    <row r="4108" spans="1:4" x14ac:dyDescent="0.2">
      <c r="A4108" s="140" t="s">
        <v>4394</v>
      </c>
      <c r="B4108" s="141">
        <v>1.3384506493409299E-3</v>
      </c>
      <c r="D4108" s="141"/>
    </row>
    <row r="4109" spans="1:4" x14ac:dyDescent="0.2">
      <c r="A4109" s="140" t="s">
        <v>7857</v>
      </c>
      <c r="B4109" s="141">
        <v>1.3384506493409299E-3</v>
      </c>
      <c r="D4109" s="141"/>
    </row>
    <row r="4110" spans="1:4" x14ac:dyDescent="0.2">
      <c r="A4110" s="140" t="s">
        <v>7858</v>
      </c>
      <c r="B4110" s="141">
        <v>1.3384506493409299E-3</v>
      </c>
      <c r="D4110" s="141"/>
    </row>
    <row r="4111" spans="1:4" x14ac:dyDescent="0.2">
      <c r="A4111" s="140" t="s">
        <v>7859</v>
      </c>
      <c r="B4111" s="141">
        <v>1.3384506493409299E-3</v>
      </c>
      <c r="D4111" s="141"/>
    </row>
    <row r="4112" spans="1:4" x14ac:dyDescent="0.2">
      <c r="A4112" s="140" t="s">
        <v>4206</v>
      </c>
      <c r="B4112" s="141">
        <v>1.3384506493409299E-3</v>
      </c>
      <c r="D4112" s="141"/>
    </row>
    <row r="4113" spans="1:4" x14ac:dyDescent="0.2">
      <c r="A4113" s="140" t="s">
        <v>7860</v>
      </c>
      <c r="B4113" s="141">
        <v>1.3384506493409299E-3</v>
      </c>
      <c r="D4113" s="141"/>
    </row>
    <row r="4114" spans="1:4" x14ac:dyDescent="0.2">
      <c r="A4114" s="140" t="s">
        <v>4197</v>
      </c>
      <c r="B4114" s="141">
        <v>1.3384506493409299E-3</v>
      </c>
      <c r="D4114" s="141"/>
    </row>
    <row r="4115" spans="1:4" x14ac:dyDescent="0.2">
      <c r="A4115" s="140" t="s">
        <v>7861</v>
      </c>
      <c r="B4115" s="141">
        <v>1.3384506493409299E-3</v>
      </c>
      <c r="D4115" s="141"/>
    </row>
    <row r="4116" spans="1:4" x14ac:dyDescent="0.2">
      <c r="A4116" s="140" t="s">
        <v>7862</v>
      </c>
      <c r="B4116" s="141">
        <v>1.3384506493409299E-3</v>
      </c>
      <c r="D4116" s="141"/>
    </row>
    <row r="4117" spans="1:4" x14ac:dyDescent="0.2">
      <c r="A4117" s="140" t="s">
        <v>7863</v>
      </c>
      <c r="B4117" s="141">
        <v>1.3384506493409299E-3</v>
      </c>
      <c r="D4117" s="141"/>
    </row>
    <row r="4118" spans="1:4" x14ac:dyDescent="0.2">
      <c r="A4118" s="140" t="s">
        <v>3812</v>
      </c>
      <c r="B4118" s="141">
        <v>1.3384506493409299E-3</v>
      </c>
      <c r="D4118" s="141"/>
    </row>
    <row r="4119" spans="1:4" x14ac:dyDescent="0.2">
      <c r="A4119" s="140" t="s">
        <v>3803</v>
      </c>
      <c r="B4119" s="141">
        <v>1.3384506493409299E-3</v>
      </c>
      <c r="D4119" s="141"/>
    </row>
    <row r="4120" spans="1:4" x14ac:dyDescent="0.2">
      <c r="A4120" s="140" t="s">
        <v>7864</v>
      </c>
      <c r="B4120" s="141">
        <v>1.3384506493409299E-3</v>
      </c>
      <c r="D4120" s="141"/>
    </row>
    <row r="4121" spans="1:4" x14ac:dyDescent="0.2">
      <c r="A4121" s="140" t="s">
        <v>7865</v>
      </c>
      <c r="B4121" s="141">
        <v>1.3384506493409299E-3</v>
      </c>
      <c r="D4121" s="141"/>
    </row>
    <row r="4122" spans="1:4" x14ac:dyDescent="0.2">
      <c r="A4122" s="140" t="s">
        <v>830</v>
      </c>
      <c r="B4122" s="141">
        <v>1.3384506493409299E-3</v>
      </c>
      <c r="D4122" s="141"/>
    </row>
    <row r="4123" spans="1:4" x14ac:dyDescent="0.2">
      <c r="A4123" s="140" t="s">
        <v>7866</v>
      </c>
      <c r="B4123" s="141">
        <v>1.3384506493409299E-3</v>
      </c>
      <c r="D4123" s="141"/>
    </row>
    <row r="4124" spans="1:4" x14ac:dyDescent="0.2">
      <c r="A4124" s="140" t="s">
        <v>3540</v>
      </c>
      <c r="B4124" s="141">
        <v>1.3384506493409299E-3</v>
      </c>
      <c r="D4124" s="141"/>
    </row>
    <row r="4125" spans="1:4" x14ac:dyDescent="0.2">
      <c r="A4125" s="140" t="s">
        <v>7867</v>
      </c>
      <c r="B4125" s="141">
        <v>1.3384506493409299E-3</v>
      </c>
      <c r="D4125" s="141"/>
    </row>
    <row r="4126" spans="1:4" x14ac:dyDescent="0.2">
      <c r="A4126" s="140" t="s">
        <v>7868</v>
      </c>
      <c r="B4126" s="141">
        <v>1.3384506493409299E-3</v>
      </c>
      <c r="D4126" s="141"/>
    </row>
    <row r="4127" spans="1:4" x14ac:dyDescent="0.2">
      <c r="A4127" s="140" t="s">
        <v>7869</v>
      </c>
      <c r="B4127" s="141">
        <v>1.3384506493409299E-3</v>
      </c>
      <c r="D4127" s="141"/>
    </row>
    <row r="4128" spans="1:4" x14ac:dyDescent="0.2">
      <c r="A4128" s="140" t="s">
        <v>7870</v>
      </c>
      <c r="B4128" s="141">
        <v>1.3384506493409299E-3</v>
      </c>
      <c r="D4128" s="141"/>
    </row>
    <row r="4129" spans="1:4" x14ac:dyDescent="0.2">
      <c r="A4129" s="140" t="s">
        <v>6181</v>
      </c>
      <c r="B4129" s="141">
        <v>1.3384506493409299E-3</v>
      </c>
      <c r="D4129" s="141"/>
    </row>
    <row r="4130" spans="1:4" x14ac:dyDescent="0.2">
      <c r="A4130" s="140" t="s">
        <v>7871</v>
      </c>
      <c r="B4130" s="141">
        <v>1.3384506493409299E-3</v>
      </c>
      <c r="D4130" s="141"/>
    </row>
    <row r="4131" spans="1:4" x14ac:dyDescent="0.2">
      <c r="A4131" s="140" t="s">
        <v>7872</v>
      </c>
      <c r="B4131" s="141">
        <v>1.3384506493409299E-3</v>
      </c>
      <c r="D4131" s="141"/>
    </row>
    <row r="4132" spans="1:4" x14ac:dyDescent="0.2">
      <c r="A4132" s="140" t="s">
        <v>7873</v>
      </c>
      <c r="B4132" s="141">
        <v>1.3384506493409299E-3</v>
      </c>
      <c r="D4132" s="141"/>
    </row>
    <row r="4133" spans="1:4" x14ac:dyDescent="0.2">
      <c r="A4133" s="140" t="s">
        <v>7874</v>
      </c>
      <c r="B4133" s="141">
        <v>1.3384506493409299E-3</v>
      </c>
      <c r="D4133" s="141"/>
    </row>
    <row r="4134" spans="1:4" x14ac:dyDescent="0.2">
      <c r="A4134" s="140" t="s">
        <v>7875</v>
      </c>
      <c r="B4134" s="141">
        <v>1.3384506493409299E-3</v>
      </c>
      <c r="D4134" s="141"/>
    </row>
    <row r="4135" spans="1:4" x14ac:dyDescent="0.2">
      <c r="A4135" s="140" t="s">
        <v>7876</v>
      </c>
      <c r="B4135" s="141">
        <v>1.3384506493409299E-3</v>
      </c>
      <c r="D4135" s="141"/>
    </row>
    <row r="4136" spans="1:4" x14ac:dyDescent="0.2">
      <c r="A4136" s="140" t="s">
        <v>7877</v>
      </c>
      <c r="B4136" s="141">
        <v>1.3384506493409299E-3</v>
      </c>
      <c r="D4136" s="141"/>
    </row>
    <row r="4137" spans="1:4" x14ac:dyDescent="0.2">
      <c r="A4137" s="140" t="s">
        <v>7878</v>
      </c>
      <c r="B4137" s="141">
        <v>1.3384506493409299E-3</v>
      </c>
      <c r="D4137" s="141"/>
    </row>
    <row r="4138" spans="1:4" x14ac:dyDescent="0.2">
      <c r="A4138" s="140" t="s">
        <v>7879</v>
      </c>
      <c r="B4138" s="141">
        <v>1.3384506493409299E-3</v>
      </c>
      <c r="D4138" s="141"/>
    </row>
    <row r="4139" spans="1:4" x14ac:dyDescent="0.2">
      <c r="A4139" s="140" t="s">
        <v>7880</v>
      </c>
      <c r="B4139" s="141">
        <v>1.3384506493409299E-3</v>
      </c>
      <c r="D4139" s="141"/>
    </row>
    <row r="4140" spans="1:4" x14ac:dyDescent="0.2">
      <c r="A4140" s="140" t="s">
        <v>7881</v>
      </c>
      <c r="B4140" s="141">
        <v>1.3384506493409299E-3</v>
      </c>
      <c r="D4140" s="141"/>
    </row>
    <row r="4141" spans="1:4" x14ac:dyDescent="0.2">
      <c r="A4141" s="140" t="s">
        <v>7882</v>
      </c>
      <c r="B4141" s="141">
        <v>1.3374285853884099E-3</v>
      </c>
      <c r="D4141" s="141"/>
    </row>
    <row r="4142" spans="1:4" x14ac:dyDescent="0.2">
      <c r="A4142" s="140" t="s">
        <v>2323</v>
      </c>
      <c r="B4142" s="141">
        <v>1.3354179757781701E-3</v>
      </c>
      <c r="D4142" s="141"/>
    </row>
    <row r="4143" spans="1:4" x14ac:dyDescent="0.2">
      <c r="A4143" s="140" t="s">
        <v>6210</v>
      </c>
      <c r="B4143" s="141">
        <v>1.3349703052628001E-3</v>
      </c>
      <c r="D4143" s="141"/>
    </row>
    <row r="4144" spans="1:4" x14ac:dyDescent="0.2">
      <c r="A4144" s="140" t="s">
        <v>5568</v>
      </c>
      <c r="B4144" s="141">
        <v>1.3324025795905701E-3</v>
      </c>
      <c r="D4144" s="141"/>
    </row>
    <row r="4145" spans="1:4" x14ac:dyDescent="0.2">
      <c r="A4145" s="140" t="s">
        <v>4144</v>
      </c>
      <c r="B4145" s="141">
        <v>1.33061592439136E-3</v>
      </c>
      <c r="D4145" s="141"/>
    </row>
    <row r="4146" spans="1:4" x14ac:dyDescent="0.2">
      <c r="A4146" s="140" t="s">
        <v>7883</v>
      </c>
      <c r="B4146" s="141">
        <v>1.3281144522026499E-3</v>
      </c>
      <c r="D4146" s="141"/>
    </row>
    <row r="4147" spans="1:4" x14ac:dyDescent="0.2">
      <c r="A4147" s="140" t="s">
        <v>3690</v>
      </c>
      <c r="B4147" s="141">
        <v>1.3281144522026499E-3</v>
      </c>
      <c r="D4147" s="141"/>
    </row>
    <row r="4148" spans="1:4" x14ac:dyDescent="0.2">
      <c r="A4148" s="140" t="s">
        <v>2219</v>
      </c>
      <c r="B4148" s="141">
        <v>1.3274815586498E-3</v>
      </c>
      <c r="D4148" s="141"/>
    </row>
    <row r="4149" spans="1:4" x14ac:dyDescent="0.2">
      <c r="A4149" s="140" t="s">
        <v>530</v>
      </c>
      <c r="B4149" s="141">
        <v>1.32537237033847E-3</v>
      </c>
      <c r="D4149" s="141"/>
    </row>
    <row r="4150" spans="1:4" x14ac:dyDescent="0.2">
      <c r="A4150" s="140" t="s">
        <v>387</v>
      </c>
      <c r="B4150" s="141">
        <v>1.3225591044215999E-3</v>
      </c>
      <c r="D4150" s="141"/>
    </row>
    <row r="4151" spans="1:4" x14ac:dyDescent="0.2">
      <c r="A4151" s="140" t="s">
        <v>1820</v>
      </c>
      <c r="B4151" s="141">
        <v>1.3212844200949101E-3</v>
      </c>
      <c r="D4151" s="141"/>
    </row>
    <row r="4152" spans="1:4" x14ac:dyDescent="0.2">
      <c r="A4152" s="140" t="s">
        <v>4229</v>
      </c>
      <c r="B4152" s="141">
        <v>1.3196885076219901E-3</v>
      </c>
      <c r="D4152" s="141"/>
    </row>
    <row r="4153" spans="1:4" x14ac:dyDescent="0.2">
      <c r="A4153" s="140" t="s">
        <v>7884</v>
      </c>
      <c r="B4153" s="141">
        <v>1.31964731725047E-3</v>
      </c>
      <c r="D4153" s="141"/>
    </row>
    <row r="4154" spans="1:4" x14ac:dyDescent="0.2">
      <c r="A4154" s="140" t="s">
        <v>4283</v>
      </c>
      <c r="B4154" s="141">
        <v>1.31964731725047E-3</v>
      </c>
      <c r="D4154" s="141"/>
    </row>
    <row r="4155" spans="1:4" x14ac:dyDescent="0.2">
      <c r="A4155" s="140" t="s">
        <v>7885</v>
      </c>
      <c r="B4155" s="141">
        <v>1.31915803084255E-3</v>
      </c>
      <c r="D4155" s="141"/>
    </row>
    <row r="4156" spans="1:4" x14ac:dyDescent="0.2">
      <c r="A4156" s="140" t="s">
        <v>3537</v>
      </c>
      <c r="B4156" s="141">
        <v>1.31851207563466E-3</v>
      </c>
      <c r="D4156" s="141"/>
    </row>
    <row r="4157" spans="1:4" x14ac:dyDescent="0.2">
      <c r="A4157" s="140" t="s">
        <v>2107</v>
      </c>
      <c r="B4157" s="141">
        <v>1.31642190800452E-3</v>
      </c>
      <c r="D4157" s="141"/>
    </row>
    <row r="4158" spans="1:4" x14ac:dyDescent="0.2">
      <c r="A4158" s="140" t="s">
        <v>1099</v>
      </c>
      <c r="B4158" s="141">
        <v>1.31578418503897E-3</v>
      </c>
      <c r="D4158" s="141"/>
    </row>
    <row r="4159" spans="1:4" x14ac:dyDescent="0.2">
      <c r="A4159" s="140" t="s">
        <v>973</v>
      </c>
      <c r="B4159" s="141">
        <v>1.31528564565816E-3</v>
      </c>
      <c r="D4159" s="141"/>
    </row>
    <row r="4160" spans="1:4" x14ac:dyDescent="0.2">
      <c r="A4160" s="140" t="s">
        <v>5671</v>
      </c>
      <c r="B4160" s="141">
        <v>1.3148846784987399E-3</v>
      </c>
      <c r="D4160" s="141"/>
    </row>
    <row r="4161" spans="1:4" x14ac:dyDescent="0.2">
      <c r="A4161" s="140" t="s">
        <v>5639</v>
      </c>
      <c r="B4161" s="141">
        <v>1.31458457082921E-3</v>
      </c>
      <c r="D4161" s="141"/>
    </row>
    <row r="4162" spans="1:4" x14ac:dyDescent="0.2">
      <c r="A4162" s="140" t="s">
        <v>2847</v>
      </c>
      <c r="B4162" s="141">
        <v>1.31359178187675E-3</v>
      </c>
      <c r="D4162" s="141"/>
    </row>
    <row r="4163" spans="1:4" x14ac:dyDescent="0.2">
      <c r="A4163" s="140" t="s">
        <v>4043</v>
      </c>
      <c r="B4163" s="141">
        <v>1.3125611862091001E-3</v>
      </c>
      <c r="D4163" s="141"/>
    </row>
    <row r="4164" spans="1:4" x14ac:dyDescent="0.2">
      <c r="A4164" s="140" t="s">
        <v>4046</v>
      </c>
      <c r="B4164" s="141">
        <v>1.31209222838709E-3</v>
      </c>
      <c r="D4164" s="141"/>
    </row>
    <row r="4165" spans="1:4" x14ac:dyDescent="0.2">
      <c r="A4165" s="140" t="s">
        <v>4766</v>
      </c>
      <c r="B4165" s="141">
        <v>1.31123166218164E-3</v>
      </c>
      <c r="D4165" s="141"/>
    </row>
    <row r="4166" spans="1:4" x14ac:dyDescent="0.2">
      <c r="A4166" s="140" t="s">
        <v>4238</v>
      </c>
      <c r="B4166" s="141">
        <v>1.3107550133384599E-3</v>
      </c>
      <c r="D4166" s="141"/>
    </row>
    <row r="4167" spans="1:4" x14ac:dyDescent="0.2">
      <c r="A4167" s="140" t="s">
        <v>7886</v>
      </c>
      <c r="B4167" s="141">
        <v>1.3100553058504999E-3</v>
      </c>
      <c r="D4167" s="141"/>
    </row>
    <row r="4168" spans="1:4" x14ac:dyDescent="0.2">
      <c r="A4168" s="140" t="s">
        <v>5594</v>
      </c>
      <c r="B4168" s="141">
        <v>1.30838890348981E-3</v>
      </c>
      <c r="D4168" s="141"/>
    </row>
    <row r="4169" spans="1:4" x14ac:dyDescent="0.2">
      <c r="A4169" s="140" t="s">
        <v>7887</v>
      </c>
      <c r="B4169" s="141">
        <v>1.3078037367690401E-3</v>
      </c>
      <c r="D4169" s="141"/>
    </row>
    <row r="4170" spans="1:4" x14ac:dyDescent="0.2">
      <c r="A4170" s="140" t="s">
        <v>2791</v>
      </c>
      <c r="B4170" s="141">
        <v>1.3075520558199999E-3</v>
      </c>
      <c r="D4170" s="141"/>
    </row>
    <row r="4171" spans="1:4" x14ac:dyDescent="0.2">
      <c r="A4171" s="140" t="s">
        <v>1076</v>
      </c>
      <c r="B4171" s="141">
        <v>1.30521070067938E-3</v>
      </c>
      <c r="D4171" s="141"/>
    </row>
    <row r="4172" spans="1:4" x14ac:dyDescent="0.2">
      <c r="A4172" s="140" t="s">
        <v>7888</v>
      </c>
      <c r="B4172" s="141">
        <v>1.3020003778096199E-3</v>
      </c>
      <c r="D4172" s="141"/>
    </row>
    <row r="4173" spans="1:4" x14ac:dyDescent="0.2">
      <c r="A4173" s="140" t="s">
        <v>1827</v>
      </c>
      <c r="B4173" s="141">
        <v>1.3013659570869E-3</v>
      </c>
      <c r="D4173" s="141"/>
    </row>
    <row r="4174" spans="1:4" x14ac:dyDescent="0.2">
      <c r="A4174" s="140" t="s">
        <v>7889</v>
      </c>
      <c r="B4174" s="141">
        <v>1.3007953610680799E-3</v>
      </c>
      <c r="D4174" s="141"/>
    </row>
    <row r="4175" spans="1:4" x14ac:dyDescent="0.2">
      <c r="A4175" s="140" t="s">
        <v>4640</v>
      </c>
      <c r="B4175" s="141">
        <v>1.3006961970250901E-3</v>
      </c>
      <c r="D4175" s="141"/>
    </row>
    <row r="4176" spans="1:4" x14ac:dyDescent="0.2">
      <c r="A4176" s="140" t="s">
        <v>7890</v>
      </c>
      <c r="B4176" s="141">
        <v>1.29990607036561E-3</v>
      </c>
      <c r="D4176" s="141"/>
    </row>
    <row r="4177" spans="1:4" x14ac:dyDescent="0.2">
      <c r="A4177" s="140" t="s">
        <v>7891</v>
      </c>
      <c r="B4177" s="141">
        <v>1.2996711846297001E-3</v>
      </c>
      <c r="D4177" s="141"/>
    </row>
    <row r="4178" spans="1:4" x14ac:dyDescent="0.2">
      <c r="A4178" s="140" t="s">
        <v>7892</v>
      </c>
      <c r="B4178" s="141">
        <v>1.2989259968987301E-3</v>
      </c>
      <c r="D4178" s="141"/>
    </row>
    <row r="4179" spans="1:4" x14ac:dyDescent="0.2">
      <c r="A4179" s="140" t="s">
        <v>5959</v>
      </c>
      <c r="B4179" s="141">
        <v>1.2987763046107899E-3</v>
      </c>
      <c r="D4179" s="141"/>
    </row>
    <row r="4180" spans="1:4" x14ac:dyDescent="0.2">
      <c r="A4180" s="140" t="s">
        <v>3091</v>
      </c>
      <c r="B4180" s="141">
        <v>1.2986703856060499E-3</v>
      </c>
      <c r="D4180" s="141"/>
    </row>
    <row r="4181" spans="1:4" x14ac:dyDescent="0.2">
      <c r="A4181" s="140" t="s">
        <v>4456</v>
      </c>
      <c r="B4181" s="141">
        <v>1.2984676721692001E-3</v>
      </c>
      <c r="D4181" s="141"/>
    </row>
    <row r="4182" spans="1:4" x14ac:dyDescent="0.2">
      <c r="A4182" s="140" t="s">
        <v>5909</v>
      </c>
      <c r="B4182" s="141">
        <v>1.29786316922881E-3</v>
      </c>
      <c r="D4182" s="141"/>
    </row>
    <row r="4183" spans="1:4" x14ac:dyDescent="0.2">
      <c r="A4183" s="140" t="s">
        <v>7893</v>
      </c>
      <c r="B4183" s="141">
        <v>1.2958852324173899E-3</v>
      </c>
      <c r="D4183" s="141"/>
    </row>
    <row r="4184" spans="1:4" x14ac:dyDescent="0.2">
      <c r="A4184" s="140" t="s">
        <v>7894</v>
      </c>
      <c r="B4184" s="141">
        <v>1.2958852324173899E-3</v>
      </c>
      <c r="D4184" s="141"/>
    </row>
    <row r="4185" spans="1:4" x14ac:dyDescent="0.2">
      <c r="A4185" s="140" t="s">
        <v>7895</v>
      </c>
      <c r="B4185" s="141">
        <v>1.2958852324173899E-3</v>
      </c>
      <c r="D4185" s="141"/>
    </row>
    <row r="4186" spans="1:4" x14ac:dyDescent="0.2">
      <c r="A4186" s="140" t="s">
        <v>7896</v>
      </c>
      <c r="B4186" s="141">
        <v>1.2958852324173899E-3</v>
      </c>
      <c r="D4186" s="141"/>
    </row>
    <row r="4187" spans="1:4" x14ac:dyDescent="0.2">
      <c r="A4187" s="140" t="s">
        <v>7897</v>
      </c>
      <c r="B4187" s="141">
        <v>1.2958852324173899E-3</v>
      </c>
      <c r="D4187" s="141"/>
    </row>
    <row r="4188" spans="1:4" x14ac:dyDescent="0.2">
      <c r="A4188" s="140" t="s">
        <v>5848</v>
      </c>
      <c r="B4188" s="141">
        <v>1.29382007972091E-3</v>
      </c>
      <c r="D4188" s="141"/>
    </row>
    <row r="4189" spans="1:4" x14ac:dyDescent="0.2">
      <c r="A4189" s="140" t="s">
        <v>5659</v>
      </c>
      <c r="B4189" s="141">
        <v>1.2929842483747199E-3</v>
      </c>
      <c r="D4189" s="141"/>
    </row>
    <row r="4190" spans="1:4" x14ac:dyDescent="0.2">
      <c r="A4190" s="140" t="s">
        <v>6191</v>
      </c>
      <c r="B4190" s="141">
        <v>1.2913407530102401E-3</v>
      </c>
      <c r="D4190" s="141"/>
    </row>
    <row r="4191" spans="1:4" x14ac:dyDescent="0.2">
      <c r="A4191" s="140" t="s">
        <v>7898</v>
      </c>
      <c r="B4191" s="141">
        <v>1.2899330303811499E-3</v>
      </c>
      <c r="D4191" s="141"/>
    </row>
    <row r="4192" spans="1:4" x14ac:dyDescent="0.2">
      <c r="A4192" s="140" t="s">
        <v>7899</v>
      </c>
      <c r="B4192" s="141">
        <v>1.2896715148745801E-3</v>
      </c>
      <c r="D4192" s="141"/>
    </row>
    <row r="4193" spans="1:4" x14ac:dyDescent="0.2">
      <c r="A4193" s="140" t="s">
        <v>4981</v>
      </c>
      <c r="B4193" s="141">
        <v>1.2890968276290399E-3</v>
      </c>
      <c r="D4193" s="141"/>
    </row>
    <row r="4194" spans="1:4" x14ac:dyDescent="0.2">
      <c r="A4194" s="140" t="s">
        <v>1644</v>
      </c>
      <c r="B4194" s="141">
        <v>1.28864012700286E-3</v>
      </c>
      <c r="D4194" s="141"/>
    </row>
    <row r="4195" spans="1:4" x14ac:dyDescent="0.2">
      <c r="A4195" s="140" t="s">
        <v>4757</v>
      </c>
      <c r="B4195" s="141">
        <v>1.28600778304937E-3</v>
      </c>
      <c r="D4195" s="141"/>
    </row>
    <row r="4196" spans="1:4" x14ac:dyDescent="0.2">
      <c r="A4196" s="140" t="s">
        <v>3060</v>
      </c>
      <c r="B4196" s="141">
        <v>1.2844333645066601E-3</v>
      </c>
      <c r="D4196" s="141"/>
    </row>
    <row r="4197" spans="1:4" x14ac:dyDescent="0.2">
      <c r="A4197" s="140" t="s">
        <v>1293</v>
      </c>
      <c r="B4197" s="141">
        <v>1.28390405173207E-3</v>
      </c>
      <c r="D4197" s="141"/>
    </row>
    <row r="4198" spans="1:4" x14ac:dyDescent="0.2">
      <c r="A4198" s="140" t="s">
        <v>5383</v>
      </c>
      <c r="B4198" s="141">
        <v>1.28225564054294E-3</v>
      </c>
      <c r="D4198" s="141"/>
    </row>
    <row r="4199" spans="1:4" x14ac:dyDescent="0.2">
      <c r="A4199" s="140" t="s">
        <v>7900</v>
      </c>
      <c r="B4199" s="141">
        <v>1.28225564054294E-3</v>
      </c>
      <c r="D4199" s="141"/>
    </row>
    <row r="4200" spans="1:4" x14ac:dyDescent="0.2">
      <c r="A4200" s="140" t="s">
        <v>7901</v>
      </c>
      <c r="B4200" s="141">
        <v>1.2809235180779499E-3</v>
      </c>
      <c r="D4200" s="141"/>
    </row>
    <row r="4201" spans="1:4" x14ac:dyDescent="0.2">
      <c r="A4201" s="140" t="s">
        <v>4639</v>
      </c>
      <c r="B4201" s="141">
        <v>1.2793945903029199E-3</v>
      </c>
      <c r="D4201" s="141"/>
    </row>
    <row r="4202" spans="1:4" x14ac:dyDescent="0.2">
      <c r="A4202" s="140" t="s">
        <v>7902</v>
      </c>
      <c r="B4202" s="141">
        <v>1.27571236725453E-3</v>
      </c>
      <c r="D4202" s="141"/>
    </row>
    <row r="4203" spans="1:4" x14ac:dyDescent="0.2">
      <c r="A4203" s="140" t="s">
        <v>3384</v>
      </c>
      <c r="B4203" s="141">
        <v>1.2743376416074E-3</v>
      </c>
      <c r="D4203" s="141"/>
    </row>
    <row r="4204" spans="1:4" x14ac:dyDescent="0.2">
      <c r="A4204" s="140" t="s">
        <v>3609</v>
      </c>
      <c r="B4204" s="141">
        <v>1.2740235947852499E-3</v>
      </c>
      <c r="D4204" s="141"/>
    </row>
    <row r="4205" spans="1:4" x14ac:dyDescent="0.2">
      <c r="A4205" s="140" t="s">
        <v>7903</v>
      </c>
      <c r="B4205" s="141">
        <v>1.27381289746462E-3</v>
      </c>
      <c r="D4205" s="141"/>
    </row>
    <row r="4206" spans="1:4" x14ac:dyDescent="0.2">
      <c r="A4206" s="140" t="s">
        <v>2505</v>
      </c>
      <c r="B4206" s="141">
        <v>1.27283727854525E-3</v>
      </c>
      <c r="D4206" s="141"/>
    </row>
    <row r="4207" spans="1:4" x14ac:dyDescent="0.2">
      <c r="A4207" s="140" t="s">
        <v>464</v>
      </c>
      <c r="B4207" s="141">
        <v>1.2718041758909501E-3</v>
      </c>
      <c r="D4207" s="141"/>
    </row>
    <row r="4208" spans="1:4" x14ac:dyDescent="0.2">
      <c r="A4208" s="140" t="s">
        <v>3435</v>
      </c>
      <c r="B4208" s="141">
        <v>1.27092044890781E-3</v>
      </c>
      <c r="D4208" s="141"/>
    </row>
    <row r="4209" spans="1:4" x14ac:dyDescent="0.2">
      <c r="A4209" s="140" t="s">
        <v>7904</v>
      </c>
      <c r="B4209" s="141">
        <v>1.2699079320062201E-3</v>
      </c>
      <c r="D4209" s="141"/>
    </row>
    <row r="4210" spans="1:4" x14ac:dyDescent="0.2">
      <c r="A4210" s="140" t="s">
        <v>1022</v>
      </c>
      <c r="B4210" s="141">
        <v>1.26901290636941E-3</v>
      </c>
      <c r="D4210" s="141"/>
    </row>
    <row r="4211" spans="1:4" x14ac:dyDescent="0.2">
      <c r="A4211" s="140" t="s">
        <v>2200</v>
      </c>
      <c r="B4211" s="141">
        <v>1.2679303800383699E-3</v>
      </c>
      <c r="D4211" s="141"/>
    </row>
    <row r="4212" spans="1:4" x14ac:dyDescent="0.2">
      <c r="A4212" s="140" t="s">
        <v>5786</v>
      </c>
      <c r="B4212" s="141">
        <v>1.2674099751469299E-3</v>
      </c>
      <c r="D4212" s="141"/>
    </row>
    <row r="4213" spans="1:4" x14ac:dyDescent="0.2">
      <c r="A4213" s="140" t="s">
        <v>7905</v>
      </c>
      <c r="B4213" s="141">
        <v>1.2671884117591999E-3</v>
      </c>
      <c r="D4213" s="141"/>
    </row>
    <row r="4214" spans="1:4" x14ac:dyDescent="0.2">
      <c r="A4214" s="140" t="s">
        <v>5301</v>
      </c>
      <c r="B4214" s="141">
        <v>1.26680039493074E-3</v>
      </c>
      <c r="D4214" s="141"/>
    </row>
    <row r="4215" spans="1:4" x14ac:dyDescent="0.2">
      <c r="A4215" s="140" t="s">
        <v>2659</v>
      </c>
      <c r="B4215" s="141">
        <v>1.2667681043158499E-3</v>
      </c>
      <c r="D4215" s="141"/>
    </row>
    <row r="4216" spans="1:4" x14ac:dyDescent="0.2">
      <c r="A4216" s="140" t="s">
        <v>7906</v>
      </c>
      <c r="B4216" s="141">
        <v>1.2664685367497299E-3</v>
      </c>
      <c r="D4216" s="141"/>
    </row>
    <row r="4217" spans="1:4" x14ac:dyDescent="0.2">
      <c r="A4217" s="140" t="s">
        <v>7907</v>
      </c>
      <c r="B4217" s="141">
        <v>1.26496324701553E-3</v>
      </c>
      <c r="D4217" s="141"/>
    </row>
    <row r="4218" spans="1:4" x14ac:dyDescent="0.2">
      <c r="A4218" s="140" t="s">
        <v>4683</v>
      </c>
      <c r="B4218" s="141">
        <v>1.26489679081739E-3</v>
      </c>
      <c r="D4218" s="141"/>
    </row>
    <row r="4219" spans="1:4" x14ac:dyDescent="0.2">
      <c r="A4219" s="140" t="s">
        <v>1941</v>
      </c>
      <c r="B4219" s="141">
        <v>1.2610475943055301E-3</v>
      </c>
      <c r="D4219" s="141"/>
    </row>
    <row r="4220" spans="1:4" x14ac:dyDescent="0.2">
      <c r="A4220" s="140" t="s">
        <v>5567</v>
      </c>
      <c r="B4220" s="141">
        <v>1.2610302134702801E-3</v>
      </c>
      <c r="D4220" s="141"/>
    </row>
    <row r="4221" spans="1:4" x14ac:dyDescent="0.2">
      <c r="A4221" s="140" t="s">
        <v>7908</v>
      </c>
      <c r="B4221" s="141">
        <v>1.2598760510880501E-3</v>
      </c>
      <c r="D4221" s="141"/>
    </row>
    <row r="4222" spans="1:4" x14ac:dyDescent="0.2">
      <c r="A4222" s="140" t="s">
        <v>2592</v>
      </c>
      <c r="B4222" s="141">
        <v>1.2587585242819499E-3</v>
      </c>
      <c r="D4222" s="141"/>
    </row>
    <row r="4223" spans="1:4" x14ac:dyDescent="0.2">
      <c r="A4223" s="140" t="s">
        <v>1970</v>
      </c>
      <c r="B4223" s="141">
        <v>1.25736303786218E-3</v>
      </c>
      <c r="D4223" s="141"/>
    </row>
    <row r="4224" spans="1:4" x14ac:dyDescent="0.2">
      <c r="A4224" s="140" t="s">
        <v>1766</v>
      </c>
      <c r="B4224" s="141">
        <v>1.25730182798968E-3</v>
      </c>
      <c r="D4224" s="141"/>
    </row>
    <row r="4225" spans="1:4" x14ac:dyDescent="0.2">
      <c r="A4225" s="140" t="s">
        <v>7909</v>
      </c>
      <c r="B4225" s="141">
        <v>1.25527508784057E-3</v>
      </c>
      <c r="D4225" s="141"/>
    </row>
    <row r="4226" spans="1:4" x14ac:dyDescent="0.2">
      <c r="A4226" s="140" t="s">
        <v>4732</v>
      </c>
      <c r="B4226" s="141">
        <v>1.25312412449218E-3</v>
      </c>
      <c r="D4226" s="141"/>
    </row>
    <row r="4227" spans="1:4" x14ac:dyDescent="0.2">
      <c r="A4227" s="140" t="s">
        <v>1553</v>
      </c>
      <c r="B4227" s="141">
        <v>1.25046518207394E-3</v>
      </c>
      <c r="D4227" s="141"/>
    </row>
    <row r="4228" spans="1:4" x14ac:dyDescent="0.2">
      <c r="A4228" s="140" t="s">
        <v>3055</v>
      </c>
      <c r="B4228" s="141">
        <v>1.25029479871339E-3</v>
      </c>
      <c r="D4228" s="141"/>
    </row>
    <row r="4229" spans="1:4" x14ac:dyDescent="0.2">
      <c r="A4229" s="140" t="s">
        <v>5459</v>
      </c>
      <c r="B4229" s="141">
        <v>1.2502681370206599E-3</v>
      </c>
      <c r="D4229" s="141"/>
    </row>
    <row r="4230" spans="1:4" x14ac:dyDescent="0.2">
      <c r="A4230" s="140" t="s">
        <v>2824</v>
      </c>
      <c r="B4230" s="141">
        <v>1.2495728783600401E-3</v>
      </c>
      <c r="D4230" s="141"/>
    </row>
    <row r="4231" spans="1:4" x14ac:dyDescent="0.2">
      <c r="A4231" s="140" t="s">
        <v>7910</v>
      </c>
      <c r="B4231" s="141">
        <v>1.2465604256274999E-3</v>
      </c>
      <c r="D4231" s="141"/>
    </row>
    <row r="4232" spans="1:4" x14ac:dyDescent="0.2">
      <c r="A4232" s="140" t="s">
        <v>3629</v>
      </c>
      <c r="B4232" s="141">
        <v>1.2443752705545499E-3</v>
      </c>
      <c r="D4232" s="141"/>
    </row>
    <row r="4233" spans="1:4" x14ac:dyDescent="0.2">
      <c r="A4233" s="140" t="s">
        <v>4303</v>
      </c>
      <c r="B4233" s="141">
        <v>1.2435708361602201E-3</v>
      </c>
      <c r="D4233" s="141"/>
    </row>
    <row r="4234" spans="1:4" x14ac:dyDescent="0.2">
      <c r="A4234" s="140" t="s">
        <v>6122</v>
      </c>
      <c r="B4234" s="141">
        <v>1.2390419402250801E-3</v>
      </c>
      <c r="D4234" s="141"/>
    </row>
    <row r="4235" spans="1:4" x14ac:dyDescent="0.2">
      <c r="A4235" s="140" t="s">
        <v>4265</v>
      </c>
      <c r="B4235" s="141">
        <v>1.23575227933985E-3</v>
      </c>
      <c r="D4235" s="141"/>
    </row>
    <row r="4236" spans="1:4" x14ac:dyDescent="0.2">
      <c r="A4236" s="140" t="s">
        <v>3301</v>
      </c>
      <c r="B4236" s="141">
        <v>1.2356037612056101E-3</v>
      </c>
      <c r="D4236" s="141"/>
    </row>
    <row r="4237" spans="1:4" x14ac:dyDescent="0.2">
      <c r="A4237" s="140" t="s">
        <v>7911</v>
      </c>
      <c r="B4237" s="141">
        <v>1.2340360296410799E-3</v>
      </c>
      <c r="D4237" s="141"/>
    </row>
    <row r="4238" spans="1:4" x14ac:dyDescent="0.2">
      <c r="A4238" s="140" t="s">
        <v>5529</v>
      </c>
      <c r="B4238" s="141">
        <v>1.23366855624251E-3</v>
      </c>
      <c r="D4238" s="141"/>
    </row>
    <row r="4239" spans="1:4" x14ac:dyDescent="0.2">
      <c r="A4239" s="140" t="s">
        <v>7912</v>
      </c>
      <c r="B4239" s="141">
        <v>1.2330034101284901E-3</v>
      </c>
      <c r="D4239" s="141"/>
    </row>
    <row r="4240" spans="1:4" x14ac:dyDescent="0.2">
      <c r="A4240" s="140" t="s">
        <v>5238</v>
      </c>
      <c r="B4240" s="141">
        <v>1.23274388735362E-3</v>
      </c>
      <c r="D4240" s="141"/>
    </row>
    <row r="4241" spans="1:4" x14ac:dyDescent="0.2">
      <c r="A4241" s="140" t="s">
        <v>7913</v>
      </c>
      <c r="B4241" s="141">
        <v>1.23148345806713E-3</v>
      </c>
      <c r="D4241" s="141"/>
    </row>
    <row r="4242" spans="1:4" x14ac:dyDescent="0.2">
      <c r="A4242" s="140" t="s">
        <v>7914</v>
      </c>
      <c r="B4242" s="141">
        <v>1.2309423074159901E-3</v>
      </c>
      <c r="D4242" s="141"/>
    </row>
    <row r="4243" spans="1:4" x14ac:dyDescent="0.2">
      <c r="A4243" s="140" t="s">
        <v>7915</v>
      </c>
      <c r="B4243" s="141">
        <v>1.22925901560835E-3</v>
      </c>
      <c r="D4243" s="141"/>
    </row>
    <row r="4244" spans="1:4" x14ac:dyDescent="0.2">
      <c r="A4244" s="140" t="s">
        <v>2964</v>
      </c>
      <c r="B4244" s="141">
        <v>1.22900556732567E-3</v>
      </c>
      <c r="D4244" s="141"/>
    </row>
    <row r="4245" spans="1:4" x14ac:dyDescent="0.2">
      <c r="A4245" s="140" t="s">
        <v>5406</v>
      </c>
      <c r="B4245" s="141">
        <v>1.2274212766314001E-3</v>
      </c>
      <c r="D4245" s="141"/>
    </row>
    <row r="4246" spans="1:4" x14ac:dyDescent="0.2">
      <c r="A4246" s="140" t="s">
        <v>1208</v>
      </c>
      <c r="B4246" s="141">
        <v>1.2271441005121001E-3</v>
      </c>
      <c r="D4246" s="141"/>
    </row>
    <row r="4247" spans="1:4" x14ac:dyDescent="0.2">
      <c r="A4247" s="140" t="s">
        <v>2543</v>
      </c>
      <c r="B4247" s="141">
        <v>1.2244042475314601E-3</v>
      </c>
      <c r="D4247" s="141"/>
    </row>
    <row r="4248" spans="1:4" x14ac:dyDescent="0.2">
      <c r="A4248" s="140" t="s">
        <v>7916</v>
      </c>
      <c r="B4248" s="141">
        <v>1.221109294263E-3</v>
      </c>
      <c r="D4248" s="141"/>
    </row>
    <row r="4249" spans="1:4" x14ac:dyDescent="0.2">
      <c r="A4249" s="140" t="s">
        <v>7917</v>
      </c>
      <c r="B4249" s="141">
        <v>1.2205430919604401E-3</v>
      </c>
      <c r="D4249" s="141"/>
    </row>
    <row r="4250" spans="1:4" x14ac:dyDescent="0.2">
      <c r="A4250" s="140" t="s">
        <v>7918</v>
      </c>
      <c r="B4250" s="141">
        <v>1.2203755540828799E-3</v>
      </c>
      <c r="D4250" s="141"/>
    </row>
    <row r="4251" spans="1:4" x14ac:dyDescent="0.2">
      <c r="A4251" s="140" t="s">
        <v>2237</v>
      </c>
      <c r="B4251" s="141">
        <v>1.2177716706762E-3</v>
      </c>
      <c r="D4251" s="141"/>
    </row>
    <row r="4252" spans="1:4" x14ac:dyDescent="0.2">
      <c r="A4252" s="140" t="s">
        <v>5096</v>
      </c>
      <c r="B4252" s="141">
        <v>1.2177716706762E-3</v>
      </c>
      <c r="D4252" s="141"/>
    </row>
    <row r="4253" spans="1:4" x14ac:dyDescent="0.2">
      <c r="A4253" s="140" t="s">
        <v>5347</v>
      </c>
      <c r="B4253" s="141">
        <v>1.21647497652334E-3</v>
      </c>
      <c r="D4253" s="141"/>
    </row>
    <row r="4254" spans="1:4" x14ac:dyDescent="0.2">
      <c r="A4254" s="140" t="s">
        <v>4083</v>
      </c>
      <c r="B4254" s="141">
        <v>1.21647497652334E-3</v>
      </c>
      <c r="D4254" s="141"/>
    </row>
    <row r="4255" spans="1:4" x14ac:dyDescent="0.2">
      <c r="A4255" s="140" t="s">
        <v>2507</v>
      </c>
      <c r="B4255" s="141">
        <v>1.2163246461969E-3</v>
      </c>
      <c r="D4255" s="141"/>
    </row>
    <row r="4256" spans="1:4" x14ac:dyDescent="0.2">
      <c r="A4256" s="140" t="s">
        <v>4034</v>
      </c>
      <c r="B4256" s="141">
        <v>1.2162388585432199E-3</v>
      </c>
      <c r="D4256" s="141"/>
    </row>
    <row r="4257" spans="1:4" x14ac:dyDescent="0.2">
      <c r="A4257" s="140" t="s">
        <v>1033</v>
      </c>
      <c r="B4257" s="141">
        <v>1.2156650004501899E-3</v>
      </c>
      <c r="D4257" s="141"/>
    </row>
    <row r="4258" spans="1:4" x14ac:dyDescent="0.2">
      <c r="A4258" s="140" t="s">
        <v>1484</v>
      </c>
      <c r="B4258" s="141">
        <v>1.2142659153216401E-3</v>
      </c>
      <c r="D4258" s="141"/>
    </row>
    <row r="4259" spans="1:4" x14ac:dyDescent="0.2">
      <c r="A4259" s="140" t="s">
        <v>4313</v>
      </c>
      <c r="B4259" s="141">
        <v>1.2136219351377301E-3</v>
      </c>
      <c r="D4259" s="141"/>
    </row>
    <row r="4260" spans="1:4" x14ac:dyDescent="0.2">
      <c r="A4260" s="140" t="s">
        <v>3291</v>
      </c>
      <c r="B4260" s="141">
        <v>1.21325226674668E-3</v>
      </c>
      <c r="D4260" s="141"/>
    </row>
    <row r="4261" spans="1:4" x14ac:dyDescent="0.2">
      <c r="A4261" s="140" t="s">
        <v>5310</v>
      </c>
      <c r="B4261" s="141">
        <v>1.2115518022270801E-3</v>
      </c>
      <c r="D4261" s="141"/>
    </row>
    <row r="4262" spans="1:4" x14ac:dyDescent="0.2">
      <c r="A4262" s="140" t="s">
        <v>2524</v>
      </c>
      <c r="B4262" s="141">
        <v>1.21152835414547E-3</v>
      </c>
      <c r="D4262" s="141"/>
    </row>
    <row r="4263" spans="1:4" x14ac:dyDescent="0.2">
      <c r="A4263" s="140" t="s">
        <v>4254</v>
      </c>
      <c r="B4263" s="141">
        <v>1.2104149342734101E-3</v>
      </c>
      <c r="D4263" s="141"/>
    </row>
    <row r="4264" spans="1:4" x14ac:dyDescent="0.2">
      <c r="A4264" s="140" t="s">
        <v>7919</v>
      </c>
      <c r="B4264" s="141">
        <v>1.2079973416012099E-3</v>
      </c>
      <c r="D4264" s="141"/>
    </row>
    <row r="4265" spans="1:4" x14ac:dyDescent="0.2">
      <c r="A4265" s="140" t="s">
        <v>7920</v>
      </c>
      <c r="B4265" s="141">
        <v>1.2076413253044799E-3</v>
      </c>
      <c r="D4265" s="141"/>
    </row>
    <row r="4266" spans="1:4" x14ac:dyDescent="0.2">
      <c r="A4266" s="140" t="s">
        <v>5728</v>
      </c>
      <c r="B4266" s="141">
        <v>1.20742624565483E-3</v>
      </c>
      <c r="D4266" s="141"/>
    </row>
    <row r="4267" spans="1:4" x14ac:dyDescent="0.2">
      <c r="A4267" s="140" t="s">
        <v>3494</v>
      </c>
      <c r="B4267" s="141">
        <v>1.20374055403637E-3</v>
      </c>
      <c r="D4267" s="141"/>
    </row>
    <row r="4268" spans="1:4" x14ac:dyDescent="0.2">
      <c r="A4268" s="140" t="s">
        <v>2061</v>
      </c>
      <c r="B4268" s="141">
        <v>1.20238126614616E-3</v>
      </c>
      <c r="D4268" s="141"/>
    </row>
    <row r="4269" spans="1:4" x14ac:dyDescent="0.2">
      <c r="A4269" s="140" t="s">
        <v>1263</v>
      </c>
      <c r="B4269" s="141">
        <v>1.20191380873343E-3</v>
      </c>
      <c r="D4269" s="141"/>
    </row>
    <row r="4270" spans="1:4" x14ac:dyDescent="0.2">
      <c r="A4270" s="140" t="s">
        <v>7921</v>
      </c>
      <c r="B4270" s="141">
        <v>1.20183066642041E-3</v>
      </c>
      <c r="D4270" s="141"/>
    </row>
    <row r="4271" spans="1:4" x14ac:dyDescent="0.2">
      <c r="A4271" s="140" t="s">
        <v>7922</v>
      </c>
      <c r="B4271" s="141">
        <v>1.20183066642041E-3</v>
      </c>
      <c r="D4271" s="141"/>
    </row>
    <row r="4272" spans="1:4" x14ac:dyDescent="0.2">
      <c r="A4272" s="140" t="s">
        <v>7923</v>
      </c>
      <c r="B4272" s="141">
        <v>1.20183066642041E-3</v>
      </c>
      <c r="D4272" s="141"/>
    </row>
    <row r="4273" spans="1:4" x14ac:dyDescent="0.2">
      <c r="A4273" s="140" t="s">
        <v>5919</v>
      </c>
      <c r="B4273" s="141">
        <v>1.2013321213198199E-3</v>
      </c>
      <c r="D4273" s="141"/>
    </row>
    <row r="4274" spans="1:4" x14ac:dyDescent="0.2">
      <c r="A4274" s="140" t="s">
        <v>3029</v>
      </c>
      <c r="B4274" s="141">
        <v>1.20120083828882E-3</v>
      </c>
      <c r="D4274" s="141"/>
    </row>
    <row r="4275" spans="1:4" x14ac:dyDescent="0.2">
      <c r="A4275" s="140" t="s">
        <v>367</v>
      </c>
      <c r="B4275" s="141">
        <v>1.2011264413706701E-3</v>
      </c>
      <c r="D4275" s="141"/>
    </row>
    <row r="4276" spans="1:4" x14ac:dyDescent="0.2">
      <c r="A4276" s="140" t="s">
        <v>7924</v>
      </c>
      <c r="B4276" s="141">
        <v>1.19644466932476E-3</v>
      </c>
      <c r="D4276" s="141"/>
    </row>
    <row r="4277" spans="1:4" x14ac:dyDescent="0.2">
      <c r="A4277" s="140" t="s">
        <v>5083</v>
      </c>
      <c r="B4277" s="141">
        <v>1.1917069771506599E-3</v>
      </c>
      <c r="D4277" s="141"/>
    </row>
    <row r="4278" spans="1:4" x14ac:dyDescent="0.2">
      <c r="A4278" s="140" t="s">
        <v>1122</v>
      </c>
      <c r="B4278" s="141">
        <v>1.19131814726608E-3</v>
      </c>
      <c r="D4278" s="141"/>
    </row>
    <row r="4279" spans="1:4" x14ac:dyDescent="0.2">
      <c r="A4279" s="140" t="s">
        <v>2284</v>
      </c>
      <c r="B4279" s="141">
        <v>1.1900149211187499E-3</v>
      </c>
      <c r="D4279" s="141"/>
    </row>
    <row r="4280" spans="1:4" x14ac:dyDescent="0.2">
      <c r="A4280" s="140" t="s">
        <v>1002</v>
      </c>
      <c r="B4280" s="141">
        <v>1.18798675769556E-3</v>
      </c>
      <c r="D4280" s="141"/>
    </row>
    <row r="4281" spans="1:4" x14ac:dyDescent="0.2">
      <c r="A4281" s="140" t="s">
        <v>1320</v>
      </c>
      <c r="B4281" s="141">
        <v>1.1870627464314299E-3</v>
      </c>
      <c r="D4281" s="141"/>
    </row>
    <row r="4282" spans="1:4" x14ac:dyDescent="0.2">
      <c r="A4282" s="140" t="s">
        <v>4207</v>
      </c>
      <c r="B4282" s="141">
        <v>1.18677850840735E-3</v>
      </c>
      <c r="D4282" s="141"/>
    </row>
    <row r="4283" spans="1:4" x14ac:dyDescent="0.2">
      <c r="A4283" s="140" t="s">
        <v>5662</v>
      </c>
      <c r="B4283" s="141">
        <v>1.1855489264275801E-3</v>
      </c>
      <c r="D4283" s="141"/>
    </row>
    <row r="4284" spans="1:4" x14ac:dyDescent="0.2">
      <c r="A4284" s="140" t="s">
        <v>5649</v>
      </c>
      <c r="B4284" s="141">
        <v>1.1851439321134501E-3</v>
      </c>
      <c r="D4284" s="141"/>
    </row>
    <row r="4285" spans="1:4" x14ac:dyDescent="0.2">
      <c r="A4285" s="140" t="s">
        <v>5732</v>
      </c>
      <c r="B4285" s="141">
        <v>1.1848903947759501E-3</v>
      </c>
      <c r="D4285" s="141"/>
    </row>
    <row r="4286" spans="1:4" x14ac:dyDescent="0.2">
      <c r="A4286" s="140" t="s">
        <v>3119</v>
      </c>
      <c r="B4286" s="141">
        <v>1.18462119635722E-3</v>
      </c>
      <c r="D4286" s="141"/>
    </row>
    <row r="4287" spans="1:4" x14ac:dyDescent="0.2">
      <c r="A4287" s="140" t="s">
        <v>3409</v>
      </c>
      <c r="B4287" s="141">
        <v>1.1841127023653299E-3</v>
      </c>
      <c r="D4287" s="141"/>
    </row>
    <row r="4288" spans="1:4" x14ac:dyDescent="0.2">
      <c r="A4288" s="140" t="s">
        <v>6098</v>
      </c>
      <c r="B4288" s="141">
        <v>1.1839405252147099E-3</v>
      </c>
      <c r="D4288" s="141"/>
    </row>
    <row r="4289" spans="1:4" x14ac:dyDescent="0.2">
      <c r="A4289" s="140" t="s">
        <v>5750</v>
      </c>
      <c r="B4289" s="141">
        <v>1.18303437269782E-3</v>
      </c>
      <c r="D4289" s="141"/>
    </row>
    <row r="4290" spans="1:4" x14ac:dyDescent="0.2">
      <c r="A4290" s="140" t="s">
        <v>3485</v>
      </c>
      <c r="B4290" s="141">
        <v>1.1827221720612799E-3</v>
      </c>
      <c r="D4290" s="141"/>
    </row>
    <row r="4291" spans="1:4" x14ac:dyDescent="0.2">
      <c r="A4291" s="140" t="s">
        <v>6149</v>
      </c>
      <c r="B4291" s="141">
        <v>1.1824653924276201E-3</v>
      </c>
      <c r="D4291" s="141"/>
    </row>
    <row r="4292" spans="1:4" x14ac:dyDescent="0.2">
      <c r="A4292" s="140" t="s">
        <v>3926</v>
      </c>
      <c r="B4292" s="141">
        <v>1.18222599948905E-3</v>
      </c>
      <c r="D4292" s="141"/>
    </row>
    <row r="4293" spans="1:4" x14ac:dyDescent="0.2">
      <c r="A4293" s="140" t="s">
        <v>4036</v>
      </c>
      <c r="B4293" s="141">
        <v>1.18168807492046E-3</v>
      </c>
      <c r="D4293" s="141"/>
    </row>
    <row r="4294" spans="1:4" x14ac:dyDescent="0.2">
      <c r="A4294" s="140" t="s">
        <v>7925</v>
      </c>
      <c r="B4294" s="141">
        <v>1.18023437438526E-3</v>
      </c>
      <c r="D4294" s="141"/>
    </row>
    <row r="4295" spans="1:4" x14ac:dyDescent="0.2">
      <c r="A4295" s="140" t="s">
        <v>1660</v>
      </c>
      <c r="B4295" s="141">
        <v>1.1780309094812701E-3</v>
      </c>
      <c r="D4295" s="141"/>
    </row>
    <row r="4296" spans="1:4" x14ac:dyDescent="0.2">
      <c r="A4296" s="140" t="s">
        <v>7926</v>
      </c>
      <c r="B4296" s="141">
        <v>1.1775381083701101E-3</v>
      </c>
      <c r="D4296" s="141"/>
    </row>
    <row r="4297" spans="1:4" x14ac:dyDescent="0.2">
      <c r="A4297" s="140" t="s">
        <v>7927</v>
      </c>
      <c r="B4297" s="141">
        <v>1.1775061924368801E-3</v>
      </c>
      <c r="D4297" s="141"/>
    </row>
    <row r="4298" spans="1:4" x14ac:dyDescent="0.2">
      <c r="A4298" s="140" t="s">
        <v>7928</v>
      </c>
      <c r="B4298" s="141">
        <v>1.1766609638707601E-3</v>
      </c>
      <c r="D4298" s="141"/>
    </row>
    <row r="4299" spans="1:4" x14ac:dyDescent="0.2">
      <c r="A4299" s="140" t="s">
        <v>7929</v>
      </c>
      <c r="B4299" s="141">
        <v>1.1766609638707601E-3</v>
      </c>
      <c r="D4299" s="141"/>
    </row>
    <row r="4300" spans="1:4" x14ac:dyDescent="0.2">
      <c r="A4300" s="140" t="s">
        <v>7930</v>
      </c>
      <c r="B4300" s="141">
        <v>1.1766609638707601E-3</v>
      </c>
      <c r="D4300" s="141"/>
    </row>
    <row r="4301" spans="1:4" x14ac:dyDescent="0.2">
      <c r="A4301" s="140" t="s">
        <v>7931</v>
      </c>
      <c r="B4301" s="141">
        <v>1.1766609638707601E-3</v>
      </c>
      <c r="D4301" s="141"/>
    </row>
    <row r="4302" spans="1:4" x14ac:dyDescent="0.2">
      <c r="A4302" s="140" t="s">
        <v>7932</v>
      </c>
      <c r="B4302" s="141">
        <v>1.1766609638707601E-3</v>
      </c>
      <c r="D4302" s="141"/>
    </row>
    <row r="4303" spans="1:4" x14ac:dyDescent="0.2">
      <c r="A4303" s="140" t="s">
        <v>805</v>
      </c>
      <c r="B4303" s="141">
        <v>1.17464309202148E-3</v>
      </c>
      <c r="D4303" s="141"/>
    </row>
    <row r="4304" spans="1:4" x14ac:dyDescent="0.2">
      <c r="A4304" s="140" t="s">
        <v>4739</v>
      </c>
      <c r="B4304" s="141">
        <v>1.1746009194531001E-3</v>
      </c>
      <c r="D4304" s="141"/>
    </row>
    <row r="4305" spans="1:4" x14ac:dyDescent="0.2">
      <c r="A4305" s="140" t="s">
        <v>3973</v>
      </c>
      <c r="B4305" s="141">
        <v>1.1744517139142599E-3</v>
      </c>
      <c r="D4305" s="141"/>
    </row>
    <row r="4306" spans="1:4" x14ac:dyDescent="0.2">
      <c r="A4306" s="140" t="s">
        <v>7933</v>
      </c>
      <c r="B4306" s="141">
        <v>1.17337511551623E-3</v>
      </c>
      <c r="D4306" s="141"/>
    </row>
    <row r="4307" spans="1:4" x14ac:dyDescent="0.2">
      <c r="A4307" s="140" t="s">
        <v>7934</v>
      </c>
      <c r="B4307" s="141">
        <v>1.1732859325269799E-3</v>
      </c>
      <c r="D4307" s="141"/>
    </row>
    <row r="4308" spans="1:4" x14ac:dyDescent="0.2">
      <c r="A4308" s="140" t="s">
        <v>2168</v>
      </c>
      <c r="B4308" s="141">
        <v>1.1727589155141099E-3</v>
      </c>
      <c r="D4308" s="141"/>
    </row>
    <row r="4309" spans="1:4" x14ac:dyDescent="0.2">
      <c r="A4309" s="140" t="s">
        <v>2789</v>
      </c>
      <c r="B4309" s="141">
        <v>1.17006762560807E-3</v>
      </c>
      <c r="D4309" s="141"/>
    </row>
    <row r="4310" spans="1:4" x14ac:dyDescent="0.2">
      <c r="A4310" s="140" t="s">
        <v>2459</v>
      </c>
      <c r="B4310" s="141">
        <v>1.16997125876216E-3</v>
      </c>
      <c r="D4310" s="141"/>
    </row>
    <row r="4311" spans="1:4" x14ac:dyDescent="0.2">
      <c r="A4311" s="140" t="s">
        <v>1614</v>
      </c>
      <c r="B4311" s="141">
        <v>1.1695277717860999E-3</v>
      </c>
      <c r="D4311" s="141"/>
    </row>
    <row r="4312" spans="1:4" x14ac:dyDescent="0.2">
      <c r="A4312" s="140" t="s">
        <v>7935</v>
      </c>
      <c r="B4312" s="141">
        <v>1.16825077231044E-3</v>
      </c>
      <c r="D4312" s="141"/>
    </row>
    <row r="4313" spans="1:4" x14ac:dyDescent="0.2">
      <c r="A4313" s="140" t="s">
        <v>3884</v>
      </c>
      <c r="B4313" s="141">
        <v>1.1673084323675299E-3</v>
      </c>
      <c r="D4313" s="141"/>
    </row>
    <row r="4314" spans="1:4" x14ac:dyDescent="0.2">
      <c r="A4314" s="140" t="s">
        <v>1598</v>
      </c>
      <c r="B4314" s="141">
        <v>1.1644431456131199E-3</v>
      </c>
      <c r="D4314" s="141"/>
    </row>
    <row r="4315" spans="1:4" x14ac:dyDescent="0.2">
      <c r="A4315" s="140" t="s">
        <v>1966</v>
      </c>
      <c r="B4315" s="141">
        <v>1.1629475619221799E-3</v>
      </c>
      <c r="D4315" s="141"/>
    </row>
    <row r="4316" spans="1:4" x14ac:dyDescent="0.2">
      <c r="A4316" s="140" t="s">
        <v>7936</v>
      </c>
      <c r="B4316" s="141">
        <v>1.16239668661016E-3</v>
      </c>
      <c r="D4316" s="141"/>
    </row>
    <row r="4317" spans="1:4" x14ac:dyDescent="0.2">
      <c r="A4317" s="140" t="s">
        <v>3624</v>
      </c>
      <c r="B4317" s="141">
        <v>1.1621574907297E-3</v>
      </c>
      <c r="D4317" s="141"/>
    </row>
    <row r="4318" spans="1:4" x14ac:dyDescent="0.2">
      <c r="A4318" s="140" t="s">
        <v>2070</v>
      </c>
      <c r="B4318" s="141">
        <v>1.1619937187691499E-3</v>
      </c>
      <c r="D4318" s="141"/>
    </row>
    <row r="4319" spans="1:4" x14ac:dyDescent="0.2">
      <c r="A4319" s="140" t="s">
        <v>3102</v>
      </c>
      <c r="B4319" s="141">
        <v>1.1612802841708E-3</v>
      </c>
      <c r="D4319" s="141"/>
    </row>
    <row r="4320" spans="1:4" x14ac:dyDescent="0.2">
      <c r="A4320" s="140" t="s">
        <v>4543</v>
      </c>
      <c r="B4320" s="141">
        <v>1.1612766434229099E-3</v>
      </c>
      <c r="D4320" s="141"/>
    </row>
    <row r="4321" spans="1:4" x14ac:dyDescent="0.2">
      <c r="A4321" s="140" t="s">
        <v>411</v>
      </c>
      <c r="B4321" s="141">
        <v>1.1606967550874499E-3</v>
      </c>
      <c r="D4321" s="141"/>
    </row>
    <row r="4322" spans="1:4" x14ac:dyDescent="0.2">
      <c r="A4322" s="140" t="s">
        <v>3490</v>
      </c>
      <c r="B4322" s="141">
        <v>1.1597733788866701E-3</v>
      </c>
      <c r="D4322" s="141"/>
    </row>
    <row r="4323" spans="1:4" x14ac:dyDescent="0.2">
      <c r="A4323" s="140" t="s">
        <v>7937</v>
      </c>
      <c r="B4323" s="141">
        <v>1.15883121512344E-3</v>
      </c>
      <c r="D4323" s="141"/>
    </row>
    <row r="4324" spans="1:4" x14ac:dyDescent="0.2">
      <c r="A4324" s="140" t="s">
        <v>4378</v>
      </c>
      <c r="B4324" s="141">
        <v>1.1586506970357501E-3</v>
      </c>
      <c r="D4324" s="141"/>
    </row>
    <row r="4325" spans="1:4" x14ac:dyDescent="0.2">
      <c r="A4325" s="140" t="s">
        <v>7938</v>
      </c>
      <c r="B4325" s="141">
        <v>1.1562739612420601E-3</v>
      </c>
      <c r="D4325" s="141"/>
    </row>
    <row r="4326" spans="1:4" x14ac:dyDescent="0.2">
      <c r="A4326" s="140" t="s">
        <v>1743</v>
      </c>
      <c r="B4326" s="141">
        <v>1.1552864231184699E-3</v>
      </c>
      <c r="D4326" s="141"/>
    </row>
    <row r="4327" spans="1:4" x14ac:dyDescent="0.2">
      <c r="A4327" s="140" t="s">
        <v>5657</v>
      </c>
      <c r="B4327" s="141">
        <v>1.1530022057344299E-3</v>
      </c>
      <c r="D4327" s="141"/>
    </row>
    <row r="4328" spans="1:4" x14ac:dyDescent="0.2">
      <c r="A4328" s="140" t="s">
        <v>990</v>
      </c>
      <c r="B4328" s="141">
        <v>1.15246412384173E-3</v>
      </c>
      <c r="D4328" s="141"/>
    </row>
    <row r="4329" spans="1:4" x14ac:dyDescent="0.2">
      <c r="A4329" s="140" t="s">
        <v>4384</v>
      </c>
      <c r="B4329" s="141">
        <v>1.15238019665378E-3</v>
      </c>
      <c r="D4329" s="141"/>
    </row>
    <row r="4330" spans="1:4" x14ac:dyDescent="0.2">
      <c r="A4330" s="140" t="s">
        <v>7939</v>
      </c>
      <c r="B4330" s="141">
        <v>1.1516719875123199E-3</v>
      </c>
      <c r="D4330" s="141"/>
    </row>
    <row r="4331" spans="1:4" x14ac:dyDescent="0.2">
      <c r="A4331" s="140" t="s">
        <v>1257</v>
      </c>
      <c r="B4331" s="141">
        <v>1.1501702713984101E-3</v>
      </c>
      <c r="D4331" s="141"/>
    </row>
    <row r="4332" spans="1:4" x14ac:dyDescent="0.2">
      <c r="A4332" s="140" t="s">
        <v>7940</v>
      </c>
      <c r="B4332" s="141">
        <v>1.1498817716596001E-3</v>
      </c>
      <c r="D4332" s="141"/>
    </row>
    <row r="4333" spans="1:4" x14ac:dyDescent="0.2">
      <c r="A4333" s="140" t="s">
        <v>1079</v>
      </c>
      <c r="B4333" s="141">
        <v>1.1485422522799201E-3</v>
      </c>
      <c r="D4333" s="141"/>
    </row>
    <row r="4334" spans="1:4" x14ac:dyDescent="0.2">
      <c r="A4334" s="140" t="s">
        <v>5544</v>
      </c>
      <c r="B4334" s="141">
        <v>1.1465360863760299E-3</v>
      </c>
      <c r="D4334" s="141"/>
    </row>
    <row r="4335" spans="1:4" x14ac:dyDescent="0.2">
      <c r="A4335" s="140" t="s">
        <v>7941</v>
      </c>
      <c r="B4335" s="141">
        <v>1.14610023871713E-3</v>
      </c>
      <c r="D4335" s="141"/>
    </row>
    <row r="4336" spans="1:4" x14ac:dyDescent="0.2">
      <c r="A4336" s="140" t="s">
        <v>7942</v>
      </c>
      <c r="B4336" s="141">
        <v>1.1453616596547699E-3</v>
      </c>
      <c r="D4336" s="141"/>
    </row>
    <row r="4337" spans="1:4" x14ac:dyDescent="0.2">
      <c r="A4337" s="140" t="s">
        <v>4909</v>
      </c>
      <c r="B4337" s="141">
        <v>1.14500267831188E-3</v>
      </c>
      <c r="D4337" s="141"/>
    </row>
    <row r="4338" spans="1:4" x14ac:dyDescent="0.2">
      <c r="A4338" s="140" t="s">
        <v>7943</v>
      </c>
      <c r="B4338" s="141">
        <v>1.1441728179734699E-3</v>
      </c>
      <c r="D4338" s="141"/>
    </row>
    <row r="4339" spans="1:4" x14ac:dyDescent="0.2">
      <c r="A4339" s="140" t="s">
        <v>4591</v>
      </c>
      <c r="B4339" s="141">
        <v>1.1401810622483301E-3</v>
      </c>
      <c r="D4339" s="141"/>
    </row>
    <row r="4340" spans="1:4" x14ac:dyDescent="0.2">
      <c r="A4340" s="140" t="s">
        <v>4957</v>
      </c>
      <c r="B4340" s="141">
        <v>1.13979660585398E-3</v>
      </c>
      <c r="D4340" s="141"/>
    </row>
    <row r="4341" spans="1:4" x14ac:dyDescent="0.2">
      <c r="A4341" s="140" t="s">
        <v>7944</v>
      </c>
      <c r="B4341" s="141">
        <v>1.13816736452296E-3</v>
      </c>
      <c r="D4341" s="141"/>
    </row>
    <row r="4342" spans="1:4" x14ac:dyDescent="0.2">
      <c r="A4342" s="140" t="s">
        <v>4769</v>
      </c>
      <c r="B4342" s="141">
        <v>1.1375103882436601E-3</v>
      </c>
      <c r="D4342" s="141"/>
    </row>
    <row r="4343" spans="1:4" x14ac:dyDescent="0.2">
      <c r="A4343" s="140" t="s">
        <v>7945</v>
      </c>
      <c r="B4343" s="141">
        <v>1.13691360446141E-3</v>
      </c>
      <c r="D4343" s="141"/>
    </row>
    <row r="4344" spans="1:4" x14ac:dyDescent="0.2">
      <c r="A4344" s="140" t="s">
        <v>2483</v>
      </c>
      <c r="B4344" s="141">
        <v>1.13594576405182E-3</v>
      </c>
      <c r="D4344" s="141"/>
    </row>
    <row r="4345" spans="1:4" x14ac:dyDescent="0.2">
      <c r="A4345" s="140" t="s">
        <v>7946</v>
      </c>
      <c r="B4345" s="141">
        <v>1.13594576405182E-3</v>
      </c>
      <c r="D4345" s="141"/>
    </row>
    <row r="4346" spans="1:4" x14ac:dyDescent="0.2">
      <c r="A4346" s="140" t="s">
        <v>7947</v>
      </c>
      <c r="B4346" s="141">
        <v>1.13594576405182E-3</v>
      </c>
      <c r="D4346" s="141"/>
    </row>
    <row r="4347" spans="1:4" x14ac:dyDescent="0.2">
      <c r="A4347" s="140" t="s">
        <v>7948</v>
      </c>
      <c r="B4347" s="141">
        <v>1.1356796474213499E-3</v>
      </c>
      <c r="D4347" s="141"/>
    </row>
    <row r="4348" spans="1:4" x14ac:dyDescent="0.2">
      <c r="A4348" s="140" t="s">
        <v>7949</v>
      </c>
      <c r="B4348" s="141">
        <v>1.13555980937995E-3</v>
      </c>
      <c r="D4348" s="141"/>
    </row>
    <row r="4349" spans="1:4" x14ac:dyDescent="0.2">
      <c r="A4349" s="140" t="s">
        <v>3703</v>
      </c>
      <c r="B4349" s="141">
        <v>1.132926902571E-3</v>
      </c>
      <c r="D4349" s="141"/>
    </row>
    <row r="4350" spans="1:4" x14ac:dyDescent="0.2">
      <c r="A4350" s="140" t="s">
        <v>7950</v>
      </c>
      <c r="B4350" s="141">
        <v>1.1325431458387601E-3</v>
      </c>
      <c r="D4350" s="141"/>
    </row>
    <row r="4351" spans="1:4" x14ac:dyDescent="0.2">
      <c r="A4351" s="140" t="s">
        <v>4688</v>
      </c>
      <c r="B4351" s="141">
        <v>1.1315840572373101E-3</v>
      </c>
      <c r="D4351" s="141"/>
    </row>
    <row r="4352" spans="1:4" x14ac:dyDescent="0.2">
      <c r="A4352" s="140" t="s">
        <v>7951</v>
      </c>
      <c r="B4352" s="141">
        <v>1.13153019667339E-3</v>
      </c>
      <c r="D4352" s="141"/>
    </row>
    <row r="4353" spans="1:4" x14ac:dyDescent="0.2">
      <c r="A4353" s="140" t="s">
        <v>5158</v>
      </c>
      <c r="B4353" s="141">
        <v>1.13066035052294E-3</v>
      </c>
      <c r="D4353" s="141"/>
    </row>
    <row r="4354" spans="1:4" x14ac:dyDescent="0.2">
      <c r="A4354" s="140" t="s">
        <v>7952</v>
      </c>
      <c r="B4354" s="141">
        <v>1.1306538261708901E-3</v>
      </c>
      <c r="D4354" s="141"/>
    </row>
    <row r="4355" spans="1:4" x14ac:dyDescent="0.2">
      <c r="A4355" s="140" t="s">
        <v>2947</v>
      </c>
      <c r="B4355" s="141">
        <v>1.13033823175234E-3</v>
      </c>
      <c r="D4355" s="141"/>
    </row>
    <row r="4356" spans="1:4" x14ac:dyDescent="0.2">
      <c r="A4356" s="140" t="s">
        <v>3507</v>
      </c>
      <c r="B4356" s="141">
        <v>1.12945161586E-3</v>
      </c>
      <c r="D4356" s="141"/>
    </row>
    <row r="4357" spans="1:4" x14ac:dyDescent="0.2">
      <c r="A4357" s="140" t="s">
        <v>7953</v>
      </c>
      <c r="B4357" s="141">
        <v>1.1281239271981E-3</v>
      </c>
      <c r="D4357" s="141"/>
    </row>
    <row r="4358" spans="1:4" x14ac:dyDescent="0.2">
      <c r="A4358" s="140" t="s">
        <v>7954</v>
      </c>
      <c r="B4358" s="141">
        <v>1.1279051183768201E-3</v>
      </c>
      <c r="D4358" s="141"/>
    </row>
    <row r="4359" spans="1:4" x14ac:dyDescent="0.2">
      <c r="A4359" s="140" t="s">
        <v>3079</v>
      </c>
      <c r="B4359" s="141">
        <v>1.12782516130174E-3</v>
      </c>
      <c r="D4359" s="141"/>
    </row>
    <row r="4360" spans="1:4" x14ac:dyDescent="0.2">
      <c r="A4360" s="140" t="s">
        <v>2442</v>
      </c>
      <c r="B4360" s="141">
        <v>1.12764407656437E-3</v>
      </c>
      <c r="D4360" s="141"/>
    </row>
    <row r="4361" spans="1:4" x14ac:dyDescent="0.2">
      <c r="A4361" s="140" t="s">
        <v>491</v>
      </c>
      <c r="B4361" s="141">
        <v>1.12541395325036E-3</v>
      </c>
      <c r="D4361" s="141"/>
    </row>
    <row r="4362" spans="1:4" x14ac:dyDescent="0.2">
      <c r="A4362" s="140" t="s">
        <v>1761</v>
      </c>
      <c r="B4362" s="141">
        <v>1.1231712716714499E-3</v>
      </c>
      <c r="D4362" s="141"/>
    </row>
    <row r="4363" spans="1:4" x14ac:dyDescent="0.2">
      <c r="A4363" s="140" t="s">
        <v>2556</v>
      </c>
      <c r="B4363" s="141">
        <v>1.1228069672066399E-3</v>
      </c>
      <c r="D4363" s="141"/>
    </row>
    <row r="4364" spans="1:4" x14ac:dyDescent="0.2">
      <c r="A4364" s="140" t="s">
        <v>2913</v>
      </c>
      <c r="B4364" s="141">
        <v>1.12237897075384E-3</v>
      </c>
      <c r="D4364" s="141"/>
    </row>
    <row r="4365" spans="1:4" x14ac:dyDescent="0.2">
      <c r="A4365" s="140" t="s">
        <v>768</v>
      </c>
      <c r="B4365" s="141">
        <v>1.1223738667364899E-3</v>
      </c>
      <c r="D4365" s="141"/>
    </row>
    <row r="4366" spans="1:4" x14ac:dyDescent="0.2">
      <c r="A4366" s="140" t="s">
        <v>1834</v>
      </c>
      <c r="B4366" s="141">
        <v>1.1216629234944201E-3</v>
      </c>
      <c r="D4366" s="141"/>
    </row>
    <row r="4367" spans="1:4" x14ac:dyDescent="0.2">
      <c r="A4367" s="140" t="s">
        <v>1759</v>
      </c>
      <c r="B4367" s="141">
        <v>1.12128979674353E-3</v>
      </c>
      <c r="D4367" s="141"/>
    </row>
    <row r="4368" spans="1:4" x14ac:dyDescent="0.2">
      <c r="A4368" s="140" t="s">
        <v>7955</v>
      </c>
      <c r="B4368" s="141">
        <v>1.11960808616965E-3</v>
      </c>
      <c r="D4368" s="141"/>
    </row>
    <row r="4369" spans="1:4" x14ac:dyDescent="0.2">
      <c r="A4369" s="140" t="s">
        <v>4405</v>
      </c>
      <c r="B4369" s="141">
        <v>1.11952027736588E-3</v>
      </c>
      <c r="D4369" s="141"/>
    </row>
    <row r="4370" spans="1:4" x14ac:dyDescent="0.2">
      <c r="A4370" s="140" t="s">
        <v>4500</v>
      </c>
      <c r="B4370" s="141">
        <v>1.1182168871751901E-3</v>
      </c>
      <c r="D4370" s="141"/>
    </row>
    <row r="4371" spans="1:4" x14ac:dyDescent="0.2">
      <c r="A4371" s="140" t="s">
        <v>4136</v>
      </c>
      <c r="B4371" s="141">
        <v>1.1178836630625301E-3</v>
      </c>
      <c r="D4371" s="141"/>
    </row>
    <row r="4372" spans="1:4" x14ac:dyDescent="0.2">
      <c r="A4372" s="140" t="s">
        <v>4494</v>
      </c>
      <c r="B4372" s="141">
        <v>1.1146014918006499E-3</v>
      </c>
      <c r="D4372" s="141"/>
    </row>
    <row r="4373" spans="1:4" x14ac:dyDescent="0.2">
      <c r="A4373" s="140" t="s">
        <v>4000</v>
      </c>
      <c r="B4373" s="141">
        <v>1.11414717283972E-3</v>
      </c>
      <c r="D4373" s="141"/>
    </row>
    <row r="4374" spans="1:4" x14ac:dyDescent="0.2">
      <c r="A4374" s="140" t="s">
        <v>1354</v>
      </c>
      <c r="B4374" s="141">
        <v>1.1133019663582401E-3</v>
      </c>
      <c r="D4374" s="141"/>
    </row>
    <row r="4375" spans="1:4" x14ac:dyDescent="0.2">
      <c r="A4375" s="140" t="s">
        <v>7956</v>
      </c>
      <c r="B4375" s="141">
        <v>1.1125783058932299E-3</v>
      </c>
      <c r="D4375" s="141"/>
    </row>
    <row r="4376" spans="1:4" x14ac:dyDescent="0.2">
      <c r="A4376" s="140" t="s">
        <v>4169</v>
      </c>
      <c r="B4376" s="141">
        <v>1.1125783058932299E-3</v>
      </c>
      <c r="D4376" s="141"/>
    </row>
    <row r="4377" spans="1:4" x14ac:dyDescent="0.2">
      <c r="A4377" s="140" t="s">
        <v>2225</v>
      </c>
      <c r="B4377" s="141">
        <v>1.1114540913346399E-3</v>
      </c>
      <c r="D4377" s="141"/>
    </row>
    <row r="4378" spans="1:4" x14ac:dyDescent="0.2">
      <c r="A4378" s="140" t="s">
        <v>3978</v>
      </c>
      <c r="B4378" s="141">
        <v>1.1104685322953401E-3</v>
      </c>
      <c r="D4378" s="141"/>
    </row>
    <row r="4379" spans="1:4" x14ac:dyDescent="0.2">
      <c r="A4379" s="140" t="s">
        <v>6290</v>
      </c>
      <c r="B4379" s="141">
        <v>1.1103769465916099E-3</v>
      </c>
      <c r="D4379" s="141"/>
    </row>
    <row r="4380" spans="1:4" x14ac:dyDescent="0.2">
      <c r="A4380" s="140" t="s">
        <v>2150</v>
      </c>
      <c r="B4380" s="141">
        <v>1.11007885802014E-3</v>
      </c>
      <c r="D4380" s="141"/>
    </row>
    <row r="4381" spans="1:4" x14ac:dyDescent="0.2">
      <c r="A4381" s="140" t="s">
        <v>7957</v>
      </c>
      <c r="B4381" s="141">
        <v>1.1088735440576401E-3</v>
      </c>
      <c r="D4381" s="141"/>
    </row>
    <row r="4382" spans="1:4" x14ac:dyDescent="0.2">
      <c r="A4382" s="140" t="s">
        <v>7958</v>
      </c>
      <c r="B4382" s="141">
        <v>1.10862298742532E-3</v>
      </c>
      <c r="D4382" s="141"/>
    </row>
    <row r="4383" spans="1:4" x14ac:dyDescent="0.2">
      <c r="A4383" s="140" t="s">
        <v>2886</v>
      </c>
      <c r="B4383" s="141">
        <v>1.1074161710200999E-3</v>
      </c>
      <c r="D4383" s="141"/>
    </row>
    <row r="4384" spans="1:4" x14ac:dyDescent="0.2">
      <c r="A4384" s="140" t="s">
        <v>1534</v>
      </c>
      <c r="B4384" s="141">
        <v>1.10724064868092E-3</v>
      </c>
      <c r="D4384" s="141"/>
    </row>
    <row r="4385" spans="1:4" x14ac:dyDescent="0.2">
      <c r="A4385" s="140" t="s">
        <v>6065</v>
      </c>
      <c r="B4385" s="141">
        <v>1.1050466641584801E-3</v>
      </c>
      <c r="D4385" s="141"/>
    </row>
    <row r="4386" spans="1:4" x14ac:dyDescent="0.2">
      <c r="A4386" s="140" t="s">
        <v>6146</v>
      </c>
      <c r="B4386" s="141">
        <v>1.10485902463059E-3</v>
      </c>
      <c r="D4386" s="141"/>
    </row>
    <row r="4387" spans="1:4" x14ac:dyDescent="0.2">
      <c r="A4387" s="140" t="s">
        <v>7959</v>
      </c>
      <c r="B4387" s="141">
        <v>1.10446868394372E-3</v>
      </c>
      <c r="D4387" s="141"/>
    </row>
    <row r="4388" spans="1:4" x14ac:dyDescent="0.2">
      <c r="A4388" s="140" t="s">
        <v>7960</v>
      </c>
      <c r="B4388" s="141">
        <v>1.10387383803197E-3</v>
      </c>
      <c r="D4388" s="141"/>
    </row>
    <row r="4389" spans="1:4" x14ac:dyDescent="0.2">
      <c r="A4389" s="140" t="s">
        <v>1953</v>
      </c>
      <c r="B4389" s="141">
        <v>1.1030591573683601E-3</v>
      </c>
      <c r="D4389" s="141"/>
    </row>
    <row r="4390" spans="1:4" x14ac:dyDescent="0.2">
      <c r="A4390" s="140" t="s">
        <v>3627</v>
      </c>
      <c r="B4390" s="141">
        <v>1.1023429973671701E-3</v>
      </c>
      <c r="D4390" s="141"/>
    </row>
    <row r="4391" spans="1:4" x14ac:dyDescent="0.2">
      <c r="A4391" s="140" t="s">
        <v>4290</v>
      </c>
      <c r="B4391" s="141">
        <v>1.10103037576776E-3</v>
      </c>
      <c r="D4391" s="141"/>
    </row>
    <row r="4392" spans="1:4" x14ac:dyDescent="0.2">
      <c r="A4392" s="140" t="s">
        <v>3100</v>
      </c>
      <c r="B4392" s="141">
        <v>1.1007247515321E-3</v>
      </c>
      <c r="D4392" s="141"/>
    </row>
    <row r="4393" spans="1:4" x14ac:dyDescent="0.2">
      <c r="A4393" s="140" t="s">
        <v>2512</v>
      </c>
      <c r="B4393" s="141">
        <v>1.1006551522935999E-3</v>
      </c>
      <c r="D4393" s="141"/>
    </row>
    <row r="4394" spans="1:4" x14ac:dyDescent="0.2">
      <c r="A4394" s="140" t="s">
        <v>4890</v>
      </c>
      <c r="B4394" s="141">
        <v>1.09792389273101E-3</v>
      </c>
      <c r="D4394" s="141"/>
    </row>
    <row r="4395" spans="1:4" x14ac:dyDescent="0.2">
      <c r="A4395" s="140" t="s">
        <v>7961</v>
      </c>
      <c r="B4395" s="141">
        <v>1.09783611683093E-3</v>
      </c>
      <c r="D4395" s="141"/>
    </row>
    <row r="4396" spans="1:4" x14ac:dyDescent="0.2">
      <c r="A4396" s="140" t="s">
        <v>7962</v>
      </c>
      <c r="B4396" s="141">
        <v>1.0977278153409501E-3</v>
      </c>
      <c r="D4396" s="141"/>
    </row>
    <row r="4397" spans="1:4" x14ac:dyDescent="0.2">
      <c r="A4397" s="140" t="s">
        <v>2033</v>
      </c>
      <c r="B4397" s="141">
        <v>1.0974532991069299E-3</v>
      </c>
      <c r="D4397" s="141"/>
    </row>
    <row r="4398" spans="1:4" x14ac:dyDescent="0.2">
      <c r="A4398" s="140" t="s">
        <v>591</v>
      </c>
      <c r="B4398" s="141">
        <v>1.09689508857493E-3</v>
      </c>
      <c r="D4398" s="141"/>
    </row>
    <row r="4399" spans="1:4" x14ac:dyDescent="0.2">
      <c r="A4399" s="140" t="s">
        <v>2262</v>
      </c>
      <c r="B4399" s="141">
        <v>1.09557078429789E-3</v>
      </c>
      <c r="D4399" s="141"/>
    </row>
    <row r="4400" spans="1:4" x14ac:dyDescent="0.2">
      <c r="A4400" s="140" t="s">
        <v>3264</v>
      </c>
      <c r="B4400" s="141">
        <v>1.0946427801969E-3</v>
      </c>
      <c r="D4400" s="141"/>
    </row>
    <row r="4401" spans="1:4" x14ac:dyDescent="0.2">
      <c r="A4401" s="140" t="s">
        <v>2762</v>
      </c>
      <c r="B4401" s="141">
        <v>1.09456234200482E-3</v>
      </c>
      <c r="D4401" s="141"/>
    </row>
    <row r="4402" spans="1:4" x14ac:dyDescent="0.2">
      <c r="A4402" s="140" t="s">
        <v>1329</v>
      </c>
      <c r="B4402" s="141">
        <v>1.0893740454429499E-3</v>
      </c>
      <c r="D4402" s="141"/>
    </row>
    <row r="4403" spans="1:4" x14ac:dyDescent="0.2">
      <c r="A4403" s="140" t="s">
        <v>4613</v>
      </c>
      <c r="B4403" s="141">
        <v>1.0882872749945101E-3</v>
      </c>
      <c r="D4403" s="141"/>
    </row>
    <row r="4404" spans="1:4" x14ac:dyDescent="0.2">
      <c r="A4404" s="140" t="s">
        <v>7963</v>
      </c>
      <c r="B4404" s="141">
        <v>1.0864241461623701E-3</v>
      </c>
      <c r="D4404" s="141"/>
    </row>
    <row r="4405" spans="1:4" x14ac:dyDescent="0.2">
      <c r="A4405" s="140" t="s">
        <v>2907</v>
      </c>
      <c r="B4405" s="141">
        <v>1.08596246399627E-3</v>
      </c>
      <c r="D4405" s="141"/>
    </row>
    <row r="4406" spans="1:4" x14ac:dyDescent="0.2">
      <c r="A4406" s="140" t="s">
        <v>7964</v>
      </c>
      <c r="B4406" s="141">
        <v>1.08569849323949E-3</v>
      </c>
      <c r="D4406" s="141"/>
    </row>
    <row r="4407" spans="1:4" x14ac:dyDescent="0.2">
      <c r="A4407" s="140" t="s">
        <v>2648</v>
      </c>
      <c r="B4407" s="141">
        <v>1.0855261301569599E-3</v>
      </c>
      <c r="D4407" s="141"/>
    </row>
    <row r="4408" spans="1:4" x14ac:dyDescent="0.2">
      <c r="A4408" s="140" t="s">
        <v>7965</v>
      </c>
      <c r="B4408" s="141">
        <v>1.08528420424372E-3</v>
      </c>
      <c r="D4408" s="141"/>
    </row>
    <row r="4409" spans="1:4" x14ac:dyDescent="0.2">
      <c r="A4409" s="140" t="s">
        <v>7966</v>
      </c>
      <c r="B4409" s="141">
        <v>1.08528420424372E-3</v>
      </c>
      <c r="D4409" s="141"/>
    </row>
    <row r="4410" spans="1:4" x14ac:dyDescent="0.2">
      <c r="A4410" s="140" t="s">
        <v>7967</v>
      </c>
      <c r="B4410" s="141">
        <v>1.08528420424372E-3</v>
      </c>
      <c r="D4410" s="141"/>
    </row>
    <row r="4411" spans="1:4" x14ac:dyDescent="0.2">
      <c r="A4411" s="140" t="s">
        <v>7968</v>
      </c>
      <c r="B4411" s="141">
        <v>1.08528420424372E-3</v>
      </c>
      <c r="D4411" s="141"/>
    </row>
    <row r="4412" spans="1:4" x14ac:dyDescent="0.2">
      <c r="A4412" s="140" t="s">
        <v>7969</v>
      </c>
      <c r="B4412" s="141">
        <v>1.08528420424372E-3</v>
      </c>
      <c r="D4412" s="141"/>
    </row>
    <row r="4413" spans="1:4" x14ac:dyDescent="0.2">
      <c r="A4413" s="140" t="s">
        <v>7970</v>
      </c>
      <c r="B4413" s="141">
        <v>1.08528420424372E-3</v>
      </c>
      <c r="D4413" s="141"/>
    </row>
    <row r="4414" spans="1:4" x14ac:dyDescent="0.2">
      <c r="A4414" s="140" t="s">
        <v>7971</v>
      </c>
      <c r="B4414" s="141">
        <v>1.08528420424372E-3</v>
      </c>
      <c r="D4414" s="141"/>
    </row>
    <row r="4415" spans="1:4" x14ac:dyDescent="0.2">
      <c r="A4415" s="140" t="s">
        <v>7972</v>
      </c>
      <c r="B4415" s="141">
        <v>1.08528420424372E-3</v>
      </c>
      <c r="D4415" s="141"/>
    </row>
    <row r="4416" spans="1:4" x14ac:dyDescent="0.2">
      <c r="A4416" s="140" t="s">
        <v>7973</v>
      </c>
      <c r="B4416" s="141">
        <v>1.08528420424372E-3</v>
      </c>
      <c r="D4416" s="141"/>
    </row>
    <row r="4417" spans="1:4" x14ac:dyDescent="0.2">
      <c r="A4417" s="140" t="s">
        <v>7974</v>
      </c>
      <c r="B4417" s="141">
        <v>1.08528420424372E-3</v>
      </c>
      <c r="D4417" s="141"/>
    </row>
    <row r="4418" spans="1:4" x14ac:dyDescent="0.2">
      <c r="A4418" s="140" t="s">
        <v>7975</v>
      </c>
      <c r="B4418" s="141">
        <v>1.08528420424372E-3</v>
      </c>
      <c r="D4418" s="141"/>
    </row>
    <row r="4419" spans="1:4" x14ac:dyDescent="0.2">
      <c r="A4419" s="140" t="s">
        <v>7976</v>
      </c>
      <c r="B4419" s="141">
        <v>1.08528420424372E-3</v>
      </c>
      <c r="D4419" s="141"/>
    </row>
    <row r="4420" spans="1:4" x14ac:dyDescent="0.2">
      <c r="A4420" s="140" t="s">
        <v>7977</v>
      </c>
      <c r="B4420" s="141">
        <v>1.08528420424372E-3</v>
      </c>
      <c r="D4420" s="141"/>
    </row>
    <row r="4421" spans="1:4" x14ac:dyDescent="0.2">
      <c r="A4421" s="140" t="s">
        <v>7978</v>
      </c>
      <c r="B4421" s="141">
        <v>1.08528420424372E-3</v>
      </c>
      <c r="D4421" s="141"/>
    </row>
    <row r="4422" spans="1:4" x14ac:dyDescent="0.2">
      <c r="A4422" s="140" t="s">
        <v>7979</v>
      </c>
      <c r="B4422" s="141">
        <v>1.08528420424372E-3</v>
      </c>
      <c r="D4422" s="141"/>
    </row>
    <row r="4423" spans="1:4" x14ac:dyDescent="0.2">
      <c r="A4423" s="140" t="s">
        <v>7980</v>
      </c>
      <c r="B4423" s="141">
        <v>1.08528420424372E-3</v>
      </c>
      <c r="D4423" s="141"/>
    </row>
    <row r="4424" spans="1:4" x14ac:dyDescent="0.2">
      <c r="A4424" s="140" t="s">
        <v>7981</v>
      </c>
      <c r="B4424" s="141">
        <v>1.08528420424372E-3</v>
      </c>
      <c r="D4424" s="141"/>
    </row>
    <row r="4425" spans="1:4" x14ac:dyDescent="0.2">
      <c r="A4425" s="140" t="s">
        <v>7982</v>
      </c>
      <c r="B4425" s="141">
        <v>1.08528420424372E-3</v>
      </c>
      <c r="D4425" s="141"/>
    </row>
    <row r="4426" spans="1:4" x14ac:dyDescent="0.2">
      <c r="A4426" s="140" t="s">
        <v>7983</v>
      </c>
      <c r="B4426" s="141">
        <v>1.08528420424372E-3</v>
      </c>
      <c r="D4426" s="141"/>
    </row>
    <row r="4427" spans="1:4" x14ac:dyDescent="0.2">
      <c r="A4427" s="140" t="s">
        <v>7984</v>
      </c>
      <c r="B4427" s="141">
        <v>1.08528420424372E-3</v>
      </c>
      <c r="D4427" s="141"/>
    </row>
    <row r="4428" spans="1:4" x14ac:dyDescent="0.2">
      <c r="A4428" s="140" t="s">
        <v>7985</v>
      </c>
      <c r="B4428" s="141">
        <v>1.08528420424372E-3</v>
      </c>
      <c r="D4428" s="141"/>
    </row>
    <row r="4429" spans="1:4" x14ac:dyDescent="0.2">
      <c r="A4429" s="140" t="s">
        <v>7986</v>
      </c>
      <c r="B4429" s="141">
        <v>1.08528420424372E-3</v>
      </c>
      <c r="D4429" s="141"/>
    </row>
    <row r="4430" spans="1:4" x14ac:dyDescent="0.2">
      <c r="A4430" s="140" t="s">
        <v>7987</v>
      </c>
      <c r="B4430" s="141">
        <v>1.08528420424372E-3</v>
      </c>
      <c r="D4430" s="141"/>
    </row>
    <row r="4431" spans="1:4" x14ac:dyDescent="0.2">
      <c r="A4431" s="140" t="s">
        <v>7988</v>
      </c>
      <c r="B4431" s="141">
        <v>1.08528420424372E-3</v>
      </c>
      <c r="D4431" s="141"/>
    </row>
    <row r="4432" spans="1:4" x14ac:dyDescent="0.2">
      <c r="A4432" s="140" t="s">
        <v>7989</v>
      </c>
      <c r="B4432" s="141">
        <v>1.08528420424372E-3</v>
      </c>
      <c r="D4432" s="141"/>
    </row>
    <row r="4433" spans="1:4" x14ac:dyDescent="0.2">
      <c r="A4433" s="140" t="s">
        <v>7990</v>
      </c>
      <c r="B4433" s="141">
        <v>1.08528420424372E-3</v>
      </c>
      <c r="D4433" s="141"/>
    </row>
    <row r="4434" spans="1:4" x14ac:dyDescent="0.2">
      <c r="A4434" s="140" t="s">
        <v>7991</v>
      </c>
      <c r="B4434" s="141">
        <v>1.08528420424372E-3</v>
      </c>
      <c r="D4434" s="141"/>
    </row>
    <row r="4435" spans="1:4" x14ac:dyDescent="0.2">
      <c r="A4435" s="140" t="s">
        <v>7992</v>
      </c>
      <c r="B4435" s="141">
        <v>1.08528420424372E-3</v>
      </c>
      <c r="D4435" s="141"/>
    </row>
    <row r="4436" spans="1:4" x14ac:dyDescent="0.2">
      <c r="A4436" s="140" t="s">
        <v>6183</v>
      </c>
      <c r="B4436" s="141">
        <v>1.08528420424372E-3</v>
      </c>
      <c r="D4436" s="141"/>
    </row>
    <row r="4437" spans="1:4" x14ac:dyDescent="0.2">
      <c r="A4437" s="140" t="s">
        <v>7993</v>
      </c>
      <c r="B4437" s="141">
        <v>1.08528420424372E-3</v>
      </c>
      <c r="D4437" s="141"/>
    </row>
    <row r="4438" spans="1:4" x14ac:dyDescent="0.2">
      <c r="A4438" s="140" t="s">
        <v>7994</v>
      </c>
      <c r="B4438" s="141">
        <v>1.08528420424372E-3</v>
      </c>
      <c r="D4438" s="141"/>
    </row>
    <row r="4439" spans="1:4" x14ac:dyDescent="0.2">
      <c r="A4439" s="140" t="s">
        <v>7995</v>
      </c>
      <c r="B4439" s="141">
        <v>1.08528420424372E-3</v>
      </c>
      <c r="D4439" s="141"/>
    </row>
    <row r="4440" spans="1:4" x14ac:dyDescent="0.2">
      <c r="A4440" s="140" t="s">
        <v>7996</v>
      </c>
      <c r="B4440" s="141">
        <v>1.08528420424372E-3</v>
      </c>
      <c r="D4440" s="141"/>
    </row>
    <row r="4441" spans="1:4" x14ac:dyDescent="0.2">
      <c r="A4441" s="140" t="s">
        <v>7997</v>
      </c>
      <c r="B4441" s="141">
        <v>1.08528420424372E-3</v>
      </c>
      <c r="D4441" s="141"/>
    </row>
    <row r="4442" spans="1:4" x14ac:dyDescent="0.2">
      <c r="A4442" s="140" t="s">
        <v>7998</v>
      </c>
      <c r="B4442" s="141">
        <v>1.08528420424372E-3</v>
      </c>
      <c r="D4442" s="141"/>
    </row>
    <row r="4443" spans="1:4" x14ac:dyDescent="0.2">
      <c r="A4443" s="140" t="s">
        <v>7999</v>
      </c>
      <c r="B4443" s="141">
        <v>1.08528420424372E-3</v>
      </c>
      <c r="D4443" s="141"/>
    </row>
    <row r="4444" spans="1:4" x14ac:dyDescent="0.2">
      <c r="A4444" s="140" t="s">
        <v>8000</v>
      </c>
      <c r="B4444" s="141">
        <v>1.08528420424372E-3</v>
      </c>
      <c r="D4444" s="141"/>
    </row>
    <row r="4445" spans="1:4" x14ac:dyDescent="0.2">
      <c r="A4445" s="140" t="s">
        <v>8001</v>
      </c>
      <c r="B4445" s="141">
        <v>1.08528420424372E-3</v>
      </c>
      <c r="D4445" s="141"/>
    </row>
    <row r="4446" spans="1:4" x14ac:dyDescent="0.2">
      <c r="A4446" s="140" t="s">
        <v>8002</v>
      </c>
      <c r="B4446" s="141">
        <v>1.08528420424372E-3</v>
      </c>
      <c r="D4446" s="141"/>
    </row>
    <row r="4447" spans="1:4" x14ac:dyDescent="0.2">
      <c r="A4447" s="140" t="s">
        <v>8003</v>
      </c>
      <c r="B4447" s="141">
        <v>1.08528420424372E-3</v>
      </c>
      <c r="D4447" s="141"/>
    </row>
    <row r="4448" spans="1:4" x14ac:dyDescent="0.2">
      <c r="A4448" s="140" t="s">
        <v>8004</v>
      </c>
      <c r="B4448" s="141">
        <v>1.08528420424372E-3</v>
      </c>
      <c r="D4448" s="141"/>
    </row>
    <row r="4449" spans="1:4" x14ac:dyDescent="0.2">
      <c r="A4449" s="140" t="s">
        <v>8005</v>
      </c>
      <c r="B4449" s="141">
        <v>1.08528420424372E-3</v>
      </c>
      <c r="D4449" s="141"/>
    </row>
    <row r="4450" spans="1:4" x14ac:dyDescent="0.2">
      <c r="A4450" s="140" t="s">
        <v>8006</v>
      </c>
      <c r="B4450" s="141">
        <v>1.08528420424372E-3</v>
      </c>
      <c r="D4450" s="141"/>
    </row>
    <row r="4451" spans="1:4" x14ac:dyDescent="0.2">
      <c r="A4451" s="140" t="s">
        <v>8007</v>
      </c>
      <c r="B4451" s="141">
        <v>1.08528420424372E-3</v>
      </c>
      <c r="D4451" s="141"/>
    </row>
    <row r="4452" spans="1:4" x14ac:dyDescent="0.2">
      <c r="A4452" s="140" t="s">
        <v>8008</v>
      </c>
      <c r="B4452" s="141">
        <v>1.08528420424372E-3</v>
      </c>
      <c r="D4452" s="141"/>
    </row>
    <row r="4453" spans="1:4" x14ac:dyDescent="0.2">
      <c r="A4453" s="140" t="s">
        <v>8009</v>
      </c>
      <c r="B4453" s="141">
        <v>1.08528420424372E-3</v>
      </c>
      <c r="D4453" s="141"/>
    </row>
    <row r="4454" spans="1:4" x14ac:dyDescent="0.2">
      <c r="A4454" s="140" t="s">
        <v>8010</v>
      </c>
      <c r="B4454" s="141">
        <v>1.08528420424372E-3</v>
      </c>
      <c r="D4454" s="141"/>
    </row>
    <row r="4455" spans="1:4" x14ac:dyDescent="0.2">
      <c r="A4455" s="140" t="s">
        <v>8011</v>
      </c>
      <c r="B4455" s="141">
        <v>1.08528420424372E-3</v>
      </c>
      <c r="D4455" s="141"/>
    </row>
    <row r="4456" spans="1:4" x14ac:dyDescent="0.2">
      <c r="A4456" s="140" t="s">
        <v>8012</v>
      </c>
      <c r="B4456" s="141">
        <v>1.08528420424372E-3</v>
      </c>
      <c r="D4456" s="141"/>
    </row>
    <row r="4457" spans="1:4" x14ac:dyDescent="0.2">
      <c r="A4457" s="140" t="s">
        <v>8013</v>
      </c>
      <c r="B4457" s="141">
        <v>1.08528420424372E-3</v>
      </c>
      <c r="D4457" s="141"/>
    </row>
    <row r="4458" spans="1:4" x14ac:dyDescent="0.2">
      <c r="A4458" s="140" t="s">
        <v>8014</v>
      </c>
      <c r="B4458" s="141">
        <v>1.08528420424372E-3</v>
      </c>
      <c r="D4458" s="141"/>
    </row>
    <row r="4459" spans="1:4" x14ac:dyDescent="0.2">
      <c r="A4459" s="140" t="s">
        <v>8015</v>
      </c>
      <c r="B4459" s="141">
        <v>1.08528420424372E-3</v>
      </c>
      <c r="D4459" s="141"/>
    </row>
    <row r="4460" spans="1:4" x14ac:dyDescent="0.2">
      <c r="A4460" s="140" t="s">
        <v>8016</v>
      </c>
      <c r="B4460" s="141">
        <v>1.08528420424372E-3</v>
      </c>
      <c r="D4460" s="141"/>
    </row>
    <row r="4461" spans="1:4" x14ac:dyDescent="0.2">
      <c r="A4461" s="140" t="s">
        <v>8017</v>
      </c>
      <c r="B4461" s="141">
        <v>1.08528420424372E-3</v>
      </c>
      <c r="D4461" s="141"/>
    </row>
    <row r="4462" spans="1:4" x14ac:dyDescent="0.2">
      <c r="A4462" s="140" t="s">
        <v>8018</v>
      </c>
      <c r="B4462" s="141">
        <v>1.08528420424372E-3</v>
      </c>
      <c r="D4462" s="141"/>
    </row>
    <row r="4463" spans="1:4" x14ac:dyDescent="0.2">
      <c r="A4463" s="140" t="s">
        <v>8019</v>
      </c>
      <c r="B4463" s="141">
        <v>1.08528420424372E-3</v>
      </c>
      <c r="D4463" s="141"/>
    </row>
    <row r="4464" spans="1:4" x14ac:dyDescent="0.2">
      <c r="A4464" s="140" t="s">
        <v>8020</v>
      </c>
      <c r="B4464" s="141">
        <v>1.08528420424372E-3</v>
      </c>
      <c r="D4464" s="141"/>
    </row>
    <row r="4465" spans="1:4" x14ac:dyDescent="0.2">
      <c r="A4465" s="140" t="s">
        <v>8021</v>
      </c>
      <c r="B4465" s="141">
        <v>1.08528420424372E-3</v>
      </c>
      <c r="D4465" s="141"/>
    </row>
    <row r="4466" spans="1:4" x14ac:dyDescent="0.2">
      <c r="A4466" s="140" t="s">
        <v>8022</v>
      </c>
      <c r="B4466" s="141">
        <v>1.08528420424372E-3</v>
      </c>
      <c r="D4466" s="141"/>
    </row>
    <row r="4467" spans="1:4" x14ac:dyDescent="0.2">
      <c r="A4467" s="140" t="s">
        <v>8023</v>
      </c>
      <c r="B4467" s="141">
        <v>1.08528420424372E-3</v>
      </c>
      <c r="D4467" s="141"/>
    </row>
    <row r="4468" spans="1:4" x14ac:dyDescent="0.2">
      <c r="A4468" s="140" t="s">
        <v>8024</v>
      </c>
      <c r="B4468" s="141">
        <v>1.08528420424372E-3</v>
      </c>
      <c r="D4468" s="141"/>
    </row>
    <row r="4469" spans="1:4" x14ac:dyDescent="0.2">
      <c r="A4469" s="140" t="s">
        <v>8025</v>
      </c>
      <c r="B4469" s="141">
        <v>1.08528420424372E-3</v>
      </c>
      <c r="D4469" s="141"/>
    </row>
    <row r="4470" spans="1:4" x14ac:dyDescent="0.2">
      <c r="A4470" s="140" t="s">
        <v>8026</v>
      </c>
      <c r="B4470" s="141">
        <v>1.08528420424372E-3</v>
      </c>
      <c r="D4470" s="141"/>
    </row>
    <row r="4471" spans="1:4" x14ac:dyDescent="0.2">
      <c r="A4471" s="140" t="s">
        <v>8027</v>
      </c>
      <c r="B4471" s="141">
        <v>1.08528420424372E-3</v>
      </c>
      <c r="D4471" s="141"/>
    </row>
    <row r="4472" spans="1:4" x14ac:dyDescent="0.2">
      <c r="A4472" s="140" t="s">
        <v>8028</v>
      </c>
      <c r="B4472" s="141">
        <v>1.08528420424372E-3</v>
      </c>
      <c r="D4472" s="141"/>
    </row>
    <row r="4473" spans="1:4" x14ac:dyDescent="0.2">
      <c r="A4473" s="140" t="s">
        <v>8029</v>
      </c>
      <c r="B4473" s="141">
        <v>1.08528420424372E-3</v>
      </c>
      <c r="D4473" s="141"/>
    </row>
    <row r="4474" spans="1:4" x14ac:dyDescent="0.2">
      <c r="A4474" s="140" t="s">
        <v>8030</v>
      </c>
      <c r="B4474" s="141">
        <v>1.08528420424372E-3</v>
      </c>
      <c r="D4474" s="141"/>
    </row>
    <row r="4475" spans="1:4" x14ac:dyDescent="0.2">
      <c r="A4475" s="140" t="s">
        <v>8031</v>
      </c>
      <c r="B4475" s="141">
        <v>1.08528420424372E-3</v>
      </c>
      <c r="D4475" s="141"/>
    </row>
    <row r="4476" spans="1:4" x14ac:dyDescent="0.2">
      <c r="A4476" s="140" t="s">
        <v>8032</v>
      </c>
      <c r="B4476" s="141">
        <v>1.08528420424372E-3</v>
      </c>
      <c r="D4476" s="141"/>
    </row>
    <row r="4477" spans="1:4" x14ac:dyDescent="0.2">
      <c r="A4477" s="140" t="s">
        <v>8033</v>
      </c>
      <c r="B4477" s="141">
        <v>1.08528420424372E-3</v>
      </c>
      <c r="D4477" s="141"/>
    </row>
    <row r="4478" spans="1:4" x14ac:dyDescent="0.2">
      <c r="A4478" s="140" t="s">
        <v>8034</v>
      </c>
      <c r="B4478" s="141">
        <v>1.0824067397856201E-3</v>
      </c>
      <c r="D4478" s="141"/>
    </row>
    <row r="4479" spans="1:4" x14ac:dyDescent="0.2">
      <c r="A4479" s="140" t="s">
        <v>8035</v>
      </c>
      <c r="B4479" s="141">
        <v>1.08143887986979E-3</v>
      </c>
      <c r="D4479" s="141"/>
    </row>
    <row r="4480" spans="1:4" x14ac:dyDescent="0.2">
      <c r="A4480" s="140" t="s">
        <v>4553</v>
      </c>
      <c r="B4480" s="141">
        <v>1.0795002468695801E-3</v>
      </c>
      <c r="D4480" s="141"/>
    </row>
    <row r="4481" spans="1:4" x14ac:dyDescent="0.2">
      <c r="A4481" s="140" t="s">
        <v>5914</v>
      </c>
      <c r="B4481" s="141">
        <v>1.0784799663370499E-3</v>
      </c>
      <c r="D4481" s="141"/>
    </row>
    <row r="4482" spans="1:4" x14ac:dyDescent="0.2">
      <c r="A4482" s="140" t="s">
        <v>1833</v>
      </c>
      <c r="B4482" s="141">
        <v>1.0782270608155401E-3</v>
      </c>
      <c r="D4482" s="141"/>
    </row>
    <row r="4483" spans="1:4" x14ac:dyDescent="0.2">
      <c r="A4483" s="140" t="s">
        <v>8036</v>
      </c>
      <c r="B4483" s="141">
        <v>1.0774541659624799E-3</v>
      </c>
      <c r="D4483" s="141"/>
    </row>
    <row r="4484" spans="1:4" x14ac:dyDescent="0.2">
      <c r="A4484" s="140" t="s">
        <v>3268</v>
      </c>
      <c r="B4484" s="141">
        <v>1.07546483997017E-3</v>
      </c>
      <c r="D4484" s="141"/>
    </row>
    <row r="4485" spans="1:4" x14ac:dyDescent="0.2">
      <c r="A4485" s="140" t="s">
        <v>1742</v>
      </c>
      <c r="B4485" s="141">
        <v>1.0752911567336401E-3</v>
      </c>
      <c r="D4485" s="141"/>
    </row>
    <row r="4486" spans="1:4" x14ac:dyDescent="0.2">
      <c r="A4486" s="140" t="s">
        <v>5193</v>
      </c>
      <c r="B4486" s="141">
        <v>1.07357362776872E-3</v>
      </c>
      <c r="D4486" s="141"/>
    </row>
    <row r="4487" spans="1:4" x14ac:dyDescent="0.2">
      <c r="A4487" s="140" t="s">
        <v>1686</v>
      </c>
      <c r="B4487" s="141">
        <v>1.0728489996587899E-3</v>
      </c>
      <c r="D4487" s="141"/>
    </row>
    <row r="4488" spans="1:4" x14ac:dyDescent="0.2">
      <c r="A4488" s="140" t="s">
        <v>8037</v>
      </c>
      <c r="B4488" s="141">
        <v>1.07249328030654E-3</v>
      </c>
      <c r="D4488" s="141"/>
    </row>
    <row r="4489" spans="1:4" x14ac:dyDescent="0.2">
      <c r="A4489" s="140" t="s">
        <v>8038</v>
      </c>
      <c r="B4489" s="141">
        <v>1.07249328030654E-3</v>
      </c>
      <c r="D4489" s="141"/>
    </row>
    <row r="4490" spans="1:4" x14ac:dyDescent="0.2">
      <c r="A4490" s="140" t="s">
        <v>8039</v>
      </c>
      <c r="B4490" s="141">
        <v>1.07249328030654E-3</v>
      </c>
      <c r="D4490" s="141"/>
    </row>
    <row r="4491" spans="1:4" x14ac:dyDescent="0.2">
      <c r="A4491" s="140" t="s">
        <v>1986</v>
      </c>
      <c r="B4491" s="141">
        <v>1.07227594692223E-3</v>
      </c>
      <c r="D4491" s="141"/>
    </row>
    <row r="4492" spans="1:4" x14ac:dyDescent="0.2">
      <c r="A4492" s="140" t="s">
        <v>1175</v>
      </c>
      <c r="B4492" s="141">
        <v>1.0717447862003001E-3</v>
      </c>
      <c r="D4492" s="141"/>
    </row>
    <row r="4493" spans="1:4" x14ac:dyDescent="0.2">
      <c r="A4493" s="140" t="s">
        <v>8040</v>
      </c>
      <c r="B4493" s="141">
        <v>1.07144187086402E-3</v>
      </c>
      <c r="D4493" s="141"/>
    </row>
    <row r="4494" spans="1:4" x14ac:dyDescent="0.2">
      <c r="A4494" s="140" t="s">
        <v>8041</v>
      </c>
      <c r="B4494" s="141">
        <v>1.07144187086402E-3</v>
      </c>
      <c r="D4494" s="141"/>
    </row>
    <row r="4495" spans="1:4" x14ac:dyDescent="0.2">
      <c r="A4495" s="140" t="s">
        <v>4132</v>
      </c>
      <c r="B4495" s="141">
        <v>1.07144187086402E-3</v>
      </c>
      <c r="D4495" s="141"/>
    </row>
    <row r="4496" spans="1:4" x14ac:dyDescent="0.2">
      <c r="A4496" s="140" t="s">
        <v>8042</v>
      </c>
      <c r="B4496" s="141">
        <v>1.07144187086402E-3</v>
      </c>
      <c r="D4496" s="141"/>
    </row>
    <row r="4497" spans="1:4" x14ac:dyDescent="0.2">
      <c r="A4497" s="140" t="s">
        <v>8043</v>
      </c>
      <c r="B4497" s="141">
        <v>1.07144187086402E-3</v>
      </c>
      <c r="D4497" s="141"/>
    </row>
    <row r="4498" spans="1:4" x14ac:dyDescent="0.2">
      <c r="A4498" s="140" t="s">
        <v>5204</v>
      </c>
      <c r="B4498" s="141">
        <v>1.0708853739223E-3</v>
      </c>
      <c r="D4498" s="141"/>
    </row>
    <row r="4499" spans="1:4" x14ac:dyDescent="0.2">
      <c r="A4499" s="140" t="s">
        <v>8044</v>
      </c>
      <c r="B4499" s="141">
        <v>1.0698417827213801E-3</v>
      </c>
      <c r="D4499" s="141"/>
    </row>
    <row r="4500" spans="1:4" x14ac:dyDescent="0.2">
      <c r="A4500" s="140" t="s">
        <v>8045</v>
      </c>
      <c r="B4500" s="141">
        <v>1.0698417827213801E-3</v>
      </c>
      <c r="D4500" s="141"/>
    </row>
    <row r="4501" spans="1:4" x14ac:dyDescent="0.2">
      <c r="A4501" s="140" t="s">
        <v>4069</v>
      </c>
      <c r="B4501" s="141">
        <v>1.0693603266214301E-3</v>
      </c>
      <c r="D4501" s="141"/>
    </row>
    <row r="4502" spans="1:4" x14ac:dyDescent="0.2">
      <c r="A4502" s="140" t="s">
        <v>2794</v>
      </c>
      <c r="B4502" s="141">
        <v>1.0685714483678901E-3</v>
      </c>
      <c r="D4502" s="141"/>
    </row>
    <row r="4503" spans="1:4" x14ac:dyDescent="0.2">
      <c r="A4503" s="140" t="s">
        <v>4037</v>
      </c>
      <c r="B4503" s="141">
        <v>1.0681525712486E-3</v>
      </c>
      <c r="D4503" s="141"/>
    </row>
    <row r="4504" spans="1:4" x14ac:dyDescent="0.2">
      <c r="A4504" s="140" t="s">
        <v>2624</v>
      </c>
      <c r="B4504" s="141">
        <v>1.0678147060562799E-3</v>
      </c>
      <c r="D4504" s="141"/>
    </row>
    <row r="4505" spans="1:4" x14ac:dyDescent="0.2">
      <c r="A4505" s="140" t="s">
        <v>8046</v>
      </c>
      <c r="B4505" s="141">
        <v>1.0666601362680601E-3</v>
      </c>
      <c r="D4505" s="141"/>
    </row>
    <row r="4506" spans="1:4" x14ac:dyDescent="0.2">
      <c r="A4506" s="140" t="s">
        <v>8047</v>
      </c>
      <c r="B4506" s="141">
        <v>1.06613574837568E-3</v>
      </c>
      <c r="D4506" s="141"/>
    </row>
    <row r="4507" spans="1:4" x14ac:dyDescent="0.2">
      <c r="A4507" s="140" t="s">
        <v>5070</v>
      </c>
      <c r="B4507" s="141">
        <v>1.0652515048015299E-3</v>
      </c>
      <c r="D4507" s="141"/>
    </row>
    <row r="4508" spans="1:4" x14ac:dyDescent="0.2">
      <c r="A4508" s="140" t="s">
        <v>8048</v>
      </c>
      <c r="B4508" s="141">
        <v>1.06522385929427E-3</v>
      </c>
      <c r="D4508" s="141"/>
    </row>
    <row r="4509" spans="1:4" x14ac:dyDescent="0.2">
      <c r="A4509" s="140" t="s">
        <v>4168</v>
      </c>
      <c r="B4509" s="141">
        <v>1.06452359970604E-3</v>
      </c>
      <c r="D4509" s="141"/>
    </row>
    <row r="4510" spans="1:4" x14ac:dyDescent="0.2">
      <c r="A4510" s="140" t="s">
        <v>3751</v>
      </c>
      <c r="B4510" s="141">
        <v>1.06269355913764E-3</v>
      </c>
      <c r="D4510" s="141"/>
    </row>
    <row r="4511" spans="1:4" x14ac:dyDescent="0.2">
      <c r="A4511" s="140" t="s">
        <v>3706</v>
      </c>
      <c r="B4511" s="141">
        <v>1.06245576993629E-3</v>
      </c>
      <c r="D4511" s="141"/>
    </row>
    <row r="4512" spans="1:4" x14ac:dyDescent="0.2">
      <c r="A4512" s="140" t="s">
        <v>1760</v>
      </c>
      <c r="B4512" s="141">
        <v>1.06153361263234E-3</v>
      </c>
      <c r="D4512" s="141"/>
    </row>
    <row r="4513" spans="1:4" x14ac:dyDescent="0.2">
      <c r="A4513" s="140" t="s">
        <v>5390</v>
      </c>
      <c r="B4513" s="141">
        <v>1.06104380715475E-3</v>
      </c>
      <c r="D4513" s="141"/>
    </row>
    <row r="4514" spans="1:4" x14ac:dyDescent="0.2">
      <c r="A4514" s="140" t="s">
        <v>8049</v>
      </c>
      <c r="B4514" s="141">
        <v>1.0609956842797699E-3</v>
      </c>
      <c r="D4514" s="141"/>
    </row>
    <row r="4515" spans="1:4" x14ac:dyDescent="0.2">
      <c r="A4515" s="140" t="s">
        <v>5299</v>
      </c>
      <c r="B4515" s="141">
        <v>1.06014649793875E-3</v>
      </c>
      <c r="D4515" s="141"/>
    </row>
    <row r="4516" spans="1:4" x14ac:dyDescent="0.2">
      <c r="A4516" s="140" t="s">
        <v>8050</v>
      </c>
      <c r="B4516" s="141">
        <v>1.0598443393760701E-3</v>
      </c>
      <c r="D4516" s="141"/>
    </row>
    <row r="4517" spans="1:4" x14ac:dyDescent="0.2">
      <c r="A4517" s="140" t="s">
        <v>8051</v>
      </c>
      <c r="B4517" s="141">
        <v>1.0598443393760701E-3</v>
      </c>
      <c r="D4517" s="141"/>
    </row>
    <row r="4518" spans="1:4" x14ac:dyDescent="0.2">
      <c r="A4518" s="140" t="s">
        <v>3903</v>
      </c>
      <c r="B4518" s="141">
        <v>1.05977557718348E-3</v>
      </c>
      <c r="D4518" s="141"/>
    </row>
    <row r="4519" spans="1:4" x14ac:dyDescent="0.2">
      <c r="A4519" s="140" t="s">
        <v>5264</v>
      </c>
      <c r="B4519" s="141">
        <v>1.0572539031435599E-3</v>
      </c>
      <c r="D4519" s="141"/>
    </row>
    <row r="4520" spans="1:4" x14ac:dyDescent="0.2">
      <c r="A4520" s="140" t="s">
        <v>4436</v>
      </c>
      <c r="B4520" s="141">
        <v>1.0561721112896699E-3</v>
      </c>
      <c r="D4520" s="141"/>
    </row>
    <row r="4521" spans="1:4" x14ac:dyDescent="0.2">
      <c r="A4521" s="140" t="s">
        <v>8052</v>
      </c>
      <c r="B4521" s="141">
        <v>1.0555288112165E-3</v>
      </c>
      <c r="D4521" s="141"/>
    </row>
    <row r="4522" spans="1:4" x14ac:dyDescent="0.2">
      <c r="A4522" s="140" t="s">
        <v>5441</v>
      </c>
      <c r="B4522" s="141">
        <v>1.0533645794361601E-3</v>
      </c>
      <c r="D4522" s="141"/>
    </row>
    <row r="4523" spans="1:4" x14ac:dyDescent="0.2">
      <c r="A4523" s="140" t="s">
        <v>8053</v>
      </c>
      <c r="B4523" s="141">
        <v>1.05322058078554E-3</v>
      </c>
      <c r="D4523" s="141"/>
    </row>
    <row r="4524" spans="1:4" x14ac:dyDescent="0.2">
      <c r="A4524" s="140" t="s">
        <v>3938</v>
      </c>
      <c r="B4524" s="141">
        <v>1.0532057655789199E-3</v>
      </c>
      <c r="D4524" s="141"/>
    </row>
    <row r="4525" spans="1:4" x14ac:dyDescent="0.2">
      <c r="A4525" s="140" t="s">
        <v>3016</v>
      </c>
      <c r="B4525" s="141">
        <v>1.05249742039175E-3</v>
      </c>
      <c r="D4525" s="141"/>
    </row>
    <row r="4526" spans="1:4" x14ac:dyDescent="0.2">
      <c r="A4526" s="140" t="s">
        <v>4123</v>
      </c>
      <c r="B4526" s="141">
        <v>1.05138984343998E-3</v>
      </c>
      <c r="D4526" s="141"/>
    </row>
    <row r="4527" spans="1:4" x14ac:dyDescent="0.2">
      <c r="A4527" s="140" t="s">
        <v>6069</v>
      </c>
      <c r="B4527" s="141">
        <v>1.0509948911756101E-3</v>
      </c>
      <c r="D4527" s="141"/>
    </row>
    <row r="4528" spans="1:4" x14ac:dyDescent="0.2">
      <c r="A4528" s="140" t="s">
        <v>4948</v>
      </c>
      <c r="B4528" s="141">
        <v>1.0502947565176001E-3</v>
      </c>
      <c r="D4528" s="141"/>
    </row>
    <row r="4529" spans="1:4" x14ac:dyDescent="0.2">
      <c r="A4529" s="140" t="s">
        <v>4318</v>
      </c>
      <c r="B4529" s="141">
        <v>1.0502451799649099E-3</v>
      </c>
      <c r="D4529" s="141"/>
    </row>
    <row r="4530" spans="1:4" x14ac:dyDescent="0.2">
      <c r="A4530" s="140" t="s">
        <v>3172</v>
      </c>
      <c r="B4530" s="141">
        <v>1.0502451799649099E-3</v>
      </c>
      <c r="D4530" s="141"/>
    </row>
    <row r="4531" spans="1:4" x14ac:dyDescent="0.2">
      <c r="A4531" s="140" t="s">
        <v>8054</v>
      </c>
      <c r="B4531" s="141">
        <v>1.04869301796895E-3</v>
      </c>
      <c r="D4531" s="141"/>
    </row>
    <row r="4532" spans="1:4" x14ac:dyDescent="0.2">
      <c r="A4532" s="140" t="s">
        <v>2313</v>
      </c>
      <c r="B4532" s="141">
        <v>1.04867873030656E-3</v>
      </c>
      <c r="D4532" s="141"/>
    </row>
    <row r="4533" spans="1:4" x14ac:dyDescent="0.2">
      <c r="A4533" s="140" t="s">
        <v>3351</v>
      </c>
      <c r="B4533" s="141">
        <v>1.04831375184759E-3</v>
      </c>
      <c r="D4533" s="141"/>
    </row>
    <row r="4534" spans="1:4" x14ac:dyDescent="0.2">
      <c r="A4534" s="140" t="s">
        <v>1373</v>
      </c>
      <c r="B4534" s="141">
        <v>1.04809918768959E-3</v>
      </c>
      <c r="D4534" s="141"/>
    </row>
    <row r="4535" spans="1:4" x14ac:dyDescent="0.2">
      <c r="A4535" s="140" t="s">
        <v>8055</v>
      </c>
      <c r="B4535" s="141">
        <v>1.0475146705510999E-3</v>
      </c>
      <c r="D4535" s="141"/>
    </row>
    <row r="4536" spans="1:4" x14ac:dyDescent="0.2">
      <c r="A4536" s="140" t="s">
        <v>5254</v>
      </c>
      <c r="B4536" s="141">
        <v>1.0475146705510999E-3</v>
      </c>
      <c r="D4536" s="141"/>
    </row>
    <row r="4537" spans="1:4" x14ac:dyDescent="0.2">
      <c r="A4537" s="140" t="s">
        <v>5212</v>
      </c>
      <c r="B4537" s="141">
        <v>1.0475146705510999E-3</v>
      </c>
      <c r="D4537" s="141"/>
    </row>
    <row r="4538" spans="1:4" x14ac:dyDescent="0.2">
      <c r="A4538" s="140" t="s">
        <v>3881</v>
      </c>
      <c r="B4538" s="141">
        <v>1.0475146705510999E-3</v>
      </c>
      <c r="D4538" s="141"/>
    </row>
    <row r="4539" spans="1:4" x14ac:dyDescent="0.2">
      <c r="A4539" s="140" t="s">
        <v>4853</v>
      </c>
      <c r="B4539" s="141">
        <v>1.0471211319052699E-3</v>
      </c>
      <c r="D4539" s="141"/>
    </row>
    <row r="4540" spans="1:4" x14ac:dyDescent="0.2">
      <c r="A4540" s="140" t="s">
        <v>8056</v>
      </c>
      <c r="B4540" s="141">
        <v>1.04580926355434E-3</v>
      </c>
      <c r="D4540" s="141"/>
    </row>
    <row r="4541" spans="1:4" x14ac:dyDescent="0.2">
      <c r="A4541" s="140" t="s">
        <v>2324</v>
      </c>
      <c r="B4541" s="141">
        <v>1.0448951666890301E-3</v>
      </c>
      <c r="D4541" s="141"/>
    </row>
    <row r="4542" spans="1:4" x14ac:dyDescent="0.2">
      <c r="A4542" s="140" t="s">
        <v>5636</v>
      </c>
      <c r="B4542" s="141">
        <v>1.0443328777132101E-3</v>
      </c>
      <c r="D4542" s="141"/>
    </row>
    <row r="4543" spans="1:4" x14ac:dyDescent="0.2">
      <c r="A4543" s="140" t="s">
        <v>2527</v>
      </c>
      <c r="B4543" s="141">
        <v>1.0433535522922099E-3</v>
      </c>
      <c r="D4543" s="141"/>
    </row>
    <row r="4544" spans="1:4" x14ac:dyDescent="0.2">
      <c r="A4544" s="140" t="s">
        <v>922</v>
      </c>
      <c r="B4544" s="141">
        <v>1.04233235218418E-3</v>
      </c>
      <c r="D4544" s="141"/>
    </row>
    <row r="4545" spans="1:4" x14ac:dyDescent="0.2">
      <c r="A4545" s="140" t="s">
        <v>3834</v>
      </c>
      <c r="B4545" s="141">
        <v>1.04105103230821E-3</v>
      </c>
      <c r="D4545" s="141"/>
    </row>
    <row r="4546" spans="1:4" x14ac:dyDescent="0.2">
      <c r="A4546" s="140" t="s">
        <v>1056</v>
      </c>
      <c r="B4546" s="141">
        <v>1.04095392692516E-3</v>
      </c>
      <c r="D4546" s="141"/>
    </row>
    <row r="4547" spans="1:4" x14ac:dyDescent="0.2">
      <c r="A4547" s="140" t="s">
        <v>1269</v>
      </c>
      <c r="B4547" s="141">
        <v>1.04002271106666E-3</v>
      </c>
      <c r="D4547" s="141"/>
    </row>
    <row r="4548" spans="1:4" x14ac:dyDescent="0.2">
      <c r="A4548" s="140" t="s">
        <v>361</v>
      </c>
      <c r="B4548" s="141">
        <v>1.0397530970562799E-3</v>
      </c>
      <c r="D4548" s="141"/>
    </row>
    <row r="4549" spans="1:4" x14ac:dyDescent="0.2">
      <c r="A4549" s="140" t="s">
        <v>8057</v>
      </c>
      <c r="B4549" s="141">
        <v>1.03965535320619E-3</v>
      </c>
      <c r="D4549" s="141"/>
    </row>
    <row r="4550" spans="1:4" x14ac:dyDescent="0.2">
      <c r="A4550" s="140" t="s">
        <v>8058</v>
      </c>
      <c r="B4550" s="141">
        <v>1.03928353489423E-3</v>
      </c>
      <c r="D4550" s="141"/>
    </row>
    <row r="4551" spans="1:4" x14ac:dyDescent="0.2">
      <c r="A4551" s="140" t="s">
        <v>4704</v>
      </c>
      <c r="B4551" s="141">
        <v>1.0385914786744299E-3</v>
      </c>
      <c r="D4551" s="141"/>
    </row>
    <row r="4552" spans="1:4" x14ac:dyDescent="0.2">
      <c r="A4552" s="140" t="s">
        <v>4381</v>
      </c>
      <c r="B4552" s="141">
        <v>1.0385914786744299E-3</v>
      </c>
      <c r="D4552" s="141"/>
    </row>
    <row r="4553" spans="1:4" x14ac:dyDescent="0.2">
      <c r="A4553" s="140" t="s">
        <v>4988</v>
      </c>
      <c r="B4553" s="141">
        <v>1.0382135822892299E-3</v>
      </c>
      <c r="D4553" s="141"/>
    </row>
    <row r="4554" spans="1:4" x14ac:dyDescent="0.2">
      <c r="A4554" s="140" t="s">
        <v>8059</v>
      </c>
      <c r="B4554" s="141">
        <v>1.0365597406548201E-3</v>
      </c>
      <c r="D4554" s="141"/>
    </row>
    <row r="4555" spans="1:4" x14ac:dyDescent="0.2">
      <c r="A4555" s="140" t="s">
        <v>5248</v>
      </c>
      <c r="B4555" s="141">
        <v>1.0365205423803301E-3</v>
      </c>
      <c r="D4555" s="141"/>
    </row>
    <row r="4556" spans="1:4" x14ac:dyDescent="0.2">
      <c r="A4556" s="140" t="s">
        <v>5593</v>
      </c>
      <c r="B4556" s="141">
        <v>1.03541106503994E-3</v>
      </c>
      <c r="D4556" s="141"/>
    </row>
    <row r="4557" spans="1:4" x14ac:dyDescent="0.2">
      <c r="A4557" s="140" t="s">
        <v>2306</v>
      </c>
      <c r="B4557" s="141">
        <v>1.0346953348937501E-3</v>
      </c>
      <c r="D4557" s="141"/>
    </row>
    <row r="4558" spans="1:4" x14ac:dyDescent="0.2">
      <c r="A4558" s="140" t="s">
        <v>1232</v>
      </c>
      <c r="B4558" s="141">
        <v>1.03446761274661E-3</v>
      </c>
      <c r="D4558" s="141"/>
    </row>
    <row r="4559" spans="1:4" x14ac:dyDescent="0.2">
      <c r="A4559" s="140" t="s">
        <v>4568</v>
      </c>
      <c r="B4559" s="141">
        <v>1.0336207177331399E-3</v>
      </c>
      <c r="D4559" s="141"/>
    </row>
    <row r="4560" spans="1:4" x14ac:dyDescent="0.2">
      <c r="A4560" s="140" t="s">
        <v>4021</v>
      </c>
      <c r="B4560" s="141">
        <v>1.0331427731744499E-3</v>
      </c>
      <c r="D4560" s="141"/>
    </row>
    <row r="4561" spans="1:4" x14ac:dyDescent="0.2">
      <c r="A4561" s="140" t="s">
        <v>3732</v>
      </c>
      <c r="B4561" s="141">
        <v>1.03041521831156E-3</v>
      </c>
      <c r="D4561" s="141"/>
    </row>
    <row r="4562" spans="1:4" x14ac:dyDescent="0.2">
      <c r="A4562" s="140" t="s">
        <v>6140</v>
      </c>
      <c r="B4562" s="141">
        <v>1.02925417914708E-3</v>
      </c>
      <c r="D4562" s="141"/>
    </row>
    <row r="4563" spans="1:4" x14ac:dyDescent="0.2">
      <c r="A4563" s="140" t="s">
        <v>2114</v>
      </c>
      <c r="B4563" s="141">
        <v>1.02749809904782E-3</v>
      </c>
      <c r="D4563" s="141"/>
    </row>
    <row r="4564" spans="1:4" x14ac:dyDescent="0.2">
      <c r="A4564" s="140" t="s">
        <v>8060</v>
      </c>
      <c r="B4564" s="141">
        <v>1.0257604831771E-3</v>
      </c>
      <c r="D4564" s="141"/>
    </row>
    <row r="4565" spans="1:4" x14ac:dyDescent="0.2">
      <c r="A4565" s="140" t="s">
        <v>8061</v>
      </c>
      <c r="B4565" s="141">
        <v>1.0242827730879501E-3</v>
      </c>
      <c r="D4565" s="141"/>
    </row>
    <row r="4566" spans="1:4" x14ac:dyDescent="0.2">
      <c r="A4566" s="140" t="s">
        <v>8062</v>
      </c>
      <c r="B4566" s="141">
        <v>1.0223151148953699E-3</v>
      </c>
      <c r="D4566" s="141"/>
    </row>
    <row r="4567" spans="1:4" x14ac:dyDescent="0.2">
      <c r="A4567" s="140" t="s">
        <v>4622</v>
      </c>
      <c r="B4567" s="141">
        <v>1.0218485332389401E-3</v>
      </c>
      <c r="D4567" s="141"/>
    </row>
    <row r="4568" spans="1:4" x14ac:dyDescent="0.2">
      <c r="A4568" s="140" t="s">
        <v>4557</v>
      </c>
      <c r="B4568" s="141">
        <v>1.02085855944998E-3</v>
      </c>
      <c r="D4568" s="141"/>
    </row>
    <row r="4569" spans="1:4" x14ac:dyDescent="0.2">
      <c r="A4569" s="140" t="s">
        <v>8063</v>
      </c>
      <c r="B4569" s="141">
        <v>1.01985843102715E-3</v>
      </c>
      <c r="D4569" s="141"/>
    </row>
    <row r="4570" spans="1:4" x14ac:dyDescent="0.2">
      <c r="A4570" s="140" t="s">
        <v>877</v>
      </c>
      <c r="B4570" s="141">
        <v>1.0196290162116099E-3</v>
      </c>
      <c r="D4570" s="141"/>
    </row>
    <row r="4571" spans="1:4" x14ac:dyDescent="0.2">
      <c r="A4571" s="140" t="s">
        <v>1876</v>
      </c>
      <c r="B4571" s="141">
        <v>1.0188053575933499E-3</v>
      </c>
      <c r="D4571" s="141"/>
    </row>
    <row r="4572" spans="1:4" x14ac:dyDescent="0.2">
      <c r="A4572" s="140" t="s">
        <v>2464</v>
      </c>
      <c r="B4572" s="141">
        <v>1.01843736465914E-3</v>
      </c>
      <c r="D4572" s="141"/>
    </row>
    <row r="4573" spans="1:4" x14ac:dyDescent="0.2">
      <c r="A4573" s="140" t="s">
        <v>1347</v>
      </c>
      <c r="B4573" s="141">
        <v>1.0183889345699599E-3</v>
      </c>
      <c r="D4573" s="141"/>
    </row>
    <row r="4574" spans="1:4" x14ac:dyDescent="0.2">
      <c r="A4574" s="140" t="s">
        <v>8064</v>
      </c>
      <c r="B4574" s="141">
        <v>1.0167353245633501E-3</v>
      </c>
      <c r="D4574" s="141"/>
    </row>
    <row r="4575" spans="1:4" x14ac:dyDescent="0.2">
      <c r="A4575" s="140" t="s">
        <v>2617</v>
      </c>
      <c r="B4575" s="141">
        <v>1.0164337785178101E-3</v>
      </c>
      <c r="D4575" s="141"/>
    </row>
    <row r="4576" spans="1:4" x14ac:dyDescent="0.2">
      <c r="A4576" s="140" t="s">
        <v>8065</v>
      </c>
      <c r="B4576" s="141">
        <v>1.01581722417251E-3</v>
      </c>
      <c r="D4576" s="141"/>
    </row>
    <row r="4577" spans="1:4" x14ac:dyDescent="0.2">
      <c r="A4577" s="140" t="s">
        <v>901</v>
      </c>
      <c r="B4577" s="141">
        <v>1.0156593603448301E-3</v>
      </c>
      <c r="D4577" s="141"/>
    </row>
    <row r="4578" spans="1:4" x14ac:dyDescent="0.2">
      <c r="A4578" s="140" t="s">
        <v>8066</v>
      </c>
      <c r="B4578" s="141">
        <v>1.01499722505763E-3</v>
      </c>
      <c r="D4578" s="141"/>
    </row>
    <row r="4579" spans="1:4" x14ac:dyDescent="0.2">
      <c r="A4579" s="140" t="s">
        <v>8067</v>
      </c>
      <c r="B4579" s="141">
        <v>1.01494870695032E-3</v>
      </c>
      <c r="D4579" s="141"/>
    </row>
    <row r="4580" spans="1:4" x14ac:dyDescent="0.2">
      <c r="A4580" s="140" t="s">
        <v>8068</v>
      </c>
      <c r="B4580" s="141">
        <v>1.01489792450592E-3</v>
      </c>
      <c r="D4580" s="141"/>
    </row>
    <row r="4581" spans="1:4" x14ac:dyDescent="0.2">
      <c r="A4581" s="140" t="s">
        <v>2317</v>
      </c>
      <c r="B4581" s="141">
        <v>1.0147457638676101E-3</v>
      </c>
      <c r="D4581" s="141"/>
    </row>
    <row r="4582" spans="1:4" x14ac:dyDescent="0.2">
      <c r="A4582" s="140" t="s">
        <v>5556</v>
      </c>
      <c r="B4582" s="141">
        <v>1.0139688401873601E-3</v>
      </c>
      <c r="D4582" s="141"/>
    </row>
    <row r="4583" spans="1:4" x14ac:dyDescent="0.2">
      <c r="A4583" s="140" t="s">
        <v>8069</v>
      </c>
      <c r="B4583" s="141">
        <v>1.0130385856793301E-3</v>
      </c>
      <c r="D4583" s="141"/>
    </row>
    <row r="4584" spans="1:4" x14ac:dyDescent="0.2">
      <c r="A4584" s="140" t="s">
        <v>8070</v>
      </c>
      <c r="B4584" s="141">
        <v>1.0124114124437E-3</v>
      </c>
      <c r="D4584" s="141"/>
    </row>
    <row r="4585" spans="1:4" x14ac:dyDescent="0.2">
      <c r="A4585" s="140" t="s">
        <v>829</v>
      </c>
      <c r="B4585" s="141">
        <v>1.0122690231894301E-3</v>
      </c>
      <c r="D4585" s="141"/>
    </row>
    <row r="4586" spans="1:4" x14ac:dyDescent="0.2">
      <c r="A4586" s="140" t="s">
        <v>8071</v>
      </c>
      <c r="B4586" s="141">
        <v>1.0121329922903599E-3</v>
      </c>
      <c r="D4586" s="141"/>
    </row>
    <row r="4587" spans="1:4" x14ac:dyDescent="0.2">
      <c r="A4587" s="140" t="s">
        <v>3220</v>
      </c>
      <c r="B4587" s="141">
        <v>1.0106890245078E-3</v>
      </c>
      <c r="D4587" s="141"/>
    </row>
    <row r="4588" spans="1:4" x14ac:dyDescent="0.2">
      <c r="A4588" s="140" t="s">
        <v>4700</v>
      </c>
      <c r="B4588" s="141">
        <v>1.0098870034610701E-3</v>
      </c>
      <c r="D4588" s="141"/>
    </row>
    <row r="4589" spans="1:4" x14ac:dyDescent="0.2">
      <c r="A4589" s="140" t="s">
        <v>4620</v>
      </c>
      <c r="B4589" s="141">
        <v>1.00956777938868E-3</v>
      </c>
      <c r="D4589" s="141"/>
    </row>
    <row r="4590" spans="1:4" x14ac:dyDescent="0.2">
      <c r="A4590" s="140" t="s">
        <v>1592</v>
      </c>
      <c r="B4590" s="141">
        <v>1.0093932612551099E-3</v>
      </c>
      <c r="D4590" s="141"/>
    </row>
    <row r="4591" spans="1:4" x14ac:dyDescent="0.2">
      <c r="A4591" s="140" t="s">
        <v>3874</v>
      </c>
      <c r="B4591" s="141">
        <v>1.0092544254400801E-3</v>
      </c>
      <c r="D4591" s="141"/>
    </row>
    <row r="4592" spans="1:4" x14ac:dyDescent="0.2">
      <c r="A4592" s="140" t="s">
        <v>1176</v>
      </c>
      <c r="B4592" s="141">
        <v>1.0091820469760001E-3</v>
      </c>
      <c r="D4592" s="141"/>
    </row>
    <row r="4593" spans="1:4" x14ac:dyDescent="0.2">
      <c r="A4593" s="140" t="s">
        <v>8072</v>
      </c>
      <c r="B4593" s="141">
        <v>1.00695179825086E-3</v>
      </c>
      <c r="D4593" s="141"/>
    </row>
    <row r="4594" spans="1:4" x14ac:dyDescent="0.2">
      <c r="A4594" s="140" t="s">
        <v>8073</v>
      </c>
      <c r="B4594" s="141">
        <v>1.00695179825086E-3</v>
      </c>
      <c r="D4594" s="141"/>
    </row>
    <row r="4595" spans="1:4" x14ac:dyDescent="0.2">
      <c r="A4595" s="140" t="s">
        <v>8074</v>
      </c>
      <c r="B4595" s="141">
        <v>1.00695179825086E-3</v>
      </c>
      <c r="D4595" s="141"/>
    </row>
    <row r="4596" spans="1:4" x14ac:dyDescent="0.2">
      <c r="A4596" s="140" t="s">
        <v>8075</v>
      </c>
      <c r="B4596" s="141">
        <v>1.00695179825086E-3</v>
      </c>
      <c r="D4596" s="141"/>
    </row>
    <row r="4597" spans="1:4" x14ac:dyDescent="0.2">
      <c r="A4597" s="140" t="s">
        <v>8076</v>
      </c>
      <c r="B4597" s="141">
        <v>1.00695179825086E-3</v>
      </c>
      <c r="D4597" s="141"/>
    </row>
    <row r="4598" spans="1:4" x14ac:dyDescent="0.2">
      <c r="A4598" s="140" t="s">
        <v>8077</v>
      </c>
      <c r="B4598" s="141">
        <v>1.00695179825086E-3</v>
      </c>
      <c r="D4598" s="141"/>
    </row>
    <row r="4599" spans="1:4" x14ac:dyDescent="0.2">
      <c r="A4599" s="140" t="s">
        <v>8078</v>
      </c>
      <c r="B4599" s="141">
        <v>1.00695179825086E-3</v>
      </c>
      <c r="D4599" s="141"/>
    </row>
    <row r="4600" spans="1:4" x14ac:dyDescent="0.2">
      <c r="A4600" s="140" t="s">
        <v>8079</v>
      </c>
      <c r="B4600" s="141">
        <v>1.00695179825086E-3</v>
      </c>
      <c r="D4600" s="141"/>
    </row>
    <row r="4601" spans="1:4" x14ac:dyDescent="0.2">
      <c r="A4601" s="140" t="s">
        <v>2113</v>
      </c>
      <c r="B4601" s="141">
        <v>1.00663529149514E-3</v>
      </c>
      <c r="D4601" s="141"/>
    </row>
    <row r="4602" spans="1:4" x14ac:dyDescent="0.2">
      <c r="A4602" s="140" t="s">
        <v>3876</v>
      </c>
      <c r="B4602" s="141">
        <v>1.00388167249255E-3</v>
      </c>
      <c r="D4602" s="141"/>
    </row>
    <row r="4603" spans="1:4" x14ac:dyDescent="0.2">
      <c r="A4603" s="140" t="s">
        <v>1406</v>
      </c>
      <c r="B4603" s="141">
        <v>1.00344602983817E-3</v>
      </c>
      <c r="D4603" s="141"/>
    </row>
    <row r="4604" spans="1:4" x14ac:dyDescent="0.2">
      <c r="A4604" s="140" t="s">
        <v>5623</v>
      </c>
      <c r="B4604" s="141">
        <v>1.0031326933347799E-3</v>
      </c>
      <c r="D4604" s="141"/>
    </row>
    <row r="4605" spans="1:4" x14ac:dyDescent="0.2">
      <c r="A4605" s="140" t="s">
        <v>4636</v>
      </c>
      <c r="B4605" s="141">
        <v>1.0030297781815801E-3</v>
      </c>
      <c r="D4605" s="141"/>
    </row>
    <row r="4606" spans="1:4" x14ac:dyDescent="0.2">
      <c r="A4606" s="140" t="s">
        <v>8080</v>
      </c>
      <c r="B4606" s="141">
        <v>1.00233732719451E-3</v>
      </c>
      <c r="D4606" s="141"/>
    </row>
    <row r="4607" spans="1:4" x14ac:dyDescent="0.2">
      <c r="A4607" s="140" t="s">
        <v>4736</v>
      </c>
      <c r="B4607" s="141">
        <v>1.0022968468276099E-3</v>
      </c>
      <c r="D4607" s="141"/>
    </row>
    <row r="4608" spans="1:4" x14ac:dyDescent="0.2">
      <c r="A4608" s="140" t="s">
        <v>8081</v>
      </c>
      <c r="B4608" s="141">
        <v>1.0019826236597701E-3</v>
      </c>
      <c r="D4608" s="141"/>
    </row>
    <row r="4609" spans="1:4" x14ac:dyDescent="0.2">
      <c r="A4609" s="140" t="s">
        <v>8082</v>
      </c>
      <c r="B4609" s="141">
        <v>1.0012415910892001E-3</v>
      </c>
      <c r="D4609" s="141"/>
    </row>
    <row r="4610" spans="1:4" x14ac:dyDescent="0.2">
      <c r="A4610" s="140" t="s">
        <v>4633</v>
      </c>
      <c r="B4610" s="141">
        <v>9.9973423865297993E-4</v>
      </c>
      <c r="D4610" s="141"/>
    </row>
    <row r="4611" spans="1:4" x14ac:dyDescent="0.2">
      <c r="A4611" s="140" t="s">
        <v>2184</v>
      </c>
      <c r="B4611" s="141">
        <v>9.994673014689199E-4</v>
      </c>
      <c r="D4611" s="141"/>
    </row>
    <row r="4612" spans="1:4" x14ac:dyDescent="0.2">
      <c r="A4612" s="140" t="s">
        <v>1571</v>
      </c>
      <c r="B4612" s="141">
        <v>9.9885678195969991E-4</v>
      </c>
      <c r="D4612" s="141"/>
    </row>
    <row r="4613" spans="1:4" x14ac:dyDescent="0.2">
      <c r="A4613" s="140" t="s">
        <v>1631</v>
      </c>
      <c r="B4613" s="141">
        <v>9.9844641884413998E-4</v>
      </c>
      <c r="D4613" s="141"/>
    </row>
    <row r="4614" spans="1:4" x14ac:dyDescent="0.2">
      <c r="A4614" s="140" t="s">
        <v>4907</v>
      </c>
      <c r="B4614" s="141">
        <v>9.9762871250700996E-4</v>
      </c>
      <c r="D4614" s="141"/>
    </row>
    <row r="4615" spans="1:4" x14ac:dyDescent="0.2">
      <c r="A4615" s="140" t="s">
        <v>4363</v>
      </c>
      <c r="B4615" s="141">
        <v>9.9762871250700996E-4</v>
      </c>
      <c r="D4615" s="141"/>
    </row>
    <row r="4616" spans="1:4" x14ac:dyDescent="0.2">
      <c r="A4616" s="140" t="s">
        <v>3967</v>
      </c>
      <c r="B4616" s="141">
        <v>9.9762871250700996E-4</v>
      </c>
      <c r="D4616" s="141"/>
    </row>
    <row r="4617" spans="1:4" x14ac:dyDescent="0.2">
      <c r="A4617" s="140" t="s">
        <v>3491</v>
      </c>
      <c r="B4617" s="141">
        <v>9.9762871250700996E-4</v>
      </c>
      <c r="D4617" s="141"/>
    </row>
    <row r="4618" spans="1:4" x14ac:dyDescent="0.2">
      <c r="A4618" s="140" t="s">
        <v>3380</v>
      </c>
      <c r="B4618" s="141">
        <v>9.9762871250700996E-4</v>
      </c>
      <c r="D4618" s="141"/>
    </row>
    <row r="4619" spans="1:4" x14ac:dyDescent="0.2">
      <c r="A4619" s="140" t="s">
        <v>1313</v>
      </c>
      <c r="B4619" s="141">
        <v>9.9701559027701994E-4</v>
      </c>
      <c r="D4619" s="141"/>
    </row>
    <row r="4620" spans="1:4" x14ac:dyDescent="0.2">
      <c r="A4620" s="140" t="s">
        <v>5760</v>
      </c>
      <c r="B4620" s="141">
        <v>9.969976478241601E-4</v>
      </c>
      <c r="D4620" s="141"/>
    </row>
    <row r="4621" spans="1:4" x14ac:dyDescent="0.2">
      <c r="A4621" s="140" t="s">
        <v>1945</v>
      </c>
      <c r="B4621" s="141">
        <v>9.9688680876906994E-4</v>
      </c>
      <c r="D4621" s="141"/>
    </row>
    <row r="4622" spans="1:4" x14ac:dyDescent="0.2">
      <c r="A4622" s="140" t="s">
        <v>3357</v>
      </c>
      <c r="B4622" s="141">
        <v>9.9649976802717991E-4</v>
      </c>
      <c r="D4622" s="141"/>
    </row>
    <row r="4623" spans="1:4" x14ac:dyDescent="0.2">
      <c r="A4623" s="140" t="s">
        <v>4466</v>
      </c>
      <c r="B4623" s="141">
        <v>9.9642744987268991E-4</v>
      </c>
      <c r="D4623" s="141"/>
    </row>
    <row r="4624" spans="1:4" x14ac:dyDescent="0.2">
      <c r="A4624" s="140" t="s">
        <v>8083</v>
      </c>
      <c r="B4624" s="141">
        <v>9.9509182113967994E-4</v>
      </c>
      <c r="D4624" s="141"/>
    </row>
    <row r="4625" spans="1:4" x14ac:dyDescent="0.2">
      <c r="A4625" s="140" t="s">
        <v>6094</v>
      </c>
      <c r="B4625" s="141">
        <v>9.9501463597742004E-4</v>
      </c>
      <c r="D4625" s="141"/>
    </row>
    <row r="4626" spans="1:4" x14ac:dyDescent="0.2">
      <c r="A4626" s="140" t="s">
        <v>8084</v>
      </c>
      <c r="B4626" s="141">
        <v>9.9425703849860005E-4</v>
      </c>
      <c r="D4626" s="141"/>
    </row>
    <row r="4627" spans="1:4" x14ac:dyDescent="0.2">
      <c r="A4627" s="140" t="s">
        <v>8085</v>
      </c>
      <c r="B4627" s="141">
        <v>9.9191198315637993E-4</v>
      </c>
      <c r="D4627" s="141"/>
    </row>
    <row r="4628" spans="1:4" x14ac:dyDescent="0.2">
      <c r="A4628" s="140" t="s">
        <v>5825</v>
      </c>
      <c r="B4628" s="141">
        <v>9.9151051880061003E-4</v>
      </c>
      <c r="D4628" s="141"/>
    </row>
    <row r="4629" spans="1:4" x14ac:dyDescent="0.2">
      <c r="A4629" s="140" t="s">
        <v>1432</v>
      </c>
      <c r="B4629" s="141">
        <v>9.9069364030521007E-4</v>
      </c>
      <c r="D4629" s="141"/>
    </row>
    <row r="4630" spans="1:4" x14ac:dyDescent="0.2">
      <c r="A4630" s="140" t="s">
        <v>2532</v>
      </c>
      <c r="B4630" s="141">
        <v>9.9053129300987006E-4</v>
      </c>
      <c r="D4630" s="141"/>
    </row>
    <row r="4631" spans="1:4" x14ac:dyDescent="0.2">
      <c r="A4631" s="140" t="s">
        <v>5922</v>
      </c>
      <c r="B4631" s="141">
        <v>9.8993577631217009E-4</v>
      </c>
      <c r="D4631" s="141"/>
    </row>
    <row r="4632" spans="1:4" x14ac:dyDescent="0.2">
      <c r="A4632" s="140" t="s">
        <v>5051</v>
      </c>
      <c r="B4632" s="141">
        <v>9.8822505085455008E-4</v>
      </c>
      <c r="D4632" s="141"/>
    </row>
    <row r="4633" spans="1:4" x14ac:dyDescent="0.2">
      <c r="A4633" s="140" t="s">
        <v>1533</v>
      </c>
      <c r="B4633" s="141">
        <v>9.878357749132699E-4</v>
      </c>
      <c r="D4633" s="141"/>
    </row>
    <row r="4634" spans="1:4" x14ac:dyDescent="0.2">
      <c r="A4634" s="140" t="s">
        <v>5616</v>
      </c>
      <c r="B4634" s="141">
        <v>9.8705301347239995E-4</v>
      </c>
      <c r="D4634" s="141"/>
    </row>
    <row r="4635" spans="1:4" x14ac:dyDescent="0.2">
      <c r="A4635" s="140" t="s">
        <v>1087</v>
      </c>
      <c r="B4635" s="141">
        <v>9.8591693774404006E-4</v>
      </c>
      <c r="D4635" s="141"/>
    </row>
    <row r="4636" spans="1:4" x14ac:dyDescent="0.2">
      <c r="A4636" s="140" t="s">
        <v>5303</v>
      </c>
      <c r="B4636" s="141">
        <v>9.8502040386205E-4</v>
      </c>
      <c r="D4636" s="141"/>
    </row>
    <row r="4637" spans="1:4" x14ac:dyDescent="0.2">
      <c r="A4637" s="140" t="s">
        <v>8086</v>
      </c>
      <c r="B4637" s="141">
        <v>9.8465006218124008E-4</v>
      </c>
      <c r="D4637" s="141"/>
    </row>
    <row r="4638" spans="1:4" x14ac:dyDescent="0.2">
      <c r="A4638" s="140" t="s">
        <v>2523</v>
      </c>
      <c r="B4638" s="141">
        <v>9.8413073711764009E-4</v>
      </c>
      <c r="D4638" s="141"/>
    </row>
    <row r="4639" spans="1:4" x14ac:dyDescent="0.2">
      <c r="A4639" s="140" t="s">
        <v>2778</v>
      </c>
      <c r="B4639" s="141">
        <v>9.8372742823752009E-4</v>
      </c>
      <c r="D4639" s="141"/>
    </row>
    <row r="4640" spans="1:4" x14ac:dyDescent="0.2">
      <c r="A4640" s="140" t="s">
        <v>8087</v>
      </c>
      <c r="B4640" s="141">
        <v>9.8296323455483009E-4</v>
      </c>
      <c r="D4640" s="141"/>
    </row>
    <row r="4641" spans="1:4" x14ac:dyDescent="0.2">
      <c r="A4641" s="140" t="s">
        <v>8088</v>
      </c>
      <c r="B4641" s="141">
        <v>9.8296323455483009E-4</v>
      </c>
      <c r="D4641" s="141"/>
    </row>
    <row r="4642" spans="1:4" x14ac:dyDescent="0.2">
      <c r="A4642" s="140" t="s">
        <v>8089</v>
      </c>
      <c r="B4642" s="141">
        <v>9.8225859155769992E-4</v>
      </c>
      <c r="D4642" s="141"/>
    </row>
    <row r="4643" spans="1:4" x14ac:dyDescent="0.2">
      <c r="A4643" s="140" t="s">
        <v>8090</v>
      </c>
      <c r="B4643" s="141">
        <v>9.8111810879275996E-4</v>
      </c>
      <c r="D4643" s="141"/>
    </row>
    <row r="4644" spans="1:4" x14ac:dyDescent="0.2">
      <c r="A4644" s="140" t="s">
        <v>8091</v>
      </c>
      <c r="B4644" s="141">
        <v>9.7996907377896993E-4</v>
      </c>
      <c r="D4644" s="141"/>
    </row>
    <row r="4645" spans="1:4" x14ac:dyDescent="0.2">
      <c r="A4645" s="140" t="s">
        <v>1813</v>
      </c>
      <c r="B4645" s="141">
        <v>9.7909202273303007E-4</v>
      </c>
      <c r="D4645" s="141"/>
    </row>
    <row r="4646" spans="1:4" x14ac:dyDescent="0.2">
      <c r="A4646" s="140" t="s">
        <v>8092</v>
      </c>
      <c r="B4646" s="141">
        <v>9.7781774966909998E-4</v>
      </c>
      <c r="D4646" s="141"/>
    </row>
    <row r="4647" spans="1:4" x14ac:dyDescent="0.2">
      <c r="A4647" s="140" t="s">
        <v>8093</v>
      </c>
      <c r="B4647" s="141">
        <v>9.7781774966909998E-4</v>
      </c>
      <c r="D4647" s="141"/>
    </row>
    <row r="4648" spans="1:4" x14ac:dyDescent="0.2">
      <c r="A4648" s="140" t="s">
        <v>8094</v>
      </c>
      <c r="B4648" s="141">
        <v>9.7781774966909998E-4</v>
      </c>
      <c r="D4648" s="141"/>
    </row>
    <row r="4649" spans="1:4" x14ac:dyDescent="0.2">
      <c r="A4649" s="140" t="s">
        <v>8095</v>
      </c>
      <c r="B4649" s="141">
        <v>9.7781774966909998E-4</v>
      </c>
      <c r="D4649" s="141"/>
    </row>
    <row r="4650" spans="1:4" x14ac:dyDescent="0.2">
      <c r="A4650" s="140" t="s">
        <v>8096</v>
      </c>
      <c r="B4650" s="141">
        <v>9.7781774966909998E-4</v>
      </c>
      <c r="D4650" s="141"/>
    </row>
    <row r="4651" spans="1:4" x14ac:dyDescent="0.2">
      <c r="A4651" s="140" t="s">
        <v>8097</v>
      </c>
      <c r="B4651" s="141">
        <v>9.7781774966909998E-4</v>
      </c>
      <c r="D4651" s="141"/>
    </row>
    <row r="4652" spans="1:4" x14ac:dyDescent="0.2">
      <c r="A4652" s="140" t="s">
        <v>8098</v>
      </c>
      <c r="B4652" s="141">
        <v>9.7781774966909998E-4</v>
      </c>
      <c r="D4652" s="141"/>
    </row>
    <row r="4653" spans="1:4" x14ac:dyDescent="0.2">
      <c r="A4653" s="140" t="s">
        <v>8099</v>
      </c>
      <c r="B4653" s="141">
        <v>9.7781774966909998E-4</v>
      </c>
      <c r="D4653" s="141"/>
    </row>
    <row r="4654" spans="1:4" x14ac:dyDescent="0.2">
      <c r="A4654" s="140" t="s">
        <v>8100</v>
      </c>
      <c r="B4654" s="141">
        <v>9.7781774966909998E-4</v>
      </c>
      <c r="D4654" s="141"/>
    </row>
    <row r="4655" spans="1:4" x14ac:dyDescent="0.2">
      <c r="A4655" s="140" t="s">
        <v>8101</v>
      </c>
      <c r="B4655" s="141">
        <v>9.7781774966909998E-4</v>
      </c>
      <c r="D4655" s="141"/>
    </row>
    <row r="4656" spans="1:4" x14ac:dyDescent="0.2">
      <c r="A4656" s="140" t="s">
        <v>8102</v>
      </c>
      <c r="B4656" s="141">
        <v>9.7781774966909998E-4</v>
      </c>
      <c r="D4656" s="141"/>
    </row>
    <row r="4657" spans="1:4" x14ac:dyDescent="0.2">
      <c r="A4657" s="140" t="s">
        <v>2714</v>
      </c>
      <c r="B4657" s="141">
        <v>9.7650374548097999E-4</v>
      </c>
      <c r="D4657" s="141"/>
    </row>
    <row r="4658" spans="1:4" x14ac:dyDescent="0.2">
      <c r="A4658" s="140" t="s">
        <v>537</v>
      </c>
      <c r="B4658" s="141">
        <v>9.7647561238641998E-4</v>
      </c>
      <c r="D4658" s="141"/>
    </row>
    <row r="4659" spans="1:4" x14ac:dyDescent="0.2">
      <c r="A4659" s="140" t="s">
        <v>1144</v>
      </c>
      <c r="B4659" s="141">
        <v>9.7601071768687003E-4</v>
      </c>
      <c r="D4659" s="141"/>
    </row>
    <row r="4660" spans="1:4" x14ac:dyDescent="0.2">
      <c r="A4660" s="140" t="s">
        <v>5926</v>
      </c>
      <c r="B4660" s="141">
        <v>9.7482850920228999E-4</v>
      </c>
      <c r="D4660" s="141"/>
    </row>
    <row r="4661" spans="1:4" x14ac:dyDescent="0.2">
      <c r="A4661" s="140" t="s">
        <v>8103</v>
      </c>
      <c r="B4661" s="141">
        <v>9.7471863253572005E-4</v>
      </c>
      <c r="D4661" s="141"/>
    </row>
    <row r="4662" spans="1:4" x14ac:dyDescent="0.2">
      <c r="A4662" s="140" t="s">
        <v>4945</v>
      </c>
      <c r="B4662" s="141">
        <v>9.7449465709541997E-4</v>
      </c>
      <c r="D4662" s="141"/>
    </row>
    <row r="4663" spans="1:4" x14ac:dyDescent="0.2">
      <c r="A4663" s="140" t="s">
        <v>5344</v>
      </c>
      <c r="B4663" s="141">
        <v>9.7434467676289999E-4</v>
      </c>
      <c r="D4663" s="141"/>
    </row>
    <row r="4664" spans="1:4" x14ac:dyDescent="0.2">
      <c r="A4664" s="140" t="s">
        <v>5443</v>
      </c>
      <c r="B4664" s="141">
        <v>9.7335240081555005E-4</v>
      </c>
      <c r="D4664" s="141"/>
    </row>
    <row r="4665" spans="1:4" x14ac:dyDescent="0.2">
      <c r="A4665" s="140" t="s">
        <v>1572</v>
      </c>
      <c r="B4665" s="141">
        <v>9.7257026743439003E-4</v>
      </c>
      <c r="D4665" s="141"/>
    </row>
    <row r="4666" spans="1:4" x14ac:dyDescent="0.2">
      <c r="A4666" s="140" t="s">
        <v>8104</v>
      </c>
      <c r="B4666" s="141">
        <v>9.7236151055312998E-4</v>
      </c>
      <c r="D4666" s="141"/>
    </row>
    <row r="4667" spans="1:4" x14ac:dyDescent="0.2">
      <c r="A4667" s="140" t="s">
        <v>3508</v>
      </c>
      <c r="B4667" s="141">
        <v>9.7180430789503005E-4</v>
      </c>
      <c r="D4667" s="141"/>
    </row>
    <row r="4668" spans="1:4" x14ac:dyDescent="0.2">
      <c r="A4668" s="140" t="s">
        <v>2437</v>
      </c>
      <c r="B4668" s="141">
        <v>9.7125587131275E-4</v>
      </c>
      <c r="D4668" s="141"/>
    </row>
    <row r="4669" spans="1:4" x14ac:dyDescent="0.2">
      <c r="A4669" s="140" t="s">
        <v>3880</v>
      </c>
      <c r="B4669" s="141">
        <v>9.7030299549241998E-4</v>
      </c>
      <c r="D4669" s="141"/>
    </row>
    <row r="4670" spans="1:4" x14ac:dyDescent="0.2">
      <c r="A4670" s="140" t="s">
        <v>1949</v>
      </c>
      <c r="B4670" s="141">
        <v>9.6986542781042E-4</v>
      </c>
      <c r="D4670" s="141"/>
    </row>
    <row r="4671" spans="1:4" x14ac:dyDescent="0.2">
      <c r="A4671" s="140" t="s">
        <v>6315</v>
      </c>
      <c r="B4671" s="141">
        <v>9.6950285779216999E-4</v>
      </c>
      <c r="D4671" s="141"/>
    </row>
    <row r="4672" spans="1:4" x14ac:dyDescent="0.2">
      <c r="A4672" s="140" t="s">
        <v>3658</v>
      </c>
      <c r="B4672" s="141">
        <v>9.6949175508599997E-4</v>
      </c>
      <c r="D4672" s="141"/>
    </row>
    <row r="4673" spans="1:4" x14ac:dyDescent="0.2">
      <c r="A4673" s="140" t="s">
        <v>3072</v>
      </c>
      <c r="B4673" s="141">
        <v>9.6881756661525999E-4</v>
      </c>
      <c r="D4673" s="141"/>
    </row>
    <row r="4674" spans="1:4" x14ac:dyDescent="0.2">
      <c r="A4674" s="140" t="s">
        <v>2163</v>
      </c>
      <c r="B4674" s="141">
        <v>9.6781764092424005E-4</v>
      </c>
      <c r="D4674" s="141"/>
    </row>
    <row r="4675" spans="1:4" x14ac:dyDescent="0.2">
      <c r="A4675" s="140" t="s">
        <v>733</v>
      </c>
      <c r="B4675" s="141">
        <v>9.6756523367068001E-4</v>
      </c>
      <c r="D4675" s="141"/>
    </row>
    <row r="4676" spans="1:4" x14ac:dyDescent="0.2">
      <c r="A4676" s="140" t="s">
        <v>3680</v>
      </c>
      <c r="B4676" s="141">
        <v>9.6681935297380996E-4</v>
      </c>
      <c r="D4676" s="141"/>
    </row>
    <row r="4677" spans="1:4" x14ac:dyDescent="0.2">
      <c r="A4677" s="140" t="s">
        <v>3501</v>
      </c>
      <c r="B4677" s="141">
        <v>9.6578319950926003E-4</v>
      </c>
      <c r="D4677" s="141"/>
    </row>
    <row r="4678" spans="1:4" x14ac:dyDescent="0.2">
      <c r="A4678" s="140" t="s">
        <v>4186</v>
      </c>
      <c r="B4678" s="141">
        <v>9.6482556117312001E-4</v>
      </c>
      <c r="D4678" s="141"/>
    </row>
    <row r="4679" spans="1:4" x14ac:dyDescent="0.2">
      <c r="A4679" s="140" t="s">
        <v>8105</v>
      </c>
      <c r="B4679" s="141">
        <v>9.6438118500726997E-4</v>
      </c>
      <c r="D4679" s="141"/>
    </row>
    <row r="4680" spans="1:4" x14ac:dyDescent="0.2">
      <c r="A4680" s="140" t="s">
        <v>2975</v>
      </c>
      <c r="B4680" s="141">
        <v>9.6328151376251004E-4</v>
      </c>
      <c r="D4680" s="141"/>
    </row>
    <row r="4681" spans="1:4" x14ac:dyDescent="0.2">
      <c r="A4681" s="140" t="s">
        <v>1390</v>
      </c>
      <c r="B4681" s="141">
        <v>9.6323710892792997E-4</v>
      </c>
      <c r="D4681" s="141"/>
    </row>
    <row r="4682" spans="1:4" x14ac:dyDescent="0.2">
      <c r="A4682" s="140" t="s">
        <v>2547</v>
      </c>
      <c r="B4682" s="141">
        <v>9.6107233868040001E-4</v>
      </c>
      <c r="D4682" s="141"/>
    </row>
    <row r="4683" spans="1:4" x14ac:dyDescent="0.2">
      <c r="A4683" s="140" t="s">
        <v>5705</v>
      </c>
      <c r="B4683" s="141">
        <v>9.5977098176362003E-4</v>
      </c>
      <c r="D4683" s="141"/>
    </row>
    <row r="4684" spans="1:4" x14ac:dyDescent="0.2">
      <c r="A4684" s="140" t="s">
        <v>4852</v>
      </c>
      <c r="B4684" s="141">
        <v>9.5934623077549997E-4</v>
      </c>
      <c r="D4684" s="141"/>
    </row>
    <row r="4685" spans="1:4" x14ac:dyDescent="0.2">
      <c r="A4685" s="140" t="s">
        <v>4203</v>
      </c>
      <c r="B4685" s="141">
        <v>9.5892004140448004E-4</v>
      </c>
      <c r="D4685" s="141"/>
    </row>
    <row r="4686" spans="1:4" x14ac:dyDescent="0.2">
      <c r="A4686" s="140" t="s">
        <v>3316</v>
      </c>
      <c r="B4686" s="141">
        <v>9.5888241469217002E-4</v>
      </c>
      <c r="D4686" s="141"/>
    </row>
    <row r="4687" spans="1:4" x14ac:dyDescent="0.2">
      <c r="A4687" s="140" t="s">
        <v>3074</v>
      </c>
      <c r="B4687" s="141">
        <v>9.5736526573207996E-4</v>
      </c>
      <c r="D4687" s="141"/>
    </row>
    <row r="4688" spans="1:4" x14ac:dyDescent="0.2">
      <c r="A4688" s="140" t="s">
        <v>3393</v>
      </c>
      <c r="B4688" s="141">
        <v>9.5708276555938015E-4</v>
      </c>
      <c r="D4688" s="141"/>
    </row>
    <row r="4689" spans="1:4" x14ac:dyDescent="0.2">
      <c r="A4689" s="140" t="s">
        <v>3813</v>
      </c>
      <c r="B4689" s="141">
        <v>9.5690564920117998E-4</v>
      </c>
      <c r="D4689" s="141"/>
    </row>
    <row r="4690" spans="1:4" x14ac:dyDescent="0.2">
      <c r="A4690" s="140" t="s">
        <v>3696</v>
      </c>
      <c r="B4690" s="141">
        <v>9.5526824537744005E-4</v>
      </c>
      <c r="D4690" s="141"/>
    </row>
    <row r="4691" spans="1:4" x14ac:dyDescent="0.2">
      <c r="A4691" s="140" t="s">
        <v>5880</v>
      </c>
      <c r="B4691" s="141">
        <v>9.5496840689206003E-4</v>
      </c>
      <c r="D4691" s="141"/>
    </row>
    <row r="4692" spans="1:4" x14ac:dyDescent="0.2">
      <c r="A4692" s="140" t="s">
        <v>3236</v>
      </c>
      <c r="B4692" s="141">
        <v>9.5496840689206003E-4</v>
      </c>
      <c r="D4692" s="141"/>
    </row>
    <row r="4693" spans="1:4" x14ac:dyDescent="0.2">
      <c r="A4693" s="140" t="s">
        <v>8106</v>
      </c>
      <c r="B4693" s="141">
        <v>9.5421532304061001E-4</v>
      </c>
      <c r="D4693" s="141"/>
    </row>
    <row r="4694" spans="1:4" x14ac:dyDescent="0.2">
      <c r="A4694" s="140" t="s">
        <v>3657</v>
      </c>
      <c r="B4694" s="141">
        <v>9.5352007660010995E-4</v>
      </c>
      <c r="D4694" s="141"/>
    </row>
    <row r="4695" spans="1:4" x14ac:dyDescent="0.2">
      <c r="A4695" s="140" t="s">
        <v>4749</v>
      </c>
      <c r="B4695" s="141">
        <v>9.5320832624327999E-4</v>
      </c>
      <c r="D4695" s="141"/>
    </row>
    <row r="4696" spans="1:4" x14ac:dyDescent="0.2">
      <c r="A4696" s="140" t="s">
        <v>2891</v>
      </c>
      <c r="B4696" s="141">
        <v>9.5278055995815999E-4</v>
      </c>
      <c r="D4696" s="141"/>
    </row>
    <row r="4697" spans="1:4" x14ac:dyDescent="0.2">
      <c r="A4697" s="140" t="s">
        <v>8107</v>
      </c>
      <c r="B4697" s="141">
        <v>9.5263065644690995E-4</v>
      </c>
      <c r="D4697" s="141"/>
    </row>
    <row r="4698" spans="1:4" x14ac:dyDescent="0.2">
      <c r="A4698" s="140" t="s">
        <v>3497</v>
      </c>
      <c r="B4698" s="141">
        <v>9.5094096912976E-4</v>
      </c>
      <c r="D4698" s="141"/>
    </row>
    <row r="4699" spans="1:4" x14ac:dyDescent="0.2">
      <c r="A4699" s="140" t="s">
        <v>8108</v>
      </c>
      <c r="B4699" s="141">
        <v>9.4689491823276998E-4</v>
      </c>
      <c r="D4699" s="141"/>
    </row>
    <row r="4700" spans="1:4" x14ac:dyDescent="0.2">
      <c r="A4700" s="140" t="s">
        <v>6228</v>
      </c>
      <c r="B4700" s="141">
        <v>9.4609796646713995E-4</v>
      </c>
      <c r="D4700" s="141"/>
    </row>
    <row r="4701" spans="1:4" x14ac:dyDescent="0.2">
      <c r="A4701" s="140" t="s">
        <v>5608</v>
      </c>
      <c r="B4701" s="141">
        <v>9.4482973081079003E-4</v>
      </c>
      <c r="D4701" s="141"/>
    </row>
    <row r="4702" spans="1:4" x14ac:dyDescent="0.2">
      <c r="A4702" s="140" t="s">
        <v>8109</v>
      </c>
      <c r="B4702" s="141">
        <v>9.4415275679688999E-4</v>
      </c>
      <c r="D4702" s="141"/>
    </row>
    <row r="4703" spans="1:4" x14ac:dyDescent="0.2">
      <c r="A4703" s="140" t="s">
        <v>8110</v>
      </c>
      <c r="B4703" s="141">
        <v>9.4399372210211005E-4</v>
      </c>
      <c r="D4703" s="141"/>
    </row>
    <row r="4704" spans="1:4" x14ac:dyDescent="0.2">
      <c r="A4704" s="140" t="s">
        <v>5161</v>
      </c>
      <c r="B4704" s="141">
        <v>9.4321489483901002E-4</v>
      </c>
      <c r="D4704" s="141"/>
    </row>
    <row r="4705" spans="1:4" x14ac:dyDescent="0.2">
      <c r="A4705" s="140" t="s">
        <v>931</v>
      </c>
      <c r="B4705" s="141">
        <v>9.4296996783244005E-4</v>
      </c>
      <c r="D4705" s="141"/>
    </row>
    <row r="4706" spans="1:4" x14ac:dyDescent="0.2">
      <c r="A4706" s="140" t="s">
        <v>998</v>
      </c>
      <c r="B4706" s="141">
        <v>9.418551168493E-4</v>
      </c>
      <c r="D4706" s="141"/>
    </row>
    <row r="4707" spans="1:4" x14ac:dyDescent="0.2">
      <c r="A4707" s="140" t="s">
        <v>1447</v>
      </c>
      <c r="B4707" s="141">
        <v>9.4170017664728996E-4</v>
      </c>
      <c r="D4707" s="141"/>
    </row>
    <row r="4708" spans="1:4" x14ac:dyDescent="0.2">
      <c r="A4708" s="140" t="s">
        <v>3822</v>
      </c>
      <c r="B4708" s="141">
        <v>9.4118730995186996E-4</v>
      </c>
      <c r="D4708" s="141"/>
    </row>
    <row r="4709" spans="1:4" x14ac:dyDescent="0.2">
      <c r="A4709" s="140" t="s">
        <v>3994</v>
      </c>
      <c r="B4709" s="141">
        <v>9.4111600238164998E-4</v>
      </c>
      <c r="D4709" s="141"/>
    </row>
    <row r="4710" spans="1:4" x14ac:dyDescent="0.2">
      <c r="A4710" s="140" t="s">
        <v>4806</v>
      </c>
      <c r="B4710" s="141">
        <v>9.4039977864043996E-4</v>
      </c>
      <c r="D4710" s="141"/>
    </row>
    <row r="4711" spans="1:4" x14ac:dyDescent="0.2">
      <c r="A4711" s="140" t="s">
        <v>8111</v>
      </c>
      <c r="B4711" s="141">
        <v>9.3724289391611997E-4</v>
      </c>
      <c r="D4711" s="141"/>
    </row>
    <row r="4712" spans="1:4" x14ac:dyDescent="0.2">
      <c r="A4712" s="140" t="s">
        <v>8112</v>
      </c>
      <c r="B4712" s="141">
        <v>9.3571328409180999E-4</v>
      </c>
      <c r="D4712" s="141"/>
    </row>
    <row r="4713" spans="1:4" x14ac:dyDescent="0.2">
      <c r="A4713" s="140" t="s">
        <v>8113</v>
      </c>
      <c r="B4713" s="141">
        <v>9.3571328409180999E-4</v>
      </c>
      <c r="D4713" s="141"/>
    </row>
    <row r="4714" spans="1:4" x14ac:dyDescent="0.2">
      <c r="A4714" s="140" t="s">
        <v>1350</v>
      </c>
      <c r="B4714" s="141">
        <v>9.3425670431968001E-4</v>
      </c>
      <c r="D4714" s="141"/>
    </row>
    <row r="4715" spans="1:4" x14ac:dyDescent="0.2">
      <c r="A4715" s="140" t="s">
        <v>8114</v>
      </c>
      <c r="B4715" s="141">
        <v>9.3265117248625005E-4</v>
      </c>
      <c r="D4715" s="141"/>
    </row>
    <row r="4716" spans="1:4" x14ac:dyDescent="0.2">
      <c r="A4716" s="140" t="s">
        <v>8115</v>
      </c>
      <c r="B4716" s="141">
        <v>9.3264091145192E-4</v>
      </c>
      <c r="D4716" s="141"/>
    </row>
    <row r="4717" spans="1:4" x14ac:dyDescent="0.2">
      <c r="A4717" s="140" t="s">
        <v>673</v>
      </c>
      <c r="B4717" s="141">
        <v>9.3124637968275002E-4</v>
      </c>
      <c r="D4717" s="141"/>
    </row>
    <row r="4718" spans="1:4" x14ac:dyDescent="0.2">
      <c r="A4718" s="140" t="s">
        <v>1771</v>
      </c>
      <c r="B4718" s="141">
        <v>9.3065710032155997E-4</v>
      </c>
      <c r="D4718" s="141"/>
    </row>
    <row r="4719" spans="1:4" x14ac:dyDescent="0.2">
      <c r="A4719" s="140" t="s">
        <v>3937</v>
      </c>
      <c r="B4719" s="141">
        <v>9.3004417684144003E-4</v>
      </c>
      <c r="D4719" s="141"/>
    </row>
    <row r="4720" spans="1:4" x14ac:dyDescent="0.2">
      <c r="A4720" s="140" t="s">
        <v>2795</v>
      </c>
      <c r="B4720" s="141">
        <v>9.3002324767588998E-4</v>
      </c>
      <c r="D4720" s="141"/>
    </row>
    <row r="4721" spans="1:4" x14ac:dyDescent="0.2">
      <c r="A4721" s="140" t="s">
        <v>4130</v>
      </c>
      <c r="B4721" s="141">
        <v>9.2978870573479002E-4</v>
      </c>
      <c r="D4721" s="141"/>
    </row>
    <row r="4722" spans="1:4" x14ac:dyDescent="0.2">
      <c r="A4722" s="140" t="s">
        <v>3262</v>
      </c>
      <c r="B4722" s="141">
        <v>9.2906052368696998E-4</v>
      </c>
      <c r="D4722" s="141"/>
    </row>
    <row r="4723" spans="1:4" x14ac:dyDescent="0.2">
      <c r="A4723" s="140" t="s">
        <v>4982</v>
      </c>
      <c r="B4723" s="141">
        <v>9.2853109792535003E-4</v>
      </c>
      <c r="D4723" s="141"/>
    </row>
    <row r="4724" spans="1:4" x14ac:dyDescent="0.2">
      <c r="A4724" s="140" t="s">
        <v>2372</v>
      </c>
      <c r="B4724" s="141">
        <v>9.2789149172690997E-4</v>
      </c>
      <c r="D4724" s="141"/>
    </row>
    <row r="4725" spans="1:4" x14ac:dyDescent="0.2">
      <c r="A4725" s="140" t="s">
        <v>3433</v>
      </c>
      <c r="B4725" s="141">
        <v>9.2746826240216996E-4</v>
      </c>
      <c r="D4725" s="141"/>
    </row>
    <row r="4726" spans="1:4" x14ac:dyDescent="0.2">
      <c r="A4726" s="140" t="s">
        <v>6072</v>
      </c>
      <c r="B4726" s="141">
        <v>9.2698111130379995E-4</v>
      </c>
      <c r="D4726" s="141"/>
    </row>
    <row r="4727" spans="1:4" x14ac:dyDescent="0.2">
      <c r="A4727" s="140" t="s">
        <v>8116</v>
      </c>
      <c r="B4727" s="141">
        <v>9.266024982923E-4</v>
      </c>
      <c r="D4727" s="141"/>
    </row>
    <row r="4728" spans="1:4" x14ac:dyDescent="0.2">
      <c r="A4728" s="140" t="s">
        <v>2699</v>
      </c>
      <c r="B4728" s="141">
        <v>9.2554073713614995E-4</v>
      </c>
      <c r="D4728" s="141"/>
    </row>
    <row r="4729" spans="1:4" x14ac:dyDescent="0.2">
      <c r="A4729" s="140" t="s">
        <v>8117</v>
      </c>
      <c r="B4729" s="141">
        <v>9.2525196616735997E-4</v>
      </c>
      <c r="D4729" s="141"/>
    </row>
    <row r="4730" spans="1:4" x14ac:dyDescent="0.2">
      <c r="A4730" s="140" t="s">
        <v>8118</v>
      </c>
      <c r="B4730" s="141">
        <v>9.2511948912268004E-4</v>
      </c>
      <c r="D4730" s="141"/>
    </row>
    <row r="4731" spans="1:4" x14ac:dyDescent="0.2">
      <c r="A4731" s="140" t="s">
        <v>8119</v>
      </c>
      <c r="B4731" s="141">
        <v>9.2507603693499005E-4</v>
      </c>
      <c r="D4731" s="141"/>
    </row>
    <row r="4732" spans="1:4" x14ac:dyDescent="0.2">
      <c r="A4732" s="140" t="s">
        <v>2839</v>
      </c>
      <c r="B4732" s="141">
        <v>9.2486993232106002E-4</v>
      </c>
      <c r="D4732" s="141"/>
    </row>
    <row r="4733" spans="1:4" x14ac:dyDescent="0.2">
      <c r="A4733" s="140" t="s">
        <v>1277</v>
      </c>
      <c r="B4733" s="141">
        <v>9.2483904686704995E-4</v>
      </c>
      <c r="D4733" s="141"/>
    </row>
    <row r="4734" spans="1:4" x14ac:dyDescent="0.2">
      <c r="A4734" s="140" t="s">
        <v>6127</v>
      </c>
      <c r="B4734" s="141">
        <v>9.2444271727151999E-4</v>
      </c>
      <c r="D4734" s="141"/>
    </row>
    <row r="4735" spans="1:4" x14ac:dyDescent="0.2">
      <c r="A4735" s="140" t="s">
        <v>5298</v>
      </c>
      <c r="B4735" s="141">
        <v>9.2324868260360005E-4</v>
      </c>
      <c r="D4735" s="141"/>
    </row>
    <row r="4736" spans="1:4" x14ac:dyDescent="0.2">
      <c r="A4736" s="140" t="s">
        <v>2540</v>
      </c>
      <c r="B4736" s="141">
        <v>9.2289321021912004E-4</v>
      </c>
      <c r="D4736" s="141"/>
    </row>
    <row r="4737" spans="1:4" x14ac:dyDescent="0.2">
      <c r="A4737" s="140" t="s">
        <v>8120</v>
      </c>
      <c r="B4737" s="141">
        <v>9.2127514887644995E-4</v>
      </c>
      <c r="D4737" s="141"/>
    </row>
    <row r="4738" spans="1:4" x14ac:dyDescent="0.2">
      <c r="A4738" s="140" t="s">
        <v>5262</v>
      </c>
      <c r="B4738" s="141">
        <v>9.2084169812778002E-4</v>
      </c>
      <c r="D4738" s="141"/>
    </row>
    <row r="4739" spans="1:4" x14ac:dyDescent="0.2">
      <c r="A4739" s="140" t="s">
        <v>6358</v>
      </c>
      <c r="B4739" s="141">
        <v>9.1984641498479998E-4</v>
      </c>
      <c r="D4739" s="141"/>
    </row>
    <row r="4740" spans="1:4" x14ac:dyDescent="0.2">
      <c r="A4740" s="140" t="s">
        <v>8121</v>
      </c>
      <c r="B4740" s="141">
        <v>9.1750682772499001E-4</v>
      </c>
      <c r="D4740" s="141"/>
    </row>
    <row r="4741" spans="1:4" x14ac:dyDescent="0.2">
      <c r="A4741" s="140" t="s">
        <v>8122</v>
      </c>
      <c r="B4741" s="141">
        <v>9.1699496887383996E-4</v>
      </c>
      <c r="D4741" s="141"/>
    </row>
    <row r="4742" spans="1:4" x14ac:dyDescent="0.2">
      <c r="A4742" s="140" t="s">
        <v>8123</v>
      </c>
      <c r="B4742" s="141">
        <v>9.1596842598588998E-4</v>
      </c>
      <c r="D4742" s="141"/>
    </row>
    <row r="4743" spans="1:4" x14ac:dyDescent="0.2">
      <c r="A4743" s="140" t="s">
        <v>8124</v>
      </c>
      <c r="B4743" s="141">
        <v>9.1523948640163998E-4</v>
      </c>
      <c r="D4743" s="141"/>
    </row>
    <row r="4744" spans="1:4" x14ac:dyDescent="0.2">
      <c r="A4744" s="140" t="s">
        <v>8125</v>
      </c>
      <c r="B4744" s="141">
        <v>9.1458898195247E-4</v>
      </c>
      <c r="D4744" s="141"/>
    </row>
    <row r="4745" spans="1:4" x14ac:dyDescent="0.2">
      <c r="A4745" s="140" t="s">
        <v>1957</v>
      </c>
      <c r="B4745" s="141">
        <v>9.1335031801715E-4</v>
      </c>
      <c r="D4745" s="141"/>
    </row>
    <row r="4746" spans="1:4" x14ac:dyDescent="0.2">
      <c r="A4746" s="140" t="s">
        <v>4221</v>
      </c>
      <c r="B4746" s="141">
        <v>9.1278670805226998E-4</v>
      </c>
      <c r="D4746" s="141"/>
    </row>
    <row r="4747" spans="1:4" x14ac:dyDescent="0.2">
      <c r="A4747" s="140" t="s">
        <v>8126</v>
      </c>
      <c r="B4747" s="141">
        <v>9.1173797677615001E-4</v>
      </c>
      <c r="D4747" s="141"/>
    </row>
    <row r="4748" spans="1:4" x14ac:dyDescent="0.2">
      <c r="A4748" s="140" t="s">
        <v>3427</v>
      </c>
      <c r="B4748" s="141">
        <v>9.1149263182382001E-4</v>
      </c>
      <c r="D4748" s="141"/>
    </row>
    <row r="4749" spans="1:4" x14ac:dyDescent="0.2">
      <c r="A4749" s="140" t="s">
        <v>3929</v>
      </c>
      <c r="B4749" s="141">
        <v>9.1015608080767996E-4</v>
      </c>
      <c r="D4749" s="141"/>
    </row>
    <row r="4750" spans="1:4" x14ac:dyDescent="0.2">
      <c r="A4750" s="140" t="s">
        <v>5037</v>
      </c>
      <c r="B4750" s="141">
        <v>9.1001423485300998E-4</v>
      </c>
      <c r="D4750" s="141"/>
    </row>
    <row r="4751" spans="1:4" x14ac:dyDescent="0.2">
      <c r="A4751" s="140" t="s">
        <v>4546</v>
      </c>
      <c r="B4751" s="141">
        <v>9.0889617481266995E-4</v>
      </c>
      <c r="D4751" s="141"/>
    </row>
    <row r="4752" spans="1:4" x14ac:dyDescent="0.2">
      <c r="A4752" s="140" t="s">
        <v>8127</v>
      </c>
      <c r="B4752" s="141">
        <v>9.0854885398840995E-4</v>
      </c>
      <c r="D4752" s="141"/>
    </row>
    <row r="4753" spans="1:4" x14ac:dyDescent="0.2">
      <c r="A4753" s="140" t="s">
        <v>4074</v>
      </c>
      <c r="B4753" s="141">
        <v>9.0764719725209999E-4</v>
      </c>
      <c r="D4753" s="141"/>
    </row>
    <row r="4754" spans="1:4" x14ac:dyDescent="0.2">
      <c r="A4754" s="140" t="s">
        <v>2433</v>
      </c>
      <c r="B4754" s="141">
        <v>9.0757581977591998E-4</v>
      </c>
      <c r="D4754" s="141"/>
    </row>
    <row r="4755" spans="1:4" x14ac:dyDescent="0.2">
      <c r="A4755" s="140" t="s">
        <v>2186</v>
      </c>
      <c r="B4755" s="141">
        <v>9.0684704257100999E-4</v>
      </c>
      <c r="D4755" s="141"/>
    </row>
    <row r="4756" spans="1:4" x14ac:dyDescent="0.2">
      <c r="A4756" s="140" t="s">
        <v>5335</v>
      </c>
      <c r="B4756" s="141">
        <v>9.0564721874613003E-4</v>
      </c>
      <c r="D4756" s="141"/>
    </row>
    <row r="4757" spans="1:4" x14ac:dyDescent="0.2">
      <c r="A4757" s="140" t="s">
        <v>1991</v>
      </c>
      <c r="B4757" s="141">
        <v>9.0462652377166E-4</v>
      </c>
      <c r="D4757" s="141"/>
    </row>
    <row r="4758" spans="1:4" x14ac:dyDescent="0.2">
      <c r="A4758" s="140" t="s">
        <v>4910</v>
      </c>
      <c r="B4758" s="141">
        <v>9.0415099973963997E-4</v>
      </c>
      <c r="D4758" s="141"/>
    </row>
    <row r="4759" spans="1:4" x14ac:dyDescent="0.2">
      <c r="A4759" s="140" t="s">
        <v>2516</v>
      </c>
      <c r="B4759" s="141">
        <v>9.0326609620305996E-4</v>
      </c>
      <c r="D4759" s="141"/>
    </row>
    <row r="4760" spans="1:4" x14ac:dyDescent="0.2">
      <c r="A4760" s="140" t="s">
        <v>3608</v>
      </c>
      <c r="B4760" s="141">
        <v>9.0024955972448995E-4</v>
      </c>
      <c r="D4760" s="141"/>
    </row>
    <row r="4761" spans="1:4" x14ac:dyDescent="0.2">
      <c r="A4761" s="140" t="s">
        <v>8128</v>
      </c>
      <c r="B4761" s="141">
        <v>8.9953082841672004E-4</v>
      </c>
      <c r="D4761" s="141"/>
    </row>
    <row r="4762" spans="1:4" x14ac:dyDescent="0.2">
      <c r="A4762" s="140" t="s">
        <v>4793</v>
      </c>
      <c r="B4762" s="141">
        <v>8.9901060274420004E-4</v>
      </c>
      <c r="D4762" s="141"/>
    </row>
    <row r="4763" spans="1:4" x14ac:dyDescent="0.2">
      <c r="A4763" s="140" t="s">
        <v>6030</v>
      </c>
      <c r="B4763" s="141">
        <v>8.9868578037137004E-4</v>
      </c>
      <c r="D4763" s="141"/>
    </row>
    <row r="4764" spans="1:4" x14ac:dyDescent="0.2">
      <c r="A4764" s="140" t="s">
        <v>3745</v>
      </c>
      <c r="B4764" s="141">
        <v>8.9844698389495998E-4</v>
      </c>
      <c r="D4764" s="141"/>
    </row>
    <row r="4765" spans="1:4" x14ac:dyDescent="0.2">
      <c r="A4765" s="140" t="s">
        <v>4380</v>
      </c>
      <c r="B4765" s="141">
        <v>8.9809137158756004E-4</v>
      </c>
      <c r="D4765" s="141"/>
    </row>
    <row r="4766" spans="1:4" x14ac:dyDescent="0.2">
      <c r="A4766" s="140" t="s">
        <v>8129</v>
      </c>
      <c r="B4766" s="141">
        <v>8.9695123100631997E-4</v>
      </c>
      <c r="D4766" s="141"/>
    </row>
    <row r="4767" spans="1:4" x14ac:dyDescent="0.2">
      <c r="A4767" s="140" t="s">
        <v>5858</v>
      </c>
      <c r="B4767" s="141">
        <v>8.9528473750666001E-4</v>
      </c>
      <c r="D4767" s="141"/>
    </row>
    <row r="4768" spans="1:4" x14ac:dyDescent="0.2">
      <c r="A4768" s="140" t="s">
        <v>8130</v>
      </c>
      <c r="B4768" s="141">
        <v>8.9527299296037995E-4</v>
      </c>
      <c r="D4768" s="141"/>
    </row>
    <row r="4769" spans="1:4" x14ac:dyDescent="0.2">
      <c r="A4769" s="140" t="s">
        <v>8131</v>
      </c>
      <c r="B4769" s="141">
        <v>8.9527299296037995E-4</v>
      </c>
      <c r="D4769" s="141"/>
    </row>
    <row r="4770" spans="1:4" x14ac:dyDescent="0.2">
      <c r="A4770" s="140" t="s">
        <v>8132</v>
      </c>
      <c r="B4770" s="141">
        <v>8.9513365862076003E-4</v>
      </c>
      <c r="D4770" s="141"/>
    </row>
    <row r="4771" spans="1:4" x14ac:dyDescent="0.2">
      <c r="A4771" s="140" t="s">
        <v>8133</v>
      </c>
      <c r="B4771" s="141">
        <v>8.9443701013654003E-4</v>
      </c>
      <c r="D4771" s="141"/>
    </row>
    <row r="4772" spans="1:4" x14ac:dyDescent="0.2">
      <c r="A4772" s="140" t="s">
        <v>3115</v>
      </c>
      <c r="B4772" s="141">
        <v>8.9318289406266002E-4</v>
      </c>
      <c r="D4772" s="141"/>
    </row>
    <row r="4773" spans="1:4" x14ac:dyDescent="0.2">
      <c r="A4773" s="140" t="s">
        <v>1776</v>
      </c>
      <c r="B4773" s="141">
        <v>8.9155449126129003E-4</v>
      </c>
      <c r="D4773" s="141"/>
    </row>
    <row r="4774" spans="1:4" x14ac:dyDescent="0.2">
      <c r="A4774" s="140" t="s">
        <v>8134</v>
      </c>
      <c r="B4774" s="141">
        <v>8.8952789615831995E-4</v>
      </c>
      <c r="D4774" s="141"/>
    </row>
    <row r="4775" spans="1:4" x14ac:dyDescent="0.2">
      <c r="A4775" s="140" t="s">
        <v>4396</v>
      </c>
      <c r="B4775" s="141">
        <v>8.8930067393158999E-4</v>
      </c>
      <c r="D4775" s="141"/>
    </row>
    <row r="4776" spans="1:4" x14ac:dyDescent="0.2">
      <c r="A4776" s="140" t="s">
        <v>3738</v>
      </c>
      <c r="B4776" s="141">
        <v>8.8874269157149005E-4</v>
      </c>
      <c r="D4776" s="141"/>
    </row>
    <row r="4777" spans="1:4" x14ac:dyDescent="0.2">
      <c r="A4777" s="140" t="s">
        <v>8135</v>
      </c>
      <c r="B4777" s="141">
        <v>8.8849142835312005E-4</v>
      </c>
      <c r="D4777" s="141"/>
    </row>
    <row r="4778" spans="1:4" x14ac:dyDescent="0.2">
      <c r="A4778" s="140" t="s">
        <v>3729</v>
      </c>
      <c r="B4778" s="141">
        <v>8.8522577840761995E-4</v>
      </c>
      <c r="D4778" s="141"/>
    </row>
    <row r="4779" spans="1:4" x14ac:dyDescent="0.2">
      <c r="A4779" s="140" t="s">
        <v>3147</v>
      </c>
      <c r="B4779" s="141">
        <v>8.8467923613940998E-4</v>
      </c>
      <c r="D4779" s="141"/>
    </row>
    <row r="4780" spans="1:4" x14ac:dyDescent="0.2">
      <c r="A4780" s="140" t="s">
        <v>8136</v>
      </c>
      <c r="B4780" s="141">
        <v>8.8268232222412995E-4</v>
      </c>
      <c r="D4780" s="141"/>
    </row>
    <row r="4781" spans="1:4" x14ac:dyDescent="0.2">
      <c r="A4781" s="140" t="s">
        <v>6336</v>
      </c>
      <c r="B4781" s="141">
        <v>8.8268232222412995E-4</v>
      </c>
      <c r="D4781" s="141"/>
    </row>
    <row r="4782" spans="1:4" x14ac:dyDescent="0.2">
      <c r="A4782" s="140" t="s">
        <v>2274</v>
      </c>
      <c r="B4782" s="141">
        <v>8.8135755853871E-4</v>
      </c>
      <c r="D4782" s="141"/>
    </row>
    <row r="4783" spans="1:4" x14ac:dyDescent="0.2">
      <c r="A4783" s="140" t="s">
        <v>4458</v>
      </c>
      <c r="B4783" s="141">
        <v>8.8091922084248999E-4</v>
      </c>
      <c r="D4783" s="141"/>
    </row>
    <row r="4784" spans="1:4" x14ac:dyDescent="0.2">
      <c r="A4784" s="140" t="s">
        <v>5566</v>
      </c>
      <c r="B4784" s="141">
        <v>8.794874595059E-4</v>
      </c>
      <c r="D4784" s="141"/>
    </row>
    <row r="4785" spans="1:4" x14ac:dyDescent="0.2">
      <c r="A4785" s="140" t="s">
        <v>3571</v>
      </c>
      <c r="B4785" s="141">
        <v>8.7932537654725001E-4</v>
      </c>
      <c r="D4785" s="141"/>
    </row>
    <row r="4786" spans="1:4" x14ac:dyDescent="0.2">
      <c r="A4786" s="140" t="s">
        <v>2895</v>
      </c>
      <c r="B4786" s="141">
        <v>8.7900315176151996E-4</v>
      </c>
      <c r="D4786" s="141"/>
    </row>
    <row r="4787" spans="1:4" x14ac:dyDescent="0.2">
      <c r="A4787" s="140" t="s">
        <v>4174</v>
      </c>
      <c r="B4787" s="141">
        <v>8.7876142759877002E-4</v>
      </c>
      <c r="D4787" s="141"/>
    </row>
    <row r="4788" spans="1:4" x14ac:dyDescent="0.2">
      <c r="A4788" s="140" t="s">
        <v>8137</v>
      </c>
      <c r="B4788" s="141">
        <v>8.7820671325121002E-4</v>
      </c>
      <c r="D4788" s="141"/>
    </row>
    <row r="4789" spans="1:4" x14ac:dyDescent="0.2">
      <c r="A4789" s="140" t="s">
        <v>4879</v>
      </c>
      <c r="B4789" s="141">
        <v>8.7784158842595995E-4</v>
      </c>
      <c r="D4789" s="141"/>
    </row>
    <row r="4790" spans="1:4" x14ac:dyDescent="0.2">
      <c r="A4790" s="140" t="s">
        <v>5526</v>
      </c>
      <c r="B4790" s="141">
        <v>8.7724589354037995E-4</v>
      </c>
      <c r="D4790" s="141"/>
    </row>
    <row r="4791" spans="1:4" x14ac:dyDescent="0.2">
      <c r="A4791" s="140" t="s">
        <v>8138</v>
      </c>
      <c r="B4791" s="141">
        <v>8.7643429200530995E-4</v>
      </c>
      <c r="D4791" s="141"/>
    </row>
    <row r="4792" spans="1:4" x14ac:dyDescent="0.2">
      <c r="A4792" s="140" t="s">
        <v>4708</v>
      </c>
      <c r="B4792" s="141">
        <v>8.7500771754392003E-4</v>
      </c>
      <c r="D4792" s="141"/>
    </row>
    <row r="4793" spans="1:4" x14ac:dyDescent="0.2">
      <c r="A4793" s="140" t="s">
        <v>2600</v>
      </c>
      <c r="B4793" s="141">
        <v>8.7471342027718995E-4</v>
      </c>
      <c r="D4793" s="141"/>
    </row>
    <row r="4794" spans="1:4" x14ac:dyDescent="0.2">
      <c r="A4794" s="140" t="s">
        <v>8139</v>
      </c>
      <c r="B4794" s="141">
        <v>8.7445935855893001E-4</v>
      </c>
      <c r="D4794" s="141"/>
    </row>
    <row r="4795" spans="1:4" x14ac:dyDescent="0.2">
      <c r="A4795" s="140" t="s">
        <v>3136</v>
      </c>
      <c r="B4795" s="141">
        <v>8.7436646399290997E-4</v>
      </c>
      <c r="D4795" s="141"/>
    </row>
    <row r="4796" spans="1:4" x14ac:dyDescent="0.2">
      <c r="A4796" s="140" t="s">
        <v>5404</v>
      </c>
      <c r="B4796" s="141">
        <v>8.7384114727509E-4</v>
      </c>
      <c r="D4796" s="141"/>
    </row>
    <row r="4797" spans="1:4" x14ac:dyDescent="0.2">
      <c r="A4797" s="140" t="s">
        <v>4162</v>
      </c>
      <c r="B4797" s="141">
        <v>8.7318668640953996E-4</v>
      </c>
      <c r="D4797" s="141"/>
    </row>
    <row r="4798" spans="1:4" x14ac:dyDescent="0.2">
      <c r="A4798" s="140" t="s">
        <v>3114</v>
      </c>
      <c r="B4798" s="141">
        <v>8.7298409535794999E-4</v>
      </c>
      <c r="D4798" s="141"/>
    </row>
    <row r="4799" spans="1:4" x14ac:dyDescent="0.2">
      <c r="A4799" s="140" t="s">
        <v>2254</v>
      </c>
      <c r="B4799" s="141">
        <v>8.7285015156727999E-4</v>
      </c>
      <c r="D4799" s="141"/>
    </row>
    <row r="4800" spans="1:4" x14ac:dyDescent="0.2">
      <c r="A4800" s="140" t="s">
        <v>8140</v>
      </c>
      <c r="B4800" s="141">
        <v>8.7219821122406995E-4</v>
      </c>
      <c r="D4800" s="141"/>
    </row>
    <row r="4801" spans="1:4" x14ac:dyDescent="0.2">
      <c r="A4801" s="140" t="s">
        <v>8141</v>
      </c>
      <c r="B4801" s="141">
        <v>8.7206126824758E-4</v>
      </c>
      <c r="D4801" s="141"/>
    </row>
    <row r="4802" spans="1:4" x14ac:dyDescent="0.2">
      <c r="A4802" s="140" t="s">
        <v>8142</v>
      </c>
      <c r="B4802" s="141">
        <v>8.7206126824758E-4</v>
      </c>
      <c r="D4802" s="141"/>
    </row>
    <row r="4803" spans="1:4" x14ac:dyDescent="0.2">
      <c r="A4803" s="140" t="s">
        <v>8143</v>
      </c>
      <c r="B4803" s="141">
        <v>8.7206126824758E-4</v>
      </c>
      <c r="D4803" s="141"/>
    </row>
    <row r="4804" spans="1:4" x14ac:dyDescent="0.2">
      <c r="A4804" s="140" t="s">
        <v>8144</v>
      </c>
      <c r="B4804" s="141">
        <v>8.7206126824758E-4</v>
      </c>
      <c r="D4804" s="141"/>
    </row>
    <row r="4805" spans="1:4" x14ac:dyDescent="0.2">
      <c r="A4805" s="140" t="s">
        <v>8145</v>
      </c>
      <c r="B4805" s="141">
        <v>8.7206126824758E-4</v>
      </c>
      <c r="D4805" s="141"/>
    </row>
    <row r="4806" spans="1:4" x14ac:dyDescent="0.2">
      <c r="A4806" s="140" t="s">
        <v>8146</v>
      </c>
      <c r="B4806" s="141">
        <v>8.7206126824758E-4</v>
      </c>
      <c r="D4806" s="141"/>
    </row>
    <row r="4807" spans="1:4" x14ac:dyDescent="0.2">
      <c r="A4807" s="140" t="s">
        <v>8147</v>
      </c>
      <c r="B4807" s="141">
        <v>8.7206126824758E-4</v>
      </c>
      <c r="D4807" s="141"/>
    </row>
    <row r="4808" spans="1:4" x14ac:dyDescent="0.2">
      <c r="A4808" s="140" t="s">
        <v>8148</v>
      </c>
      <c r="B4808" s="141">
        <v>8.7206126824758E-4</v>
      </c>
      <c r="D4808" s="141"/>
    </row>
    <row r="4809" spans="1:4" x14ac:dyDescent="0.2">
      <c r="A4809" s="140" t="s">
        <v>8149</v>
      </c>
      <c r="B4809" s="141">
        <v>8.7206126824758E-4</v>
      </c>
      <c r="D4809" s="141"/>
    </row>
    <row r="4810" spans="1:4" x14ac:dyDescent="0.2">
      <c r="A4810" s="140" t="s">
        <v>5001</v>
      </c>
      <c r="B4810" s="141">
        <v>8.7163946878296005E-4</v>
      </c>
      <c r="D4810" s="141"/>
    </row>
    <row r="4811" spans="1:4" x14ac:dyDescent="0.2">
      <c r="A4811" s="140" t="s">
        <v>4802</v>
      </c>
      <c r="B4811" s="141">
        <v>8.7147430401947996E-4</v>
      </c>
      <c r="D4811" s="141"/>
    </row>
    <row r="4812" spans="1:4" x14ac:dyDescent="0.2">
      <c r="A4812" s="140" t="s">
        <v>8150</v>
      </c>
      <c r="B4812" s="141">
        <v>8.7144066757796005E-4</v>
      </c>
      <c r="D4812" s="141"/>
    </row>
    <row r="4813" spans="1:4" x14ac:dyDescent="0.2">
      <c r="A4813" s="140" t="s">
        <v>2067</v>
      </c>
      <c r="B4813" s="141">
        <v>8.6841551293875005E-4</v>
      </c>
      <c r="D4813" s="141"/>
    </row>
    <row r="4814" spans="1:4" x14ac:dyDescent="0.2">
      <c r="A4814" s="140" t="s">
        <v>3910</v>
      </c>
      <c r="B4814" s="141">
        <v>8.6677966328603995E-4</v>
      </c>
      <c r="D4814" s="141"/>
    </row>
    <row r="4815" spans="1:4" x14ac:dyDescent="0.2">
      <c r="A4815" s="140" t="s">
        <v>8151</v>
      </c>
      <c r="B4815" s="141">
        <v>8.6633534448046995E-4</v>
      </c>
      <c r="D4815" s="141"/>
    </row>
    <row r="4816" spans="1:4" x14ac:dyDescent="0.2">
      <c r="A4816" s="140" t="s">
        <v>8152</v>
      </c>
      <c r="B4816" s="141">
        <v>8.6358353478222004E-4</v>
      </c>
      <c r="D4816" s="141"/>
    </row>
    <row r="4817" spans="1:4" x14ac:dyDescent="0.2">
      <c r="A4817" s="140" t="s">
        <v>2955</v>
      </c>
      <c r="B4817" s="141">
        <v>8.6268604727246002E-4</v>
      </c>
      <c r="D4817" s="141"/>
    </row>
    <row r="4818" spans="1:4" x14ac:dyDescent="0.2">
      <c r="A4818" s="140" t="s">
        <v>8153</v>
      </c>
      <c r="B4818" s="141">
        <v>8.6228306766634999E-4</v>
      </c>
      <c r="D4818" s="141"/>
    </row>
    <row r="4819" spans="1:4" x14ac:dyDescent="0.2">
      <c r="A4819" s="140" t="s">
        <v>6189</v>
      </c>
      <c r="B4819" s="141">
        <v>8.6130908985650005E-4</v>
      </c>
      <c r="D4819" s="141"/>
    </row>
    <row r="4820" spans="1:4" x14ac:dyDescent="0.2">
      <c r="A4820" s="140" t="s">
        <v>8154</v>
      </c>
      <c r="B4820" s="141">
        <v>8.6116082803983996E-4</v>
      </c>
      <c r="D4820" s="141"/>
    </row>
    <row r="4821" spans="1:4" x14ac:dyDescent="0.2">
      <c r="A4821" s="140" t="s">
        <v>1910</v>
      </c>
      <c r="B4821" s="141">
        <v>8.5877875107699003E-4</v>
      </c>
      <c r="D4821" s="141"/>
    </row>
    <row r="4822" spans="1:4" x14ac:dyDescent="0.2">
      <c r="A4822" s="140" t="s">
        <v>760</v>
      </c>
      <c r="B4822" s="141">
        <v>8.5872246328028005E-4</v>
      </c>
      <c r="D4822" s="141"/>
    </row>
    <row r="4823" spans="1:4" x14ac:dyDescent="0.2">
      <c r="A4823" s="140" t="s">
        <v>2743</v>
      </c>
      <c r="B4823" s="141">
        <v>8.5729998704021004E-4</v>
      </c>
      <c r="D4823" s="141"/>
    </row>
    <row r="4824" spans="1:4" x14ac:dyDescent="0.2">
      <c r="A4824" s="140" t="s">
        <v>8155</v>
      </c>
      <c r="B4824" s="141">
        <v>8.5697073827711997E-4</v>
      </c>
      <c r="D4824" s="141"/>
    </row>
    <row r="4825" spans="1:4" x14ac:dyDescent="0.2">
      <c r="A4825" s="140" t="s">
        <v>8156</v>
      </c>
      <c r="B4825" s="141">
        <v>8.5697073827711997E-4</v>
      </c>
      <c r="D4825" s="141"/>
    </row>
    <row r="4826" spans="1:4" x14ac:dyDescent="0.2">
      <c r="A4826" s="140" t="s">
        <v>8157</v>
      </c>
      <c r="B4826" s="141">
        <v>8.5682326630094998E-4</v>
      </c>
      <c r="D4826" s="141"/>
    </row>
    <row r="4827" spans="1:4" x14ac:dyDescent="0.2">
      <c r="A4827" s="140" t="s">
        <v>2203</v>
      </c>
      <c r="B4827" s="141">
        <v>8.5668850897635995E-4</v>
      </c>
      <c r="D4827" s="141"/>
    </row>
    <row r="4828" spans="1:4" x14ac:dyDescent="0.2">
      <c r="A4828" s="140" t="s">
        <v>3625</v>
      </c>
      <c r="B4828" s="141">
        <v>8.5589866512721005E-4</v>
      </c>
      <c r="D4828" s="141"/>
    </row>
    <row r="4829" spans="1:4" x14ac:dyDescent="0.2">
      <c r="A4829" s="140" t="s">
        <v>2082</v>
      </c>
      <c r="B4829" s="141">
        <v>8.5531856018757004E-4</v>
      </c>
      <c r="D4829" s="141"/>
    </row>
    <row r="4830" spans="1:4" x14ac:dyDescent="0.2">
      <c r="A4830" s="140" t="s">
        <v>2007</v>
      </c>
      <c r="B4830" s="141">
        <v>8.5476998144787004E-4</v>
      </c>
      <c r="D4830" s="141"/>
    </row>
    <row r="4831" spans="1:4" x14ac:dyDescent="0.2">
      <c r="A4831" s="140" t="s">
        <v>8158</v>
      </c>
      <c r="B4831" s="141">
        <v>8.5475754385351001E-4</v>
      </c>
      <c r="D4831" s="141"/>
    </row>
    <row r="4832" spans="1:4" x14ac:dyDescent="0.2">
      <c r="A4832" s="140" t="s">
        <v>8159</v>
      </c>
      <c r="B4832" s="141">
        <v>8.5473824701374004E-4</v>
      </c>
      <c r="D4832" s="141"/>
    </row>
    <row r="4833" spans="1:4" x14ac:dyDescent="0.2">
      <c r="A4833" s="140" t="s">
        <v>1502</v>
      </c>
      <c r="B4833" s="141">
        <v>8.5439684429206996E-4</v>
      </c>
      <c r="D4833" s="141"/>
    </row>
    <row r="4834" spans="1:4" x14ac:dyDescent="0.2">
      <c r="A4834" s="140" t="s">
        <v>8160</v>
      </c>
      <c r="B4834" s="141">
        <v>8.5411351791674995E-4</v>
      </c>
      <c r="D4834" s="141"/>
    </row>
    <row r="4835" spans="1:4" x14ac:dyDescent="0.2">
      <c r="A4835" s="140" t="s">
        <v>8161</v>
      </c>
      <c r="B4835" s="141">
        <v>8.5359529518594E-4</v>
      </c>
      <c r="D4835" s="141"/>
    </row>
    <row r="4836" spans="1:4" x14ac:dyDescent="0.2">
      <c r="A4836" s="140" t="s">
        <v>6273</v>
      </c>
      <c r="B4836" s="141">
        <v>8.5224462321575E-4</v>
      </c>
      <c r="D4836" s="141"/>
    </row>
    <row r="4837" spans="1:4" x14ac:dyDescent="0.2">
      <c r="A4837" s="140" t="s">
        <v>6276</v>
      </c>
      <c r="B4837" s="141">
        <v>8.5162193623092004E-4</v>
      </c>
      <c r="D4837" s="141"/>
    </row>
    <row r="4838" spans="1:4" x14ac:dyDescent="0.2">
      <c r="A4838" s="140" t="s">
        <v>8162</v>
      </c>
      <c r="B4838" s="141">
        <v>8.5071638460368002E-4</v>
      </c>
      <c r="D4838" s="141"/>
    </row>
    <row r="4839" spans="1:4" x14ac:dyDescent="0.2">
      <c r="A4839" s="140" t="s">
        <v>2243</v>
      </c>
      <c r="B4839" s="141">
        <v>8.5067492771441001E-4</v>
      </c>
      <c r="D4839" s="141"/>
    </row>
    <row r="4840" spans="1:4" x14ac:dyDescent="0.2">
      <c r="A4840" s="140" t="s">
        <v>8163</v>
      </c>
      <c r="B4840" s="141">
        <v>8.4899459575965997E-4</v>
      </c>
      <c r="D4840" s="141"/>
    </row>
    <row r="4841" spans="1:4" x14ac:dyDescent="0.2">
      <c r="A4841" s="140" t="s">
        <v>8164</v>
      </c>
      <c r="B4841" s="141">
        <v>8.4750470633908998E-4</v>
      </c>
      <c r="D4841" s="141"/>
    </row>
    <row r="4842" spans="1:4" x14ac:dyDescent="0.2">
      <c r="A4842" s="140" t="s">
        <v>2653</v>
      </c>
      <c r="B4842" s="141">
        <v>8.4721831577635998E-4</v>
      </c>
      <c r="D4842" s="141"/>
    </row>
    <row r="4843" spans="1:4" x14ac:dyDescent="0.2">
      <c r="A4843" s="140" t="s">
        <v>4084</v>
      </c>
      <c r="B4843" s="141">
        <v>8.4650669848157999E-4</v>
      </c>
      <c r="D4843" s="141"/>
    </row>
    <row r="4844" spans="1:4" x14ac:dyDescent="0.2">
      <c r="A4844" s="140" t="s">
        <v>600</v>
      </c>
      <c r="B4844" s="141">
        <v>8.4590431987194997E-4</v>
      </c>
      <c r="D4844" s="141"/>
    </row>
    <row r="4845" spans="1:4" x14ac:dyDescent="0.2">
      <c r="A4845" s="140" t="s">
        <v>8165</v>
      </c>
      <c r="B4845" s="141">
        <v>8.4396320769061003E-4</v>
      </c>
      <c r="D4845" s="141"/>
    </row>
    <row r="4846" spans="1:4" x14ac:dyDescent="0.2">
      <c r="A4846" s="140" t="s">
        <v>8166</v>
      </c>
      <c r="B4846" s="141">
        <v>8.4367997759505001E-4</v>
      </c>
      <c r="D4846" s="141"/>
    </row>
    <row r="4847" spans="1:4" x14ac:dyDescent="0.2">
      <c r="A4847" s="140" t="s">
        <v>1645</v>
      </c>
      <c r="B4847" s="141">
        <v>8.4359274065885998E-4</v>
      </c>
      <c r="D4847" s="141"/>
    </row>
    <row r="4848" spans="1:4" x14ac:dyDescent="0.2">
      <c r="A4848" s="140" t="s">
        <v>1108</v>
      </c>
      <c r="B4848" s="141">
        <v>8.4302881897596995E-4</v>
      </c>
      <c r="D4848" s="141"/>
    </row>
    <row r="4849" spans="1:4" x14ac:dyDescent="0.2">
      <c r="A4849" s="140" t="s">
        <v>8167</v>
      </c>
      <c r="B4849" s="141">
        <v>8.4299538111279998E-4</v>
      </c>
      <c r="D4849" s="141"/>
    </row>
    <row r="4850" spans="1:4" x14ac:dyDescent="0.2">
      <c r="A4850" s="140" t="s">
        <v>1907</v>
      </c>
      <c r="B4850" s="141">
        <v>8.428071786487E-4</v>
      </c>
      <c r="D4850" s="141"/>
    </row>
    <row r="4851" spans="1:4" x14ac:dyDescent="0.2">
      <c r="A4851" s="140" t="s">
        <v>3585</v>
      </c>
      <c r="B4851" s="141">
        <v>8.4267363907544995E-4</v>
      </c>
      <c r="D4851" s="141"/>
    </row>
    <row r="4852" spans="1:4" x14ac:dyDescent="0.2">
      <c r="A4852" s="140" t="s">
        <v>6136</v>
      </c>
      <c r="B4852" s="141">
        <v>8.4181011538652999E-4</v>
      </c>
      <c r="D4852" s="141"/>
    </row>
    <row r="4853" spans="1:4" x14ac:dyDescent="0.2">
      <c r="A4853" s="140" t="s">
        <v>2890</v>
      </c>
      <c r="B4853" s="141">
        <v>8.4000873627080002E-4</v>
      </c>
      <c r="D4853" s="141"/>
    </row>
    <row r="4854" spans="1:4" x14ac:dyDescent="0.2">
      <c r="A4854" s="140" t="s">
        <v>4840</v>
      </c>
      <c r="B4854" s="141">
        <v>8.3876960615099003E-4</v>
      </c>
      <c r="D4854" s="141"/>
    </row>
    <row r="4855" spans="1:4" x14ac:dyDescent="0.2">
      <c r="A4855" s="140" t="s">
        <v>1292</v>
      </c>
      <c r="B4855" s="141">
        <v>8.3835731130671996E-4</v>
      </c>
      <c r="D4855" s="141"/>
    </row>
    <row r="4856" spans="1:4" x14ac:dyDescent="0.2">
      <c r="A4856" s="140" t="s">
        <v>4022</v>
      </c>
      <c r="B4856" s="141">
        <v>8.3798293433269002E-4</v>
      </c>
      <c r="D4856" s="141"/>
    </row>
    <row r="4857" spans="1:4" x14ac:dyDescent="0.2">
      <c r="A4857" s="140" t="s">
        <v>8168</v>
      </c>
      <c r="B4857" s="141">
        <v>8.3744628772757001E-4</v>
      </c>
      <c r="D4857" s="141"/>
    </row>
    <row r="4858" spans="1:4" x14ac:dyDescent="0.2">
      <c r="A4858" s="140" t="s">
        <v>1443</v>
      </c>
      <c r="B4858" s="141">
        <v>8.3391219475774999E-4</v>
      </c>
      <c r="D4858" s="141"/>
    </row>
    <row r="4859" spans="1:4" x14ac:dyDescent="0.2">
      <c r="A4859" s="140" t="s">
        <v>5277</v>
      </c>
      <c r="B4859" s="141">
        <v>8.3319718342186996E-4</v>
      </c>
      <c r="D4859" s="141"/>
    </row>
    <row r="4860" spans="1:4" x14ac:dyDescent="0.2">
      <c r="A4860" s="140" t="s">
        <v>4569</v>
      </c>
      <c r="B4860" s="141">
        <v>8.3319718342186996E-4</v>
      </c>
      <c r="D4860" s="141"/>
    </row>
    <row r="4861" spans="1:4" x14ac:dyDescent="0.2">
      <c r="A4861" s="140" t="s">
        <v>8169</v>
      </c>
      <c r="B4861" s="141">
        <v>8.3319718342186996E-4</v>
      </c>
      <c r="D4861" s="141"/>
    </row>
    <row r="4862" spans="1:4" x14ac:dyDescent="0.2">
      <c r="A4862" s="140" t="s">
        <v>3743</v>
      </c>
      <c r="B4862" s="141">
        <v>8.3233876865217995E-4</v>
      </c>
      <c r="D4862" s="141"/>
    </row>
    <row r="4863" spans="1:4" x14ac:dyDescent="0.2">
      <c r="A4863" s="140" t="s">
        <v>2564</v>
      </c>
      <c r="B4863" s="141">
        <v>8.3161777929930997E-4</v>
      </c>
      <c r="D4863" s="141"/>
    </row>
    <row r="4864" spans="1:4" x14ac:dyDescent="0.2">
      <c r="A4864" s="140" t="s">
        <v>8170</v>
      </c>
      <c r="B4864" s="141">
        <v>8.3086927890787003E-4</v>
      </c>
      <c r="D4864" s="141"/>
    </row>
    <row r="4865" spans="1:4" x14ac:dyDescent="0.2">
      <c r="A4865" s="140" t="s">
        <v>1145</v>
      </c>
      <c r="B4865" s="141">
        <v>8.2857685946258999E-4</v>
      </c>
      <c r="D4865" s="141"/>
    </row>
    <row r="4866" spans="1:4" x14ac:dyDescent="0.2">
      <c r="A4866" s="140" t="s">
        <v>4400</v>
      </c>
      <c r="B4866" s="141">
        <v>8.2792178755220001E-4</v>
      </c>
      <c r="D4866" s="141"/>
    </row>
    <row r="4867" spans="1:4" x14ac:dyDescent="0.2">
      <c r="A4867" s="140" t="s">
        <v>1104</v>
      </c>
      <c r="B4867" s="141">
        <v>8.2764767856557996E-4</v>
      </c>
      <c r="D4867" s="141"/>
    </row>
    <row r="4868" spans="1:4" x14ac:dyDescent="0.2">
      <c r="A4868" s="140" t="s">
        <v>8171</v>
      </c>
      <c r="B4868" s="141">
        <v>8.274345922567E-4</v>
      </c>
      <c r="D4868" s="141"/>
    </row>
    <row r="4869" spans="1:4" x14ac:dyDescent="0.2">
      <c r="A4869" s="140" t="s">
        <v>1626</v>
      </c>
      <c r="B4869" s="141">
        <v>8.2698491159193996E-4</v>
      </c>
      <c r="D4869" s="141"/>
    </row>
    <row r="4870" spans="1:4" x14ac:dyDescent="0.2">
      <c r="A4870" s="140" t="s">
        <v>4234</v>
      </c>
      <c r="B4870" s="141">
        <v>8.2675617229978999E-4</v>
      </c>
      <c r="D4870" s="141"/>
    </row>
    <row r="4871" spans="1:4" x14ac:dyDescent="0.2">
      <c r="A4871" s="140" t="s">
        <v>2708</v>
      </c>
      <c r="B4871" s="141">
        <v>8.2668929461033995E-4</v>
      </c>
      <c r="D4871" s="141"/>
    </row>
    <row r="4872" spans="1:4" x14ac:dyDescent="0.2">
      <c r="A4872" s="140" t="s">
        <v>4996</v>
      </c>
      <c r="B4872" s="141">
        <v>8.2585037506667004E-4</v>
      </c>
      <c r="D4872" s="141"/>
    </row>
    <row r="4873" spans="1:4" x14ac:dyDescent="0.2">
      <c r="A4873" s="140" t="s">
        <v>3185</v>
      </c>
      <c r="B4873" s="141">
        <v>8.2497835803528998E-4</v>
      </c>
      <c r="D4873" s="141"/>
    </row>
    <row r="4874" spans="1:4" x14ac:dyDescent="0.2">
      <c r="A4874" s="140" t="s">
        <v>921</v>
      </c>
      <c r="B4874" s="141">
        <v>8.2422472891139004E-4</v>
      </c>
      <c r="D4874" s="141"/>
    </row>
    <row r="4875" spans="1:4" x14ac:dyDescent="0.2">
      <c r="A4875" s="140" t="s">
        <v>2720</v>
      </c>
      <c r="B4875" s="141">
        <v>8.2402491606227001E-4</v>
      </c>
      <c r="D4875" s="141"/>
    </row>
    <row r="4876" spans="1:4" x14ac:dyDescent="0.2">
      <c r="A4876" s="140" t="s">
        <v>2724</v>
      </c>
      <c r="B4876" s="141">
        <v>8.2392393303428997E-4</v>
      </c>
      <c r="D4876" s="141"/>
    </row>
    <row r="4877" spans="1:4" x14ac:dyDescent="0.2">
      <c r="A4877" s="140" t="s">
        <v>8172</v>
      </c>
      <c r="B4877" s="141">
        <v>8.2215881786694997E-4</v>
      </c>
      <c r="D4877" s="141"/>
    </row>
    <row r="4878" spans="1:4" x14ac:dyDescent="0.2">
      <c r="A4878" s="140" t="s">
        <v>8173</v>
      </c>
      <c r="B4878" s="141">
        <v>8.2214568010894999E-4</v>
      </c>
      <c r="D4878" s="141"/>
    </row>
    <row r="4879" spans="1:4" x14ac:dyDescent="0.2">
      <c r="A4879" s="140" t="s">
        <v>3785</v>
      </c>
      <c r="B4879" s="141">
        <v>8.2124973002761E-4</v>
      </c>
      <c r="D4879" s="141"/>
    </row>
    <row r="4880" spans="1:4" x14ac:dyDescent="0.2">
      <c r="A4880" s="140" t="s">
        <v>884</v>
      </c>
      <c r="B4880" s="141">
        <v>8.2013638993707E-4</v>
      </c>
      <c r="D4880" s="141"/>
    </row>
    <row r="4881" spans="1:4" x14ac:dyDescent="0.2">
      <c r="A4881" s="140" t="s">
        <v>1843</v>
      </c>
      <c r="B4881" s="141">
        <v>8.1989823141307002E-4</v>
      </c>
      <c r="D4881" s="141"/>
    </row>
    <row r="4882" spans="1:4" x14ac:dyDescent="0.2">
      <c r="A4882" s="140" t="s">
        <v>2884</v>
      </c>
      <c r="B4882" s="141">
        <v>8.1938239692758998E-4</v>
      </c>
      <c r="D4882" s="141"/>
    </row>
    <row r="4883" spans="1:4" x14ac:dyDescent="0.2">
      <c r="A4883" s="140" t="s">
        <v>8174</v>
      </c>
      <c r="B4883" s="141">
        <v>8.1891214472388997E-4</v>
      </c>
      <c r="D4883" s="141"/>
    </row>
    <row r="4884" spans="1:4" x14ac:dyDescent="0.2">
      <c r="A4884" s="140" t="s">
        <v>2360</v>
      </c>
      <c r="B4884" s="141">
        <v>8.1812666902576E-4</v>
      </c>
      <c r="D4884" s="141"/>
    </row>
    <row r="4885" spans="1:4" x14ac:dyDescent="0.2">
      <c r="A4885" s="140" t="s">
        <v>3607</v>
      </c>
      <c r="B4885" s="141">
        <v>8.1774073828402003E-4</v>
      </c>
      <c r="D4885" s="141"/>
    </row>
    <row r="4886" spans="1:4" x14ac:dyDescent="0.2">
      <c r="A4886" s="140" t="s">
        <v>4514</v>
      </c>
      <c r="B4886" s="141">
        <v>8.1763254464485005E-4</v>
      </c>
      <c r="D4886" s="141"/>
    </row>
    <row r="4887" spans="1:4" x14ac:dyDescent="0.2">
      <c r="A4887" s="140" t="s">
        <v>2582</v>
      </c>
      <c r="B4887" s="141">
        <v>8.1646906000996998E-4</v>
      </c>
      <c r="D4887" s="141"/>
    </row>
    <row r="4888" spans="1:4" x14ac:dyDescent="0.2">
      <c r="A4888" s="140" t="s">
        <v>3397</v>
      </c>
      <c r="B4888" s="141">
        <v>8.1638960979423002E-4</v>
      </c>
      <c r="D4888" s="141"/>
    </row>
    <row r="4889" spans="1:4" x14ac:dyDescent="0.2">
      <c r="A4889" s="140" t="s">
        <v>8175</v>
      </c>
      <c r="B4889" s="141">
        <v>8.1620080610392005E-4</v>
      </c>
      <c r="D4889" s="141"/>
    </row>
    <row r="4890" spans="1:4" x14ac:dyDescent="0.2">
      <c r="A4890" s="140" t="s">
        <v>1649</v>
      </c>
      <c r="B4890" s="141">
        <v>8.1421389094734004E-4</v>
      </c>
      <c r="D4890" s="141"/>
    </row>
    <row r="4891" spans="1:4" x14ac:dyDescent="0.2">
      <c r="A4891" s="140" t="s">
        <v>2506</v>
      </c>
      <c r="B4891" s="141">
        <v>8.1398445567531E-4</v>
      </c>
      <c r="D4891" s="141"/>
    </row>
    <row r="4892" spans="1:4" x14ac:dyDescent="0.2">
      <c r="A4892" s="140" t="s">
        <v>8176</v>
      </c>
      <c r="B4892" s="141">
        <v>8.1369578990062995E-4</v>
      </c>
      <c r="D4892" s="141"/>
    </row>
    <row r="4893" spans="1:4" x14ac:dyDescent="0.2">
      <c r="A4893" s="140" t="s">
        <v>4431</v>
      </c>
      <c r="B4893" s="141">
        <v>8.1360193048837001E-4</v>
      </c>
      <c r="D4893" s="141"/>
    </row>
    <row r="4894" spans="1:4" x14ac:dyDescent="0.2">
      <c r="A4894" s="140" t="s">
        <v>8177</v>
      </c>
      <c r="B4894" s="141">
        <v>8.1322274636621997E-4</v>
      </c>
      <c r="D4894" s="141"/>
    </row>
    <row r="4895" spans="1:4" x14ac:dyDescent="0.2">
      <c r="A4895" s="140" t="s">
        <v>503</v>
      </c>
      <c r="B4895" s="141">
        <v>8.1260182115055004E-4</v>
      </c>
      <c r="D4895" s="141"/>
    </row>
    <row r="4896" spans="1:4" x14ac:dyDescent="0.2">
      <c r="A4896" s="140" t="s">
        <v>3011</v>
      </c>
      <c r="B4896" s="141">
        <v>8.1244152177402005E-4</v>
      </c>
      <c r="D4896" s="141"/>
    </row>
    <row r="4897" spans="1:4" x14ac:dyDescent="0.2">
      <c r="A4897" s="140" t="s">
        <v>4896</v>
      </c>
      <c r="B4897" s="141">
        <v>8.1153604843899995E-4</v>
      </c>
      <c r="D4897" s="141"/>
    </row>
    <row r="4898" spans="1:4" x14ac:dyDescent="0.2">
      <c r="A4898" s="140" t="s">
        <v>945</v>
      </c>
      <c r="B4898" s="141">
        <v>8.1139625792396998E-4</v>
      </c>
      <c r="D4898" s="141"/>
    </row>
    <row r="4899" spans="1:4" x14ac:dyDescent="0.2">
      <c r="A4899" s="140" t="s">
        <v>8178</v>
      </c>
      <c r="B4899" s="141">
        <v>8.0986310521444997E-4</v>
      </c>
      <c r="D4899" s="141"/>
    </row>
    <row r="4900" spans="1:4" x14ac:dyDescent="0.2">
      <c r="A4900" s="140" t="s">
        <v>8179</v>
      </c>
      <c r="B4900" s="141">
        <v>8.0962684711308002E-4</v>
      </c>
      <c r="D4900" s="141"/>
    </row>
    <row r="4901" spans="1:4" x14ac:dyDescent="0.2">
      <c r="A4901" s="140" t="s">
        <v>5516</v>
      </c>
      <c r="B4901" s="141">
        <v>8.0884250524392996E-4</v>
      </c>
      <c r="D4901" s="141"/>
    </row>
    <row r="4902" spans="1:4" x14ac:dyDescent="0.2">
      <c r="A4902" s="140" t="s">
        <v>2665</v>
      </c>
      <c r="B4902" s="141">
        <v>8.0829193286562995E-4</v>
      </c>
      <c r="D4902" s="141"/>
    </row>
    <row r="4903" spans="1:4" x14ac:dyDescent="0.2">
      <c r="A4903" s="140" t="s">
        <v>1559</v>
      </c>
      <c r="B4903" s="141">
        <v>8.0690089395261998E-4</v>
      </c>
      <c r="D4903" s="141"/>
    </row>
    <row r="4904" spans="1:4" x14ac:dyDescent="0.2">
      <c r="A4904" s="140" t="s">
        <v>8180</v>
      </c>
      <c r="B4904" s="141">
        <v>8.0653878213513995E-4</v>
      </c>
      <c r="D4904" s="141"/>
    </row>
    <row r="4905" spans="1:4" x14ac:dyDescent="0.2">
      <c r="A4905" s="140" t="s">
        <v>8181</v>
      </c>
      <c r="B4905" s="141">
        <v>8.0636511762130004E-4</v>
      </c>
      <c r="D4905" s="141"/>
    </row>
    <row r="4906" spans="1:4" x14ac:dyDescent="0.2">
      <c r="A4906" s="140" t="s">
        <v>8182</v>
      </c>
      <c r="B4906" s="141">
        <v>8.0636511762130004E-4</v>
      </c>
      <c r="D4906" s="141"/>
    </row>
    <row r="4907" spans="1:4" x14ac:dyDescent="0.2">
      <c r="A4907" s="140" t="s">
        <v>3419</v>
      </c>
      <c r="B4907" s="141">
        <v>8.0554455438572997E-4</v>
      </c>
      <c r="D4907" s="141"/>
    </row>
    <row r="4908" spans="1:4" x14ac:dyDescent="0.2">
      <c r="A4908" s="140" t="s">
        <v>3873</v>
      </c>
      <c r="B4908" s="141">
        <v>8.0531675516860998E-4</v>
      </c>
      <c r="D4908" s="141"/>
    </row>
    <row r="4909" spans="1:4" x14ac:dyDescent="0.2">
      <c r="A4909" s="140" t="s">
        <v>5762</v>
      </c>
      <c r="B4909" s="141">
        <v>8.0308670138403999E-4</v>
      </c>
      <c r="D4909" s="141"/>
    </row>
    <row r="4910" spans="1:4" x14ac:dyDescent="0.2">
      <c r="A4910" s="140" t="s">
        <v>4359</v>
      </c>
      <c r="B4910" s="141">
        <v>8.0294923748746997E-4</v>
      </c>
      <c r="D4910" s="141"/>
    </row>
    <row r="4911" spans="1:4" x14ac:dyDescent="0.2">
      <c r="A4911" s="140" t="s">
        <v>8183</v>
      </c>
      <c r="B4911" s="141">
        <v>8.0262661179611005E-4</v>
      </c>
      <c r="D4911" s="141"/>
    </row>
    <row r="4912" spans="1:4" x14ac:dyDescent="0.2">
      <c r="A4912" s="140" t="s">
        <v>5787</v>
      </c>
      <c r="B4912" s="141">
        <v>8.0181578178557995E-4</v>
      </c>
      <c r="D4912" s="141"/>
    </row>
    <row r="4913" spans="1:4" x14ac:dyDescent="0.2">
      <c r="A4913" s="140" t="s">
        <v>8184</v>
      </c>
      <c r="B4913" s="141">
        <v>8.0181578178557995E-4</v>
      </c>
      <c r="D4913" s="141"/>
    </row>
    <row r="4914" spans="1:4" x14ac:dyDescent="0.2">
      <c r="A4914" s="140" t="s">
        <v>4408</v>
      </c>
      <c r="B4914" s="141">
        <v>8.0181578178557995E-4</v>
      </c>
      <c r="D4914" s="141"/>
    </row>
    <row r="4915" spans="1:4" x14ac:dyDescent="0.2">
      <c r="A4915" s="140" t="s">
        <v>5667</v>
      </c>
      <c r="B4915" s="141">
        <v>8.0140930212155997E-4</v>
      </c>
      <c r="D4915" s="141"/>
    </row>
    <row r="4916" spans="1:4" x14ac:dyDescent="0.2">
      <c r="A4916" s="140" t="s">
        <v>8185</v>
      </c>
      <c r="B4916" s="141">
        <v>8.011161563092E-4</v>
      </c>
      <c r="D4916" s="141"/>
    </row>
    <row r="4917" spans="1:4" x14ac:dyDescent="0.2">
      <c r="A4917" s="140" t="s">
        <v>8186</v>
      </c>
      <c r="B4917" s="141">
        <v>8.011161563092E-4</v>
      </c>
      <c r="D4917" s="141"/>
    </row>
    <row r="4918" spans="1:4" x14ac:dyDescent="0.2">
      <c r="A4918" s="140" t="s">
        <v>6287</v>
      </c>
      <c r="B4918" s="141">
        <v>8.0096332829030002E-4</v>
      </c>
      <c r="D4918" s="141"/>
    </row>
    <row r="4919" spans="1:4" x14ac:dyDescent="0.2">
      <c r="A4919" s="140" t="s">
        <v>4774</v>
      </c>
      <c r="B4919" s="141">
        <v>8.0083451683958995E-4</v>
      </c>
      <c r="D4919" s="141"/>
    </row>
    <row r="4920" spans="1:4" x14ac:dyDescent="0.2">
      <c r="A4920" s="140" t="s">
        <v>5650</v>
      </c>
      <c r="B4920" s="141">
        <v>7.9942346654953995E-4</v>
      </c>
      <c r="D4920" s="141"/>
    </row>
    <row r="4921" spans="1:4" x14ac:dyDescent="0.2">
      <c r="A4921" s="140" t="s">
        <v>8187</v>
      </c>
      <c r="B4921" s="141">
        <v>7.9860916930160999E-4</v>
      </c>
      <c r="D4921" s="141"/>
    </row>
    <row r="4922" spans="1:4" x14ac:dyDescent="0.2">
      <c r="A4922" s="140" t="s">
        <v>5067</v>
      </c>
      <c r="B4922" s="141">
        <v>7.9860916930160999E-4</v>
      </c>
      <c r="D4922" s="141"/>
    </row>
    <row r="4923" spans="1:4" x14ac:dyDescent="0.2">
      <c r="A4923" s="140" t="s">
        <v>8188</v>
      </c>
      <c r="B4923" s="141">
        <v>7.9860916930160999E-4</v>
      </c>
      <c r="D4923" s="141"/>
    </row>
    <row r="4924" spans="1:4" x14ac:dyDescent="0.2">
      <c r="A4924" s="140" t="s">
        <v>8189</v>
      </c>
      <c r="B4924" s="141">
        <v>7.9860916930160999E-4</v>
      </c>
      <c r="D4924" s="141"/>
    </row>
    <row r="4925" spans="1:4" x14ac:dyDescent="0.2">
      <c r="A4925" s="140" t="s">
        <v>4810</v>
      </c>
      <c r="B4925" s="141">
        <v>7.9841158567876E-4</v>
      </c>
      <c r="D4925" s="141"/>
    </row>
    <row r="4926" spans="1:4" x14ac:dyDescent="0.2">
      <c r="A4926" s="140" t="s">
        <v>2571</v>
      </c>
      <c r="B4926" s="141">
        <v>7.9824399196679996E-4</v>
      </c>
      <c r="D4926" s="141"/>
    </row>
    <row r="4927" spans="1:4" x14ac:dyDescent="0.2">
      <c r="A4927" s="140" t="s">
        <v>1062</v>
      </c>
      <c r="B4927" s="141">
        <v>7.9658416694690002E-4</v>
      </c>
      <c r="D4927" s="141"/>
    </row>
    <row r="4928" spans="1:4" x14ac:dyDescent="0.2">
      <c r="A4928" s="140" t="s">
        <v>6134</v>
      </c>
      <c r="B4928" s="141">
        <v>7.9631800126769999E-4</v>
      </c>
      <c r="D4928" s="141"/>
    </row>
    <row r="4929" spans="1:4" x14ac:dyDescent="0.2">
      <c r="A4929" s="140" t="s">
        <v>5670</v>
      </c>
      <c r="B4929" s="141">
        <v>7.951869469488E-4</v>
      </c>
      <c r="D4929" s="141"/>
    </row>
    <row r="4930" spans="1:4" x14ac:dyDescent="0.2">
      <c r="A4930" s="140" t="s">
        <v>887</v>
      </c>
      <c r="B4930" s="141">
        <v>7.9513763877376003E-4</v>
      </c>
      <c r="D4930" s="141"/>
    </row>
    <row r="4931" spans="1:4" x14ac:dyDescent="0.2">
      <c r="A4931" s="140" t="s">
        <v>2558</v>
      </c>
      <c r="B4931" s="141">
        <v>7.9369045383832998E-4</v>
      </c>
      <c r="D4931" s="141"/>
    </row>
    <row r="4932" spans="1:4" x14ac:dyDescent="0.2">
      <c r="A4932" s="140" t="s">
        <v>2176</v>
      </c>
      <c r="B4932" s="141">
        <v>7.9333903153125005E-4</v>
      </c>
      <c r="D4932" s="141"/>
    </row>
    <row r="4933" spans="1:4" x14ac:dyDescent="0.2">
      <c r="A4933" s="140" t="s">
        <v>796</v>
      </c>
      <c r="B4933" s="141">
        <v>7.9247398977154004E-4</v>
      </c>
      <c r="D4933" s="141"/>
    </row>
    <row r="4934" spans="1:4" x14ac:dyDescent="0.2">
      <c r="A4934" s="140" t="s">
        <v>4966</v>
      </c>
      <c r="B4934" s="141">
        <v>7.9117594784865002E-4</v>
      </c>
      <c r="D4934" s="141"/>
    </row>
    <row r="4935" spans="1:4" x14ac:dyDescent="0.2">
      <c r="A4935" s="140" t="s">
        <v>5621</v>
      </c>
      <c r="B4935" s="141">
        <v>7.9102286000551001E-4</v>
      </c>
      <c r="D4935" s="141"/>
    </row>
    <row r="4936" spans="1:4" x14ac:dyDescent="0.2">
      <c r="A4936" s="140" t="s">
        <v>2375</v>
      </c>
      <c r="B4936" s="141">
        <v>7.9072401388172002E-4</v>
      </c>
      <c r="D4936" s="141"/>
    </row>
    <row r="4937" spans="1:4" x14ac:dyDescent="0.2">
      <c r="A4937" s="140" t="s">
        <v>5321</v>
      </c>
      <c r="B4937" s="141">
        <v>7.9060530689679996E-4</v>
      </c>
      <c r="D4937" s="141"/>
    </row>
    <row r="4938" spans="1:4" x14ac:dyDescent="0.2">
      <c r="A4938" s="140" t="s">
        <v>773</v>
      </c>
      <c r="B4938" s="141">
        <v>7.9056467816471005E-4</v>
      </c>
      <c r="D4938" s="141"/>
    </row>
    <row r="4939" spans="1:4" x14ac:dyDescent="0.2">
      <c r="A4939" s="140" t="s">
        <v>748</v>
      </c>
      <c r="B4939" s="141">
        <v>7.8946807499701E-4</v>
      </c>
      <c r="D4939" s="141"/>
    </row>
    <row r="4940" spans="1:4" x14ac:dyDescent="0.2">
      <c r="A4940" s="140" t="s">
        <v>8190</v>
      </c>
      <c r="B4940" s="141">
        <v>7.8874524653996996E-4</v>
      </c>
      <c r="D4940" s="141"/>
    </row>
    <row r="4941" spans="1:4" x14ac:dyDescent="0.2">
      <c r="A4941" s="140" t="s">
        <v>8191</v>
      </c>
      <c r="B4941" s="141">
        <v>7.8872139503332001E-4</v>
      </c>
      <c r="D4941" s="141"/>
    </row>
    <row r="4942" spans="1:4" x14ac:dyDescent="0.2">
      <c r="A4942" s="140" t="s">
        <v>3388</v>
      </c>
      <c r="B4942" s="141">
        <v>7.8857785865260003E-4</v>
      </c>
      <c r="D4942" s="141"/>
    </row>
    <row r="4943" spans="1:4" x14ac:dyDescent="0.2">
      <c r="A4943" s="140" t="s">
        <v>5151</v>
      </c>
      <c r="B4943" s="141">
        <v>7.8823246312947003E-4</v>
      </c>
      <c r="D4943" s="141"/>
    </row>
    <row r="4944" spans="1:4" x14ac:dyDescent="0.2">
      <c r="A4944" s="140" t="s">
        <v>8192</v>
      </c>
      <c r="B4944" s="141">
        <v>7.8810499936664996E-4</v>
      </c>
      <c r="D4944" s="141"/>
    </row>
    <row r="4945" spans="1:4" x14ac:dyDescent="0.2">
      <c r="A4945" s="140" t="s">
        <v>8193</v>
      </c>
      <c r="B4945" s="141">
        <v>7.8810499936664996E-4</v>
      </c>
      <c r="D4945" s="141"/>
    </row>
    <row r="4946" spans="1:4" x14ac:dyDescent="0.2">
      <c r="A4946" s="140" t="s">
        <v>8194</v>
      </c>
      <c r="B4946" s="141">
        <v>7.8701171073588996E-4</v>
      </c>
      <c r="D4946" s="141"/>
    </row>
    <row r="4947" spans="1:4" x14ac:dyDescent="0.2">
      <c r="A4947" s="140" t="s">
        <v>5719</v>
      </c>
      <c r="B4947" s="141">
        <v>7.8602710174595E-4</v>
      </c>
      <c r="D4947" s="141"/>
    </row>
    <row r="4948" spans="1:4" x14ac:dyDescent="0.2">
      <c r="A4948" s="140" t="s">
        <v>8195</v>
      </c>
      <c r="B4948" s="141">
        <v>7.8552697500271001E-4</v>
      </c>
      <c r="D4948" s="141"/>
    </row>
    <row r="4949" spans="1:4" x14ac:dyDescent="0.2">
      <c r="A4949" s="140" t="s">
        <v>4142</v>
      </c>
      <c r="B4949" s="141">
        <v>7.8534651632719001E-4</v>
      </c>
      <c r="D4949" s="141"/>
    </row>
    <row r="4950" spans="1:4" x14ac:dyDescent="0.2">
      <c r="A4950" s="140" t="s">
        <v>8196</v>
      </c>
      <c r="B4950" s="141">
        <v>7.8491277994191999E-4</v>
      </c>
      <c r="D4950" s="141"/>
    </row>
    <row r="4951" spans="1:4" x14ac:dyDescent="0.2">
      <c r="A4951" s="140" t="s">
        <v>4179</v>
      </c>
      <c r="B4951" s="141">
        <v>7.8311982812457996E-4</v>
      </c>
      <c r="D4951" s="141"/>
    </row>
    <row r="4952" spans="1:4" x14ac:dyDescent="0.2">
      <c r="A4952" s="140" t="s">
        <v>8197</v>
      </c>
      <c r="B4952" s="141">
        <v>7.8300784008824003E-4</v>
      </c>
      <c r="D4952" s="141"/>
    </row>
    <row r="4953" spans="1:4" x14ac:dyDescent="0.2">
      <c r="A4953" s="140" t="s">
        <v>1699</v>
      </c>
      <c r="B4953" s="141">
        <v>7.8123070343695999E-4</v>
      </c>
      <c r="D4953" s="141"/>
    </row>
    <row r="4954" spans="1:4" x14ac:dyDescent="0.2">
      <c r="A4954" s="140" t="s">
        <v>8198</v>
      </c>
      <c r="B4954" s="141">
        <v>7.8123070343695999E-4</v>
      </c>
      <c r="D4954" s="141"/>
    </row>
    <row r="4955" spans="1:4" x14ac:dyDescent="0.2">
      <c r="A4955" s="140" t="s">
        <v>3030</v>
      </c>
      <c r="B4955" s="141">
        <v>7.8123070343695999E-4</v>
      </c>
      <c r="D4955" s="141"/>
    </row>
    <row r="4956" spans="1:4" x14ac:dyDescent="0.2">
      <c r="A4956" s="140" t="s">
        <v>1027</v>
      </c>
      <c r="B4956" s="141">
        <v>7.7980092484981997E-4</v>
      </c>
      <c r="D4956" s="141"/>
    </row>
    <row r="4957" spans="1:4" x14ac:dyDescent="0.2">
      <c r="A4957" s="140" t="s">
        <v>1478</v>
      </c>
      <c r="B4957" s="141">
        <v>7.793477025813E-4</v>
      </c>
      <c r="D4957" s="141"/>
    </row>
    <row r="4958" spans="1:4" x14ac:dyDescent="0.2">
      <c r="A4958" s="140" t="s">
        <v>2846</v>
      </c>
      <c r="B4958" s="141">
        <v>7.7857301192158E-4</v>
      </c>
      <c r="D4958" s="141"/>
    </row>
    <row r="4959" spans="1:4" x14ac:dyDescent="0.2">
      <c r="A4959" s="140" t="s">
        <v>3135</v>
      </c>
      <c r="B4959" s="141">
        <v>7.7759784269776995E-4</v>
      </c>
      <c r="D4959" s="141"/>
    </row>
    <row r="4960" spans="1:4" x14ac:dyDescent="0.2">
      <c r="A4960" s="140" t="s">
        <v>5436</v>
      </c>
      <c r="B4960" s="141">
        <v>7.7689352992144003E-4</v>
      </c>
      <c r="D4960" s="141"/>
    </row>
    <row r="4961" spans="1:4" x14ac:dyDescent="0.2">
      <c r="A4961" s="140" t="s">
        <v>3841</v>
      </c>
      <c r="B4961" s="141">
        <v>7.7602736455148003E-4</v>
      </c>
      <c r="D4961" s="141"/>
    </row>
    <row r="4962" spans="1:4" x14ac:dyDescent="0.2">
      <c r="A4962" s="140" t="s">
        <v>382</v>
      </c>
      <c r="B4962" s="141">
        <v>7.7569503615922998E-4</v>
      </c>
      <c r="D4962" s="141"/>
    </row>
    <row r="4963" spans="1:4" x14ac:dyDescent="0.2">
      <c r="A4963" s="140" t="s">
        <v>8199</v>
      </c>
      <c r="B4963" s="141">
        <v>7.7553153834481001E-4</v>
      </c>
      <c r="D4963" s="141"/>
    </row>
    <row r="4964" spans="1:4" x14ac:dyDescent="0.2">
      <c r="A4964" s="140" t="s">
        <v>1911</v>
      </c>
      <c r="B4964" s="141">
        <v>7.7474399284456995E-4</v>
      </c>
      <c r="D4964" s="141"/>
    </row>
    <row r="4965" spans="1:4" x14ac:dyDescent="0.2">
      <c r="A4965" s="140" t="s">
        <v>3496</v>
      </c>
      <c r="B4965" s="141">
        <v>7.7426303852470998E-4</v>
      </c>
      <c r="D4965" s="141"/>
    </row>
    <row r="4966" spans="1:4" x14ac:dyDescent="0.2">
      <c r="A4966" s="140" t="s">
        <v>4347</v>
      </c>
      <c r="B4966" s="141">
        <v>7.7385100848595997E-4</v>
      </c>
      <c r="D4966" s="141"/>
    </row>
    <row r="4967" spans="1:4" x14ac:dyDescent="0.2">
      <c r="A4967" s="140" t="s">
        <v>4285</v>
      </c>
      <c r="B4967" s="141">
        <v>7.7379627885562998E-4</v>
      </c>
      <c r="D4967" s="141"/>
    </row>
    <row r="4968" spans="1:4" x14ac:dyDescent="0.2">
      <c r="A4968" s="140" t="s">
        <v>8200</v>
      </c>
      <c r="B4968" s="141">
        <v>7.7326438404193005E-4</v>
      </c>
      <c r="D4968" s="141"/>
    </row>
    <row r="4969" spans="1:4" x14ac:dyDescent="0.2">
      <c r="A4969" s="140" t="s">
        <v>3090</v>
      </c>
      <c r="B4969" s="141">
        <v>7.7286193465534998E-4</v>
      </c>
      <c r="D4969" s="141"/>
    </row>
    <row r="4970" spans="1:4" x14ac:dyDescent="0.2">
      <c r="A4970" s="140" t="s">
        <v>8201</v>
      </c>
      <c r="B4970" s="141">
        <v>7.7271623779768997E-4</v>
      </c>
      <c r="D4970" s="141"/>
    </row>
    <row r="4971" spans="1:4" x14ac:dyDescent="0.2">
      <c r="A4971" s="140" t="s">
        <v>4004</v>
      </c>
      <c r="B4971" s="141">
        <v>7.7169266047338999E-4</v>
      </c>
      <c r="D4971" s="141"/>
    </row>
    <row r="4972" spans="1:4" x14ac:dyDescent="0.2">
      <c r="A4972" s="140" t="s">
        <v>1856</v>
      </c>
      <c r="B4972" s="141">
        <v>7.7165555645928002E-4</v>
      </c>
      <c r="D4972" s="141"/>
    </row>
    <row r="4973" spans="1:4" x14ac:dyDescent="0.2">
      <c r="A4973" s="140" t="s">
        <v>1185</v>
      </c>
      <c r="B4973" s="141">
        <v>7.7125066727347E-4</v>
      </c>
      <c r="D4973" s="141"/>
    </row>
    <row r="4974" spans="1:4" x14ac:dyDescent="0.2">
      <c r="A4974" s="140" t="s">
        <v>3290</v>
      </c>
      <c r="B4974" s="141">
        <v>7.7075060066672996E-4</v>
      </c>
      <c r="D4974" s="141"/>
    </row>
    <row r="4975" spans="1:4" x14ac:dyDescent="0.2">
      <c r="A4975" s="140" t="s">
        <v>4146</v>
      </c>
      <c r="B4975" s="141">
        <v>7.7024562396810995E-4</v>
      </c>
      <c r="D4975" s="141"/>
    </row>
    <row r="4976" spans="1:4" x14ac:dyDescent="0.2">
      <c r="A4976" s="140" t="s">
        <v>8202</v>
      </c>
      <c r="B4976" s="141">
        <v>7.7013288446804002E-4</v>
      </c>
      <c r="D4976" s="141"/>
    </row>
    <row r="4977" spans="1:4" x14ac:dyDescent="0.2">
      <c r="A4977" s="140" t="s">
        <v>8203</v>
      </c>
      <c r="B4977" s="141">
        <v>7.6931110832524001E-4</v>
      </c>
      <c r="D4977" s="141"/>
    </row>
    <row r="4978" spans="1:4" x14ac:dyDescent="0.2">
      <c r="A4978" s="140" t="s">
        <v>1924</v>
      </c>
      <c r="B4978" s="141">
        <v>7.6837433908936005E-4</v>
      </c>
      <c r="D4978" s="141"/>
    </row>
    <row r="4979" spans="1:4" x14ac:dyDescent="0.2">
      <c r="A4979" s="140" t="s">
        <v>8204</v>
      </c>
      <c r="B4979" s="141">
        <v>7.6738700219775003E-4</v>
      </c>
      <c r="D4979" s="141"/>
    </row>
    <row r="4980" spans="1:4" x14ac:dyDescent="0.2">
      <c r="A4980" s="140" t="s">
        <v>4399</v>
      </c>
      <c r="B4980" s="141">
        <v>7.6606586135108997E-4</v>
      </c>
      <c r="D4980" s="141"/>
    </row>
    <row r="4981" spans="1:4" x14ac:dyDescent="0.2">
      <c r="A4981" s="140" t="s">
        <v>2905</v>
      </c>
      <c r="B4981" s="141">
        <v>7.6559884686018998E-4</v>
      </c>
      <c r="D4981" s="141"/>
    </row>
    <row r="4982" spans="1:4" x14ac:dyDescent="0.2">
      <c r="A4982" s="140" t="s">
        <v>5171</v>
      </c>
      <c r="B4982" s="141">
        <v>7.6272499563218997E-4</v>
      </c>
      <c r="D4982" s="141"/>
    </row>
    <row r="4983" spans="1:4" x14ac:dyDescent="0.2">
      <c r="A4983" s="140" t="s">
        <v>4733</v>
      </c>
      <c r="B4983" s="141">
        <v>7.6215943489875003E-4</v>
      </c>
      <c r="D4983" s="141"/>
    </row>
    <row r="4984" spans="1:4" x14ac:dyDescent="0.2">
      <c r="A4984" s="140" t="s">
        <v>8205</v>
      </c>
      <c r="B4984" s="141">
        <v>7.6168244843108997E-4</v>
      </c>
      <c r="D4984" s="141"/>
    </row>
    <row r="4985" spans="1:4" x14ac:dyDescent="0.2">
      <c r="A4985" s="140" t="s">
        <v>2656</v>
      </c>
      <c r="B4985" s="141">
        <v>7.6026077168824999E-4</v>
      </c>
      <c r="D4985" s="141"/>
    </row>
    <row r="4986" spans="1:4" x14ac:dyDescent="0.2">
      <c r="A4986" s="140" t="s">
        <v>2774</v>
      </c>
      <c r="B4986" s="141">
        <v>7.5986985738270003E-4</v>
      </c>
      <c r="D4986" s="141"/>
    </row>
    <row r="4987" spans="1:4" x14ac:dyDescent="0.2">
      <c r="A4987" s="140" t="s">
        <v>3838</v>
      </c>
      <c r="B4987" s="141">
        <v>7.5732591875124001E-4</v>
      </c>
      <c r="D4987" s="141"/>
    </row>
    <row r="4988" spans="1:4" x14ac:dyDescent="0.2">
      <c r="A4988" s="140" t="s">
        <v>5400</v>
      </c>
      <c r="B4988" s="141">
        <v>7.5715202704551999E-4</v>
      </c>
      <c r="D4988" s="141"/>
    </row>
    <row r="4989" spans="1:4" x14ac:dyDescent="0.2">
      <c r="A4989" s="140" t="s">
        <v>6220</v>
      </c>
      <c r="B4989" s="141">
        <v>7.5672761732915015E-4</v>
      </c>
      <c r="D4989" s="141"/>
    </row>
    <row r="4990" spans="1:4" x14ac:dyDescent="0.2">
      <c r="A4990" s="140" t="s">
        <v>2678</v>
      </c>
      <c r="B4990" s="141">
        <v>7.5627403158347003E-4</v>
      </c>
      <c r="D4990" s="141"/>
    </row>
    <row r="4991" spans="1:4" x14ac:dyDescent="0.2">
      <c r="A4991" s="140" t="s">
        <v>5284</v>
      </c>
      <c r="B4991" s="141">
        <v>7.5610629395868995E-4</v>
      </c>
      <c r="D4991" s="141"/>
    </row>
    <row r="4992" spans="1:4" x14ac:dyDescent="0.2">
      <c r="A4992" s="140" t="s">
        <v>5493</v>
      </c>
      <c r="B4992" s="141">
        <v>7.5515434039308998E-4</v>
      </c>
      <c r="D4992" s="141"/>
    </row>
    <row r="4993" spans="1:4" x14ac:dyDescent="0.2">
      <c r="A4993" s="140" t="s">
        <v>3387</v>
      </c>
      <c r="B4993" s="141">
        <v>7.5510430311339998E-4</v>
      </c>
      <c r="D4993" s="141"/>
    </row>
    <row r="4994" spans="1:4" x14ac:dyDescent="0.2">
      <c r="A4994" s="140" t="s">
        <v>8206</v>
      </c>
      <c r="B4994" s="141">
        <v>7.5505261706071999E-4</v>
      </c>
      <c r="D4994" s="141"/>
    </row>
    <row r="4995" spans="1:4" x14ac:dyDescent="0.2">
      <c r="A4995" s="140" t="s">
        <v>8207</v>
      </c>
      <c r="B4995" s="141">
        <v>7.5316565433658999E-4</v>
      </c>
      <c r="D4995" s="141"/>
    </row>
    <row r="4996" spans="1:4" x14ac:dyDescent="0.2">
      <c r="A4996" s="140" t="s">
        <v>8208</v>
      </c>
      <c r="B4996" s="141">
        <v>7.5316565433658999E-4</v>
      </c>
      <c r="D4996" s="141"/>
    </row>
    <row r="4997" spans="1:4" x14ac:dyDescent="0.2">
      <c r="A4997" s="140" t="s">
        <v>2717</v>
      </c>
      <c r="B4997" s="141">
        <v>7.5223838870151999E-4</v>
      </c>
      <c r="D4997" s="141"/>
    </row>
    <row r="4998" spans="1:4" x14ac:dyDescent="0.2">
      <c r="A4998" s="140" t="s">
        <v>4839</v>
      </c>
      <c r="B4998" s="141">
        <v>7.5086859644270005E-4</v>
      </c>
      <c r="D4998" s="141"/>
    </row>
    <row r="4999" spans="1:4" x14ac:dyDescent="0.2">
      <c r="A4999" s="140" t="s">
        <v>3757</v>
      </c>
      <c r="B4999" s="141">
        <v>7.4953510074768001E-4</v>
      </c>
      <c r="D4999" s="141"/>
    </row>
    <row r="5000" spans="1:4" x14ac:dyDescent="0.2">
      <c r="A5000" s="140" t="s">
        <v>1774</v>
      </c>
      <c r="B5000" s="141">
        <v>7.4934129966929995E-4</v>
      </c>
      <c r="D5000" s="141"/>
    </row>
    <row r="5001" spans="1:4" x14ac:dyDescent="0.2">
      <c r="A5001" s="140" t="s">
        <v>721</v>
      </c>
      <c r="B5001" s="141">
        <v>7.4859678257800004E-4</v>
      </c>
      <c r="D5001" s="141"/>
    </row>
    <row r="5002" spans="1:4" x14ac:dyDescent="0.2">
      <c r="A5002" s="140" t="s">
        <v>384</v>
      </c>
      <c r="B5002" s="141">
        <v>7.4733919993864005E-4</v>
      </c>
      <c r="D5002" s="141"/>
    </row>
    <row r="5003" spans="1:4" x14ac:dyDescent="0.2">
      <c r="A5003" s="140" t="s">
        <v>1603</v>
      </c>
      <c r="B5003" s="141">
        <v>7.4698564606792001E-4</v>
      </c>
      <c r="D5003" s="141"/>
    </row>
    <row r="5004" spans="1:4" x14ac:dyDescent="0.2">
      <c r="A5004" s="140" t="s">
        <v>8209</v>
      </c>
      <c r="B5004" s="141">
        <v>7.4659113117602003E-4</v>
      </c>
      <c r="D5004" s="141"/>
    </row>
    <row r="5005" spans="1:4" x14ac:dyDescent="0.2">
      <c r="A5005" s="140" t="s">
        <v>4460</v>
      </c>
      <c r="B5005" s="141">
        <v>7.4639518726298004E-4</v>
      </c>
      <c r="D5005" s="141"/>
    </row>
    <row r="5006" spans="1:4" x14ac:dyDescent="0.2">
      <c r="A5006" s="140" t="s">
        <v>2390</v>
      </c>
      <c r="B5006" s="141">
        <v>7.4630959559024001E-4</v>
      </c>
      <c r="D5006" s="141"/>
    </row>
    <row r="5007" spans="1:4" x14ac:dyDescent="0.2">
      <c r="A5007" s="140" t="s">
        <v>2800</v>
      </c>
      <c r="B5007" s="141">
        <v>7.4477179360477996E-4</v>
      </c>
      <c r="D5007" s="141"/>
    </row>
    <row r="5008" spans="1:4" x14ac:dyDescent="0.2">
      <c r="A5008" s="140" t="s">
        <v>3650</v>
      </c>
      <c r="B5008" s="141">
        <v>7.4338856910556995E-4</v>
      </c>
      <c r="D5008" s="141"/>
    </row>
    <row r="5009" spans="1:4" x14ac:dyDescent="0.2">
      <c r="A5009" s="140" t="s">
        <v>8210</v>
      </c>
      <c r="B5009" s="141">
        <v>7.3990714259999999E-4</v>
      </c>
      <c r="D5009" s="141"/>
    </row>
    <row r="5010" spans="1:4" x14ac:dyDescent="0.2">
      <c r="A5010" s="140" t="s">
        <v>5033</v>
      </c>
      <c r="B5010" s="141">
        <v>7.3720195879493997E-4</v>
      </c>
      <c r="D5010" s="141"/>
    </row>
    <row r="5011" spans="1:4" x14ac:dyDescent="0.2">
      <c r="A5011" s="140" t="s">
        <v>3263</v>
      </c>
      <c r="B5011" s="141">
        <v>7.3672515967167001E-4</v>
      </c>
      <c r="D5011" s="141"/>
    </row>
    <row r="5012" spans="1:4" x14ac:dyDescent="0.2">
      <c r="A5012" s="140" t="s">
        <v>1595</v>
      </c>
      <c r="B5012" s="141">
        <v>7.3670962982098995E-4</v>
      </c>
      <c r="D5012" s="141"/>
    </row>
    <row r="5013" spans="1:4" x14ac:dyDescent="0.2">
      <c r="A5013" s="140" t="s">
        <v>5637</v>
      </c>
      <c r="B5013" s="141">
        <v>7.3205923953199002E-4</v>
      </c>
      <c r="D5013" s="141"/>
    </row>
    <row r="5014" spans="1:4" x14ac:dyDescent="0.2">
      <c r="A5014" s="140" t="s">
        <v>4604</v>
      </c>
      <c r="B5014" s="141">
        <v>7.3101151203951002E-4</v>
      </c>
      <c r="D5014" s="141"/>
    </row>
    <row r="5015" spans="1:4" x14ac:dyDescent="0.2">
      <c r="A5015" s="140" t="s">
        <v>4422</v>
      </c>
      <c r="B5015" s="141">
        <v>7.2939836747619999E-4</v>
      </c>
      <c r="D5015" s="141"/>
    </row>
    <row r="5016" spans="1:4" x14ac:dyDescent="0.2">
      <c r="A5016" s="140" t="s">
        <v>2601</v>
      </c>
      <c r="B5016" s="141">
        <v>7.2932840672305E-4</v>
      </c>
      <c r="D5016" s="141"/>
    </row>
    <row r="5017" spans="1:4" x14ac:dyDescent="0.2">
      <c r="A5017" s="140" t="s">
        <v>2376</v>
      </c>
      <c r="B5017" s="141">
        <v>7.2907864790110004E-4</v>
      </c>
      <c r="D5017" s="141"/>
    </row>
    <row r="5018" spans="1:4" x14ac:dyDescent="0.2">
      <c r="A5018" s="140" t="s">
        <v>5856</v>
      </c>
      <c r="B5018" s="141">
        <v>7.2678468254455003E-4</v>
      </c>
      <c r="D5018" s="141"/>
    </row>
    <row r="5019" spans="1:4" x14ac:dyDescent="0.2">
      <c r="A5019" s="140" t="s">
        <v>8211</v>
      </c>
      <c r="B5019" s="141">
        <v>7.2577867843181003E-4</v>
      </c>
      <c r="D5019" s="141"/>
    </row>
    <row r="5020" spans="1:4" x14ac:dyDescent="0.2">
      <c r="A5020" s="140" t="s">
        <v>1552</v>
      </c>
      <c r="B5020" s="141">
        <v>7.2509724109496004E-4</v>
      </c>
      <c r="D5020" s="141"/>
    </row>
    <row r="5021" spans="1:4" x14ac:dyDescent="0.2">
      <c r="A5021" s="140" t="s">
        <v>4668</v>
      </c>
      <c r="B5021" s="141">
        <v>7.2483335385786004E-4</v>
      </c>
      <c r="D5021" s="141"/>
    </row>
    <row r="5022" spans="1:4" x14ac:dyDescent="0.2">
      <c r="A5022" s="140" t="s">
        <v>5066</v>
      </c>
      <c r="B5022" s="141">
        <v>7.2414671703372E-4</v>
      </c>
      <c r="D5022" s="141"/>
    </row>
    <row r="5023" spans="1:4" x14ac:dyDescent="0.2">
      <c r="A5023" s="140" t="s">
        <v>533</v>
      </c>
      <c r="B5023" s="141">
        <v>7.2413328868022996E-4</v>
      </c>
      <c r="D5023" s="141"/>
    </row>
    <row r="5024" spans="1:4" x14ac:dyDescent="0.2">
      <c r="A5024" s="140" t="s">
        <v>4677</v>
      </c>
      <c r="B5024" s="141">
        <v>7.2336795461098004E-4</v>
      </c>
      <c r="D5024" s="141"/>
    </row>
    <row r="5025" spans="1:4" x14ac:dyDescent="0.2">
      <c r="A5025" s="140" t="s">
        <v>6356</v>
      </c>
      <c r="B5025" s="141">
        <v>7.2335817650823002E-4</v>
      </c>
      <c r="D5025" s="141"/>
    </row>
    <row r="5026" spans="1:4" x14ac:dyDescent="0.2">
      <c r="A5026" s="140" t="s">
        <v>5620</v>
      </c>
      <c r="B5026" s="141">
        <v>7.2332753232856996E-4</v>
      </c>
      <c r="D5026" s="141"/>
    </row>
    <row r="5027" spans="1:4" x14ac:dyDescent="0.2">
      <c r="A5027" s="140" t="s">
        <v>4579</v>
      </c>
      <c r="B5027" s="141">
        <v>7.2055627755372004E-4</v>
      </c>
      <c r="D5027" s="141"/>
    </row>
    <row r="5028" spans="1:4" x14ac:dyDescent="0.2">
      <c r="A5028" s="140" t="s">
        <v>1489</v>
      </c>
      <c r="B5028" s="141">
        <v>7.1974532382229996E-4</v>
      </c>
      <c r="D5028" s="141"/>
    </row>
    <row r="5029" spans="1:4" x14ac:dyDescent="0.2">
      <c r="A5029" s="140" t="s">
        <v>8212</v>
      </c>
      <c r="B5029" s="141">
        <v>7.1817121552853001E-4</v>
      </c>
      <c r="D5029" s="141"/>
    </row>
    <row r="5030" spans="1:4" x14ac:dyDescent="0.2">
      <c r="A5030" s="140" t="s">
        <v>4969</v>
      </c>
      <c r="B5030" s="141">
        <v>7.1791887984531001E-4</v>
      </c>
      <c r="D5030" s="141"/>
    </row>
    <row r="5031" spans="1:4" x14ac:dyDescent="0.2">
      <c r="A5031" s="140" t="s">
        <v>5415</v>
      </c>
      <c r="B5031" s="141">
        <v>7.1658308924806003E-4</v>
      </c>
      <c r="D5031" s="141"/>
    </row>
    <row r="5032" spans="1:4" x14ac:dyDescent="0.2">
      <c r="A5032" s="140" t="s">
        <v>6143</v>
      </c>
      <c r="B5032" s="141">
        <v>7.1627431299109998E-4</v>
      </c>
      <c r="D5032" s="141"/>
    </row>
    <row r="5033" spans="1:4" x14ac:dyDescent="0.2">
      <c r="A5033" s="140" t="s">
        <v>1178</v>
      </c>
      <c r="B5033" s="141">
        <v>7.1595491708378997E-4</v>
      </c>
      <c r="D5033" s="141"/>
    </row>
    <row r="5034" spans="1:4" x14ac:dyDescent="0.2">
      <c r="A5034" s="140" t="s">
        <v>2893</v>
      </c>
      <c r="B5034" s="141">
        <v>7.1594795258246005E-4</v>
      </c>
      <c r="D5034" s="141"/>
    </row>
    <row r="5035" spans="1:4" x14ac:dyDescent="0.2">
      <c r="A5035" s="140" t="s">
        <v>1714</v>
      </c>
      <c r="B5035" s="141">
        <v>7.1591938244531996E-4</v>
      </c>
      <c r="D5035" s="141"/>
    </row>
    <row r="5036" spans="1:4" x14ac:dyDescent="0.2">
      <c r="A5036" s="140" t="s">
        <v>1325</v>
      </c>
      <c r="B5036" s="141">
        <v>7.1569400170675996E-4</v>
      </c>
      <c r="D5036" s="141"/>
    </row>
    <row r="5037" spans="1:4" x14ac:dyDescent="0.2">
      <c r="A5037" s="140" t="s">
        <v>6051</v>
      </c>
      <c r="B5037" s="141">
        <v>7.1559402832736005E-4</v>
      </c>
      <c r="D5037" s="141"/>
    </row>
    <row r="5038" spans="1:4" x14ac:dyDescent="0.2">
      <c r="A5038" s="140" t="s">
        <v>2178</v>
      </c>
      <c r="B5038" s="141">
        <v>7.1538752220153998E-4</v>
      </c>
      <c r="D5038" s="141"/>
    </row>
    <row r="5039" spans="1:4" x14ac:dyDescent="0.2">
      <c r="A5039" s="140" t="s">
        <v>1802</v>
      </c>
      <c r="B5039" s="141">
        <v>7.1525750312961996E-4</v>
      </c>
      <c r="D5039" s="141"/>
    </row>
    <row r="5040" spans="1:4" x14ac:dyDescent="0.2">
      <c r="A5040" s="140" t="s">
        <v>3724</v>
      </c>
      <c r="B5040" s="141">
        <v>7.1514539684635996E-4</v>
      </c>
      <c r="D5040" s="141"/>
    </row>
    <row r="5041" spans="1:4" x14ac:dyDescent="0.2">
      <c r="A5041" s="140" t="s">
        <v>1246</v>
      </c>
      <c r="B5041" s="141">
        <v>7.1266756964930001E-4</v>
      </c>
      <c r="D5041" s="141"/>
    </row>
    <row r="5042" spans="1:4" x14ac:dyDescent="0.2">
      <c r="A5042" s="140" t="s">
        <v>4078</v>
      </c>
      <c r="B5042" s="141">
        <v>7.1249548178755999E-4</v>
      </c>
      <c r="D5042" s="141"/>
    </row>
    <row r="5043" spans="1:4" x14ac:dyDescent="0.2">
      <c r="A5043" s="140" t="s">
        <v>8213</v>
      </c>
      <c r="B5043" s="141">
        <v>7.121075483873E-4</v>
      </c>
      <c r="D5043" s="141"/>
    </row>
    <row r="5044" spans="1:4" x14ac:dyDescent="0.2">
      <c r="A5044" s="140" t="s">
        <v>8214</v>
      </c>
      <c r="B5044" s="141">
        <v>7.1111410068608999E-4</v>
      </c>
      <c r="D5044" s="141"/>
    </row>
    <row r="5045" spans="1:4" x14ac:dyDescent="0.2">
      <c r="A5045" s="140" t="s">
        <v>5832</v>
      </c>
      <c r="B5045" s="141">
        <v>7.0934564472742E-4</v>
      </c>
      <c r="D5045" s="141"/>
    </row>
    <row r="5046" spans="1:4" x14ac:dyDescent="0.2">
      <c r="A5046" s="140" t="s">
        <v>3285</v>
      </c>
      <c r="B5046" s="141">
        <v>7.0934564472742E-4</v>
      </c>
      <c r="D5046" s="141"/>
    </row>
    <row r="5047" spans="1:4" x14ac:dyDescent="0.2">
      <c r="A5047" s="140" t="s">
        <v>8215</v>
      </c>
      <c r="B5047" s="141">
        <v>7.0619426869522996E-4</v>
      </c>
      <c r="D5047" s="141"/>
    </row>
    <row r="5048" spans="1:4" x14ac:dyDescent="0.2">
      <c r="A5048" s="140" t="s">
        <v>8216</v>
      </c>
      <c r="B5048" s="141">
        <v>7.0614093237423995E-4</v>
      </c>
      <c r="D5048" s="141"/>
    </row>
    <row r="5049" spans="1:4" x14ac:dyDescent="0.2">
      <c r="A5049" s="140" t="s">
        <v>790</v>
      </c>
      <c r="B5049" s="141">
        <v>7.0575095156447999E-4</v>
      </c>
      <c r="D5049" s="141"/>
    </row>
    <row r="5050" spans="1:4" x14ac:dyDescent="0.2">
      <c r="A5050" s="140" t="s">
        <v>8217</v>
      </c>
      <c r="B5050" s="141">
        <v>7.049550414917E-4</v>
      </c>
      <c r="D5050" s="141"/>
    </row>
    <row r="5051" spans="1:4" x14ac:dyDescent="0.2">
      <c r="A5051" s="140" t="s">
        <v>8218</v>
      </c>
      <c r="B5051" s="141">
        <v>7.0469625005621997E-4</v>
      </c>
      <c r="D5051" s="141"/>
    </row>
    <row r="5052" spans="1:4" x14ac:dyDescent="0.2">
      <c r="A5052" s="140" t="s">
        <v>1337</v>
      </c>
      <c r="B5052" s="141">
        <v>7.0464698431403996E-4</v>
      </c>
      <c r="D5052" s="141"/>
    </row>
    <row r="5053" spans="1:4" x14ac:dyDescent="0.2">
      <c r="A5053" s="140" t="s">
        <v>2817</v>
      </c>
      <c r="B5053" s="141">
        <v>7.0410027407209004E-4</v>
      </c>
      <c r="D5053" s="141"/>
    </row>
    <row r="5054" spans="1:4" x14ac:dyDescent="0.2">
      <c r="A5054" s="140" t="s">
        <v>8219</v>
      </c>
      <c r="B5054" s="141">
        <v>7.0368211403891E-4</v>
      </c>
      <c r="D5054" s="141"/>
    </row>
    <row r="5055" spans="1:4" x14ac:dyDescent="0.2">
      <c r="A5055" s="140" t="s">
        <v>4876</v>
      </c>
      <c r="B5055" s="141">
        <v>7.0321239330223002E-4</v>
      </c>
      <c r="D5055" s="141"/>
    </row>
    <row r="5056" spans="1:4" x14ac:dyDescent="0.2">
      <c r="A5056" s="140" t="s">
        <v>517</v>
      </c>
      <c r="B5056" s="141">
        <v>7.0260000457091998E-4</v>
      </c>
      <c r="D5056" s="141"/>
    </row>
    <row r="5057" spans="1:4" x14ac:dyDescent="0.2">
      <c r="A5057" s="140" t="s">
        <v>6021</v>
      </c>
      <c r="B5057" s="141">
        <v>7.0166547364642999E-4</v>
      </c>
      <c r="D5057" s="141"/>
    </row>
    <row r="5058" spans="1:4" x14ac:dyDescent="0.2">
      <c r="A5058" s="140" t="s">
        <v>2218</v>
      </c>
      <c r="B5058" s="141">
        <v>7.0030184531120999E-4</v>
      </c>
      <c r="D5058" s="141"/>
    </row>
    <row r="5059" spans="1:4" x14ac:dyDescent="0.2">
      <c r="A5059" s="140" t="s">
        <v>1297</v>
      </c>
      <c r="B5059" s="141">
        <v>6.9989071802525004E-4</v>
      </c>
      <c r="D5059" s="141"/>
    </row>
    <row r="5060" spans="1:4" x14ac:dyDescent="0.2">
      <c r="A5060" s="140" t="s">
        <v>2256</v>
      </c>
      <c r="B5060" s="141">
        <v>6.9977082837818999E-4</v>
      </c>
      <c r="D5060" s="141"/>
    </row>
    <row r="5061" spans="1:4" x14ac:dyDescent="0.2">
      <c r="A5061" s="140" t="s">
        <v>8220</v>
      </c>
      <c r="B5061" s="141">
        <v>6.9966368212218003E-4</v>
      </c>
      <c r="D5061" s="141"/>
    </row>
    <row r="5062" spans="1:4" x14ac:dyDescent="0.2">
      <c r="A5062" s="140" t="s">
        <v>3606</v>
      </c>
      <c r="B5062" s="141">
        <v>6.9883684990004996E-4</v>
      </c>
      <c r="D5062" s="141"/>
    </row>
    <row r="5063" spans="1:4" x14ac:dyDescent="0.2">
      <c r="A5063" s="140" t="s">
        <v>1535</v>
      </c>
      <c r="B5063" s="141">
        <v>6.9778057039351004E-4</v>
      </c>
      <c r="D5063" s="141"/>
    </row>
    <row r="5064" spans="1:4" x14ac:dyDescent="0.2">
      <c r="A5064" s="140" t="s">
        <v>4428</v>
      </c>
      <c r="B5064" s="141">
        <v>6.9740458663427002E-4</v>
      </c>
      <c r="D5064" s="141"/>
    </row>
    <row r="5065" spans="1:4" x14ac:dyDescent="0.2">
      <c r="A5065" s="140" t="s">
        <v>6229</v>
      </c>
      <c r="B5065" s="141">
        <v>6.9701562829776E-4</v>
      </c>
      <c r="D5065" s="141"/>
    </row>
    <row r="5066" spans="1:4" x14ac:dyDescent="0.2">
      <c r="A5066" s="140" t="s">
        <v>4819</v>
      </c>
      <c r="B5066" s="141">
        <v>6.9625933552260998E-4</v>
      </c>
      <c r="D5066" s="141"/>
    </row>
    <row r="5067" spans="1:4" x14ac:dyDescent="0.2">
      <c r="A5067" s="140" t="s">
        <v>8221</v>
      </c>
      <c r="B5067" s="141">
        <v>6.9596509639438997E-4</v>
      </c>
      <c r="D5067" s="141"/>
    </row>
    <row r="5068" spans="1:4" x14ac:dyDescent="0.2">
      <c r="A5068" s="140" t="s">
        <v>2971</v>
      </c>
      <c r="B5068" s="141">
        <v>6.9583768868504002E-4</v>
      </c>
      <c r="D5068" s="141"/>
    </row>
    <row r="5069" spans="1:4" x14ac:dyDescent="0.2">
      <c r="A5069" s="140" t="s">
        <v>5989</v>
      </c>
      <c r="B5069" s="141">
        <v>6.9441093088264995E-4</v>
      </c>
      <c r="D5069" s="141"/>
    </row>
    <row r="5070" spans="1:4" x14ac:dyDescent="0.2">
      <c r="A5070" s="140" t="s">
        <v>1357</v>
      </c>
      <c r="B5070" s="141">
        <v>6.9426913002148996E-4</v>
      </c>
      <c r="D5070" s="141"/>
    </row>
    <row r="5071" spans="1:4" x14ac:dyDescent="0.2">
      <c r="A5071" s="140" t="s">
        <v>5197</v>
      </c>
      <c r="B5071" s="141">
        <v>6.9417667740848002E-4</v>
      </c>
      <c r="D5071" s="141"/>
    </row>
    <row r="5072" spans="1:4" x14ac:dyDescent="0.2">
      <c r="A5072" s="140" t="s">
        <v>8222</v>
      </c>
      <c r="B5072" s="141">
        <v>6.9342475017505E-4</v>
      </c>
      <c r="D5072" s="141"/>
    </row>
    <row r="5073" spans="1:4" x14ac:dyDescent="0.2">
      <c r="A5073" s="140" t="s">
        <v>8223</v>
      </c>
      <c r="B5073" s="141">
        <v>6.9342475017505E-4</v>
      </c>
      <c r="D5073" s="141"/>
    </row>
    <row r="5074" spans="1:4" x14ac:dyDescent="0.2">
      <c r="A5074" s="140" t="s">
        <v>2004</v>
      </c>
      <c r="B5074" s="141">
        <v>6.9309027578958002E-4</v>
      </c>
      <c r="D5074" s="141"/>
    </row>
    <row r="5075" spans="1:4" x14ac:dyDescent="0.2">
      <c r="A5075" s="140" t="s">
        <v>1216</v>
      </c>
      <c r="B5075" s="141">
        <v>6.9279476747901995E-4</v>
      </c>
      <c r="D5075" s="141"/>
    </row>
    <row r="5076" spans="1:4" x14ac:dyDescent="0.2">
      <c r="A5076" s="140" t="s">
        <v>6121</v>
      </c>
      <c r="B5076" s="141">
        <v>6.9273628500257005E-4</v>
      </c>
      <c r="D5076" s="141"/>
    </row>
    <row r="5077" spans="1:4" x14ac:dyDescent="0.2">
      <c r="A5077" s="140" t="s">
        <v>4356</v>
      </c>
      <c r="B5077" s="141">
        <v>6.9272880415270003E-4</v>
      </c>
      <c r="D5077" s="141"/>
    </row>
    <row r="5078" spans="1:4" x14ac:dyDescent="0.2">
      <c r="A5078" s="140" t="s">
        <v>3998</v>
      </c>
      <c r="B5078" s="141">
        <v>6.9264273899207005E-4</v>
      </c>
      <c r="D5078" s="141"/>
    </row>
    <row r="5079" spans="1:4" x14ac:dyDescent="0.2">
      <c r="A5079" s="140" t="s">
        <v>2435</v>
      </c>
      <c r="B5079" s="141">
        <v>6.9139601197903001E-4</v>
      </c>
      <c r="D5079" s="141"/>
    </row>
    <row r="5080" spans="1:4" x14ac:dyDescent="0.2">
      <c r="A5080" s="140" t="s">
        <v>3744</v>
      </c>
      <c r="B5080" s="141">
        <v>6.9021748420419E-4</v>
      </c>
      <c r="D5080" s="141"/>
    </row>
    <row r="5081" spans="1:4" x14ac:dyDescent="0.2">
      <c r="A5081" s="140" t="s">
        <v>1415</v>
      </c>
      <c r="B5081" s="141">
        <v>6.9020951853436996E-4</v>
      </c>
      <c r="D5081" s="141"/>
    </row>
    <row r="5082" spans="1:4" x14ac:dyDescent="0.2">
      <c r="A5082" s="140" t="s">
        <v>6359</v>
      </c>
      <c r="B5082" s="141">
        <v>6.8953278527165995E-4</v>
      </c>
      <c r="D5082" s="141"/>
    </row>
    <row r="5083" spans="1:4" x14ac:dyDescent="0.2">
      <c r="A5083" s="140" t="s">
        <v>4053</v>
      </c>
      <c r="B5083" s="141">
        <v>6.8938225871729996E-4</v>
      </c>
      <c r="D5083" s="141"/>
    </row>
    <row r="5084" spans="1:4" x14ac:dyDescent="0.2">
      <c r="A5084" s="140" t="s">
        <v>2831</v>
      </c>
      <c r="B5084" s="141">
        <v>6.8778222495148003E-4</v>
      </c>
      <c r="D5084" s="141"/>
    </row>
    <row r="5085" spans="1:4" x14ac:dyDescent="0.2">
      <c r="A5085" s="140" t="s">
        <v>4950</v>
      </c>
      <c r="B5085" s="141">
        <v>6.8674923064914004E-4</v>
      </c>
      <c r="D5085" s="141"/>
    </row>
    <row r="5086" spans="1:4" x14ac:dyDescent="0.2">
      <c r="A5086" s="140" t="s">
        <v>2584</v>
      </c>
      <c r="B5086" s="141">
        <v>6.8643260958994997E-4</v>
      </c>
      <c r="D5086" s="141"/>
    </row>
    <row r="5087" spans="1:4" x14ac:dyDescent="0.2">
      <c r="A5087" s="140" t="s">
        <v>1866</v>
      </c>
      <c r="B5087" s="141">
        <v>6.8638170795245004E-4</v>
      </c>
      <c r="D5087" s="141"/>
    </row>
    <row r="5088" spans="1:4" x14ac:dyDescent="0.2">
      <c r="A5088" s="140" t="s">
        <v>2927</v>
      </c>
      <c r="B5088" s="141">
        <v>6.8634808050587002E-4</v>
      </c>
      <c r="D5088" s="141"/>
    </row>
    <row r="5089" spans="1:4" x14ac:dyDescent="0.2">
      <c r="A5089" s="140" t="s">
        <v>8224</v>
      </c>
      <c r="B5089" s="141">
        <v>6.8565937253746E-4</v>
      </c>
      <c r="D5089" s="141"/>
    </row>
    <row r="5090" spans="1:4" x14ac:dyDescent="0.2">
      <c r="A5090" s="140" t="s">
        <v>8225</v>
      </c>
      <c r="B5090" s="141">
        <v>6.8565937253746E-4</v>
      </c>
      <c r="D5090" s="141"/>
    </row>
    <row r="5091" spans="1:4" x14ac:dyDescent="0.2">
      <c r="A5091" s="140" t="s">
        <v>8226</v>
      </c>
      <c r="B5091" s="141">
        <v>6.8565937253746E-4</v>
      </c>
      <c r="D5091" s="141"/>
    </row>
    <row r="5092" spans="1:4" x14ac:dyDescent="0.2">
      <c r="A5092" s="140" t="s">
        <v>1922</v>
      </c>
      <c r="B5092" s="141">
        <v>6.8563469923155998E-4</v>
      </c>
      <c r="D5092" s="141"/>
    </row>
    <row r="5093" spans="1:4" x14ac:dyDescent="0.2">
      <c r="A5093" s="140" t="s">
        <v>8227</v>
      </c>
      <c r="B5093" s="141">
        <v>6.8532968639195004E-4</v>
      </c>
      <c r="D5093" s="141"/>
    </row>
    <row r="5094" spans="1:4" x14ac:dyDescent="0.2">
      <c r="A5094" s="140" t="s">
        <v>8228</v>
      </c>
      <c r="B5094" s="141">
        <v>6.8532713707700004E-4</v>
      </c>
      <c r="D5094" s="141"/>
    </row>
    <row r="5095" spans="1:4" x14ac:dyDescent="0.2">
      <c r="A5095" s="140" t="s">
        <v>5790</v>
      </c>
      <c r="B5095" s="141">
        <v>6.8509574547646998E-4</v>
      </c>
      <c r="D5095" s="141"/>
    </row>
    <row r="5096" spans="1:4" x14ac:dyDescent="0.2">
      <c r="A5096" s="140" t="s">
        <v>4392</v>
      </c>
      <c r="B5096" s="141">
        <v>6.8495610863667997E-4</v>
      </c>
      <c r="D5096" s="141"/>
    </row>
    <row r="5097" spans="1:4" x14ac:dyDescent="0.2">
      <c r="A5097" s="140" t="s">
        <v>5375</v>
      </c>
      <c r="B5097" s="141">
        <v>6.8326721781364005E-4</v>
      </c>
      <c r="D5097" s="141"/>
    </row>
    <row r="5098" spans="1:4" x14ac:dyDescent="0.2">
      <c r="A5098" s="140" t="s">
        <v>8229</v>
      </c>
      <c r="B5098" s="141">
        <v>6.8322263901773005E-4</v>
      </c>
      <c r="D5098" s="141"/>
    </row>
    <row r="5099" spans="1:4" x14ac:dyDescent="0.2">
      <c r="A5099" s="140" t="s">
        <v>4539</v>
      </c>
      <c r="B5099" s="141">
        <v>6.8281470468825004E-4</v>
      </c>
      <c r="D5099" s="141"/>
    </row>
    <row r="5100" spans="1:4" x14ac:dyDescent="0.2">
      <c r="A5100" s="140" t="s">
        <v>8230</v>
      </c>
      <c r="B5100" s="141">
        <v>6.8205649375945E-4</v>
      </c>
      <c r="D5100" s="141"/>
    </row>
    <row r="5101" spans="1:4" x14ac:dyDescent="0.2">
      <c r="A5101" s="140" t="s">
        <v>6028</v>
      </c>
      <c r="B5101" s="141">
        <v>6.8135854881449002E-4</v>
      </c>
      <c r="D5101" s="141"/>
    </row>
    <row r="5102" spans="1:4" x14ac:dyDescent="0.2">
      <c r="A5102" s="140" t="s">
        <v>5852</v>
      </c>
      <c r="B5102" s="141">
        <v>6.8120875933397004E-4</v>
      </c>
      <c r="D5102" s="141"/>
    </row>
    <row r="5103" spans="1:4" x14ac:dyDescent="0.2">
      <c r="A5103" s="140" t="s">
        <v>5328</v>
      </c>
      <c r="B5103" s="141">
        <v>6.8109639096538004E-4</v>
      </c>
      <c r="D5103" s="141"/>
    </row>
    <row r="5104" spans="1:4" x14ac:dyDescent="0.2">
      <c r="A5104" s="140" t="s">
        <v>5660</v>
      </c>
      <c r="B5104" s="141">
        <v>6.8101054013760003E-4</v>
      </c>
      <c r="D5104" s="141"/>
    </row>
    <row r="5105" spans="1:4" x14ac:dyDescent="0.2">
      <c r="A5105" s="140" t="s">
        <v>2181</v>
      </c>
      <c r="B5105" s="141">
        <v>6.8077723492518004E-4</v>
      </c>
      <c r="D5105" s="141"/>
    </row>
    <row r="5106" spans="1:4" x14ac:dyDescent="0.2">
      <c r="A5106" s="140" t="s">
        <v>2370</v>
      </c>
      <c r="B5106" s="141">
        <v>6.8053891236620001E-4</v>
      </c>
      <c r="D5106" s="141"/>
    </row>
    <row r="5107" spans="1:4" x14ac:dyDescent="0.2">
      <c r="A5107" s="140" t="s">
        <v>6058</v>
      </c>
      <c r="B5107" s="141">
        <v>6.8018488233054003E-4</v>
      </c>
      <c r="D5107" s="141"/>
    </row>
    <row r="5108" spans="1:4" x14ac:dyDescent="0.2">
      <c r="A5108" s="140" t="s">
        <v>2741</v>
      </c>
      <c r="B5108" s="141">
        <v>6.8008906411101005E-4</v>
      </c>
      <c r="D5108" s="141"/>
    </row>
    <row r="5109" spans="1:4" x14ac:dyDescent="0.2">
      <c r="A5109" s="140" t="s">
        <v>8231</v>
      </c>
      <c r="B5109" s="141">
        <v>6.7711384229112998E-4</v>
      </c>
      <c r="D5109" s="141"/>
    </row>
    <row r="5110" spans="1:4" x14ac:dyDescent="0.2">
      <c r="A5110" s="140" t="s">
        <v>5395</v>
      </c>
      <c r="B5110" s="141">
        <v>6.7701199092837E-4</v>
      </c>
      <c r="D5110" s="141"/>
    </row>
    <row r="5111" spans="1:4" x14ac:dyDescent="0.2">
      <c r="A5111" s="140" t="s">
        <v>4611</v>
      </c>
      <c r="B5111" s="141">
        <v>6.7628673862770003E-4</v>
      </c>
      <c r="D5111" s="141"/>
    </row>
    <row r="5112" spans="1:4" x14ac:dyDescent="0.2">
      <c r="A5112" s="140" t="s">
        <v>4561</v>
      </c>
      <c r="B5112" s="141">
        <v>6.7600569570014997E-4</v>
      </c>
      <c r="D5112" s="141"/>
    </row>
    <row r="5113" spans="1:4" x14ac:dyDescent="0.2">
      <c r="A5113" s="140" t="s">
        <v>8232</v>
      </c>
      <c r="B5113" s="141">
        <v>6.7566710165337996E-4</v>
      </c>
      <c r="D5113" s="141"/>
    </row>
    <row r="5114" spans="1:4" x14ac:dyDescent="0.2">
      <c r="A5114" s="140" t="s">
        <v>8233</v>
      </c>
      <c r="B5114" s="141">
        <v>6.7566710165337996E-4</v>
      </c>
      <c r="D5114" s="141"/>
    </row>
    <row r="5115" spans="1:4" x14ac:dyDescent="0.2">
      <c r="A5115" s="140" t="s">
        <v>8234</v>
      </c>
      <c r="B5115" s="141">
        <v>6.7566710165337996E-4</v>
      </c>
      <c r="D5115" s="141"/>
    </row>
    <row r="5116" spans="1:4" x14ac:dyDescent="0.2">
      <c r="A5116" s="140" t="s">
        <v>1689</v>
      </c>
      <c r="B5116" s="141">
        <v>6.7558556861789E-4</v>
      </c>
      <c r="D5116" s="141"/>
    </row>
    <row r="5117" spans="1:4" x14ac:dyDescent="0.2">
      <c r="A5117" s="140" t="s">
        <v>8235</v>
      </c>
      <c r="B5117" s="141">
        <v>6.7525255353297997E-4</v>
      </c>
      <c r="D5117" s="141"/>
    </row>
    <row r="5118" spans="1:4" x14ac:dyDescent="0.2">
      <c r="A5118" s="140" t="s">
        <v>5380</v>
      </c>
      <c r="B5118" s="141">
        <v>6.7240339339356004E-4</v>
      </c>
      <c r="D5118" s="141"/>
    </row>
    <row r="5119" spans="1:4" x14ac:dyDescent="0.2">
      <c r="A5119" s="140" t="s">
        <v>3253</v>
      </c>
      <c r="B5119" s="141">
        <v>6.7222071455275004E-4</v>
      </c>
      <c r="D5119" s="141"/>
    </row>
    <row r="5120" spans="1:4" x14ac:dyDescent="0.2">
      <c r="A5120" s="140" t="s">
        <v>6305</v>
      </c>
      <c r="B5120" s="141">
        <v>6.7196470590930003E-4</v>
      </c>
      <c r="D5120" s="141"/>
    </row>
    <row r="5121" spans="1:4" x14ac:dyDescent="0.2">
      <c r="A5121" s="140" t="s">
        <v>3412</v>
      </c>
      <c r="B5121" s="141">
        <v>6.7179645550609996E-4</v>
      </c>
      <c r="D5121" s="141"/>
    </row>
    <row r="5122" spans="1:4" x14ac:dyDescent="0.2">
      <c r="A5122" s="140" t="s">
        <v>4331</v>
      </c>
      <c r="B5122" s="141">
        <v>6.7177152911654001E-4</v>
      </c>
      <c r="D5122" s="141"/>
    </row>
    <row r="5123" spans="1:4" x14ac:dyDescent="0.2">
      <c r="A5123" s="140" t="s">
        <v>8236</v>
      </c>
      <c r="B5123" s="141">
        <v>6.7168857601985002E-4</v>
      </c>
      <c r="D5123" s="141"/>
    </row>
    <row r="5124" spans="1:4" x14ac:dyDescent="0.2">
      <c r="A5124" s="140" t="s">
        <v>4319</v>
      </c>
      <c r="B5124" s="141">
        <v>6.7164245491480002E-4</v>
      </c>
      <c r="D5124" s="141"/>
    </row>
    <row r="5125" spans="1:4" x14ac:dyDescent="0.2">
      <c r="A5125" s="140" t="s">
        <v>4705</v>
      </c>
      <c r="B5125" s="141">
        <v>6.7103751263728004E-4</v>
      </c>
      <c r="D5125" s="141"/>
    </row>
    <row r="5126" spans="1:4" x14ac:dyDescent="0.2">
      <c r="A5126" s="140" t="s">
        <v>6213</v>
      </c>
      <c r="B5126" s="141">
        <v>6.7069142198062997E-4</v>
      </c>
      <c r="D5126" s="141"/>
    </row>
    <row r="5127" spans="1:4" x14ac:dyDescent="0.2">
      <c r="A5127" s="140" t="s">
        <v>3070</v>
      </c>
      <c r="B5127" s="141">
        <v>6.6983140629850999E-4</v>
      </c>
      <c r="D5127" s="141"/>
    </row>
    <row r="5128" spans="1:4" x14ac:dyDescent="0.2">
      <c r="A5128" s="140" t="s">
        <v>4686</v>
      </c>
      <c r="B5128" s="141">
        <v>6.6971873476720999E-4</v>
      </c>
      <c r="D5128" s="141"/>
    </row>
    <row r="5129" spans="1:4" x14ac:dyDescent="0.2">
      <c r="A5129" s="140" t="s">
        <v>8237</v>
      </c>
      <c r="B5129" s="141">
        <v>6.6941633909392995E-4</v>
      </c>
      <c r="D5129" s="141"/>
    </row>
    <row r="5130" spans="1:4" x14ac:dyDescent="0.2">
      <c r="A5130" s="140" t="s">
        <v>1956</v>
      </c>
      <c r="B5130" s="141">
        <v>6.6930084769130003E-4</v>
      </c>
      <c r="D5130" s="141"/>
    </row>
    <row r="5131" spans="1:4" x14ac:dyDescent="0.2">
      <c r="A5131" s="140" t="s">
        <v>5337</v>
      </c>
      <c r="B5131" s="141">
        <v>6.6900055137354003E-4</v>
      </c>
      <c r="D5131" s="141"/>
    </row>
    <row r="5132" spans="1:4" x14ac:dyDescent="0.2">
      <c r="A5132" s="140" t="s">
        <v>5291</v>
      </c>
      <c r="B5132" s="141">
        <v>6.6890013951577995E-4</v>
      </c>
      <c r="D5132" s="141"/>
    </row>
    <row r="5133" spans="1:4" x14ac:dyDescent="0.2">
      <c r="A5133" s="140" t="s">
        <v>5414</v>
      </c>
      <c r="B5133" s="141">
        <v>6.6854537233100998E-4</v>
      </c>
      <c r="D5133" s="141"/>
    </row>
    <row r="5134" spans="1:4" x14ac:dyDescent="0.2">
      <c r="A5134" s="140" t="s">
        <v>1179</v>
      </c>
      <c r="B5134" s="141">
        <v>6.6825564667632E-4</v>
      </c>
      <c r="D5134" s="141"/>
    </row>
    <row r="5135" spans="1:4" x14ac:dyDescent="0.2">
      <c r="A5135" s="140" t="s">
        <v>5458</v>
      </c>
      <c r="B5135" s="141">
        <v>6.6825351318682003E-4</v>
      </c>
      <c r="D5135" s="141"/>
    </row>
    <row r="5136" spans="1:4" x14ac:dyDescent="0.2">
      <c r="A5136" s="140" t="s">
        <v>3549</v>
      </c>
      <c r="B5136" s="141">
        <v>6.6821041374083004E-4</v>
      </c>
      <c r="D5136" s="141"/>
    </row>
    <row r="5137" spans="1:4" x14ac:dyDescent="0.2">
      <c r="A5137" s="140" t="s">
        <v>3940</v>
      </c>
      <c r="B5137" s="141">
        <v>6.6814001894718996E-4</v>
      </c>
      <c r="D5137" s="141"/>
    </row>
    <row r="5138" spans="1:4" x14ac:dyDescent="0.2">
      <c r="A5138" s="140" t="s">
        <v>8238</v>
      </c>
      <c r="B5138" s="141">
        <v>6.6528204014887002E-4</v>
      </c>
      <c r="D5138" s="141"/>
    </row>
    <row r="5139" spans="1:4" x14ac:dyDescent="0.2">
      <c r="A5139" s="140" t="s">
        <v>5717</v>
      </c>
      <c r="B5139" s="141">
        <v>6.6525950070501995E-4</v>
      </c>
      <c r="D5139" s="141"/>
    </row>
    <row r="5140" spans="1:4" x14ac:dyDescent="0.2">
      <c r="A5140" s="140" t="s">
        <v>2954</v>
      </c>
      <c r="B5140" s="141">
        <v>6.6485237656300003E-4</v>
      </c>
      <c r="D5140" s="141"/>
    </row>
    <row r="5141" spans="1:4" x14ac:dyDescent="0.2">
      <c r="A5141" s="140" t="s">
        <v>4045</v>
      </c>
      <c r="B5141" s="141">
        <v>6.6453483769457998E-4</v>
      </c>
      <c r="D5141" s="141"/>
    </row>
    <row r="5142" spans="1:4" x14ac:dyDescent="0.2">
      <c r="A5142" s="140" t="s">
        <v>3097</v>
      </c>
      <c r="B5142" s="141">
        <v>6.6352349312418998E-4</v>
      </c>
      <c r="D5142" s="141"/>
    </row>
    <row r="5143" spans="1:4" x14ac:dyDescent="0.2">
      <c r="A5143" s="140" t="s">
        <v>1939</v>
      </c>
      <c r="B5143" s="141">
        <v>6.6304908054046999E-4</v>
      </c>
      <c r="D5143" s="141"/>
    </row>
    <row r="5144" spans="1:4" x14ac:dyDescent="0.2">
      <c r="A5144" s="140" t="s">
        <v>5780</v>
      </c>
      <c r="B5144" s="141">
        <v>6.6265146914256995E-4</v>
      </c>
      <c r="D5144" s="141"/>
    </row>
    <row r="5145" spans="1:4" x14ac:dyDescent="0.2">
      <c r="A5145" s="140" t="s">
        <v>2682</v>
      </c>
      <c r="B5145" s="141">
        <v>6.6211324417277996E-4</v>
      </c>
      <c r="D5145" s="141"/>
    </row>
    <row r="5146" spans="1:4" x14ac:dyDescent="0.2">
      <c r="A5146" s="140" t="s">
        <v>8239</v>
      </c>
      <c r="B5146" s="141">
        <v>6.6190712329897996E-4</v>
      </c>
      <c r="D5146" s="141"/>
    </row>
    <row r="5147" spans="1:4" x14ac:dyDescent="0.2">
      <c r="A5147" s="140" t="s">
        <v>8240</v>
      </c>
      <c r="B5147" s="141">
        <v>6.6141023681623001E-4</v>
      </c>
      <c r="D5147" s="141"/>
    </row>
    <row r="5148" spans="1:4" x14ac:dyDescent="0.2">
      <c r="A5148" s="140" t="s">
        <v>5779</v>
      </c>
      <c r="B5148" s="141">
        <v>6.6121797443872998E-4</v>
      </c>
      <c r="D5148" s="141"/>
    </row>
    <row r="5149" spans="1:4" x14ac:dyDescent="0.2">
      <c r="A5149" s="140" t="s">
        <v>5739</v>
      </c>
      <c r="B5149" s="141">
        <v>6.6026282369154997E-4</v>
      </c>
      <c r="D5149" s="141"/>
    </row>
    <row r="5150" spans="1:4" x14ac:dyDescent="0.2">
      <c r="A5150" s="140" t="s">
        <v>4644</v>
      </c>
      <c r="B5150" s="141">
        <v>6.5968125890343001E-4</v>
      </c>
      <c r="D5150" s="141"/>
    </row>
    <row r="5151" spans="1:4" x14ac:dyDescent="0.2">
      <c r="A5151" s="140" t="s">
        <v>1496</v>
      </c>
      <c r="B5151" s="141">
        <v>6.5931888622993004E-4</v>
      </c>
      <c r="D5151" s="141"/>
    </row>
    <row r="5152" spans="1:4" x14ac:dyDescent="0.2">
      <c r="A5152" s="140" t="s">
        <v>5292</v>
      </c>
      <c r="B5152" s="141">
        <v>6.5903511811596003E-4</v>
      </c>
      <c r="D5152" s="141"/>
    </row>
    <row r="5153" spans="1:4" x14ac:dyDescent="0.2">
      <c r="A5153" s="140" t="s">
        <v>8241</v>
      </c>
      <c r="B5153" s="141">
        <v>6.5801086089252003E-4</v>
      </c>
      <c r="D5153" s="141"/>
    </row>
    <row r="5154" spans="1:4" x14ac:dyDescent="0.2">
      <c r="A5154" s="140" t="s">
        <v>3075</v>
      </c>
      <c r="B5154" s="141">
        <v>6.5783880900053995E-4</v>
      </c>
      <c r="D5154" s="141"/>
    </row>
    <row r="5155" spans="1:4" x14ac:dyDescent="0.2">
      <c r="A5155" s="140" t="s">
        <v>8242</v>
      </c>
      <c r="B5155" s="141">
        <v>6.5783880900053995E-4</v>
      </c>
      <c r="D5155" s="141"/>
    </row>
    <row r="5156" spans="1:4" x14ac:dyDescent="0.2">
      <c r="A5156" s="140" t="s">
        <v>8243</v>
      </c>
      <c r="B5156" s="141">
        <v>6.5447806026256003E-4</v>
      </c>
      <c r="D5156" s="141"/>
    </row>
    <row r="5157" spans="1:4" x14ac:dyDescent="0.2">
      <c r="A5157" s="140" t="s">
        <v>2084</v>
      </c>
      <c r="B5157" s="141">
        <v>6.5374050807512005E-4</v>
      </c>
      <c r="D5157" s="141"/>
    </row>
    <row r="5158" spans="1:4" x14ac:dyDescent="0.2">
      <c r="A5158" s="140" t="s">
        <v>3875</v>
      </c>
      <c r="B5158" s="141">
        <v>6.5240054277582995E-4</v>
      </c>
      <c r="D5158" s="141"/>
    </row>
    <row r="5159" spans="1:4" x14ac:dyDescent="0.2">
      <c r="A5159" s="140" t="s">
        <v>4023</v>
      </c>
      <c r="B5159" s="141">
        <v>6.5238904271791999E-4</v>
      </c>
      <c r="D5159" s="141"/>
    </row>
    <row r="5160" spans="1:4" x14ac:dyDescent="0.2">
      <c r="A5160" s="140" t="s">
        <v>3027</v>
      </c>
      <c r="B5160" s="141">
        <v>6.5172347377692003E-4</v>
      </c>
      <c r="D5160" s="141"/>
    </row>
    <row r="5161" spans="1:4" x14ac:dyDescent="0.2">
      <c r="A5161" s="140" t="s">
        <v>8244</v>
      </c>
      <c r="B5161" s="141">
        <v>6.5146973032025003E-4</v>
      </c>
      <c r="D5161" s="141"/>
    </row>
    <row r="5162" spans="1:4" x14ac:dyDescent="0.2">
      <c r="A5162" s="140" t="s">
        <v>1804</v>
      </c>
      <c r="B5162" s="141">
        <v>6.5120178453818996E-4</v>
      </c>
      <c r="D5162" s="141"/>
    </row>
    <row r="5163" spans="1:4" x14ac:dyDescent="0.2">
      <c r="A5163" s="140" t="s">
        <v>8245</v>
      </c>
      <c r="B5163" s="141">
        <v>6.5109469950316997E-4</v>
      </c>
      <c r="D5163" s="141"/>
    </row>
    <row r="5164" spans="1:4" x14ac:dyDescent="0.2">
      <c r="A5164" s="140" t="s">
        <v>8246</v>
      </c>
      <c r="B5164" s="141">
        <v>6.5109469950316997E-4</v>
      </c>
      <c r="D5164" s="141"/>
    </row>
    <row r="5165" spans="1:4" x14ac:dyDescent="0.2">
      <c r="A5165" s="140" t="s">
        <v>6113</v>
      </c>
      <c r="B5165" s="141">
        <v>6.5010154234864E-4</v>
      </c>
      <c r="D5165" s="141"/>
    </row>
    <row r="5166" spans="1:4" x14ac:dyDescent="0.2">
      <c r="A5166" s="140" t="s">
        <v>447</v>
      </c>
      <c r="B5166" s="141">
        <v>6.4992696219539996E-4</v>
      </c>
      <c r="D5166" s="141"/>
    </row>
    <row r="5167" spans="1:4" x14ac:dyDescent="0.2">
      <c r="A5167" s="140" t="s">
        <v>2873</v>
      </c>
      <c r="B5167" s="141">
        <v>6.4989286001331003E-4</v>
      </c>
      <c r="D5167" s="141"/>
    </row>
    <row r="5168" spans="1:4" x14ac:dyDescent="0.2">
      <c r="A5168" s="140" t="s">
        <v>8247</v>
      </c>
      <c r="B5168" s="141">
        <v>6.4968111343797997E-4</v>
      </c>
      <c r="D5168" s="141"/>
    </row>
    <row r="5169" spans="1:4" x14ac:dyDescent="0.2">
      <c r="A5169" s="140" t="s">
        <v>8248</v>
      </c>
      <c r="B5169" s="141">
        <v>6.4968111343797997E-4</v>
      </c>
      <c r="D5169" s="141"/>
    </row>
    <row r="5170" spans="1:4" x14ac:dyDescent="0.2">
      <c r="A5170" s="140" t="s">
        <v>3368</v>
      </c>
      <c r="B5170" s="141">
        <v>6.4883907714027996E-4</v>
      </c>
      <c r="D5170" s="141"/>
    </row>
    <row r="5171" spans="1:4" x14ac:dyDescent="0.2">
      <c r="A5171" s="140" t="s">
        <v>5515</v>
      </c>
      <c r="B5171" s="141">
        <v>6.4832117334821999E-4</v>
      </c>
      <c r="D5171" s="141"/>
    </row>
    <row r="5172" spans="1:4" x14ac:dyDescent="0.2">
      <c r="A5172" s="140" t="s">
        <v>5419</v>
      </c>
      <c r="B5172" s="141">
        <v>6.4831680256659003E-4</v>
      </c>
      <c r="D5172" s="141"/>
    </row>
    <row r="5173" spans="1:4" x14ac:dyDescent="0.2">
      <c r="A5173" s="140" t="s">
        <v>8249</v>
      </c>
      <c r="B5173" s="141">
        <v>6.4822647355107998E-4</v>
      </c>
      <c r="D5173" s="141"/>
    </row>
    <row r="5174" spans="1:4" x14ac:dyDescent="0.2">
      <c r="A5174" s="140" t="s">
        <v>2482</v>
      </c>
      <c r="B5174" s="141">
        <v>6.4774199942280002E-4</v>
      </c>
      <c r="D5174" s="141"/>
    </row>
    <row r="5175" spans="1:4" x14ac:dyDescent="0.2">
      <c r="A5175" s="140" t="s">
        <v>4609</v>
      </c>
      <c r="B5175" s="141">
        <v>6.4599382196155999E-4</v>
      </c>
      <c r="D5175" s="141"/>
    </row>
    <row r="5176" spans="1:4" x14ac:dyDescent="0.2">
      <c r="A5176" s="140" t="s">
        <v>6066</v>
      </c>
      <c r="B5176" s="141">
        <v>6.4558447576906004E-4</v>
      </c>
      <c r="D5176" s="141"/>
    </row>
    <row r="5177" spans="1:4" x14ac:dyDescent="0.2">
      <c r="A5177" s="140" t="s">
        <v>3305</v>
      </c>
      <c r="B5177" s="141">
        <v>6.4543805829562996E-4</v>
      </c>
      <c r="D5177" s="141"/>
    </row>
    <row r="5178" spans="1:4" x14ac:dyDescent="0.2">
      <c r="A5178" s="140" t="s">
        <v>3764</v>
      </c>
      <c r="B5178" s="141">
        <v>6.4526596782528E-4</v>
      </c>
      <c r="D5178" s="141"/>
    </row>
    <row r="5179" spans="1:4" x14ac:dyDescent="0.2">
      <c r="A5179" s="140" t="s">
        <v>6013</v>
      </c>
      <c r="B5179" s="141">
        <v>6.4438761941513004E-4</v>
      </c>
      <c r="D5179" s="141"/>
    </row>
    <row r="5180" spans="1:4" x14ac:dyDescent="0.2">
      <c r="A5180" s="140" t="s">
        <v>5437</v>
      </c>
      <c r="B5180" s="141">
        <v>6.4438761941513004E-4</v>
      </c>
      <c r="D5180" s="141"/>
    </row>
    <row r="5181" spans="1:4" x14ac:dyDescent="0.2">
      <c r="A5181" s="140" t="s">
        <v>3750</v>
      </c>
      <c r="B5181" s="141">
        <v>6.4417427480094997E-4</v>
      </c>
      <c r="D5181" s="141"/>
    </row>
    <row r="5182" spans="1:4" x14ac:dyDescent="0.2">
      <c r="A5182" s="140" t="s">
        <v>5330</v>
      </c>
      <c r="B5182" s="141">
        <v>6.4407734532873995E-4</v>
      </c>
      <c r="D5182" s="141"/>
    </row>
    <row r="5183" spans="1:4" x14ac:dyDescent="0.2">
      <c r="A5183" s="140" t="s">
        <v>3763</v>
      </c>
      <c r="B5183" s="141">
        <v>6.4401314342978999E-4</v>
      </c>
      <c r="D5183" s="141"/>
    </row>
    <row r="5184" spans="1:4" x14ac:dyDescent="0.2">
      <c r="A5184" s="140" t="s">
        <v>8250</v>
      </c>
      <c r="B5184" s="141">
        <v>6.4372535739940005E-4</v>
      </c>
      <c r="D5184" s="141"/>
    </row>
    <row r="5185" spans="1:4" x14ac:dyDescent="0.2">
      <c r="A5185" s="140" t="s">
        <v>1517</v>
      </c>
      <c r="B5185" s="141">
        <v>6.4359945195854005E-4</v>
      </c>
      <c r="D5185" s="141"/>
    </row>
    <row r="5186" spans="1:4" x14ac:dyDescent="0.2">
      <c r="A5186" s="140" t="s">
        <v>8251</v>
      </c>
      <c r="B5186" s="141">
        <v>6.4327861580866996E-4</v>
      </c>
      <c r="D5186" s="141"/>
    </row>
    <row r="5187" spans="1:4" x14ac:dyDescent="0.2">
      <c r="A5187" s="140" t="s">
        <v>6313</v>
      </c>
      <c r="B5187" s="141">
        <v>6.4224655197884996E-4</v>
      </c>
      <c r="D5187" s="141"/>
    </row>
    <row r="5188" spans="1:4" x14ac:dyDescent="0.2">
      <c r="A5188" s="140" t="s">
        <v>8252</v>
      </c>
      <c r="B5188" s="141">
        <v>6.4208982067990997E-4</v>
      </c>
      <c r="D5188" s="141"/>
    </row>
    <row r="5189" spans="1:4" x14ac:dyDescent="0.2">
      <c r="A5189" s="140" t="s">
        <v>8253</v>
      </c>
      <c r="B5189" s="141">
        <v>6.4199534199930997E-4</v>
      </c>
      <c r="D5189" s="141"/>
    </row>
    <row r="5190" spans="1:4" x14ac:dyDescent="0.2">
      <c r="A5190" s="140" t="s">
        <v>4482</v>
      </c>
      <c r="B5190" s="141">
        <v>6.4164312913229005E-4</v>
      </c>
      <c r="D5190" s="141"/>
    </row>
    <row r="5191" spans="1:4" x14ac:dyDescent="0.2">
      <c r="A5191" s="140" t="s">
        <v>4729</v>
      </c>
      <c r="B5191" s="141">
        <v>6.4093083289294998E-4</v>
      </c>
      <c r="D5191" s="141"/>
    </row>
    <row r="5192" spans="1:4" x14ac:dyDescent="0.2">
      <c r="A5192" s="140" t="s">
        <v>4215</v>
      </c>
      <c r="B5192" s="141">
        <v>6.4040148954208002E-4</v>
      </c>
      <c r="D5192" s="141"/>
    </row>
    <row r="5193" spans="1:4" x14ac:dyDescent="0.2">
      <c r="A5193" s="140" t="s">
        <v>8254</v>
      </c>
      <c r="B5193" s="141">
        <v>6.3993736946606E-4</v>
      </c>
      <c r="D5193" s="141"/>
    </row>
    <row r="5194" spans="1:4" x14ac:dyDescent="0.2">
      <c r="A5194" s="140" t="s">
        <v>8255</v>
      </c>
      <c r="B5194" s="141">
        <v>6.3934401305506996E-4</v>
      </c>
      <c r="D5194" s="141"/>
    </row>
    <row r="5195" spans="1:4" x14ac:dyDescent="0.2">
      <c r="A5195" s="140" t="s">
        <v>8256</v>
      </c>
      <c r="B5195" s="141">
        <v>6.3842154586506996E-4</v>
      </c>
      <c r="D5195" s="141"/>
    </row>
    <row r="5196" spans="1:4" x14ac:dyDescent="0.2">
      <c r="A5196" s="140" t="s">
        <v>8257</v>
      </c>
      <c r="B5196" s="141">
        <v>6.3816898853124996E-4</v>
      </c>
      <c r="D5196" s="141"/>
    </row>
    <row r="5197" spans="1:4" x14ac:dyDescent="0.2">
      <c r="A5197" s="140" t="s">
        <v>8258</v>
      </c>
      <c r="B5197" s="141">
        <v>6.3816898853124996E-4</v>
      </c>
      <c r="D5197" s="141"/>
    </row>
    <row r="5198" spans="1:4" x14ac:dyDescent="0.2">
      <c r="A5198" s="140" t="s">
        <v>8259</v>
      </c>
      <c r="B5198" s="141">
        <v>6.3667249858972996E-4</v>
      </c>
      <c r="D5198" s="141"/>
    </row>
    <row r="5199" spans="1:4" x14ac:dyDescent="0.2">
      <c r="A5199" s="140" t="s">
        <v>3532</v>
      </c>
      <c r="B5199" s="141">
        <v>6.3601639595195004E-4</v>
      </c>
      <c r="D5199" s="141"/>
    </row>
    <row r="5200" spans="1:4" x14ac:dyDescent="0.2">
      <c r="A5200" s="140" t="s">
        <v>1526</v>
      </c>
      <c r="B5200" s="141">
        <v>6.3566275843383001E-4</v>
      </c>
      <c r="D5200" s="141"/>
    </row>
    <row r="5201" spans="1:4" x14ac:dyDescent="0.2">
      <c r="A5201" s="140" t="s">
        <v>8260</v>
      </c>
      <c r="B5201" s="141">
        <v>6.3551719285929998E-4</v>
      </c>
      <c r="D5201" s="141"/>
    </row>
    <row r="5202" spans="1:4" x14ac:dyDescent="0.2">
      <c r="A5202" s="140" t="s">
        <v>964</v>
      </c>
      <c r="B5202" s="141">
        <v>6.3482812462894002E-4</v>
      </c>
      <c r="D5202" s="141"/>
    </row>
    <row r="5203" spans="1:4" x14ac:dyDescent="0.2">
      <c r="A5203" s="140" t="s">
        <v>4818</v>
      </c>
      <c r="B5203" s="141">
        <v>6.3452856047523001E-4</v>
      </c>
      <c r="D5203" s="141"/>
    </row>
    <row r="5204" spans="1:4" x14ac:dyDescent="0.2">
      <c r="A5204" s="140" t="s">
        <v>2753</v>
      </c>
      <c r="B5204" s="141">
        <v>6.3443744800206997E-4</v>
      </c>
      <c r="D5204" s="141"/>
    </row>
    <row r="5205" spans="1:4" x14ac:dyDescent="0.2">
      <c r="A5205" s="140" t="s">
        <v>1465</v>
      </c>
      <c r="B5205" s="141">
        <v>6.3359222398037005E-4</v>
      </c>
      <c r="D5205" s="141"/>
    </row>
    <row r="5206" spans="1:4" x14ac:dyDescent="0.2">
      <c r="A5206" s="140" t="s">
        <v>6345</v>
      </c>
      <c r="B5206" s="141">
        <v>6.3314905497003E-4</v>
      </c>
      <c r="D5206" s="141"/>
    </row>
    <row r="5207" spans="1:4" x14ac:dyDescent="0.2">
      <c r="A5207" s="140" t="s">
        <v>1976</v>
      </c>
      <c r="B5207" s="141">
        <v>6.3308748579701997E-4</v>
      </c>
      <c r="D5207" s="141"/>
    </row>
    <row r="5208" spans="1:4" x14ac:dyDescent="0.2">
      <c r="A5208" s="140" t="s">
        <v>6135</v>
      </c>
      <c r="B5208" s="141">
        <v>6.3271380136576002E-4</v>
      </c>
      <c r="D5208" s="141"/>
    </row>
    <row r="5209" spans="1:4" x14ac:dyDescent="0.2">
      <c r="A5209" s="140" t="s">
        <v>8261</v>
      </c>
      <c r="B5209" s="141">
        <v>6.326502300672E-4</v>
      </c>
      <c r="D5209" s="141"/>
    </row>
    <row r="5210" spans="1:4" x14ac:dyDescent="0.2">
      <c r="A5210" s="140" t="s">
        <v>2622</v>
      </c>
      <c r="B5210" s="141">
        <v>6.3249639888228004E-4</v>
      </c>
      <c r="D5210" s="141"/>
    </row>
    <row r="5211" spans="1:4" x14ac:dyDescent="0.2">
      <c r="A5211" s="140" t="s">
        <v>8262</v>
      </c>
      <c r="B5211" s="141">
        <v>6.3244199077355995E-4</v>
      </c>
      <c r="D5211" s="141"/>
    </row>
    <row r="5212" spans="1:4" x14ac:dyDescent="0.2">
      <c r="A5212" s="140" t="s">
        <v>1245</v>
      </c>
      <c r="B5212" s="141">
        <v>6.3033462395464996E-4</v>
      </c>
      <c r="D5212" s="141"/>
    </row>
    <row r="5213" spans="1:4" x14ac:dyDescent="0.2">
      <c r="A5213" s="140" t="s">
        <v>6031</v>
      </c>
      <c r="B5213" s="141">
        <v>6.2977716278413002E-4</v>
      </c>
      <c r="D5213" s="141"/>
    </row>
    <row r="5214" spans="1:4" x14ac:dyDescent="0.2">
      <c r="A5214" s="140" t="s">
        <v>3443</v>
      </c>
      <c r="B5214" s="141">
        <v>6.2975445066702003E-4</v>
      </c>
      <c r="D5214" s="141"/>
    </row>
    <row r="5215" spans="1:4" x14ac:dyDescent="0.2">
      <c r="A5215" s="140" t="s">
        <v>2105</v>
      </c>
      <c r="B5215" s="141">
        <v>6.2808329331807001E-4</v>
      </c>
      <c r="D5215" s="141"/>
    </row>
    <row r="5216" spans="1:4" x14ac:dyDescent="0.2">
      <c r="A5216" s="140" t="s">
        <v>3483</v>
      </c>
      <c r="B5216" s="141">
        <v>6.2772447367308E-4</v>
      </c>
      <c r="D5216" s="141"/>
    </row>
    <row r="5217" spans="1:4" x14ac:dyDescent="0.2">
      <c r="A5217" s="140" t="s">
        <v>3679</v>
      </c>
      <c r="B5217" s="141">
        <v>6.2746086824094001E-4</v>
      </c>
      <c r="D5217" s="141"/>
    </row>
    <row r="5218" spans="1:4" x14ac:dyDescent="0.2">
      <c r="A5218" s="140" t="s">
        <v>1476</v>
      </c>
      <c r="B5218" s="141">
        <v>6.2554376008911003E-4</v>
      </c>
      <c r="D5218" s="141"/>
    </row>
    <row r="5219" spans="1:4" x14ac:dyDescent="0.2">
      <c r="A5219" s="140" t="s">
        <v>3231</v>
      </c>
      <c r="B5219" s="141">
        <v>6.2331522147990998E-4</v>
      </c>
      <c r="D5219" s="141"/>
    </row>
    <row r="5220" spans="1:4" x14ac:dyDescent="0.2">
      <c r="A5220" s="140" t="s">
        <v>8263</v>
      </c>
      <c r="B5220" s="141">
        <v>6.2310270848936998E-4</v>
      </c>
      <c r="D5220" s="141"/>
    </row>
    <row r="5221" spans="1:4" x14ac:dyDescent="0.2">
      <c r="A5221" s="140" t="s">
        <v>1615</v>
      </c>
      <c r="B5221" s="141">
        <v>6.2234428271025E-4</v>
      </c>
      <c r="D5221" s="141"/>
    </row>
    <row r="5222" spans="1:4" x14ac:dyDescent="0.2">
      <c r="A5222" s="140" t="s">
        <v>1863</v>
      </c>
      <c r="B5222" s="141">
        <v>6.2059861149835996E-4</v>
      </c>
      <c r="D5222" s="141"/>
    </row>
    <row r="5223" spans="1:4" x14ac:dyDescent="0.2">
      <c r="A5223" s="140" t="s">
        <v>8264</v>
      </c>
      <c r="B5223" s="141">
        <v>6.1937324111604997E-4</v>
      </c>
      <c r="D5223" s="141"/>
    </row>
    <row r="5224" spans="1:4" x14ac:dyDescent="0.2">
      <c r="A5224" s="140" t="s">
        <v>8265</v>
      </c>
      <c r="B5224" s="141">
        <v>6.1937324111604997E-4</v>
      </c>
      <c r="D5224" s="141"/>
    </row>
    <row r="5225" spans="1:4" x14ac:dyDescent="0.2">
      <c r="A5225" s="140" t="s">
        <v>8266</v>
      </c>
      <c r="B5225" s="141">
        <v>6.1937324111604997E-4</v>
      </c>
      <c r="D5225" s="141"/>
    </row>
    <row r="5226" spans="1:4" x14ac:dyDescent="0.2">
      <c r="A5226" s="140" t="s">
        <v>8267</v>
      </c>
      <c r="B5226" s="141">
        <v>6.1910218652989999E-4</v>
      </c>
      <c r="D5226" s="141"/>
    </row>
    <row r="5227" spans="1:4" x14ac:dyDescent="0.2">
      <c r="A5227" s="140" t="s">
        <v>1394</v>
      </c>
      <c r="B5227" s="141">
        <v>6.1885053042296E-4</v>
      </c>
      <c r="D5227" s="141"/>
    </row>
    <row r="5228" spans="1:4" x14ac:dyDescent="0.2">
      <c r="A5228" s="140" t="s">
        <v>8268</v>
      </c>
      <c r="B5228" s="141">
        <v>6.1835530820601996E-4</v>
      </c>
      <c r="D5228" s="141"/>
    </row>
    <row r="5229" spans="1:4" x14ac:dyDescent="0.2">
      <c r="A5229" s="140" t="s">
        <v>8269</v>
      </c>
      <c r="B5229" s="141">
        <v>6.1805213302884002E-4</v>
      </c>
      <c r="D5229" s="141"/>
    </row>
    <row r="5230" spans="1:4" x14ac:dyDescent="0.2">
      <c r="A5230" s="140" t="s">
        <v>699</v>
      </c>
      <c r="B5230" s="141">
        <v>6.1788061529417999E-4</v>
      </c>
      <c r="D5230" s="141"/>
    </row>
    <row r="5231" spans="1:4" x14ac:dyDescent="0.2">
      <c r="A5231" s="140" t="s">
        <v>3830</v>
      </c>
      <c r="B5231" s="141">
        <v>6.1784252903201E-4</v>
      </c>
      <c r="D5231" s="141"/>
    </row>
    <row r="5232" spans="1:4" x14ac:dyDescent="0.2">
      <c r="A5232" s="140" t="s">
        <v>3792</v>
      </c>
      <c r="B5232" s="141">
        <v>6.1740947192416996E-4</v>
      </c>
      <c r="D5232" s="141"/>
    </row>
    <row r="5233" spans="1:4" x14ac:dyDescent="0.2">
      <c r="A5233" s="140" t="s">
        <v>8270</v>
      </c>
      <c r="B5233" s="141">
        <v>6.1709837021311999E-4</v>
      </c>
      <c r="D5233" s="141"/>
    </row>
    <row r="5234" spans="1:4" x14ac:dyDescent="0.2">
      <c r="A5234" s="140" t="s">
        <v>3341</v>
      </c>
      <c r="B5234" s="141">
        <v>6.1635310682060004E-4</v>
      </c>
      <c r="D5234" s="141"/>
    </row>
    <row r="5235" spans="1:4" x14ac:dyDescent="0.2">
      <c r="A5235" s="140" t="s">
        <v>8271</v>
      </c>
      <c r="B5235" s="141">
        <v>6.1585528365829E-4</v>
      </c>
      <c r="D5235" s="141"/>
    </row>
    <row r="5236" spans="1:4" x14ac:dyDescent="0.2">
      <c r="A5236" s="140" t="s">
        <v>8272</v>
      </c>
      <c r="B5236" s="141">
        <v>6.1584767256722998E-4</v>
      </c>
      <c r="D5236" s="141"/>
    </row>
    <row r="5237" spans="1:4" x14ac:dyDescent="0.2">
      <c r="A5237" s="140" t="s">
        <v>8273</v>
      </c>
      <c r="B5237" s="141">
        <v>6.1573543304923998E-4</v>
      </c>
      <c r="D5237" s="141"/>
    </row>
    <row r="5238" spans="1:4" x14ac:dyDescent="0.2">
      <c r="A5238" s="140" t="s">
        <v>4385</v>
      </c>
      <c r="B5238" s="141">
        <v>6.1564678969282997E-4</v>
      </c>
      <c r="D5238" s="141"/>
    </row>
    <row r="5239" spans="1:4" x14ac:dyDescent="0.2">
      <c r="A5239" s="140" t="s">
        <v>971</v>
      </c>
      <c r="B5239" s="141">
        <v>6.1560230813193005E-4</v>
      </c>
      <c r="D5239" s="141"/>
    </row>
    <row r="5240" spans="1:4" x14ac:dyDescent="0.2">
      <c r="A5240" s="140" t="s">
        <v>1316</v>
      </c>
      <c r="B5240" s="141">
        <v>6.1523338802306005E-4</v>
      </c>
      <c r="D5240" s="141"/>
    </row>
    <row r="5241" spans="1:4" x14ac:dyDescent="0.2">
      <c r="A5241" s="140" t="s">
        <v>2598</v>
      </c>
      <c r="B5241" s="141">
        <v>6.1454160174012997E-4</v>
      </c>
      <c r="D5241" s="141"/>
    </row>
    <row r="5242" spans="1:4" x14ac:dyDescent="0.2">
      <c r="A5242" s="140" t="s">
        <v>6323</v>
      </c>
      <c r="B5242" s="141">
        <v>6.1408542573924995E-4</v>
      </c>
      <c r="D5242" s="141"/>
    </row>
    <row r="5243" spans="1:4" x14ac:dyDescent="0.2">
      <c r="A5243" s="140" t="s">
        <v>916</v>
      </c>
      <c r="B5243" s="141">
        <v>6.1387029536711995E-4</v>
      </c>
      <c r="D5243" s="141"/>
    </row>
    <row r="5244" spans="1:4" x14ac:dyDescent="0.2">
      <c r="A5244" s="140" t="s">
        <v>8274</v>
      </c>
      <c r="B5244" s="141">
        <v>6.1241022424090002E-4</v>
      </c>
      <c r="D5244" s="141"/>
    </row>
    <row r="5245" spans="1:4" x14ac:dyDescent="0.2">
      <c r="A5245" s="140" t="s">
        <v>2750</v>
      </c>
      <c r="B5245" s="141">
        <v>6.1089835173495E-4</v>
      </c>
      <c r="D5245" s="141"/>
    </row>
    <row r="5246" spans="1:4" x14ac:dyDescent="0.2">
      <c r="A5246" s="140" t="s">
        <v>3118</v>
      </c>
      <c r="B5246" s="141">
        <v>6.1040385920930996E-4</v>
      </c>
      <c r="D5246" s="141"/>
    </row>
    <row r="5247" spans="1:4" x14ac:dyDescent="0.2">
      <c r="A5247" s="140" t="s">
        <v>8275</v>
      </c>
      <c r="B5247" s="141">
        <v>6.0969960992270002E-4</v>
      </c>
      <c r="D5247" s="141"/>
    </row>
    <row r="5248" spans="1:4" x14ac:dyDescent="0.2">
      <c r="A5248" s="140" t="s">
        <v>2501</v>
      </c>
      <c r="B5248" s="141">
        <v>6.0911786578734996E-4</v>
      </c>
      <c r="D5248" s="141"/>
    </row>
    <row r="5249" spans="1:4" x14ac:dyDescent="0.2">
      <c r="A5249" s="140" t="s">
        <v>2614</v>
      </c>
      <c r="B5249" s="141">
        <v>6.0882350023776005E-4</v>
      </c>
      <c r="D5249" s="141"/>
    </row>
    <row r="5250" spans="1:4" x14ac:dyDescent="0.2">
      <c r="A5250" s="140" t="s">
        <v>6265</v>
      </c>
      <c r="B5250" s="141">
        <v>6.0878719014404998E-4</v>
      </c>
      <c r="D5250" s="141"/>
    </row>
    <row r="5251" spans="1:4" x14ac:dyDescent="0.2">
      <c r="A5251" s="140" t="s">
        <v>8276</v>
      </c>
      <c r="B5251" s="141">
        <v>6.0861387204490995E-4</v>
      </c>
      <c r="D5251" s="141"/>
    </row>
    <row r="5252" spans="1:4" x14ac:dyDescent="0.2">
      <c r="A5252" s="140" t="s">
        <v>1988</v>
      </c>
      <c r="B5252" s="141">
        <v>6.0786453595322999E-4</v>
      </c>
      <c r="D5252" s="141"/>
    </row>
    <row r="5253" spans="1:4" x14ac:dyDescent="0.2">
      <c r="A5253" s="140" t="s">
        <v>5513</v>
      </c>
      <c r="B5253" s="141">
        <v>6.0650112245627999E-4</v>
      </c>
      <c r="D5253" s="141"/>
    </row>
    <row r="5254" spans="1:4" x14ac:dyDescent="0.2">
      <c r="A5254" s="140" t="s">
        <v>5346</v>
      </c>
      <c r="B5254" s="141">
        <v>6.0641787902410995E-4</v>
      </c>
      <c r="D5254" s="141"/>
    </row>
    <row r="5255" spans="1:4" x14ac:dyDescent="0.2">
      <c r="A5255" s="140" t="s">
        <v>1676</v>
      </c>
      <c r="B5255" s="141">
        <v>6.0535128632801995E-4</v>
      </c>
      <c r="D5255" s="141"/>
    </row>
    <row r="5256" spans="1:4" x14ac:dyDescent="0.2">
      <c r="A5256" s="140" t="s">
        <v>6074</v>
      </c>
      <c r="B5256" s="141">
        <v>6.0479573398518999E-4</v>
      </c>
      <c r="D5256" s="141"/>
    </row>
    <row r="5257" spans="1:4" x14ac:dyDescent="0.2">
      <c r="A5257" s="140" t="s">
        <v>8277</v>
      </c>
      <c r="B5257" s="141">
        <v>6.0390415822973004E-4</v>
      </c>
      <c r="D5257" s="141"/>
    </row>
    <row r="5258" spans="1:4" x14ac:dyDescent="0.2">
      <c r="A5258" s="140" t="s">
        <v>4446</v>
      </c>
      <c r="B5258" s="141">
        <v>6.0390415822973004E-4</v>
      </c>
      <c r="D5258" s="141"/>
    </row>
    <row r="5259" spans="1:4" x14ac:dyDescent="0.2">
      <c r="A5259" s="140" t="s">
        <v>4150</v>
      </c>
      <c r="B5259" s="141">
        <v>6.0390415822973004E-4</v>
      </c>
      <c r="D5259" s="141"/>
    </row>
    <row r="5260" spans="1:4" x14ac:dyDescent="0.2">
      <c r="A5260" s="140" t="s">
        <v>8278</v>
      </c>
      <c r="B5260" s="141">
        <v>6.0328547476750001E-4</v>
      </c>
      <c r="D5260" s="141"/>
    </row>
    <row r="5261" spans="1:4" x14ac:dyDescent="0.2">
      <c r="A5261" s="140" t="s">
        <v>8279</v>
      </c>
      <c r="B5261" s="141">
        <v>6.0328547476750001E-4</v>
      </c>
      <c r="D5261" s="141"/>
    </row>
    <row r="5262" spans="1:4" x14ac:dyDescent="0.2">
      <c r="A5262" s="140" t="s">
        <v>8280</v>
      </c>
      <c r="B5262" s="141">
        <v>6.0328547476750001E-4</v>
      </c>
      <c r="D5262" s="141"/>
    </row>
    <row r="5263" spans="1:4" x14ac:dyDescent="0.2">
      <c r="A5263" s="140" t="s">
        <v>8281</v>
      </c>
      <c r="B5263" s="141">
        <v>6.0328547476750001E-4</v>
      </c>
      <c r="D5263" s="141"/>
    </row>
    <row r="5264" spans="1:4" x14ac:dyDescent="0.2">
      <c r="A5264" s="140" t="s">
        <v>8282</v>
      </c>
      <c r="B5264" s="141">
        <v>6.0328547476750001E-4</v>
      </c>
      <c r="D5264" s="141"/>
    </row>
    <row r="5265" spans="1:4" x14ac:dyDescent="0.2">
      <c r="A5265" s="140" t="s">
        <v>8283</v>
      </c>
      <c r="B5265" s="141">
        <v>6.0328547476750001E-4</v>
      </c>
      <c r="D5265" s="141"/>
    </row>
    <row r="5266" spans="1:4" x14ac:dyDescent="0.2">
      <c r="A5266" s="140" t="s">
        <v>8284</v>
      </c>
      <c r="B5266" s="141">
        <v>6.0328547476750001E-4</v>
      </c>
      <c r="D5266" s="141"/>
    </row>
    <row r="5267" spans="1:4" x14ac:dyDescent="0.2">
      <c r="A5267" s="140" t="s">
        <v>8285</v>
      </c>
      <c r="B5267" s="141">
        <v>6.0328547476750001E-4</v>
      </c>
      <c r="D5267" s="141"/>
    </row>
    <row r="5268" spans="1:4" x14ac:dyDescent="0.2">
      <c r="A5268" s="140" t="s">
        <v>8286</v>
      </c>
      <c r="B5268" s="141">
        <v>6.0328547476750001E-4</v>
      </c>
      <c r="D5268" s="141"/>
    </row>
    <row r="5269" spans="1:4" x14ac:dyDescent="0.2">
      <c r="A5269" s="140" t="s">
        <v>8287</v>
      </c>
      <c r="B5269" s="141">
        <v>6.0328547476750001E-4</v>
      </c>
      <c r="D5269" s="141"/>
    </row>
    <row r="5270" spans="1:4" x14ac:dyDescent="0.2">
      <c r="A5270" s="140" t="s">
        <v>8288</v>
      </c>
      <c r="B5270" s="141">
        <v>6.0328547476750001E-4</v>
      </c>
      <c r="D5270" s="141"/>
    </row>
    <row r="5271" spans="1:4" x14ac:dyDescent="0.2">
      <c r="A5271" s="140" t="s">
        <v>8289</v>
      </c>
      <c r="B5271" s="141">
        <v>6.0328547476750001E-4</v>
      </c>
      <c r="D5271" s="141"/>
    </row>
    <row r="5272" spans="1:4" x14ac:dyDescent="0.2">
      <c r="A5272" s="140" t="s">
        <v>8290</v>
      </c>
      <c r="B5272" s="141">
        <v>6.0328547476750001E-4</v>
      </c>
      <c r="D5272" s="141"/>
    </row>
    <row r="5273" spans="1:4" x14ac:dyDescent="0.2">
      <c r="A5273" s="140" t="s">
        <v>8291</v>
      </c>
      <c r="B5273" s="141">
        <v>6.0328547476750001E-4</v>
      </c>
      <c r="D5273" s="141"/>
    </row>
    <row r="5274" spans="1:4" x14ac:dyDescent="0.2">
      <c r="A5274" s="140" t="s">
        <v>8292</v>
      </c>
      <c r="B5274" s="141">
        <v>6.0328547476750001E-4</v>
      </c>
      <c r="D5274" s="141"/>
    </row>
    <row r="5275" spans="1:4" x14ac:dyDescent="0.2">
      <c r="A5275" s="140" t="s">
        <v>8293</v>
      </c>
      <c r="B5275" s="141">
        <v>6.0328547476750001E-4</v>
      </c>
      <c r="D5275" s="141"/>
    </row>
    <row r="5276" spans="1:4" x14ac:dyDescent="0.2">
      <c r="A5276" s="140" t="s">
        <v>8294</v>
      </c>
      <c r="B5276" s="141">
        <v>6.0328547476750001E-4</v>
      </c>
      <c r="D5276" s="141"/>
    </row>
    <row r="5277" spans="1:4" x14ac:dyDescent="0.2">
      <c r="A5277" s="140" t="s">
        <v>8295</v>
      </c>
      <c r="B5277" s="141">
        <v>6.0328547476750001E-4</v>
      </c>
      <c r="D5277" s="141"/>
    </row>
    <row r="5278" spans="1:4" x14ac:dyDescent="0.2">
      <c r="A5278" s="140" t="s">
        <v>8296</v>
      </c>
      <c r="B5278" s="141">
        <v>6.0328547476750001E-4</v>
      </c>
      <c r="D5278" s="141"/>
    </row>
    <row r="5279" spans="1:4" x14ac:dyDescent="0.2">
      <c r="A5279" s="140" t="s">
        <v>8297</v>
      </c>
      <c r="B5279" s="141">
        <v>6.0328547476750001E-4</v>
      </c>
      <c r="D5279" s="141"/>
    </row>
    <row r="5280" spans="1:4" x14ac:dyDescent="0.2">
      <c r="A5280" s="140" t="s">
        <v>8298</v>
      </c>
      <c r="B5280" s="141">
        <v>6.0328547476750001E-4</v>
      </c>
      <c r="D5280" s="141"/>
    </row>
    <row r="5281" spans="1:4" x14ac:dyDescent="0.2">
      <c r="A5281" s="140" t="s">
        <v>8299</v>
      </c>
      <c r="B5281" s="141">
        <v>6.0328547476750001E-4</v>
      </c>
      <c r="D5281" s="141"/>
    </row>
    <row r="5282" spans="1:4" x14ac:dyDescent="0.2">
      <c r="A5282" s="140" t="s">
        <v>8300</v>
      </c>
      <c r="B5282" s="141">
        <v>6.0328547476750001E-4</v>
      </c>
      <c r="D5282" s="141"/>
    </row>
    <row r="5283" spans="1:4" x14ac:dyDescent="0.2">
      <c r="A5283" s="140" t="s">
        <v>8301</v>
      </c>
      <c r="B5283" s="141">
        <v>6.0328547476750001E-4</v>
      </c>
      <c r="D5283" s="141"/>
    </row>
    <row r="5284" spans="1:4" x14ac:dyDescent="0.2">
      <c r="A5284" s="140" t="s">
        <v>8302</v>
      </c>
      <c r="B5284" s="141">
        <v>6.0328547476750001E-4</v>
      </c>
      <c r="D5284" s="141"/>
    </row>
    <row r="5285" spans="1:4" x14ac:dyDescent="0.2">
      <c r="A5285" s="140" t="s">
        <v>3678</v>
      </c>
      <c r="B5285" s="141">
        <v>6.0328547476750001E-4</v>
      </c>
      <c r="D5285" s="141"/>
    </row>
    <row r="5286" spans="1:4" x14ac:dyDescent="0.2">
      <c r="A5286" s="140" t="s">
        <v>8303</v>
      </c>
      <c r="B5286" s="141">
        <v>6.0328547476750001E-4</v>
      </c>
      <c r="D5286" s="141"/>
    </row>
    <row r="5287" spans="1:4" x14ac:dyDescent="0.2">
      <c r="A5287" s="140" t="s">
        <v>8304</v>
      </c>
      <c r="B5287" s="141">
        <v>6.0263721673852995E-4</v>
      </c>
      <c r="D5287" s="141"/>
    </row>
    <row r="5288" spans="1:4" x14ac:dyDescent="0.2">
      <c r="A5288" s="140" t="s">
        <v>3769</v>
      </c>
      <c r="B5288" s="141">
        <v>6.0209411892406999E-4</v>
      </c>
      <c r="D5288" s="141"/>
    </row>
    <row r="5289" spans="1:4" x14ac:dyDescent="0.2">
      <c r="A5289" s="140" t="s">
        <v>4145</v>
      </c>
      <c r="B5289" s="141">
        <v>6.0148806389513003E-4</v>
      </c>
      <c r="D5289" s="141"/>
    </row>
    <row r="5290" spans="1:4" x14ac:dyDescent="0.2">
      <c r="A5290" s="140" t="s">
        <v>8305</v>
      </c>
      <c r="B5290" s="141">
        <v>6.0145942130979005E-4</v>
      </c>
      <c r="D5290" s="141"/>
    </row>
    <row r="5291" spans="1:4" x14ac:dyDescent="0.2">
      <c r="A5291" s="140" t="s">
        <v>3331</v>
      </c>
      <c r="B5291" s="141">
        <v>6.0111866425596999E-4</v>
      </c>
      <c r="D5291" s="141"/>
    </row>
    <row r="5292" spans="1:4" x14ac:dyDescent="0.2">
      <c r="A5292" s="140" t="s">
        <v>1849</v>
      </c>
      <c r="B5292" s="141">
        <v>6.0106206922887998E-4</v>
      </c>
      <c r="D5292" s="141"/>
    </row>
    <row r="5293" spans="1:4" x14ac:dyDescent="0.2">
      <c r="A5293" s="140" t="s">
        <v>2874</v>
      </c>
      <c r="B5293" s="141">
        <v>6.0014590157085005E-4</v>
      </c>
      <c r="D5293" s="141"/>
    </row>
    <row r="5294" spans="1:4" x14ac:dyDescent="0.2">
      <c r="A5294" s="140" t="s">
        <v>8306</v>
      </c>
      <c r="B5294" s="141">
        <v>6.000386724802E-4</v>
      </c>
      <c r="D5294" s="141"/>
    </row>
    <row r="5295" spans="1:4" x14ac:dyDescent="0.2">
      <c r="A5295" s="140" t="s">
        <v>8307</v>
      </c>
      <c r="B5295" s="141">
        <v>6.0000816818841E-4</v>
      </c>
      <c r="D5295" s="141"/>
    </row>
    <row r="5296" spans="1:4" x14ac:dyDescent="0.2">
      <c r="A5296" s="140" t="s">
        <v>4947</v>
      </c>
      <c r="B5296" s="141">
        <v>5.9887622553354998E-4</v>
      </c>
      <c r="D5296" s="141"/>
    </row>
    <row r="5297" spans="1:4" x14ac:dyDescent="0.2">
      <c r="A5297" s="140" t="s">
        <v>8308</v>
      </c>
      <c r="B5297" s="141">
        <v>5.9847157512309004E-4</v>
      </c>
      <c r="D5297" s="141"/>
    </row>
    <row r="5298" spans="1:4" x14ac:dyDescent="0.2">
      <c r="A5298" s="140" t="s">
        <v>8309</v>
      </c>
      <c r="B5298" s="141">
        <v>5.9792639863496004E-4</v>
      </c>
      <c r="D5298" s="141"/>
    </row>
    <row r="5299" spans="1:4" x14ac:dyDescent="0.2">
      <c r="A5299" s="140" t="s">
        <v>1135</v>
      </c>
      <c r="B5299" s="141">
        <v>5.9720682901982997E-4</v>
      </c>
      <c r="D5299" s="141"/>
    </row>
    <row r="5300" spans="1:4" x14ac:dyDescent="0.2">
      <c r="A5300" s="140" t="s">
        <v>8310</v>
      </c>
      <c r="B5300" s="141">
        <v>5.9561575241161996E-4</v>
      </c>
      <c r="D5300" s="141"/>
    </row>
    <row r="5301" spans="1:4" x14ac:dyDescent="0.2">
      <c r="A5301" s="140" t="s">
        <v>5755</v>
      </c>
      <c r="B5301" s="141">
        <v>5.9545755038859004E-4</v>
      </c>
      <c r="D5301" s="141"/>
    </row>
    <row r="5302" spans="1:4" x14ac:dyDescent="0.2">
      <c r="A5302" s="140" t="s">
        <v>3825</v>
      </c>
      <c r="B5302" s="141">
        <v>5.9545755038859004E-4</v>
      </c>
      <c r="D5302" s="141"/>
    </row>
    <row r="5303" spans="1:4" x14ac:dyDescent="0.2">
      <c r="A5303" s="140" t="s">
        <v>445</v>
      </c>
      <c r="B5303" s="141">
        <v>5.9498364991999E-4</v>
      </c>
      <c r="D5303" s="141"/>
    </row>
    <row r="5304" spans="1:4" x14ac:dyDescent="0.2">
      <c r="A5304" s="140" t="s">
        <v>8311</v>
      </c>
      <c r="B5304" s="141">
        <v>5.9482610389882001E-4</v>
      </c>
      <c r="D5304" s="141"/>
    </row>
    <row r="5305" spans="1:4" x14ac:dyDescent="0.2">
      <c r="A5305" s="140" t="s">
        <v>4395</v>
      </c>
      <c r="B5305" s="141">
        <v>5.9458822808150004E-4</v>
      </c>
      <c r="D5305" s="141"/>
    </row>
    <row r="5306" spans="1:4" x14ac:dyDescent="0.2">
      <c r="A5306" s="140" t="s">
        <v>2260</v>
      </c>
      <c r="B5306" s="141">
        <v>5.9350725691212E-4</v>
      </c>
      <c r="D5306" s="141"/>
    </row>
    <row r="5307" spans="1:4" x14ac:dyDescent="0.2">
      <c r="A5307" s="140" t="s">
        <v>8312</v>
      </c>
      <c r="B5307" s="141">
        <v>5.9230564353309997E-4</v>
      </c>
      <c r="D5307" s="141"/>
    </row>
    <row r="5308" spans="1:4" x14ac:dyDescent="0.2">
      <c r="A5308" s="140" t="s">
        <v>8313</v>
      </c>
      <c r="B5308" s="141">
        <v>5.9229502273316003E-4</v>
      </c>
      <c r="D5308" s="141"/>
    </row>
    <row r="5309" spans="1:4" x14ac:dyDescent="0.2">
      <c r="A5309" s="140" t="s">
        <v>1340</v>
      </c>
      <c r="B5309" s="141">
        <v>5.9167916661958999E-4</v>
      </c>
      <c r="D5309" s="141"/>
    </row>
    <row r="5310" spans="1:4" x14ac:dyDescent="0.2">
      <c r="A5310" s="140" t="s">
        <v>3715</v>
      </c>
      <c r="B5310" s="141">
        <v>5.9063692323047001E-4</v>
      </c>
      <c r="D5310" s="141"/>
    </row>
    <row r="5311" spans="1:4" x14ac:dyDescent="0.2">
      <c r="A5311" s="140" t="s">
        <v>2308</v>
      </c>
      <c r="B5311" s="141">
        <v>5.9046600416707998E-4</v>
      </c>
      <c r="D5311" s="141"/>
    </row>
    <row r="5312" spans="1:4" x14ac:dyDescent="0.2">
      <c r="A5312" s="140" t="s">
        <v>6070</v>
      </c>
      <c r="B5312" s="141">
        <v>5.8953444520841003E-4</v>
      </c>
      <c r="D5312" s="141"/>
    </row>
    <row r="5313" spans="1:4" x14ac:dyDescent="0.2">
      <c r="A5313" s="140" t="s">
        <v>8314</v>
      </c>
      <c r="B5313" s="141">
        <v>5.8937535623530997E-4</v>
      </c>
      <c r="D5313" s="141"/>
    </row>
    <row r="5314" spans="1:4" x14ac:dyDescent="0.2">
      <c r="A5314" s="140" t="s">
        <v>1971</v>
      </c>
      <c r="B5314" s="141">
        <v>5.8900805515609998E-4</v>
      </c>
      <c r="D5314" s="141"/>
    </row>
    <row r="5315" spans="1:4" x14ac:dyDescent="0.2">
      <c r="A5315" s="140" t="s">
        <v>2553</v>
      </c>
      <c r="B5315" s="141">
        <v>5.8853409424374002E-4</v>
      </c>
      <c r="D5315" s="141"/>
    </row>
    <row r="5316" spans="1:4" x14ac:dyDescent="0.2">
      <c r="A5316" s="140" t="s">
        <v>8315</v>
      </c>
      <c r="B5316" s="141">
        <v>5.8843761659848996E-4</v>
      </c>
      <c r="D5316" s="141"/>
    </row>
    <row r="5317" spans="1:4" x14ac:dyDescent="0.2">
      <c r="A5317" s="140" t="s">
        <v>4619</v>
      </c>
      <c r="B5317" s="141">
        <v>5.8835608738984997E-4</v>
      </c>
      <c r="D5317" s="141"/>
    </row>
    <row r="5318" spans="1:4" x14ac:dyDescent="0.2">
      <c r="A5318" s="140" t="s">
        <v>2578</v>
      </c>
      <c r="B5318" s="141">
        <v>5.8828293666049003E-4</v>
      </c>
      <c r="D5318" s="141"/>
    </row>
    <row r="5319" spans="1:4" x14ac:dyDescent="0.2">
      <c r="A5319" s="140" t="s">
        <v>4675</v>
      </c>
      <c r="B5319" s="141">
        <v>5.8678203693007997E-4</v>
      </c>
      <c r="D5319" s="141"/>
    </row>
    <row r="5320" spans="1:4" x14ac:dyDescent="0.2">
      <c r="A5320" s="140" t="s">
        <v>5409</v>
      </c>
      <c r="B5320" s="141">
        <v>5.8657149736860998E-4</v>
      </c>
      <c r="D5320" s="141"/>
    </row>
    <row r="5321" spans="1:4" x14ac:dyDescent="0.2">
      <c r="A5321" s="140" t="s">
        <v>2032</v>
      </c>
      <c r="B5321" s="141">
        <v>5.8626491168380004E-4</v>
      </c>
      <c r="D5321" s="141"/>
    </row>
    <row r="5322" spans="1:4" x14ac:dyDescent="0.2">
      <c r="A5322" s="140" t="s">
        <v>8316</v>
      </c>
      <c r="B5322" s="141">
        <v>5.8397738476841999E-4</v>
      </c>
      <c r="D5322" s="141"/>
    </row>
    <row r="5323" spans="1:4" x14ac:dyDescent="0.2">
      <c r="A5323" s="140" t="s">
        <v>8317</v>
      </c>
      <c r="B5323" s="141">
        <v>5.8377011412576001E-4</v>
      </c>
      <c r="D5323" s="141"/>
    </row>
    <row r="5324" spans="1:4" x14ac:dyDescent="0.2">
      <c r="A5324" s="140" t="s">
        <v>8318</v>
      </c>
      <c r="B5324" s="141">
        <v>5.8377011412576001E-4</v>
      </c>
      <c r="D5324" s="141"/>
    </row>
    <row r="5325" spans="1:4" x14ac:dyDescent="0.2">
      <c r="A5325" s="140" t="s">
        <v>2115</v>
      </c>
      <c r="B5325" s="141">
        <v>5.8361634818764995E-4</v>
      </c>
      <c r="D5325" s="141"/>
    </row>
    <row r="5326" spans="1:4" x14ac:dyDescent="0.2">
      <c r="A5326" s="140" t="s">
        <v>2273</v>
      </c>
      <c r="B5326" s="141">
        <v>5.8332748164468E-4</v>
      </c>
      <c r="D5326" s="141"/>
    </row>
    <row r="5327" spans="1:4" x14ac:dyDescent="0.2">
      <c r="A5327" s="140" t="s">
        <v>4938</v>
      </c>
      <c r="B5327" s="141">
        <v>5.8323523143557002E-4</v>
      </c>
      <c r="D5327" s="141"/>
    </row>
    <row r="5328" spans="1:4" x14ac:dyDescent="0.2">
      <c r="A5328" s="140" t="s">
        <v>2748</v>
      </c>
      <c r="B5328" s="141">
        <v>5.8269845164545995E-4</v>
      </c>
      <c r="D5328" s="141"/>
    </row>
    <row r="5329" spans="1:4" x14ac:dyDescent="0.2">
      <c r="A5329" s="140" t="s">
        <v>2713</v>
      </c>
      <c r="B5329" s="141">
        <v>5.8175643784001002E-4</v>
      </c>
      <c r="D5329" s="141"/>
    </row>
    <row r="5330" spans="1:4" x14ac:dyDescent="0.2">
      <c r="A5330" s="140" t="s">
        <v>8319</v>
      </c>
      <c r="B5330" s="141">
        <v>5.8145557898617002E-4</v>
      </c>
      <c r="D5330" s="141"/>
    </row>
    <row r="5331" spans="1:4" x14ac:dyDescent="0.2">
      <c r="A5331" s="140" t="s">
        <v>3921</v>
      </c>
      <c r="B5331" s="141">
        <v>5.8134564271331002E-4</v>
      </c>
      <c r="D5331" s="141"/>
    </row>
    <row r="5332" spans="1:4" x14ac:dyDescent="0.2">
      <c r="A5332" s="140" t="s">
        <v>4589</v>
      </c>
      <c r="B5332" s="141">
        <v>5.8090312062215996E-4</v>
      </c>
      <c r="D5332" s="141"/>
    </row>
    <row r="5333" spans="1:4" x14ac:dyDescent="0.2">
      <c r="A5333" s="140" t="s">
        <v>2736</v>
      </c>
      <c r="B5333" s="141">
        <v>5.8070265984257999E-4</v>
      </c>
      <c r="D5333" s="141"/>
    </row>
    <row r="5334" spans="1:4" x14ac:dyDescent="0.2">
      <c r="A5334" s="140" t="s">
        <v>3544</v>
      </c>
      <c r="B5334" s="141">
        <v>5.8029631474274999E-4</v>
      </c>
      <c r="D5334" s="141"/>
    </row>
    <row r="5335" spans="1:4" x14ac:dyDescent="0.2">
      <c r="A5335" s="140" t="s">
        <v>8320</v>
      </c>
      <c r="B5335" s="141">
        <v>5.8007076802656001E-4</v>
      </c>
      <c r="D5335" s="141"/>
    </row>
    <row r="5336" spans="1:4" x14ac:dyDescent="0.2">
      <c r="A5336" s="140" t="s">
        <v>3800</v>
      </c>
      <c r="B5336" s="141">
        <v>5.7980102896420995E-4</v>
      </c>
      <c r="D5336" s="141"/>
    </row>
    <row r="5337" spans="1:4" x14ac:dyDescent="0.2">
      <c r="A5337" s="140" t="s">
        <v>2995</v>
      </c>
      <c r="B5337" s="141">
        <v>5.7978436420118003E-4</v>
      </c>
      <c r="D5337" s="141"/>
    </row>
    <row r="5338" spans="1:4" x14ac:dyDescent="0.2">
      <c r="A5338" s="140" t="s">
        <v>5511</v>
      </c>
      <c r="B5338" s="141">
        <v>5.7977317303195997E-4</v>
      </c>
      <c r="D5338" s="141"/>
    </row>
    <row r="5339" spans="1:4" x14ac:dyDescent="0.2">
      <c r="A5339" s="140" t="s">
        <v>8321</v>
      </c>
      <c r="B5339" s="141">
        <v>5.7689808685983004E-4</v>
      </c>
      <c r="D5339" s="141"/>
    </row>
    <row r="5340" spans="1:4" x14ac:dyDescent="0.2">
      <c r="A5340" s="140" t="s">
        <v>3692</v>
      </c>
      <c r="B5340" s="141">
        <v>5.7655879052362E-4</v>
      </c>
      <c r="D5340" s="141"/>
    </row>
    <row r="5341" spans="1:4" x14ac:dyDescent="0.2">
      <c r="A5341" s="140" t="s">
        <v>3265</v>
      </c>
      <c r="B5341" s="141">
        <v>5.7646066942539001E-4</v>
      </c>
      <c r="D5341" s="141"/>
    </row>
    <row r="5342" spans="1:4" x14ac:dyDescent="0.2">
      <c r="A5342" s="140" t="s">
        <v>2148</v>
      </c>
      <c r="B5342" s="141">
        <v>5.7611095288354996E-4</v>
      </c>
      <c r="D5342" s="141"/>
    </row>
    <row r="5343" spans="1:4" x14ac:dyDescent="0.2">
      <c r="A5343" s="140" t="s">
        <v>1140</v>
      </c>
      <c r="B5343" s="141">
        <v>5.7608753840767996E-4</v>
      </c>
      <c r="D5343" s="141"/>
    </row>
    <row r="5344" spans="1:4" x14ac:dyDescent="0.2">
      <c r="A5344" s="140" t="s">
        <v>5217</v>
      </c>
      <c r="B5344" s="141">
        <v>5.7594913801732996E-4</v>
      </c>
      <c r="D5344" s="141"/>
    </row>
    <row r="5345" spans="1:4" x14ac:dyDescent="0.2">
      <c r="A5345" s="140" t="s">
        <v>8322</v>
      </c>
      <c r="B5345" s="141">
        <v>5.7594913801732996E-4</v>
      </c>
      <c r="D5345" s="141"/>
    </row>
    <row r="5346" spans="1:4" x14ac:dyDescent="0.2">
      <c r="A5346" s="140" t="s">
        <v>621</v>
      </c>
      <c r="B5346" s="141">
        <v>5.7584045025553998E-4</v>
      </c>
      <c r="D5346" s="141"/>
    </row>
    <row r="5347" spans="1:4" x14ac:dyDescent="0.2">
      <c r="A5347" s="140" t="s">
        <v>5057</v>
      </c>
      <c r="B5347" s="141">
        <v>5.7583359910566003E-4</v>
      </c>
      <c r="D5347" s="141"/>
    </row>
    <row r="5348" spans="1:4" x14ac:dyDescent="0.2">
      <c r="A5348" s="140" t="s">
        <v>8323</v>
      </c>
      <c r="B5348" s="141">
        <v>5.7562441295383004E-4</v>
      </c>
      <c r="D5348" s="141"/>
    </row>
    <row r="5349" spans="1:4" x14ac:dyDescent="0.2">
      <c r="A5349" s="140" t="s">
        <v>8324</v>
      </c>
      <c r="B5349" s="141">
        <v>5.7556907132114002E-4</v>
      </c>
      <c r="D5349" s="141"/>
    </row>
    <row r="5350" spans="1:4" x14ac:dyDescent="0.2">
      <c r="A5350" s="140" t="s">
        <v>5845</v>
      </c>
      <c r="B5350" s="141">
        <v>5.7484459603736001E-4</v>
      </c>
      <c r="D5350" s="141"/>
    </row>
    <row r="5351" spans="1:4" x14ac:dyDescent="0.2">
      <c r="A5351" s="140" t="s">
        <v>8325</v>
      </c>
      <c r="B5351" s="141">
        <v>5.7417214572199997E-4</v>
      </c>
      <c r="D5351" s="141"/>
    </row>
    <row r="5352" spans="1:4" x14ac:dyDescent="0.2">
      <c r="A5352" s="140" t="s">
        <v>2962</v>
      </c>
      <c r="B5352" s="141">
        <v>5.7376774959371998E-4</v>
      </c>
      <c r="D5352" s="141"/>
    </row>
    <row r="5353" spans="1:4" x14ac:dyDescent="0.2">
      <c r="A5353" s="140" t="s">
        <v>1281</v>
      </c>
      <c r="B5353" s="141">
        <v>5.7195850105748003E-4</v>
      </c>
      <c r="D5353" s="141"/>
    </row>
    <row r="5354" spans="1:4" x14ac:dyDescent="0.2">
      <c r="A5354" s="140" t="s">
        <v>4288</v>
      </c>
      <c r="B5354" s="141">
        <v>5.7193530852119999E-4</v>
      </c>
      <c r="D5354" s="141"/>
    </row>
    <row r="5355" spans="1:4" x14ac:dyDescent="0.2">
      <c r="A5355" s="140" t="s">
        <v>8326</v>
      </c>
      <c r="B5355" s="141">
        <v>5.7140740396283E-4</v>
      </c>
      <c r="D5355" s="141"/>
    </row>
    <row r="5356" spans="1:4" x14ac:dyDescent="0.2">
      <c r="A5356" s="140" t="s">
        <v>5463</v>
      </c>
      <c r="B5356" s="141">
        <v>5.7061058423737E-4</v>
      </c>
      <c r="D5356" s="141"/>
    </row>
    <row r="5357" spans="1:4" x14ac:dyDescent="0.2">
      <c r="A5357" s="140" t="s">
        <v>3296</v>
      </c>
      <c r="B5357" s="141">
        <v>5.6965039180471996E-4</v>
      </c>
      <c r="D5357" s="141"/>
    </row>
    <row r="5358" spans="1:4" x14ac:dyDescent="0.2">
      <c r="A5358" s="140" t="s">
        <v>8327</v>
      </c>
      <c r="B5358" s="141">
        <v>5.6936723886078996E-4</v>
      </c>
      <c r="D5358" s="141"/>
    </row>
    <row r="5359" spans="1:4" x14ac:dyDescent="0.2">
      <c r="A5359" s="140" t="s">
        <v>912</v>
      </c>
      <c r="B5359" s="141">
        <v>5.6921590688179999E-4</v>
      </c>
      <c r="D5359" s="141"/>
    </row>
    <row r="5360" spans="1:4" x14ac:dyDescent="0.2">
      <c r="A5360" s="140" t="s">
        <v>4056</v>
      </c>
      <c r="B5360" s="141">
        <v>5.6856268262766001E-4</v>
      </c>
      <c r="D5360" s="141"/>
    </row>
    <row r="5361" spans="1:4" x14ac:dyDescent="0.2">
      <c r="A5361" s="140" t="s">
        <v>5799</v>
      </c>
      <c r="B5361" s="141">
        <v>5.6847084732694001E-4</v>
      </c>
      <c r="D5361" s="141"/>
    </row>
    <row r="5362" spans="1:4" x14ac:dyDescent="0.2">
      <c r="A5362" s="140" t="s">
        <v>6128</v>
      </c>
      <c r="B5362" s="141">
        <v>5.6839085078105997E-4</v>
      </c>
      <c r="D5362" s="141"/>
    </row>
    <row r="5363" spans="1:4" x14ac:dyDescent="0.2">
      <c r="A5363" s="140" t="s">
        <v>8328</v>
      </c>
      <c r="B5363" s="141">
        <v>5.6838992303061004E-4</v>
      </c>
      <c r="D5363" s="141"/>
    </row>
    <row r="5364" spans="1:4" x14ac:dyDescent="0.2">
      <c r="A5364" s="140" t="s">
        <v>1691</v>
      </c>
      <c r="B5364" s="141">
        <v>5.6804435986580997E-4</v>
      </c>
      <c r="D5364" s="141"/>
    </row>
    <row r="5365" spans="1:4" x14ac:dyDescent="0.2">
      <c r="A5365" s="140" t="s">
        <v>8329</v>
      </c>
      <c r="B5365" s="141">
        <v>5.6803179483753995E-4</v>
      </c>
      <c r="D5365" s="141"/>
    </row>
    <row r="5366" spans="1:4" x14ac:dyDescent="0.2">
      <c r="A5366" s="140" t="s">
        <v>1399</v>
      </c>
      <c r="B5366" s="141">
        <v>5.6768009883432005E-4</v>
      </c>
      <c r="D5366" s="141"/>
    </row>
    <row r="5367" spans="1:4" x14ac:dyDescent="0.2">
      <c r="A5367" s="140" t="s">
        <v>8330</v>
      </c>
      <c r="B5367" s="141">
        <v>5.6754365256460001E-4</v>
      </c>
      <c r="D5367" s="141"/>
    </row>
    <row r="5368" spans="1:4" x14ac:dyDescent="0.2">
      <c r="A5368" s="140" t="s">
        <v>5288</v>
      </c>
      <c r="B5368" s="141">
        <v>5.6754365256460001E-4</v>
      </c>
      <c r="D5368" s="141"/>
    </row>
    <row r="5369" spans="1:4" x14ac:dyDescent="0.2">
      <c r="A5369" s="140" t="s">
        <v>3704</v>
      </c>
      <c r="B5369" s="141">
        <v>5.6754365256460001E-4</v>
      </c>
      <c r="D5369" s="141"/>
    </row>
    <row r="5370" spans="1:4" x14ac:dyDescent="0.2">
      <c r="A5370" s="140" t="s">
        <v>8331</v>
      </c>
      <c r="B5370" s="141">
        <v>5.6731586522980001E-4</v>
      </c>
      <c r="D5370" s="141"/>
    </row>
    <row r="5371" spans="1:4" x14ac:dyDescent="0.2">
      <c r="A5371" s="140" t="s">
        <v>735</v>
      </c>
      <c r="B5371" s="141">
        <v>5.6697958015076999E-4</v>
      </c>
      <c r="D5371" s="141"/>
    </row>
    <row r="5372" spans="1:4" x14ac:dyDescent="0.2">
      <c r="A5372" s="140" t="s">
        <v>3928</v>
      </c>
      <c r="B5372" s="141">
        <v>5.6643358402395005E-4</v>
      </c>
      <c r="D5372" s="141"/>
    </row>
    <row r="5373" spans="1:4" x14ac:dyDescent="0.2">
      <c r="A5373" s="140" t="s">
        <v>5106</v>
      </c>
      <c r="B5373" s="141">
        <v>5.6615948099102001E-4</v>
      </c>
      <c r="D5373" s="141"/>
    </row>
    <row r="5374" spans="1:4" x14ac:dyDescent="0.2">
      <c r="A5374" s="140" t="s">
        <v>3832</v>
      </c>
      <c r="B5374" s="141">
        <v>5.6584472946493E-4</v>
      </c>
      <c r="D5374" s="141"/>
    </row>
    <row r="5375" spans="1:4" x14ac:dyDescent="0.2">
      <c r="A5375" s="140" t="s">
        <v>2003</v>
      </c>
      <c r="B5375" s="141">
        <v>5.6564758090336996E-4</v>
      </c>
      <c r="D5375" s="141"/>
    </row>
    <row r="5376" spans="1:4" x14ac:dyDescent="0.2">
      <c r="A5376" s="140" t="s">
        <v>5840</v>
      </c>
      <c r="B5376" s="141">
        <v>5.6499922863683999E-4</v>
      </c>
      <c r="D5376" s="141"/>
    </row>
    <row r="5377" spans="1:4" x14ac:dyDescent="0.2">
      <c r="A5377" s="140" t="s">
        <v>8332</v>
      </c>
      <c r="B5377" s="141">
        <v>5.6479458265879998E-4</v>
      </c>
      <c r="D5377" s="141"/>
    </row>
    <row r="5378" spans="1:4" x14ac:dyDescent="0.2">
      <c r="A5378" s="140" t="s">
        <v>3099</v>
      </c>
      <c r="B5378" s="141">
        <v>5.6449453988684998E-4</v>
      </c>
      <c r="D5378" s="141"/>
    </row>
    <row r="5379" spans="1:4" x14ac:dyDescent="0.2">
      <c r="A5379" s="140" t="s">
        <v>5134</v>
      </c>
      <c r="B5379" s="141">
        <v>5.6441405399524996E-4</v>
      </c>
      <c r="D5379" s="141"/>
    </row>
    <row r="5380" spans="1:4" x14ac:dyDescent="0.2">
      <c r="A5380" s="140" t="s">
        <v>2438</v>
      </c>
      <c r="B5380" s="141">
        <v>5.6388541156998997E-4</v>
      </c>
      <c r="D5380" s="141"/>
    </row>
    <row r="5381" spans="1:4" x14ac:dyDescent="0.2">
      <c r="A5381" s="140" t="s">
        <v>8333</v>
      </c>
      <c r="B5381" s="141">
        <v>5.6357906707488995E-4</v>
      </c>
      <c r="D5381" s="141"/>
    </row>
    <row r="5382" spans="1:4" x14ac:dyDescent="0.2">
      <c r="A5382" s="140" t="s">
        <v>8334</v>
      </c>
      <c r="B5382" s="141">
        <v>5.6357906707488995E-4</v>
      </c>
      <c r="D5382" s="141"/>
    </row>
    <row r="5383" spans="1:4" x14ac:dyDescent="0.2">
      <c r="A5383" s="140" t="s">
        <v>5031</v>
      </c>
      <c r="B5383" s="141">
        <v>5.6339491055689003E-4</v>
      </c>
      <c r="D5383" s="141"/>
    </row>
    <row r="5384" spans="1:4" x14ac:dyDescent="0.2">
      <c r="A5384" s="140" t="s">
        <v>8335</v>
      </c>
      <c r="B5384" s="141">
        <v>5.6283243566608002E-4</v>
      </c>
      <c r="D5384" s="141"/>
    </row>
    <row r="5385" spans="1:4" x14ac:dyDescent="0.2">
      <c r="A5385" s="140" t="s">
        <v>3252</v>
      </c>
      <c r="B5385" s="141">
        <v>5.6229856980485003E-4</v>
      </c>
      <c r="D5385" s="141"/>
    </row>
    <row r="5386" spans="1:4" x14ac:dyDescent="0.2">
      <c r="A5386" s="140" t="s">
        <v>5105</v>
      </c>
      <c r="B5386" s="141">
        <v>5.6220844335816997E-4</v>
      </c>
      <c r="D5386" s="141"/>
    </row>
    <row r="5387" spans="1:4" x14ac:dyDescent="0.2">
      <c r="A5387" s="140" t="s">
        <v>3864</v>
      </c>
      <c r="B5387" s="141">
        <v>5.6212354498129001E-4</v>
      </c>
      <c r="D5387" s="141"/>
    </row>
    <row r="5388" spans="1:4" x14ac:dyDescent="0.2">
      <c r="A5388" s="140" t="s">
        <v>557</v>
      </c>
      <c r="B5388" s="141">
        <v>5.6194133742679998E-4</v>
      </c>
      <c r="D5388" s="141"/>
    </row>
    <row r="5389" spans="1:4" x14ac:dyDescent="0.2">
      <c r="A5389" s="140" t="s">
        <v>1838</v>
      </c>
      <c r="B5389" s="141">
        <v>5.6166881253687001E-4</v>
      </c>
      <c r="D5389" s="141"/>
    </row>
    <row r="5390" spans="1:4" x14ac:dyDescent="0.2">
      <c r="A5390" s="140" t="s">
        <v>4044</v>
      </c>
      <c r="B5390" s="141">
        <v>5.6080704646538002E-4</v>
      </c>
      <c r="D5390" s="141"/>
    </row>
    <row r="5391" spans="1:4" x14ac:dyDescent="0.2">
      <c r="A5391" s="140" t="s">
        <v>8336</v>
      </c>
      <c r="B5391" s="141">
        <v>5.6054016315543003E-4</v>
      </c>
      <c r="D5391" s="141"/>
    </row>
    <row r="5392" spans="1:4" x14ac:dyDescent="0.2">
      <c r="A5392" s="140" t="s">
        <v>3796</v>
      </c>
      <c r="B5392" s="141">
        <v>5.6023463585607E-4</v>
      </c>
      <c r="D5392" s="141"/>
    </row>
    <row r="5393" spans="1:4" x14ac:dyDescent="0.2">
      <c r="A5393" s="140" t="s">
        <v>8337</v>
      </c>
      <c r="B5393" s="141">
        <v>5.5970092302835004E-4</v>
      </c>
      <c r="D5393" s="141"/>
    </row>
    <row r="5394" spans="1:4" x14ac:dyDescent="0.2">
      <c r="A5394" s="140" t="s">
        <v>2315</v>
      </c>
      <c r="B5394" s="141">
        <v>5.5963226638525002E-4</v>
      </c>
      <c r="D5394" s="141"/>
    </row>
    <row r="5395" spans="1:4" x14ac:dyDescent="0.2">
      <c r="A5395" s="140" t="s">
        <v>3740</v>
      </c>
      <c r="B5395" s="141">
        <v>5.5955744563566002E-4</v>
      </c>
      <c r="D5395" s="141"/>
    </row>
    <row r="5396" spans="1:4" x14ac:dyDescent="0.2">
      <c r="A5396" s="140" t="s">
        <v>8338</v>
      </c>
      <c r="B5396" s="141">
        <v>5.5924487877136002E-4</v>
      </c>
      <c r="D5396" s="141"/>
    </row>
    <row r="5397" spans="1:4" x14ac:dyDescent="0.2">
      <c r="A5397" s="140" t="s">
        <v>2043</v>
      </c>
      <c r="B5397" s="141">
        <v>5.5897291584873E-4</v>
      </c>
      <c r="D5397" s="141"/>
    </row>
    <row r="5398" spans="1:4" x14ac:dyDescent="0.2">
      <c r="A5398" s="140" t="s">
        <v>5874</v>
      </c>
      <c r="B5398" s="141">
        <v>5.5886756870178998E-4</v>
      </c>
      <c r="D5398" s="141"/>
    </row>
    <row r="5399" spans="1:4" x14ac:dyDescent="0.2">
      <c r="A5399" s="140" t="s">
        <v>1836</v>
      </c>
      <c r="B5399" s="141">
        <v>5.5850643949345005E-4</v>
      </c>
      <c r="D5399" s="141"/>
    </row>
    <row r="5400" spans="1:4" x14ac:dyDescent="0.2">
      <c r="A5400" s="140" t="s">
        <v>2188</v>
      </c>
      <c r="B5400" s="141">
        <v>5.5825236960839995E-4</v>
      </c>
      <c r="D5400" s="141"/>
    </row>
    <row r="5401" spans="1:4" x14ac:dyDescent="0.2">
      <c r="A5401" s="140" t="s">
        <v>5234</v>
      </c>
      <c r="B5401" s="141">
        <v>5.5780000413936995E-4</v>
      </c>
      <c r="D5401" s="141"/>
    </row>
    <row r="5402" spans="1:4" x14ac:dyDescent="0.2">
      <c r="A5402" s="140" t="s">
        <v>5417</v>
      </c>
      <c r="B5402" s="141">
        <v>5.5765584619624003E-4</v>
      </c>
      <c r="D5402" s="141"/>
    </row>
    <row r="5403" spans="1:4" x14ac:dyDescent="0.2">
      <c r="A5403" s="140" t="s">
        <v>8339</v>
      </c>
      <c r="B5403" s="141">
        <v>5.5756102032320995E-4</v>
      </c>
      <c r="D5403" s="141"/>
    </row>
    <row r="5404" spans="1:4" x14ac:dyDescent="0.2">
      <c r="A5404" s="140" t="s">
        <v>6352</v>
      </c>
      <c r="B5404" s="141">
        <v>5.5756102032320995E-4</v>
      </c>
      <c r="D5404" s="141"/>
    </row>
    <row r="5405" spans="1:4" x14ac:dyDescent="0.2">
      <c r="A5405" s="140" t="s">
        <v>8340</v>
      </c>
      <c r="B5405" s="141">
        <v>5.5658890890648003E-4</v>
      </c>
      <c r="D5405" s="141"/>
    </row>
    <row r="5406" spans="1:4" x14ac:dyDescent="0.2">
      <c r="A5406" s="140" t="s">
        <v>2169</v>
      </c>
      <c r="B5406" s="141">
        <v>5.5557127606773002E-4</v>
      </c>
      <c r="D5406" s="141"/>
    </row>
    <row r="5407" spans="1:4" x14ac:dyDescent="0.2">
      <c r="A5407" s="140" t="s">
        <v>2921</v>
      </c>
      <c r="B5407" s="141">
        <v>5.5510007688589998E-4</v>
      </c>
      <c r="D5407" s="141"/>
    </row>
    <row r="5408" spans="1:4" x14ac:dyDescent="0.2">
      <c r="A5408" s="140" t="s">
        <v>4845</v>
      </c>
      <c r="B5408" s="141">
        <v>5.5495103373999E-4</v>
      </c>
      <c r="D5408" s="141"/>
    </row>
    <row r="5409" spans="1:4" x14ac:dyDescent="0.2">
      <c r="A5409" s="140" t="s">
        <v>8341</v>
      </c>
      <c r="B5409" s="141">
        <v>5.5452794231901999E-4</v>
      </c>
      <c r="D5409" s="141"/>
    </row>
    <row r="5410" spans="1:4" x14ac:dyDescent="0.2">
      <c r="A5410" s="140" t="s">
        <v>5878</v>
      </c>
      <c r="B5410" s="141">
        <v>5.5441559159253998E-4</v>
      </c>
      <c r="D5410" s="141"/>
    </row>
    <row r="5411" spans="1:4" x14ac:dyDescent="0.2">
      <c r="A5411" s="140" t="s">
        <v>8342</v>
      </c>
      <c r="B5411" s="141">
        <v>5.5436452965847995E-4</v>
      </c>
      <c r="D5411" s="141"/>
    </row>
    <row r="5412" spans="1:4" x14ac:dyDescent="0.2">
      <c r="A5412" s="140" t="s">
        <v>3333</v>
      </c>
      <c r="B5412" s="141">
        <v>5.5426267492846004E-4</v>
      </c>
      <c r="D5412" s="141"/>
    </row>
    <row r="5413" spans="1:4" x14ac:dyDescent="0.2">
      <c r="A5413" s="140" t="s">
        <v>8343</v>
      </c>
      <c r="B5413" s="141">
        <v>5.5400295494613004E-4</v>
      </c>
      <c r="D5413" s="141"/>
    </row>
    <row r="5414" spans="1:4" x14ac:dyDescent="0.2">
      <c r="A5414" s="140" t="s">
        <v>2630</v>
      </c>
      <c r="B5414" s="141">
        <v>5.5346632913686996E-4</v>
      </c>
      <c r="D5414" s="141"/>
    </row>
    <row r="5415" spans="1:4" x14ac:dyDescent="0.2">
      <c r="A5415" s="140" t="s">
        <v>2654</v>
      </c>
      <c r="B5415" s="141">
        <v>5.5290177219712001E-4</v>
      </c>
      <c r="D5415" s="141"/>
    </row>
    <row r="5416" spans="1:4" x14ac:dyDescent="0.2">
      <c r="A5416" s="140" t="s">
        <v>8344</v>
      </c>
      <c r="B5416" s="141">
        <v>5.5282828387654E-4</v>
      </c>
      <c r="D5416" s="141"/>
    </row>
    <row r="5417" spans="1:4" x14ac:dyDescent="0.2">
      <c r="A5417" s="140" t="s">
        <v>5261</v>
      </c>
      <c r="B5417" s="141">
        <v>5.5282828387654E-4</v>
      </c>
      <c r="D5417" s="141"/>
    </row>
    <row r="5418" spans="1:4" x14ac:dyDescent="0.2">
      <c r="A5418" s="140" t="s">
        <v>8345</v>
      </c>
      <c r="B5418" s="141">
        <v>5.5282828387654E-4</v>
      </c>
      <c r="D5418" s="141"/>
    </row>
    <row r="5419" spans="1:4" x14ac:dyDescent="0.2">
      <c r="A5419" s="140" t="s">
        <v>3877</v>
      </c>
      <c r="B5419" s="141">
        <v>5.5282828387654E-4</v>
      </c>
      <c r="D5419" s="141"/>
    </row>
    <row r="5420" spans="1:4" x14ac:dyDescent="0.2">
      <c r="A5420" s="140" t="s">
        <v>8346</v>
      </c>
      <c r="B5420" s="141">
        <v>5.5282828387654E-4</v>
      </c>
      <c r="D5420" s="141"/>
    </row>
    <row r="5421" spans="1:4" x14ac:dyDescent="0.2">
      <c r="A5421" s="140" t="s">
        <v>8347</v>
      </c>
      <c r="B5421" s="141">
        <v>5.5282828387654E-4</v>
      </c>
      <c r="D5421" s="141"/>
    </row>
    <row r="5422" spans="1:4" x14ac:dyDescent="0.2">
      <c r="A5422" s="140" t="s">
        <v>2892</v>
      </c>
      <c r="B5422" s="141">
        <v>5.5248354693419996E-4</v>
      </c>
      <c r="D5422" s="141"/>
    </row>
    <row r="5423" spans="1:4" x14ac:dyDescent="0.2">
      <c r="A5423" s="140" t="s">
        <v>2787</v>
      </c>
      <c r="B5423" s="141">
        <v>5.5238529537927005E-4</v>
      </c>
      <c r="D5423" s="141"/>
    </row>
    <row r="5424" spans="1:4" x14ac:dyDescent="0.2">
      <c r="A5424" s="140" t="s">
        <v>4528</v>
      </c>
      <c r="B5424" s="141">
        <v>5.5180815009575005E-4</v>
      </c>
      <c r="D5424" s="141"/>
    </row>
    <row r="5425" spans="1:4" x14ac:dyDescent="0.2">
      <c r="A5425" s="140" t="s">
        <v>5876</v>
      </c>
      <c r="B5425" s="141">
        <v>5.5141834492216995E-4</v>
      </c>
      <c r="D5425" s="141"/>
    </row>
    <row r="5426" spans="1:4" x14ac:dyDescent="0.2">
      <c r="A5426" s="140" t="s">
        <v>364</v>
      </c>
      <c r="B5426" s="141">
        <v>5.5084713100317004E-4</v>
      </c>
      <c r="D5426" s="141"/>
    </row>
    <row r="5427" spans="1:4" x14ac:dyDescent="0.2">
      <c r="A5427" s="140" t="s">
        <v>8348</v>
      </c>
      <c r="B5427" s="141">
        <v>5.4970436716390999E-4</v>
      </c>
      <c r="D5427" s="141"/>
    </row>
    <row r="5428" spans="1:4" x14ac:dyDescent="0.2">
      <c r="A5428" s="140" t="s">
        <v>5005</v>
      </c>
      <c r="B5428" s="141">
        <v>5.4936864993493004E-4</v>
      </c>
      <c r="D5428" s="141"/>
    </row>
    <row r="5429" spans="1:4" x14ac:dyDescent="0.2">
      <c r="A5429" s="140" t="s">
        <v>2557</v>
      </c>
      <c r="B5429" s="141">
        <v>5.4913905639953004E-4</v>
      </c>
      <c r="D5429" s="141"/>
    </row>
    <row r="5430" spans="1:4" x14ac:dyDescent="0.2">
      <c r="A5430" s="140" t="s">
        <v>1832</v>
      </c>
      <c r="B5430" s="141">
        <v>5.4891691393134997E-4</v>
      </c>
      <c r="D5430" s="141"/>
    </row>
    <row r="5431" spans="1:4" x14ac:dyDescent="0.2">
      <c r="A5431" s="140" t="s">
        <v>6139</v>
      </c>
      <c r="B5431" s="141">
        <v>5.4866789666565999E-4</v>
      </c>
      <c r="D5431" s="141"/>
    </row>
    <row r="5432" spans="1:4" x14ac:dyDescent="0.2">
      <c r="A5432" s="140" t="s">
        <v>1902</v>
      </c>
      <c r="B5432" s="141">
        <v>5.4842172883255995E-4</v>
      </c>
      <c r="D5432" s="141"/>
    </row>
    <row r="5433" spans="1:4" x14ac:dyDescent="0.2">
      <c r="A5433" s="140" t="s">
        <v>8349</v>
      </c>
      <c r="B5433" s="141">
        <v>5.4748235653151998E-4</v>
      </c>
      <c r="D5433" s="141"/>
    </row>
    <row r="5434" spans="1:4" x14ac:dyDescent="0.2">
      <c r="A5434" s="140" t="s">
        <v>4535</v>
      </c>
      <c r="B5434" s="141">
        <v>5.4748235653151998E-4</v>
      </c>
      <c r="D5434" s="141"/>
    </row>
    <row r="5435" spans="1:4" x14ac:dyDescent="0.2">
      <c r="A5435" s="140" t="s">
        <v>8350</v>
      </c>
      <c r="B5435" s="141">
        <v>5.4739604442346004E-4</v>
      </c>
      <c r="D5435" s="141"/>
    </row>
    <row r="5436" spans="1:4" x14ac:dyDescent="0.2">
      <c r="A5436" s="140" t="s">
        <v>8351</v>
      </c>
      <c r="B5436" s="141">
        <v>5.4688516522737995E-4</v>
      </c>
      <c r="D5436" s="141"/>
    </row>
    <row r="5437" spans="1:4" x14ac:dyDescent="0.2">
      <c r="A5437" s="140" t="s">
        <v>549</v>
      </c>
      <c r="B5437" s="141">
        <v>5.4630204528797002E-4</v>
      </c>
      <c r="D5437" s="141"/>
    </row>
    <row r="5438" spans="1:4" x14ac:dyDescent="0.2">
      <c r="A5438" s="140" t="s">
        <v>4493</v>
      </c>
      <c r="B5438" s="141">
        <v>5.4574887053001004E-4</v>
      </c>
      <c r="D5438" s="141"/>
    </row>
    <row r="5439" spans="1:4" x14ac:dyDescent="0.2">
      <c r="A5439" s="140" t="s">
        <v>8352</v>
      </c>
      <c r="B5439" s="141">
        <v>5.4573974529716995E-4</v>
      </c>
      <c r="D5439" s="141"/>
    </row>
    <row r="5440" spans="1:4" x14ac:dyDescent="0.2">
      <c r="A5440" s="140" t="s">
        <v>6343</v>
      </c>
      <c r="B5440" s="141">
        <v>5.4560724927302999E-4</v>
      </c>
      <c r="D5440" s="141"/>
    </row>
    <row r="5441" spans="1:4" x14ac:dyDescent="0.2">
      <c r="A5441" s="140" t="s">
        <v>3746</v>
      </c>
      <c r="B5441" s="141">
        <v>5.4531091761558998E-4</v>
      </c>
      <c r="D5441" s="141"/>
    </row>
    <row r="5442" spans="1:4" x14ac:dyDescent="0.2">
      <c r="A5442" s="140" t="s">
        <v>5523</v>
      </c>
      <c r="B5442" s="141">
        <v>5.4490935195777E-4</v>
      </c>
      <c r="D5442" s="141"/>
    </row>
    <row r="5443" spans="1:4" x14ac:dyDescent="0.2">
      <c r="A5443" s="140" t="s">
        <v>3646</v>
      </c>
      <c r="B5443" s="141">
        <v>5.4461774534725002E-4</v>
      </c>
      <c r="D5443" s="141"/>
    </row>
    <row r="5444" spans="1:4" x14ac:dyDescent="0.2">
      <c r="A5444" s="140" t="s">
        <v>5358</v>
      </c>
      <c r="B5444" s="141">
        <v>5.4442008918419995E-4</v>
      </c>
      <c r="D5444" s="141"/>
    </row>
    <row r="5445" spans="1:4" x14ac:dyDescent="0.2">
      <c r="A5445" s="140" t="s">
        <v>2706</v>
      </c>
      <c r="B5445" s="141">
        <v>5.4420466068012005E-4</v>
      </c>
      <c r="D5445" s="141"/>
    </row>
    <row r="5446" spans="1:4" x14ac:dyDescent="0.2">
      <c r="A5446" s="140" t="s">
        <v>3860</v>
      </c>
      <c r="B5446" s="141">
        <v>5.4419899223798998E-4</v>
      </c>
      <c r="D5446" s="141"/>
    </row>
    <row r="5447" spans="1:4" x14ac:dyDescent="0.2">
      <c r="A5447" s="140" t="s">
        <v>2436</v>
      </c>
      <c r="B5447" s="141">
        <v>5.4366783624203001E-4</v>
      </c>
      <c r="D5447" s="141"/>
    </row>
    <row r="5448" spans="1:4" x14ac:dyDescent="0.2">
      <c r="A5448" s="140" t="s">
        <v>3189</v>
      </c>
      <c r="B5448" s="141">
        <v>5.4263077436052004E-4</v>
      </c>
      <c r="D5448" s="141"/>
    </row>
    <row r="5449" spans="1:4" x14ac:dyDescent="0.2">
      <c r="A5449" s="140" t="s">
        <v>4759</v>
      </c>
      <c r="B5449" s="141">
        <v>5.4213040256566997E-4</v>
      </c>
      <c r="D5449" s="141"/>
    </row>
    <row r="5450" spans="1:4" x14ac:dyDescent="0.2">
      <c r="A5450" s="140" t="s">
        <v>432</v>
      </c>
      <c r="B5450" s="141">
        <v>5.4202202248665996E-4</v>
      </c>
      <c r="D5450" s="141"/>
    </row>
    <row r="5451" spans="1:4" x14ac:dyDescent="0.2">
      <c r="A5451" s="140" t="s">
        <v>4059</v>
      </c>
      <c r="B5451" s="141">
        <v>5.4199855639962995E-4</v>
      </c>
      <c r="D5451" s="141"/>
    </row>
    <row r="5452" spans="1:4" x14ac:dyDescent="0.2">
      <c r="A5452" s="140" t="s">
        <v>8353</v>
      </c>
      <c r="B5452" s="141">
        <v>5.4196012763639003E-4</v>
      </c>
      <c r="D5452" s="141"/>
    </row>
    <row r="5453" spans="1:4" x14ac:dyDescent="0.2">
      <c r="A5453" s="140" t="s">
        <v>4723</v>
      </c>
      <c r="B5453" s="141">
        <v>5.4188195585794002E-4</v>
      </c>
      <c r="D5453" s="141"/>
    </row>
    <row r="5454" spans="1:4" x14ac:dyDescent="0.2">
      <c r="A5454" s="140" t="s">
        <v>1100</v>
      </c>
      <c r="B5454" s="141">
        <v>5.4182303467327996E-4</v>
      </c>
      <c r="D5454" s="141"/>
    </row>
    <row r="5455" spans="1:4" x14ac:dyDescent="0.2">
      <c r="A5455" s="140" t="s">
        <v>4785</v>
      </c>
      <c r="B5455" s="141">
        <v>5.4159482046046005E-4</v>
      </c>
      <c r="D5455" s="141"/>
    </row>
    <row r="5456" spans="1:4" x14ac:dyDescent="0.2">
      <c r="A5456" s="140" t="s">
        <v>3793</v>
      </c>
      <c r="B5456" s="141">
        <v>5.4041791851817001E-4</v>
      </c>
      <c r="D5456" s="141"/>
    </row>
    <row r="5457" spans="1:4" x14ac:dyDescent="0.2">
      <c r="A5457" s="140" t="s">
        <v>853</v>
      </c>
      <c r="B5457" s="141">
        <v>5.3937618879050997E-4</v>
      </c>
      <c r="D5457" s="141"/>
    </row>
    <row r="5458" spans="1:4" x14ac:dyDescent="0.2">
      <c r="A5458" s="140" t="s">
        <v>6093</v>
      </c>
      <c r="B5458" s="141">
        <v>5.3899530724169998E-4</v>
      </c>
      <c r="D5458" s="141"/>
    </row>
    <row r="5459" spans="1:4" x14ac:dyDescent="0.2">
      <c r="A5459" s="140" t="s">
        <v>1057</v>
      </c>
      <c r="B5459" s="141">
        <v>5.3893055619601998E-4</v>
      </c>
      <c r="D5459" s="141"/>
    </row>
    <row r="5460" spans="1:4" x14ac:dyDescent="0.2">
      <c r="A5460" s="140" t="s">
        <v>4612</v>
      </c>
      <c r="B5460" s="141">
        <v>5.3835991370647005E-4</v>
      </c>
      <c r="D5460" s="141"/>
    </row>
    <row r="5461" spans="1:4" x14ac:dyDescent="0.2">
      <c r="A5461" s="140" t="s">
        <v>8354</v>
      </c>
      <c r="B5461" s="141">
        <v>5.3829426449767998E-4</v>
      </c>
      <c r="D5461" s="141"/>
    </row>
    <row r="5462" spans="1:4" x14ac:dyDescent="0.2">
      <c r="A5462" s="140" t="s">
        <v>8355</v>
      </c>
      <c r="B5462" s="141">
        <v>5.3733921317870002E-4</v>
      </c>
      <c r="D5462" s="141"/>
    </row>
    <row r="5463" spans="1:4" x14ac:dyDescent="0.2">
      <c r="A5463" s="140" t="s">
        <v>8356</v>
      </c>
      <c r="B5463" s="141">
        <v>5.3647398523580005E-4</v>
      </c>
      <c r="D5463" s="141"/>
    </row>
    <row r="5464" spans="1:4" x14ac:dyDescent="0.2">
      <c r="A5464" s="140" t="s">
        <v>5398</v>
      </c>
      <c r="B5464" s="141">
        <v>5.3616325360578002E-4</v>
      </c>
      <c r="D5464" s="141"/>
    </row>
    <row r="5465" spans="1:4" x14ac:dyDescent="0.2">
      <c r="A5465" s="140" t="s">
        <v>8357</v>
      </c>
      <c r="B5465" s="141">
        <v>5.361335956775E-4</v>
      </c>
      <c r="D5465" s="141"/>
    </row>
    <row r="5466" spans="1:4" x14ac:dyDescent="0.2">
      <c r="A5466" s="140" t="s">
        <v>8358</v>
      </c>
      <c r="B5466" s="141">
        <v>5.3587115013893996E-4</v>
      </c>
      <c r="D5466" s="141"/>
    </row>
    <row r="5467" spans="1:4" x14ac:dyDescent="0.2">
      <c r="A5467" s="140" t="s">
        <v>1745</v>
      </c>
      <c r="B5467" s="141">
        <v>5.3579821568663E-4</v>
      </c>
      <c r="D5467" s="141"/>
    </row>
    <row r="5468" spans="1:4" x14ac:dyDescent="0.2">
      <c r="A5468" s="140" t="s">
        <v>3525</v>
      </c>
      <c r="B5468" s="141">
        <v>5.3531825821763999E-4</v>
      </c>
      <c r="D5468" s="141"/>
    </row>
    <row r="5469" spans="1:4" x14ac:dyDescent="0.2">
      <c r="A5469" s="140" t="s">
        <v>1789</v>
      </c>
      <c r="B5469" s="141">
        <v>5.3485943146964001E-4</v>
      </c>
      <c r="D5469" s="141"/>
    </row>
    <row r="5470" spans="1:4" x14ac:dyDescent="0.2">
      <c r="A5470" s="140" t="s">
        <v>1074</v>
      </c>
      <c r="B5470" s="141">
        <v>5.3481892531288995E-4</v>
      </c>
      <c r="D5470" s="141"/>
    </row>
    <row r="5471" spans="1:4" x14ac:dyDescent="0.2">
      <c r="A5471" s="140" t="s">
        <v>1997</v>
      </c>
      <c r="B5471" s="141">
        <v>5.3448753518508998E-4</v>
      </c>
      <c r="D5471" s="141"/>
    </row>
    <row r="5472" spans="1:4" x14ac:dyDescent="0.2">
      <c r="A5472" s="140" t="s">
        <v>8359</v>
      </c>
      <c r="B5472" s="141">
        <v>5.3429058844575001E-4</v>
      </c>
      <c r="D5472" s="141"/>
    </row>
    <row r="5473" spans="1:4" x14ac:dyDescent="0.2">
      <c r="A5473" s="140" t="s">
        <v>8360</v>
      </c>
      <c r="B5473" s="141">
        <v>5.3419858072061E-4</v>
      </c>
      <c r="D5473" s="141"/>
    </row>
    <row r="5474" spans="1:4" x14ac:dyDescent="0.2">
      <c r="A5474" s="140" t="s">
        <v>8361</v>
      </c>
      <c r="B5474" s="141">
        <v>5.3383592275679998E-4</v>
      </c>
      <c r="D5474" s="141"/>
    </row>
    <row r="5475" spans="1:4" x14ac:dyDescent="0.2">
      <c r="A5475" s="140" t="s">
        <v>3453</v>
      </c>
      <c r="B5475" s="141">
        <v>5.3381185794372998E-4</v>
      </c>
      <c r="D5475" s="141"/>
    </row>
    <row r="5476" spans="1:4" x14ac:dyDescent="0.2">
      <c r="A5476" s="140" t="s">
        <v>8362</v>
      </c>
      <c r="B5476" s="141">
        <v>5.3341632216177999E-4</v>
      </c>
      <c r="D5476" s="141"/>
    </row>
    <row r="5477" spans="1:4" x14ac:dyDescent="0.2">
      <c r="A5477" s="140" t="s">
        <v>8363</v>
      </c>
      <c r="B5477" s="141">
        <v>5.3266925251559995E-4</v>
      </c>
      <c r="D5477" s="141"/>
    </row>
    <row r="5478" spans="1:4" x14ac:dyDescent="0.2">
      <c r="A5478" s="140" t="s">
        <v>8364</v>
      </c>
      <c r="B5478" s="141">
        <v>5.3120276109037002E-4</v>
      </c>
      <c r="D5478" s="141"/>
    </row>
    <row r="5479" spans="1:4" x14ac:dyDescent="0.2">
      <c r="A5479" s="140" t="s">
        <v>8365</v>
      </c>
      <c r="B5479" s="141">
        <v>5.3082824993337001E-4</v>
      </c>
      <c r="D5479" s="141"/>
    </row>
    <row r="5480" spans="1:4" x14ac:dyDescent="0.2">
      <c r="A5480" s="140" t="s">
        <v>8366</v>
      </c>
      <c r="B5480" s="141">
        <v>5.3044581531304998E-4</v>
      </c>
      <c r="D5480" s="141"/>
    </row>
    <row r="5481" spans="1:4" x14ac:dyDescent="0.2">
      <c r="A5481" s="140" t="s">
        <v>1525</v>
      </c>
      <c r="B5481" s="141">
        <v>5.2972098034224002E-4</v>
      </c>
      <c r="D5481" s="141"/>
    </row>
    <row r="5482" spans="1:4" x14ac:dyDescent="0.2">
      <c r="A5482" s="140" t="s">
        <v>4551</v>
      </c>
      <c r="B5482" s="141">
        <v>5.2914480208441999E-4</v>
      </c>
      <c r="D5482" s="141"/>
    </row>
    <row r="5483" spans="1:4" x14ac:dyDescent="0.2">
      <c r="A5483" s="140" t="s">
        <v>4590</v>
      </c>
      <c r="B5483" s="141">
        <v>5.2823001593685999E-4</v>
      </c>
      <c r="D5483" s="141"/>
    </row>
    <row r="5484" spans="1:4" x14ac:dyDescent="0.2">
      <c r="A5484" s="140" t="s">
        <v>8367</v>
      </c>
      <c r="B5484" s="141">
        <v>5.2767252612418998E-4</v>
      </c>
      <c r="D5484" s="141"/>
    </row>
    <row r="5485" spans="1:4" x14ac:dyDescent="0.2">
      <c r="A5485" s="140" t="s">
        <v>6016</v>
      </c>
      <c r="B5485" s="141">
        <v>5.2703694520124999E-4</v>
      </c>
      <c r="D5485" s="141"/>
    </row>
    <row r="5486" spans="1:4" x14ac:dyDescent="0.2">
      <c r="A5486" s="140" t="s">
        <v>1395</v>
      </c>
      <c r="B5486" s="141">
        <v>5.2640358284022004E-4</v>
      </c>
      <c r="D5486" s="141"/>
    </row>
    <row r="5487" spans="1:4" x14ac:dyDescent="0.2">
      <c r="A5487" s="140" t="s">
        <v>6330</v>
      </c>
      <c r="B5487" s="141">
        <v>5.2629660489421002E-4</v>
      </c>
      <c r="D5487" s="141"/>
    </row>
    <row r="5488" spans="1:4" x14ac:dyDescent="0.2">
      <c r="A5488" s="140" t="s">
        <v>8368</v>
      </c>
      <c r="B5488" s="141">
        <v>5.2593261659909004E-4</v>
      </c>
      <c r="D5488" s="141"/>
    </row>
    <row r="5489" spans="1:4" x14ac:dyDescent="0.2">
      <c r="A5489" s="140" t="s">
        <v>4582</v>
      </c>
      <c r="B5489" s="141">
        <v>5.2562721408244001E-4</v>
      </c>
      <c r="D5489" s="141"/>
    </row>
    <row r="5490" spans="1:4" x14ac:dyDescent="0.2">
      <c r="A5490" s="140" t="s">
        <v>3673</v>
      </c>
      <c r="B5490" s="141">
        <v>5.2469084561396E-4</v>
      </c>
      <c r="D5490" s="141"/>
    </row>
    <row r="5491" spans="1:4" x14ac:dyDescent="0.2">
      <c r="A5491" s="140" t="s">
        <v>1846</v>
      </c>
      <c r="B5491" s="141">
        <v>5.2418567830100004E-4</v>
      </c>
      <c r="D5491" s="141"/>
    </row>
    <row r="5492" spans="1:4" x14ac:dyDescent="0.2">
      <c r="A5492" s="140" t="s">
        <v>1955</v>
      </c>
      <c r="B5492" s="141">
        <v>5.2374424684388E-4</v>
      </c>
      <c r="D5492" s="141"/>
    </row>
    <row r="5493" spans="1:4" x14ac:dyDescent="0.2">
      <c r="A5493" s="140" t="s">
        <v>8369</v>
      </c>
      <c r="B5493" s="141">
        <v>5.2364787952600999E-4</v>
      </c>
      <c r="D5493" s="141"/>
    </row>
    <row r="5494" spans="1:4" x14ac:dyDescent="0.2">
      <c r="A5494" s="140" t="s">
        <v>1623</v>
      </c>
      <c r="B5494" s="141">
        <v>5.2344604075276998E-4</v>
      </c>
      <c r="D5494" s="141"/>
    </row>
    <row r="5495" spans="1:4" x14ac:dyDescent="0.2">
      <c r="A5495" s="140" t="s">
        <v>8370</v>
      </c>
      <c r="B5495" s="141">
        <v>5.2343983198109003E-4</v>
      </c>
      <c r="D5495" s="141"/>
    </row>
    <row r="5496" spans="1:4" x14ac:dyDescent="0.2">
      <c r="A5496" s="140" t="s">
        <v>5152</v>
      </c>
      <c r="B5496" s="141">
        <v>5.2311362932870998E-4</v>
      </c>
      <c r="D5496" s="141"/>
    </row>
    <row r="5497" spans="1:4" x14ac:dyDescent="0.2">
      <c r="A5497" s="140" t="s">
        <v>4301</v>
      </c>
      <c r="B5497" s="141">
        <v>5.2272283411831997E-4</v>
      </c>
      <c r="D5497" s="141"/>
    </row>
    <row r="5498" spans="1:4" x14ac:dyDescent="0.2">
      <c r="A5498" s="140" t="s">
        <v>8371</v>
      </c>
      <c r="B5498" s="141">
        <v>5.2159027704793998E-4</v>
      </c>
      <c r="D5498" s="141"/>
    </row>
    <row r="5499" spans="1:4" x14ac:dyDescent="0.2">
      <c r="A5499" s="140" t="s">
        <v>8372</v>
      </c>
      <c r="B5499" s="141">
        <v>5.2139350468299005E-4</v>
      </c>
      <c r="D5499" s="141"/>
    </row>
    <row r="5500" spans="1:4" x14ac:dyDescent="0.2">
      <c r="A5500" s="140" t="s">
        <v>5844</v>
      </c>
      <c r="B5500" s="141">
        <v>5.1983654937496997E-4</v>
      </c>
      <c r="D5500" s="141"/>
    </row>
    <row r="5501" spans="1:4" x14ac:dyDescent="0.2">
      <c r="A5501" s="140" t="s">
        <v>3831</v>
      </c>
      <c r="B5501" s="141">
        <v>5.1915644994850998E-4</v>
      </c>
      <c r="D5501" s="141"/>
    </row>
    <row r="5502" spans="1:4" x14ac:dyDescent="0.2">
      <c r="A5502" s="140" t="s">
        <v>1241</v>
      </c>
      <c r="B5502" s="141">
        <v>5.1841200054610005E-4</v>
      </c>
      <c r="D5502" s="141"/>
    </row>
    <row r="5503" spans="1:4" x14ac:dyDescent="0.2">
      <c r="A5503" s="140" t="s">
        <v>2834</v>
      </c>
      <c r="B5503" s="141">
        <v>5.1817957856631998E-4</v>
      </c>
      <c r="D5503" s="141"/>
    </row>
    <row r="5504" spans="1:4" x14ac:dyDescent="0.2">
      <c r="A5504" s="140" t="s">
        <v>5582</v>
      </c>
      <c r="B5504" s="141">
        <v>5.1786470318332996E-4</v>
      </c>
      <c r="D5504" s="141"/>
    </row>
    <row r="5505" spans="1:4" x14ac:dyDescent="0.2">
      <c r="A5505" s="140" t="s">
        <v>1946</v>
      </c>
      <c r="B5505" s="141">
        <v>5.1737590616164001E-4</v>
      </c>
      <c r="D5505" s="141"/>
    </row>
    <row r="5506" spans="1:4" x14ac:dyDescent="0.2">
      <c r="A5506" s="140" t="s">
        <v>8373</v>
      </c>
      <c r="B5506" s="141">
        <v>5.1652390610912996E-4</v>
      </c>
      <c r="D5506" s="141"/>
    </row>
    <row r="5507" spans="1:4" x14ac:dyDescent="0.2">
      <c r="A5507" s="140" t="s">
        <v>4269</v>
      </c>
      <c r="B5507" s="141">
        <v>5.1649093540251996E-4</v>
      </c>
      <c r="D5507" s="141"/>
    </row>
    <row r="5508" spans="1:4" x14ac:dyDescent="0.2">
      <c r="A5508" s="140" t="s">
        <v>2718</v>
      </c>
      <c r="B5508" s="141">
        <v>5.1553202040484E-4</v>
      </c>
      <c r="D5508" s="141"/>
    </row>
    <row r="5509" spans="1:4" x14ac:dyDescent="0.2">
      <c r="A5509" s="140" t="s">
        <v>3506</v>
      </c>
      <c r="B5509" s="141">
        <v>5.1450510901922004E-4</v>
      </c>
      <c r="D5509" s="141"/>
    </row>
    <row r="5510" spans="1:4" x14ac:dyDescent="0.2">
      <c r="A5510" s="140" t="s">
        <v>1663</v>
      </c>
      <c r="B5510" s="141">
        <v>5.1415618962412E-4</v>
      </c>
      <c r="D5510" s="141"/>
    </row>
    <row r="5511" spans="1:4" x14ac:dyDescent="0.2">
      <c r="A5511" s="140" t="s">
        <v>1578</v>
      </c>
      <c r="B5511" s="141">
        <v>5.1394241541822996E-4</v>
      </c>
      <c r="D5511" s="141"/>
    </row>
    <row r="5512" spans="1:4" x14ac:dyDescent="0.2">
      <c r="A5512" s="140" t="s">
        <v>2481</v>
      </c>
      <c r="B5512" s="141">
        <v>5.1385090702285E-4</v>
      </c>
      <c r="D5512" s="141"/>
    </row>
    <row r="5513" spans="1:4" x14ac:dyDescent="0.2">
      <c r="A5513" s="140" t="s">
        <v>8374</v>
      </c>
      <c r="B5513" s="141">
        <v>5.1360043054309002E-4</v>
      </c>
      <c r="D5513" s="141"/>
    </row>
    <row r="5514" spans="1:4" x14ac:dyDescent="0.2">
      <c r="A5514" s="140" t="s">
        <v>8375</v>
      </c>
      <c r="B5514" s="141">
        <v>5.1360043054309002E-4</v>
      </c>
      <c r="D5514" s="141"/>
    </row>
    <row r="5515" spans="1:4" x14ac:dyDescent="0.2">
      <c r="A5515" s="140" t="s">
        <v>8376</v>
      </c>
      <c r="B5515" s="141">
        <v>5.1360043054309002E-4</v>
      </c>
      <c r="D5515" s="141"/>
    </row>
    <row r="5516" spans="1:4" x14ac:dyDescent="0.2">
      <c r="A5516" s="140" t="s">
        <v>8377</v>
      </c>
      <c r="B5516" s="141">
        <v>5.1360043054309002E-4</v>
      </c>
      <c r="D5516" s="141"/>
    </row>
    <row r="5517" spans="1:4" x14ac:dyDescent="0.2">
      <c r="A5517" s="140" t="s">
        <v>1072</v>
      </c>
      <c r="B5517" s="141">
        <v>5.1234885315697999E-4</v>
      </c>
      <c r="D5517" s="141"/>
    </row>
    <row r="5518" spans="1:4" x14ac:dyDescent="0.2">
      <c r="A5518" s="140" t="s">
        <v>8378</v>
      </c>
      <c r="B5518" s="141">
        <v>5.1047201202796E-4</v>
      </c>
      <c r="D5518" s="141"/>
    </row>
    <row r="5519" spans="1:4" x14ac:dyDescent="0.2">
      <c r="A5519" s="140" t="s">
        <v>3889</v>
      </c>
      <c r="B5519" s="141">
        <v>5.1033826445442997E-4</v>
      </c>
      <c r="D5519" s="141"/>
    </row>
    <row r="5520" spans="1:4" x14ac:dyDescent="0.2">
      <c r="A5520" s="140" t="s">
        <v>3162</v>
      </c>
      <c r="B5520" s="141">
        <v>5.1015814317521997E-4</v>
      </c>
      <c r="D5520" s="141"/>
    </row>
    <row r="5521" spans="1:4" x14ac:dyDescent="0.2">
      <c r="A5521" s="140" t="s">
        <v>8379</v>
      </c>
      <c r="B5521" s="141">
        <v>5.0946978215892001E-4</v>
      </c>
      <c r="D5521" s="141"/>
    </row>
    <row r="5522" spans="1:4" x14ac:dyDescent="0.2">
      <c r="A5522" s="140" t="s">
        <v>3121</v>
      </c>
      <c r="B5522" s="141">
        <v>5.0940643249234002E-4</v>
      </c>
      <c r="D5522" s="141"/>
    </row>
    <row r="5523" spans="1:4" x14ac:dyDescent="0.2">
      <c r="A5523" s="140" t="s">
        <v>2739</v>
      </c>
      <c r="B5523" s="141">
        <v>5.0835820526506004E-4</v>
      </c>
      <c r="D5523" s="141"/>
    </row>
    <row r="5524" spans="1:4" x14ac:dyDescent="0.2">
      <c r="A5524" s="140" t="s">
        <v>8380</v>
      </c>
      <c r="B5524" s="141">
        <v>5.0776386480791999E-4</v>
      </c>
      <c r="D5524" s="141"/>
    </row>
    <row r="5525" spans="1:4" x14ac:dyDescent="0.2">
      <c r="A5525" s="140" t="s">
        <v>3584</v>
      </c>
      <c r="B5525" s="141">
        <v>5.0764762309029004E-4</v>
      </c>
      <c r="D5525" s="141"/>
    </row>
    <row r="5526" spans="1:4" x14ac:dyDescent="0.2">
      <c r="A5526" s="140" t="s">
        <v>4783</v>
      </c>
      <c r="B5526" s="141">
        <v>5.0751202871024003E-4</v>
      </c>
      <c r="D5526" s="141"/>
    </row>
    <row r="5527" spans="1:4" x14ac:dyDescent="0.2">
      <c r="A5527" s="140" t="s">
        <v>1823</v>
      </c>
      <c r="B5527" s="141">
        <v>5.0684780431793002E-4</v>
      </c>
      <c r="D5527" s="141"/>
    </row>
    <row r="5528" spans="1:4" x14ac:dyDescent="0.2">
      <c r="A5528" s="140" t="s">
        <v>2929</v>
      </c>
      <c r="B5528" s="141">
        <v>5.0556242887557002E-4</v>
      </c>
      <c r="D5528" s="141"/>
    </row>
    <row r="5529" spans="1:4" x14ac:dyDescent="0.2">
      <c r="A5529" s="140" t="s">
        <v>2779</v>
      </c>
      <c r="B5529" s="141">
        <v>5.0489920909939996E-4</v>
      </c>
      <c r="D5529" s="141"/>
    </row>
    <row r="5530" spans="1:4" x14ac:dyDescent="0.2">
      <c r="A5530" s="140" t="s">
        <v>3819</v>
      </c>
      <c r="B5530" s="141">
        <v>5.0452577665623002E-4</v>
      </c>
      <c r="D5530" s="141"/>
    </row>
    <row r="5531" spans="1:4" x14ac:dyDescent="0.2">
      <c r="A5531" s="140" t="s">
        <v>695</v>
      </c>
      <c r="B5531" s="141">
        <v>5.0270189116872999E-4</v>
      </c>
      <c r="D5531" s="141"/>
    </row>
    <row r="5532" spans="1:4" x14ac:dyDescent="0.2">
      <c r="A5532" s="140" t="s">
        <v>8381</v>
      </c>
      <c r="B5532" s="141">
        <v>5.0246521855116003E-4</v>
      </c>
      <c r="D5532" s="141"/>
    </row>
    <row r="5533" spans="1:4" x14ac:dyDescent="0.2">
      <c r="A5533" s="140" t="s">
        <v>6355</v>
      </c>
      <c r="B5533" s="141">
        <v>5.0190509252521001E-4</v>
      </c>
      <c r="D5533" s="141"/>
    </row>
    <row r="5534" spans="1:4" x14ac:dyDescent="0.2">
      <c r="A5534" s="140" t="s">
        <v>6080</v>
      </c>
      <c r="B5534" s="141">
        <v>5.0125090887923995E-4</v>
      </c>
      <c r="D5534" s="141"/>
    </row>
    <row r="5535" spans="1:4" x14ac:dyDescent="0.2">
      <c r="A5535" s="140" t="s">
        <v>1755</v>
      </c>
      <c r="B5535" s="141">
        <v>5.0077815256518001E-4</v>
      </c>
      <c r="D5535" s="141"/>
    </row>
    <row r="5536" spans="1:4" x14ac:dyDescent="0.2">
      <c r="A5536" s="140" t="s">
        <v>1989</v>
      </c>
      <c r="B5536" s="141">
        <v>4.9969213973867998E-4</v>
      </c>
      <c r="D5536" s="141"/>
    </row>
    <row r="5537" spans="1:4" x14ac:dyDescent="0.2">
      <c r="A5537" s="140" t="s">
        <v>630</v>
      </c>
      <c r="B5537" s="141">
        <v>4.9920364150777999E-4</v>
      </c>
      <c r="D5537" s="141"/>
    </row>
    <row r="5538" spans="1:4" x14ac:dyDescent="0.2">
      <c r="A5538" s="140" t="s">
        <v>8382</v>
      </c>
      <c r="B5538" s="141">
        <v>4.9913529858893997E-4</v>
      </c>
      <c r="D5538" s="141"/>
    </row>
    <row r="5539" spans="1:4" x14ac:dyDescent="0.2">
      <c r="A5539" s="140" t="s">
        <v>2926</v>
      </c>
      <c r="B5539" s="141">
        <v>4.9885636038980003E-4</v>
      </c>
      <c r="D5539" s="141"/>
    </row>
    <row r="5540" spans="1:4" x14ac:dyDescent="0.2">
      <c r="A5540" s="140" t="s">
        <v>4891</v>
      </c>
      <c r="B5540" s="141">
        <v>4.9865943313736998E-4</v>
      </c>
      <c r="D5540" s="141"/>
    </row>
    <row r="5541" spans="1:4" x14ac:dyDescent="0.2">
      <c r="A5541" s="140" t="s">
        <v>4530</v>
      </c>
      <c r="B5541" s="141">
        <v>4.9848508487193002E-4</v>
      </c>
      <c r="D5541" s="141"/>
    </row>
    <row r="5542" spans="1:4" x14ac:dyDescent="0.2">
      <c r="A5542" s="140" t="s">
        <v>4195</v>
      </c>
      <c r="B5542" s="141">
        <v>4.9791291920352003E-4</v>
      </c>
      <c r="D5542" s="141"/>
    </row>
    <row r="5543" spans="1:4" x14ac:dyDescent="0.2">
      <c r="A5543" s="140" t="s">
        <v>5539</v>
      </c>
      <c r="B5543" s="141">
        <v>4.9775273928989001E-4</v>
      </c>
      <c r="D5543" s="141"/>
    </row>
    <row r="5544" spans="1:4" x14ac:dyDescent="0.2">
      <c r="A5544" s="140" t="s">
        <v>8383</v>
      </c>
      <c r="B5544" s="141">
        <v>4.9633195371918005E-4</v>
      </c>
      <c r="D5544" s="141"/>
    </row>
    <row r="5545" spans="1:4" x14ac:dyDescent="0.2">
      <c r="A5545" s="140" t="s">
        <v>5778</v>
      </c>
      <c r="B5545" s="141">
        <v>4.9633195371918005E-4</v>
      </c>
      <c r="D5545" s="141"/>
    </row>
    <row r="5546" spans="1:4" x14ac:dyDescent="0.2">
      <c r="A5546" s="140" t="s">
        <v>8384</v>
      </c>
      <c r="B5546" s="141">
        <v>4.9633195371918005E-4</v>
      </c>
      <c r="D5546" s="141"/>
    </row>
    <row r="5547" spans="1:4" x14ac:dyDescent="0.2">
      <c r="A5547" s="140" t="s">
        <v>8385</v>
      </c>
      <c r="B5547" s="141">
        <v>4.9633195371918005E-4</v>
      </c>
      <c r="D5547" s="141"/>
    </row>
    <row r="5548" spans="1:4" x14ac:dyDescent="0.2">
      <c r="A5548" s="140" t="s">
        <v>5434</v>
      </c>
      <c r="B5548" s="141">
        <v>4.9633195371918005E-4</v>
      </c>
      <c r="D5548" s="141"/>
    </row>
    <row r="5549" spans="1:4" x14ac:dyDescent="0.2">
      <c r="A5549" s="140" t="s">
        <v>8386</v>
      </c>
      <c r="B5549" s="141">
        <v>4.9633195371918005E-4</v>
      </c>
      <c r="D5549" s="141"/>
    </row>
    <row r="5550" spans="1:4" x14ac:dyDescent="0.2">
      <c r="A5550" s="140" t="s">
        <v>8387</v>
      </c>
      <c r="B5550" s="141">
        <v>4.9633195371918005E-4</v>
      </c>
      <c r="D5550" s="141"/>
    </row>
    <row r="5551" spans="1:4" x14ac:dyDescent="0.2">
      <c r="A5551" s="140" t="s">
        <v>5099</v>
      </c>
      <c r="B5551" s="141">
        <v>4.9633195371918005E-4</v>
      </c>
      <c r="D5551" s="141"/>
    </row>
    <row r="5552" spans="1:4" x14ac:dyDescent="0.2">
      <c r="A5552" s="140" t="s">
        <v>4999</v>
      </c>
      <c r="B5552" s="141">
        <v>4.9633195371918005E-4</v>
      </c>
      <c r="D5552" s="141"/>
    </row>
    <row r="5553" spans="1:4" x14ac:dyDescent="0.2">
      <c r="A5553" s="140" t="s">
        <v>4979</v>
      </c>
      <c r="B5553" s="141">
        <v>4.9633195371918005E-4</v>
      </c>
      <c r="D5553" s="141"/>
    </row>
    <row r="5554" spans="1:4" x14ac:dyDescent="0.2">
      <c r="A5554" s="140" t="s">
        <v>8388</v>
      </c>
      <c r="B5554" s="141">
        <v>4.9633195371918005E-4</v>
      </c>
      <c r="D5554" s="141"/>
    </row>
    <row r="5555" spans="1:4" x14ac:dyDescent="0.2">
      <c r="A5555" s="140" t="s">
        <v>4929</v>
      </c>
      <c r="B5555" s="141">
        <v>4.9633195371918005E-4</v>
      </c>
      <c r="D5555" s="141"/>
    </row>
    <row r="5556" spans="1:4" x14ac:dyDescent="0.2">
      <c r="A5556" s="140" t="s">
        <v>8389</v>
      </c>
      <c r="B5556" s="141">
        <v>4.9633195371918005E-4</v>
      </c>
      <c r="D5556" s="141"/>
    </row>
    <row r="5557" spans="1:4" x14ac:dyDescent="0.2">
      <c r="A5557" s="140" t="s">
        <v>8390</v>
      </c>
      <c r="B5557" s="141">
        <v>4.9633195371918005E-4</v>
      </c>
      <c r="D5557" s="141"/>
    </row>
    <row r="5558" spans="1:4" x14ac:dyDescent="0.2">
      <c r="A5558" s="140" t="s">
        <v>3574</v>
      </c>
      <c r="B5558" s="141">
        <v>4.9633195371918005E-4</v>
      </c>
      <c r="D5558" s="141"/>
    </row>
    <row r="5559" spans="1:4" x14ac:dyDescent="0.2">
      <c r="A5559" s="140" t="s">
        <v>3454</v>
      </c>
      <c r="B5559" s="141">
        <v>4.9633195371918005E-4</v>
      </c>
      <c r="D5559" s="141"/>
    </row>
    <row r="5560" spans="1:4" x14ac:dyDescent="0.2">
      <c r="A5560" s="140" t="s">
        <v>8391</v>
      </c>
      <c r="B5560" s="141">
        <v>4.9633195371918005E-4</v>
      </c>
      <c r="D5560" s="141"/>
    </row>
    <row r="5561" spans="1:4" x14ac:dyDescent="0.2">
      <c r="A5561" s="140" t="s">
        <v>3329</v>
      </c>
      <c r="B5561" s="141">
        <v>4.9633195371918005E-4</v>
      </c>
      <c r="D5561" s="141"/>
    </row>
    <row r="5562" spans="1:4" x14ac:dyDescent="0.2">
      <c r="A5562" s="140" t="s">
        <v>426</v>
      </c>
      <c r="B5562" s="141">
        <v>4.9633195371918005E-4</v>
      </c>
      <c r="D5562" s="141"/>
    </row>
    <row r="5563" spans="1:4" x14ac:dyDescent="0.2">
      <c r="A5563" s="140" t="s">
        <v>8392</v>
      </c>
      <c r="B5563" s="141">
        <v>4.9617300267095995E-4</v>
      </c>
      <c r="D5563" s="141"/>
    </row>
    <row r="5564" spans="1:4" x14ac:dyDescent="0.2">
      <c r="A5564" s="140" t="s">
        <v>8393</v>
      </c>
      <c r="B5564" s="141">
        <v>4.9533650805572995E-4</v>
      </c>
      <c r="D5564" s="141"/>
    </row>
    <row r="5565" spans="1:4" x14ac:dyDescent="0.2">
      <c r="A5565" s="140" t="s">
        <v>3545</v>
      </c>
      <c r="B5565" s="141">
        <v>4.9532057836857997E-4</v>
      </c>
      <c r="D5565" s="141"/>
    </row>
    <row r="5566" spans="1:4" x14ac:dyDescent="0.2">
      <c r="A5566" s="140" t="s">
        <v>8394</v>
      </c>
      <c r="B5566" s="141">
        <v>4.9494023939088995E-4</v>
      </c>
      <c r="D5566" s="141"/>
    </row>
    <row r="5567" spans="1:4" x14ac:dyDescent="0.2">
      <c r="A5567" s="140" t="s">
        <v>3240</v>
      </c>
      <c r="B5567" s="141">
        <v>4.9462045707405003E-4</v>
      </c>
      <c r="D5567" s="141"/>
    </row>
    <row r="5568" spans="1:4" x14ac:dyDescent="0.2">
      <c r="A5568" s="140" t="s">
        <v>3278</v>
      </c>
      <c r="B5568" s="141">
        <v>4.9461835099031E-4</v>
      </c>
      <c r="D5568" s="141"/>
    </row>
    <row r="5569" spans="1:4" x14ac:dyDescent="0.2">
      <c r="A5569" s="140" t="s">
        <v>8395</v>
      </c>
      <c r="B5569" s="141">
        <v>4.9450284680475996E-4</v>
      </c>
      <c r="D5569" s="141"/>
    </row>
    <row r="5570" spans="1:4" x14ac:dyDescent="0.2">
      <c r="A5570" s="140" t="s">
        <v>5017</v>
      </c>
      <c r="B5570" s="141">
        <v>4.9442246972423E-4</v>
      </c>
      <c r="D5570" s="141"/>
    </row>
    <row r="5571" spans="1:4" x14ac:dyDescent="0.2">
      <c r="A5571" s="140" t="s">
        <v>4567</v>
      </c>
      <c r="B5571" s="141">
        <v>4.9379744747022995E-4</v>
      </c>
      <c r="D5571" s="141"/>
    </row>
    <row r="5572" spans="1:4" x14ac:dyDescent="0.2">
      <c r="A5572" s="140" t="s">
        <v>8396</v>
      </c>
      <c r="B5572" s="141">
        <v>4.9372560346986998E-4</v>
      </c>
      <c r="D5572" s="141"/>
    </row>
    <row r="5573" spans="1:4" x14ac:dyDescent="0.2">
      <c r="A5573" s="140" t="s">
        <v>8397</v>
      </c>
      <c r="B5573" s="141">
        <v>4.9372560346986998E-4</v>
      </c>
      <c r="D5573" s="141"/>
    </row>
    <row r="5574" spans="1:4" x14ac:dyDescent="0.2">
      <c r="A5574" s="140" t="s">
        <v>8398</v>
      </c>
      <c r="B5574" s="141">
        <v>4.9266622832215003E-4</v>
      </c>
      <c r="D5574" s="141"/>
    </row>
    <row r="5575" spans="1:4" x14ac:dyDescent="0.2">
      <c r="A5575" s="140" t="s">
        <v>2264</v>
      </c>
      <c r="B5575" s="141">
        <v>4.9188678520913998E-4</v>
      </c>
      <c r="D5575" s="141"/>
    </row>
    <row r="5576" spans="1:4" x14ac:dyDescent="0.2">
      <c r="A5576" s="140" t="s">
        <v>1405</v>
      </c>
      <c r="B5576" s="141">
        <v>4.9142802838749995E-4</v>
      </c>
      <c r="D5576" s="141"/>
    </row>
    <row r="5577" spans="1:4" x14ac:dyDescent="0.2">
      <c r="A5577" s="140" t="s">
        <v>508</v>
      </c>
      <c r="B5577" s="141">
        <v>4.9132714012348005E-4</v>
      </c>
      <c r="D5577" s="141"/>
    </row>
    <row r="5578" spans="1:4" x14ac:dyDescent="0.2">
      <c r="A5578" s="140" t="s">
        <v>1434</v>
      </c>
      <c r="B5578" s="141">
        <v>4.9111084179137999E-4</v>
      </c>
      <c r="D5578" s="141"/>
    </row>
    <row r="5579" spans="1:4" x14ac:dyDescent="0.2">
      <c r="A5579" s="140" t="s">
        <v>8399</v>
      </c>
      <c r="B5579" s="141">
        <v>4.8999262325405998E-4</v>
      </c>
      <c r="D5579" s="141"/>
    </row>
    <row r="5580" spans="1:4" x14ac:dyDescent="0.2">
      <c r="A5580" s="140" t="s">
        <v>8400</v>
      </c>
      <c r="B5580" s="141">
        <v>4.8999262325405998E-4</v>
      </c>
      <c r="D5580" s="141"/>
    </row>
    <row r="5581" spans="1:4" x14ac:dyDescent="0.2">
      <c r="A5581" s="140" t="s">
        <v>1222</v>
      </c>
      <c r="B5581" s="141">
        <v>4.8988625058001001E-4</v>
      </c>
      <c r="D5581" s="141"/>
    </row>
    <row r="5582" spans="1:4" x14ac:dyDescent="0.2">
      <c r="A5582" s="140" t="s">
        <v>1868</v>
      </c>
      <c r="B5582" s="141">
        <v>4.8980834528649004E-4</v>
      </c>
      <c r="D5582" s="141"/>
    </row>
    <row r="5583" spans="1:4" x14ac:dyDescent="0.2">
      <c r="A5583" s="140" t="s">
        <v>8401</v>
      </c>
      <c r="B5583" s="141">
        <v>4.8975454148003997E-4</v>
      </c>
      <c r="D5583" s="141"/>
    </row>
    <row r="5584" spans="1:4" x14ac:dyDescent="0.2">
      <c r="A5584" s="140" t="s">
        <v>8402</v>
      </c>
      <c r="B5584" s="141">
        <v>4.8934903638375E-4</v>
      </c>
      <c r="D5584" s="141"/>
    </row>
    <row r="5585" spans="1:4" x14ac:dyDescent="0.2">
      <c r="A5585" s="140" t="s">
        <v>8403</v>
      </c>
      <c r="B5585" s="141">
        <v>4.8914841776152005E-4</v>
      </c>
      <c r="D5585" s="141"/>
    </row>
    <row r="5586" spans="1:4" x14ac:dyDescent="0.2">
      <c r="A5586" s="140" t="s">
        <v>451</v>
      </c>
      <c r="B5586" s="141">
        <v>4.8834436125626995E-4</v>
      </c>
      <c r="D5586" s="141"/>
    </row>
    <row r="5587" spans="1:4" x14ac:dyDescent="0.2">
      <c r="A5587" s="140" t="s">
        <v>4748</v>
      </c>
      <c r="B5587" s="141">
        <v>4.8811552444404002E-4</v>
      </c>
      <c r="D5587" s="141"/>
    </row>
    <row r="5588" spans="1:4" x14ac:dyDescent="0.2">
      <c r="A5588" s="140" t="s">
        <v>2877</v>
      </c>
      <c r="B5588" s="141">
        <v>4.8809656296201997E-4</v>
      </c>
      <c r="D5588" s="141"/>
    </row>
    <row r="5589" spans="1:4" x14ac:dyDescent="0.2">
      <c r="A5589" s="140" t="s">
        <v>4798</v>
      </c>
      <c r="B5589" s="141">
        <v>4.8775387349362E-4</v>
      </c>
      <c r="D5589" s="141"/>
    </row>
    <row r="5590" spans="1:4" x14ac:dyDescent="0.2">
      <c r="A5590" s="140" t="s">
        <v>8404</v>
      </c>
      <c r="B5590" s="141">
        <v>4.8766551878213002E-4</v>
      </c>
      <c r="D5590" s="141"/>
    </row>
    <row r="5591" spans="1:4" x14ac:dyDescent="0.2">
      <c r="A5591" s="140" t="s">
        <v>4776</v>
      </c>
      <c r="B5591" s="141">
        <v>4.8572607794785999E-4</v>
      </c>
      <c r="D5591" s="141"/>
    </row>
    <row r="5592" spans="1:4" x14ac:dyDescent="0.2">
      <c r="A5592" s="140" t="s">
        <v>5868</v>
      </c>
      <c r="B5592" s="141">
        <v>4.8516652076669998E-4</v>
      </c>
      <c r="D5592" s="141"/>
    </row>
    <row r="5593" spans="1:4" x14ac:dyDescent="0.2">
      <c r="A5593" s="140" t="s">
        <v>1606</v>
      </c>
      <c r="B5593" s="141">
        <v>4.8499824930056001E-4</v>
      </c>
      <c r="D5593" s="141"/>
    </row>
    <row r="5594" spans="1:4" x14ac:dyDescent="0.2">
      <c r="A5594" s="140" t="s">
        <v>8405</v>
      </c>
      <c r="B5594" s="141">
        <v>4.8477495369015998E-4</v>
      </c>
      <c r="D5594" s="141"/>
    </row>
    <row r="5595" spans="1:4" x14ac:dyDescent="0.2">
      <c r="A5595" s="140" t="s">
        <v>4455</v>
      </c>
      <c r="B5595" s="141">
        <v>4.8459787952623003E-4</v>
      </c>
      <c r="D5595" s="141"/>
    </row>
    <row r="5596" spans="1:4" x14ac:dyDescent="0.2">
      <c r="A5596" s="140" t="s">
        <v>3786</v>
      </c>
      <c r="B5596" s="141">
        <v>4.8438509169711002E-4</v>
      </c>
      <c r="D5596" s="141"/>
    </row>
    <row r="5597" spans="1:4" x14ac:dyDescent="0.2">
      <c r="A5597" s="140" t="s">
        <v>3107</v>
      </c>
      <c r="B5597" s="141">
        <v>4.8418718845660998E-4</v>
      </c>
      <c r="D5597" s="141"/>
    </row>
    <row r="5598" spans="1:4" x14ac:dyDescent="0.2">
      <c r="A5598" s="140" t="s">
        <v>4895</v>
      </c>
      <c r="B5598" s="141">
        <v>4.8361932922696998E-4</v>
      </c>
      <c r="D5598" s="141"/>
    </row>
    <row r="5599" spans="1:4" x14ac:dyDescent="0.2">
      <c r="A5599" s="140" t="s">
        <v>4866</v>
      </c>
      <c r="B5599" s="141">
        <v>4.8361932922696998E-4</v>
      </c>
      <c r="D5599" s="141"/>
    </row>
    <row r="5600" spans="1:4" x14ac:dyDescent="0.2">
      <c r="A5600" s="140" t="s">
        <v>4865</v>
      </c>
      <c r="B5600" s="141">
        <v>4.8361932922696998E-4</v>
      </c>
      <c r="D5600" s="141"/>
    </row>
    <row r="5601" spans="1:4" x14ac:dyDescent="0.2">
      <c r="A5601" s="140" t="s">
        <v>8406</v>
      </c>
      <c r="B5601" s="141">
        <v>4.8336973179676998E-4</v>
      </c>
      <c r="D5601" s="141"/>
    </row>
    <row r="5602" spans="1:4" x14ac:dyDescent="0.2">
      <c r="A5602" s="140" t="s">
        <v>5120</v>
      </c>
      <c r="B5602" s="141">
        <v>4.8268379060001999E-4</v>
      </c>
      <c r="D5602" s="141"/>
    </row>
    <row r="5603" spans="1:4" x14ac:dyDescent="0.2">
      <c r="A5603" s="140" t="s">
        <v>1740</v>
      </c>
      <c r="B5603" s="141">
        <v>4.8239381890912E-4</v>
      </c>
      <c r="D5603" s="141"/>
    </row>
    <row r="5604" spans="1:4" x14ac:dyDescent="0.2">
      <c r="A5604" s="140" t="s">
        <v>8407</v>
      </c>
      <c r="B5604" s="141">
        <v>4.8185394987888E-4</v>
      </c>
      <c r="D5604" s="141"/>
    </row>
    <row r="5605" spans="1:4" x14ac:dyDescent="0.2">
      <c r="A5605" s="140" t="s">
        <v>8408</v>
      </c>
      <c r="B5605" s="141">
        <v>4.8145839801799002E-4</v>
      </c>
      <c r="D5605" s="141"/>
    </row>
    <row r="5606" spans="1:4" x14ac:dyDescent="0.2">
      <c r="A5606" s="140" t="s">
        <v>2116</v>
      </c>
      <c r="B5606" s="141">
        <v>4.8094369422436003E-4</v>
      </c>
      <c r="D5606" s="141"/>
    </row>
    <row r="5607" spans="1:4" x14ac:dyDescent="0.2">
      <c r="A5607" s="140" t="s">
        <v>8409</v>
      </c>
      <c r="B5607" s="141">
        <v>4.8087866586377001E-4</v>
      </c>
      <c r="D5607" s="141"/>
    </row>
    <row r="5608" spans="1:4" x14ac:dyDescent="0.2">
      <c r="A5608" s="140" t="s">
        <v>4337</v>
      </c>
      <c r="B5608" s="141">
        <v>4.8067268837233003E-4</v>
      </c>
      <c r="D5608" s="141"/>
    </row>
    <row r="5609" spans="1:4" x14ac:dyDescent="0.2">
      <c r="A5609" s="140" t="s">
        <v>4424</v>
      </c>
      <c r="B5609" s="141">
        <v>4.8064130018559998E-4</v>
      </c>
      <c r="D5609" s="141"/>
    </row>
    <row r="5610" spans="1:4" x14ac:dyDescent="0.2">
      <c r="A5610" s="140" t="s">
        <v>8410</v>
      </c>
      <c r="B5610" s="141">
        <v>4.805940221993E-4</v>
      </c>
      <c r="D5610" s="141"/>
    </row>
    <row r="5611" spans="1:4" x14ac:dyDescent="0.2">
      <c r="A5611" s="140" t="s">
        <v>8411</v>
      </c>
      <c r="B5611" s="141">
        <v>4.7972010121509001E-4</v>
      </c>
      <c r="D5611" s="141"/>
    </row>
    <row r="5612" spans="1:4" x14ac:dyDescent="0.2">
      <c r="A5612" s="140" t="s">
        <v>8412</v>
      </c>
      <c r="B5612" s="141">
        <v>4.7959296623826999E-4</v>
      </c>
      <c r="D5612" s="141"/>
    </row>
    <row r="5613" spans="1:4" x14ac:dyDescent="0.2">
      <c r="A5613" s="140" t="s">
        <v>5007</v>
      </c>
      <c r="B5613" s="141">
        <v>4.7942926821298E-4</v>
      </c>
      <c r="D5613" s="141"/>
    </row>
    <row r="5614" spans="1:4" x14ac:dyDescent="0.2">
      <c r="A5614" s="140" t="s">
        <v>8413</v>
      </c>
      <c r="B5614" s="141">
        <v>4.7940486184722001E-4</v>
      </c>
      <c r="D5614" s="141"/>
    </row>
    <row r="5615" spans="1:4" x14ac:dyDescent="0.2">
      <c r="A5615" s="140" t="s">
        <v>6182</v>
      </c>
      <c r="B5615" s="141">
        <v>4.7924144165180003E-4</v>
      </c>
      <c r="D5615" s="141"/>
    </row>
    <row r="5616" spans="1:4" x14ac:dyDescent="0.2">
      <c r="A5616" s="140" t="s">
        <v>3417</v>
      </c>
      <c r="B5616" s="141">
        <v>4.7910470587317003E-4</v>
      </c>
      <c r="D5616" s="141"/>
    </row>
    <row r="5617" spans="1:4" x14ac:dyDescent="0.2">
      <c r="A5617" s="140" t="s">
        <v>4475</v>
      </c>
      <c r="B5617" s="141">
        <v>4.7822499095651001E-4</v>
      </c>
      <c r="D5617" s="141"/>
    </row>
    <row r="5618" spans="1:4" x14ac:dyDescent="0.2">
      <c r="A5618" s="140" t="s">
        <v>8414</v>
      </c>
      <c r="B5618" s="141">
        <v>4.7793475859668E-4</v>
      </c>
      <c r="D5618" s="141"/>
    </row>
    <row r="5619" spans="1:4" x14ac:dyDescent="0.2">
      <c r="A5619" s="140" t="s">
        <v>3529</v>
      </c>
      <c r="B5619" s="141">
        <v>4.7788486892522001E-4</v>
      </c>
      <c r="D5619" s="141"/>
    </row>
    <row r="5620" spans="1:4" x14ac:dyDescent="0.2">
      <c r="A5620" s="140" t="s">
        <v>2566</v>
      </c>
      <c r="B5620" s="141">
        <v>4.7741666665547999E-4</v>
      </c>
      <c r="D5620" s="141"/>
    </row>
    <row r="5621" spans="1:4" x14ac:dyDescent="0.2">
      <c r="A5621" s="140" t="s">
        <v>2307</v>
      </c>
      <c r="B5621" s="141">
        <v>4.7738211367986998E-4</v>
      </c>
      <c r="D5621" s="141"/>
    </row>
    <row r="5622" spans="1:4" x14ac:dyDescent="0.2">
      <c r="A5622" s="140" t="s">
        <v>722</v>
      </c>
      <c r="B5622" s="141">
        <v>4.7736502282310001E-4</v>
      </c>
      <c r="D5622" s="141"/>
    </row>
    <row r="5623" spans="1:4" x14ac:dyDescent="0.2">
      <c r="A5623" s="140" t="s">
        <v>1600</v>
      </c>
      <c r="B5623" s="141">
        <v>4.7704289671491999E-4</v>
      </c>
      <c r="D5623" s="141"/>
    </row>
    <row r="5624" spans="1:4" x14ac:dyDescent="0.2">
      <c r="A5624" s="140" t="s">
        <v>1837</v>
      </c>
      <c r="B5624" s="141">
        <v>4.7701507443044001E-4</v>
      </c>
      <c r="D5624" s="141"/>
    </row>
    <row r="5625" spans="1:4" x14ac:dyDescent="0.2">
      <c r="A5625" s="140" t="s">
        <v>5763</v>
      </c>
      <c r="B5625" s="141">
        <v>4.7612657611446999E-4</v>
      </c>
      <c r="D5625" s="141"/>
    </row>
    <row r="5626" spans="1:4" x14ac:dyDescent="0.2">
      <c r="A5626" s="140" t="s">
        <v>3688</v>
      </c>
      <c r="B5626" s="141">
        <v>4.7601823295748E-4</v>
      </c>
      <c r="D5626" s="141"/>
    </row>
    <row r="5627" spans="1:4" x14ac:dyDescent="0.2">
      <c r="A5627" s="140" t="s">
        <v>8415</v>
      </c>
      <c r="B5627" s="141">
        <v>4.7598656839687998E-4</v>
      </c>
      <c r="D5627" s="141"/>
    </row>
    <row r="5628" spans="1:4" x14ac:dyDescent="0.2">
      <c r="A5628" s="140" t="s">
        <v>5111</v>
      </c>
      <c r="B5628" s="141">
        <v>4.7584168135891998E-4</v>
      </c>
      <c r="D5628" s="141"/>
    </row>
    <row r="5629" spans="1:4" x14ac:dyDescent="0.2">
      <c r="A5629" s="140" t="s">
        <v>2351</v>
      </c>
      <c r="B5629" s="141">
        <v>4.7574552474875001E-4</v>
      </c>
      <c r="D5629" s="141"/>
    </row>
    <row r="5630" spans="1:4" x14ac:dyDescent="0.2">
      <c r="A5630" s="140" t="s">
        <v>386</v>
      </c>
      <c r="B5630" s="141">
        <v>4.7563465931158E-4</v>
      </c>
      <c r="D5630" s="141"/>
    </row>
    <row r="5631" spans="1:4" x14ac:dyDescent="0.2">
      <c r="A5631" s="140" t="s">
        <v>1123</v>
      </c>
      <c r="B5631" s="141">
        <v>4.736690354703E-4</v>
      </c>
      <c r="D5631" s="141"/>
    </row>
    <row r="5632" spans="1:4" x14ac:dyDescent="0.2">
      <c r="A5632" s="140" t="s">
        <v>2047</v>
      </c>
      <c r="B5632" s="141">
        <v>4.7327082059244E-4</v>
      </c>
      <c r="D5632" s="141"/>
    </row>
    <row r="5633" spans="1:4" x14ac:dyDescent="0.2">
      <c r="A5633" s="140" t="s">
        <v>8416</v>
      </c>
      <c r="B5633" s="141">
        <v>4.7290481116208998E-4</v>
      </c>
      <c r="D5633" s="141"/>
    </row>
    <row r="5634" spans="1:4" x14ac:dyDescent="0.2">
      <c r="A5634" s="140" t="s">
        <v>1622</v>
      </c>
      <c r="B5634" s="141">
        <v>4.7230565429798999E-4</v>
      </c>
      <c r="D5634" s="141"/>
    </row>
    <row r="5635" spans="1:4" x14ac:dyDescent="0.2">
      <c r="A5635" s="140" t="s">
        <v>8417</v>
      </c>
      <c r="B5635" s="141">
        <v>4.7218724098141001E-4</v>
      </c>
      <c r="D5635" s="141"/>
    </row>
    <row r="5636" spans="1:4" x14ac:dyDescent="0.2">
      <c r="A5636" s="140" t="s">
        <v>3630</v>
      </c>
      <c r="B5636" s="141">
        <v>4.7207158649018998E-4</v>
      </c>
      <c r="D5636" s="141"/>
    </row>
    <row r="5637" spans="1:4" x14ac:dyDescent="0.2">
      <c r="A5637" s="140" t="s">
        <v>8418</v>
      </c>
      <c r="B5637" s="141">
        <v>4.7189411838529001E-4</v>
      </c>
      <c r="D5637" s="141"/>
    </row>
    <row r="5638" spans="1:4" x14ac:dyDescent="0.2">
      <c r="A5638" s="140" t="s">
        <v>5592</v>
      </c>
      <c r="B5638" s="141">
        <v>4.7158977566181002E-4</v>
      </c>
      <c r="D5638" s="141"/>
    </row>
    <row r="5639" spans="1:4" x14ac:dyDescent="0.2">
      <c r="A5639" s="140" t="s">
        <v>1333</v>
      </c>
      <c r="B5639" s="141">
        <v>4.7089142480096001E-4</v>
      </c>
      <c r="D5639" s="141"/>
    </row>
    <row r="5640" spans="1:4" x14ac:dyDescent="0.2">
      <c r="A5640" s="140" t="s">
        <v>6145</v>
      </c>
      <c r="B5640" s="141">
        <v>4.7088542742883E-4</v>
      </c>
      <c r="D5640" s="141"/>
    </row>
    <row r="5641" spans="1:4" x14ac:dyDescent="0.2">
      <c r="A5641" s="140" t="s">
        <v>1240</v>
      </c>
      <c r="B5641" s="141">
        <v>4.7076448283781003E-4</v>
      </c>
      <c r="D5641" s="141"/>
    </row>
    <row r="5642" spans="1:4" x14ac:dyDescent="0.2">
      <c r="A5642" s="140" t="s">
        <v>2386</v>
      </c>
      <c r="B5642" s="141">
        <v>4.7046756586750001E-4</v>
      </c>
      <c r="D5642" s="141"/>
    </row>
    <row r="5643" spans="1:4" x14ac:dyDescent="0.2">
      <c r="A5643" s="140" t="s">
        <v>4025</v>
      </c>
      <c r="B5643" s="141">
        <v>4.6976239367105998E-4</v>
      </c>
      <c r="D5643" s="141"/>
    </row>
    <row r="5644" spans="1:4" x14ac:dyDescent="0.2">
      <c r="A5644" s="140" t="s">
        <v>1130</v>
      </c>
      <c r="B5644" s="141">
        <v>4.6930549783179E-4</v>
      </c>
      <c r="D5644" s="141"/>
    </row>
    <row r="5645" spans="1:4" x14ac:dyDescent="0.2">
      <c r="A5645" s="140" t="s">
        <v>2444</v>
      </c>
      <c r="B5645" s="141">
        <v>4.6908315482265E-4</v>
      </c>
      <c r="D5645" s="141"/>
    </row>
    <row r="5646" spans="1:4" x14ac:dyDescent="0.2">
      <c r="A5646" s="140" t="s">
        <v>5125</v>
      </c>
      <c r="B5646" s="141">
        <v>4.6901532452096E-4</v>
      </c>
      <c r="D5646" s="141"/>
    </row>
    <row r="5647" spans="1:4" x14ac:dyDescent="0.2">
      <c r="A5647" s="140" t="s">
        <v>2953</v>
      </c>
      <c r="B5647" s="141">
        <v>4.6845731539263999E-4</v>
      </c>
      <c r="D5647" s="141"/>
    </row>
    <row r="5648" spans="1:4" x14ac:dyDescent="0.2">
      <c r="A5648" s="140" t="s">
        <v>8419</v>
      </c>
      <c r="B5648" s="141">
        <v>4.6815554733284999E-4</v>
      </c>
      <c r="D5648" s="141"/>
    </row>
    <row r="5649" spans="1:4" x14ac:dyDescent="0.2">
      <c r="A5649" s="140" t="s">
        <v>3578</v>
      </c>
      <c r="B5649" s="141">
        <v>4.6787880052634001E-4</v>
      </c>
      <c r="D5649" s="141"/>
    </row>
    <row r="5650" spans="1:4" x14ac:dyDescent="0.2">
      <c r="A5650" s="140" t="s">
        <v>1186</v>
      </c>
      <c r="B5650" s="141">
        <v>4.6785352482839001E-4</v>
      </c>
      <c r="D5650" s="141"/>
    </row>
    <row r="5651" spans="1:4" x14ac:dyDescent="0.2">
      <c r="A5651" s="140" t="s">
        <v>2832</v>
      </c>
      <c r="B5651" s="141">
        <v>4.6777341872704002E-4</v>
      </c>
      <c r="D5651" s="141"/>
    </row>
    <row r="5652" spans="1:4" x14ac:dyDescent="0.2">
      <c r="A5652" s="140" t="s">
        <v>2504</v>
      </c>
      <c r="B5652" s="141">
        <v>4.6699318790821998E-4</v>
      </c>
      <c r="D5652" s="141"/>
    </row>
    <row r="5653" spans="1:4" x14ac:dyDescent="0.2">
      <c r="A5653" s="140" t="s">
        <v>8420</v>
      </c>
      <c r="B5653" s="141">
        <v>4.6681200922803E-4</v>
      </c>
      <c r="D5653" s="141"/>
    </row>
    <row r="5654" spans="1:4" x14ac:dyDescent="0.2">
      <c r="A5654" s="140" t="s">
        <v>4848</v>
      </c>
      <c r="B5654" s="141">
        <v>4.6629377981975001E-4</v>
      </c>
      <c r="D5654" s="141"/>
    </row>
    <row r="5655" spans="1:4" x14ac:dyDescent="0.2">
      <c r="A5655" s="140" t="s">
        <v>1371</v>
      </c>
      <c r="B5655" s="141">
        <v>4.6620625983068999E-4</v>
      </c>
      <c r="D5655" s="141"/>
    </row>
    <row r="5656" spans="1:4" x14ac:dyDescent="0.2">
      <c r="A5656" s="140" t="s">
        <v>3512</v>
      </c>
      <c r="B5656" s="141">
        <v>4.6597357032297998E-4</v>
      </c>
      <c r="D5656" s="141"/>
    </row>
    <row r="5657" spans="1:4" x14ac:dyDescent="0.2">
      <c r="A5657" s="140" t="s">
        <v>8421</v>
      </c>
      <c r="B5657" s="141">
        <v>4.6586033103328001E-4</v>
      </c>
      <c r="D5657" s="141"/>
    </row>
    <row r="5658" spans="1:4" x14ac:dyDescent="0.2">
      <c r="A5658" s="140" t="s">
        <v>896</v>
      </c>
      <c r="B5658" s="141">
        <v>4.6553221467705001E-4</v>
      </c>
      <c r="D5658" s="141"/>
    </row>
    <row r="5659" spans="1:4" x14ac:dyDescent="0.2">
      <c r="A5659" s="140" t="s">
        <v>4401</v>
      </c>
      <c r="B5659" s="141">
        <v>4.6476476143117999E-4</v>
      </c>
      <c r="D5659" s="141"/>
    </row>
    <row r="5660" spans="1:4" x14ac:dyDescent="0.2">
      <c r="A5660" s="140" t="s">
        <v>8422</v>
      </c>
      <c r="B5660" s="141">
        <v>4.6453898620534001E-4</v>
      </c>
      <c r="D5660" s="141"/>
    </row>
    <row r="5661" spans="1:4" x14ac:dyDescent="0.2">
      <c r="A5661" s="140" t="s">
        <v>2719</v>
      </c>
      <c r="B5661" s="141">
        <v>4.6348751727297999E-4</v>
      </c>
      <c r="D5661" s="141"/>
    </row>
    <row r="5662" spans="1:4" x14ac:dyDescent="0.2">
      <c r="A5662" s="140" t="s">
        <v>390</v>
      </c>
      <c r="B5662" s="141">
        <v>4.6332062441163002E-4</v>
      </c>
      <c r="D5662" s="141"/>
    </row>
    <row r="5663" spans="1:4" x14ac:dyDescent="0.2">
      <c r="A5663" s="140" t="s">
        <v>5154</v>
      </c>
      <c r="B5663" s="141">
        <v>4.6265284969170998E-4</v>
      </c>
      <c r="D5663" s="141"/>
    </row>
    <row r="5664" spans="1:4" x14ac:dyDescent="0.2">
      <c r="A5664" s="140" t="s">
        <v>3005</v>
      </c>
      <c r="B5664" s="141">
        <v>4.6242263274050001E-4</v>
      </c>
      <c r="D5664" s="141"/>
    </row>
    <row r="5665" spans="1:4" x14ac:dyDescent="0.2">
      <c r="A5665" s="140" t="s">
        <v>2813</v>
      </c>
      <c r="B5665" s="141">
        <v>4.6221296358794E-4</v>
      </c>
      <c r="D5665" s="141"/>
    </row>
    <row r="5666" spans="1:4" x14ac:dyDescent="0.2">
      <c r="A5666" s="140" t="s">
        <v>2771</v>
      </c>
      <c r="B5666" s="141">
        <v>4.6108908419723E-4</v>
      </c>
      <c r="D5666" s="141"/>
    </row>
    <row r="5667" spans="1:4" x14ac:dyDescent="0.2">
      <c r="A5667" s="140" t="s">
        <v>5237</v>
      </c>
      <c r="B5667" s="141">
        <v>4.6024462896074E-4</v>
      </c>
      <c r="D5667" s="141"/>
    </row>
    <row r="5668" spans="1:4" x14ac:dyDescent="0.2">
      <c r="A5668" s="140" t="s">
        <v>4444</v>
      </c>
      <c r="B5668" s="141">
        <v>4.5997054624748998E-4</v>
      </c>
      <c r="D5668" s="141"/>
    </row>
    <row r="5669" spans="1:4" x14ac:dyDescent="0.2">
      <c r="A5669" s="140" t="s">
        <v>2818</v>
      </c>
      <c r="B5669" s="141">
        <v>4.5974608414774002E-4</v>
      </c>
      <c r="D5669" s="141"/>
    </row>
    <row r="5670" spans="1:4" x14ac:dyDescent="0.2">
      <c r="A5670" s="140" t="s">
        <v>8423</v>
      </c>
      <c r="B5670" s="141">
        <v>4.5943217405109999E-4</v>
      </c>
      <c r="D5670" s="141"/>
    </row>
    <row r="5671" spans="1:4" x14ac:dyDescent="0.2">
      <c r="A5671" s="140" t="s">
        <v>8424</v>
      </c>
      <c r="B5671" s="141">
        <v>4.5843968758061998E-4</v>
      </c>
      <c r="D5671" s="141"/>
    </row>
    <row r="5672" spans="1:4" x14ac:dyDescent="0.2">
      <c r="A5672" s="140" t="s">
        <v>3286</v>
      </c>
      <c r="B5672" s="141">
        <v>4.5843074467365999E-4</v>
      </c>
      <c r="D5672" s="141"/>
    </row>
    <row r="5673" spans="1:4" x14ac:dyDescent="0.2">
      <c r="A5673" s="140" t="s">
        <v>4172</v>
      </c>
      <c r="B5673" s="141">
        <v>4.5812743491774002E-4</v>
      </c>
      <c r="D5673" s="141"/>
    </row>
    <row r="5674" spans="1:4" x14ac:dyDescent="0.2">
      <c r="A5674" s="140" t="s">
        <v>5518</v>
      </c>
      <c r="B5674" s="141">
        <v>4.5718846113108999E-4</v>
      </c>
      <c r="D5674" s="141"/>
    </row>
    <row r="5675" spans="1:4" x14ac:dyDescent="0.2">
      <c r="A5675" s="140" t="s">
        <v>6138</v>
      </c>
      <c r="B5675" s="141">
        <v>4.5608278312150001E-4</v>
      </c>
      <c r="D5675" s="141"/>
    </row>
    <row r="5676" spans="1:4" x14ac:dyDescent="0.2">
      <c r="A5676" s="140" t="s">
        <v>5873</v>
      </c>
      <c r="B5676" s="141">
        <v>4.5597449373225001E-4</v>
      </c>
      <c r="D5676" s="141"/>
    </row>
    <row r="5677" spans="1:4" x14ac:dyDescent="0.2">
      <c r="A5677" s="140" t="s">
        <v>3989</v>
      </c>
      <c r="B5677" s="141">
        <v>4.5574755533751003E-4</v>
      </c>
      <c r="D5677" s="141"/>
    </row>
    <row r="5678" spans="1:4" x14ac:dyDescent="0.2">
      <c r="A5678" s="140" t="s">
        <v>5042</v>
      </c>
      <c r="B5678" s="141">
        <v>4.5560285867907001E-4</v>
      </c>
      <c r="D5678" s="141"/>
    </row>
    <row r="5679" spans="1:4" x14ac:dyDescent="0.2">
      <c r="A5679" s="140" t="s">
        <v>8425</v>
      </c>
      <c r="B5679" s="141">
        <v>4.5546496032371003E-4</v>
      </c>
      <c r="D5679" s="141"/>
    </row>
    <row r="5680" spans="1:4" x14ac:dyDescent="0.2">
      <c r="A5680" s="140" t="s">
        <v>6133</v>
      </c>
      <c r="B5680" s="141">
        <v>4.5544309653811001E-4</v>
      </c>
      <c r="D5680" s="141"/>
    </row>
    <row r="5681" spans="1:4" x14ac:dyDescent="0.2">
      <c r="A5681" s="140" t="s">
        <v>8426</v>
      </c>
      <c r="B5681" s="141">
        <v>4.5430893936652001E-4</v>
      </c>
      <c r="D5681" s="141"/>
    </row>
    <row r="5682" spans="1:4" x14ac:dyDescent="0.2">
      <c r="A5682" s="140" t="s">
        <v>8427</v>
      </c>
      <c r="B5682" s="141">
        <v>4.5409314054606001E-4</v>
      </c>
      <c r="D5682" s="141"/>
    </row>
    <row r="5683" spans="1:4" x14ac:dyDescent="0.2">
      <c r="A5683" s="140" t="s">
        <v>578</v>
      </c>
      <c r="B5683" s="141">
        <v>4.5349247007250002E-4</v>
      </c>
      <c r="D5683" s="141"/>
    </row>
    <row r="5684" spans="1:4" x14ac:dyDescent="0.2">
      <c r="A5684" s="140" t="s">
        <v>718</v>
      </c>
      <c r="B5684" s="141">
        <v>4.5328373006994999E-4</v>
      </c>
      <c r="D5684" s="141"/>
    </row>
    <row r="5685" spans="1:4" x14ac:dyDescent="0.2">
      <c r="A5685" s="140" t="s">
        <v>8428</v>
      </c>
      <c r="B5685" s="141">
        <v>4.5314057410808002E-4</v>
      </c>
      <c r="D5685" s="141"/>
    </row>
    <row r="5686" spans="1:4" x14ac:dyDescent="0.2">
      <c r="A5686" s="140" t="s">
        <v>5000</v>
      </c>
      <c r="B5686" s="141">
        <v>4.5287514562605E-4</v>
      </c>
      <c r="D5686" s="141"/>
    </row>
    <row r="5687" spans="1:4" x14ac:dyDescent="0.2">
      <c r="A5687" s="140" t="s">
        <v>8429</v>
      </c>
      <c r="B5687" s="141">
        <v>4.5279181365344998E-4</v>
      </c>
      <c r="D5687" s="141"/>
    </row>
    <row r="5688" spans="1:4" x14ac:dyDescent="0.2">
      <c r="A5688" s="140" t="s">
        <v>1969</v>
      </c>
      <c r="B5688" s="141">
        <v>4.5136162373087002E-4</v>
      </c>
      <c r="D5688" s="141"/>
    </row>
    <row r="5689" spans="1:4" x14ac:dyDescent="0.2">
      <c r="A5689" s="140" t="s">
        <v>5296</v>
      </c>
      <c r="B5689" s="141">
        <v>4.5133883508231999E-4</v>
      </c>
      <c r="D5689" s="141"/>
    </row>
    <row r="5690" spans="1:4" x14ac:dyDescent="0.2">
      <c r="A5690" s="140" t="s">
        <v>5077</v>
      </c>
      <c r="B5690" s="141">
        <v>4.4957850750264002E-4</v>
      </c>
      <c r="D5690" s="141"/>
    </row>
    <row r="5691" spans="1:4" x14ac:dyDescent="0.2">
      <c r="A5691" s="140" t="s">
        <v>6186</v>
      </c>
      <c r="B5691" s="141">
        <v>4.4919932831914998E-4</v>
      </c>
      <c r="D5691" s="141"/>
    </row>
    <row r="5692" spans="1:4" x14ac:dyDescent="0.2">
      <c r="A5692" s="140" t="s">
        <v>8430</v>
      </c>
      <c r="B5692" s="141">
        <v>4.4897178833428999E-4</v>
      </c>
      <c r="D5692" s="141"/>
    </row>
    <row r="5693" spans="1:4" x14ac:dyDescent="0.2">
      <c r="A5693" s="140" t="s">
        <v>3833</v>
      </c>
      <c r="B5693" s="141">
        <v>4.4893947230181E-4</v>
      </c>
      <c r="D5693" s="141"/>
    </row>
    <row r="5694" spans="1:4" x14ac:dyDescent="0.2">
      <c r="A5694" s="140" t="s">
        <v>6091</v>
      </c>
      <c r="B5694" s="141">
        <v>4.4867529864142002E-4</v>
      </c>
      <c r="D5694" s="141"/>
    </row>
    <row r="5695" spans="1:4" x14ac:dyDescent="0.2">
      <c r="A5695" s="140" t="s">
        <v>3101</v>
      </c>
      <c r="B5695" s="141">
        <v>4.4857289527066002E-4</v>
      </c>
      <c r="D5695" s="141"/>
    </row>
    <row r="5696" spans="1:4" x14ac:dyDescent="0.2">
      <c r="A5696" s="140" t="s">
        <v>3467</v>
      </c>
      <c r="B5696" s="141">
        <v>4.4855049170561002E-4</v>
      </c>
      <c r="D5696" s="141"/>
    </row>
    <row r="5697" spans="1:4" x14ac:dyDescent="0.2">
      <c r="A5697" s="140" t="s">
        <v>3008</v>
      </c>
      <c r="B5697" s="141">
        <v>4.4843268339983002E-4</v>
      </c>
      <c r="D5697" s="141"/>
    </row>
    <row r="5698" spans="1:4" x14ac:dyDescent="0.2">
      <c r="A5698" s="140" t="s">
        <v>8431</v>
      </c>
      <c r="B5698" s="141">
        <v>4.4806653106199999E-4</v>
      </c>
      <c r="D5698" s="141"/>
    </row>
    <row r="5699" spans="1:4" x14ac:dyDescent="0.2">
      <c r="A5699" s="140" t="s">
        <v>3112</v>
      </c>
      <c r="B5699" s="141">
        <v>4.4756768290295999E-4</v>
      </c>
      <c r="D5699" s="141"/>
    </row>
    <row r="5700" spans="1:4" x14ac:dyDescent="0.2">
      <c r="A5700" s="140" t="s">
        <v>8432</v>
      </c>
      <c r="B5700" s="141">
        <v>4.4755219312522001E-4</v>
      </c>
      <c r="D5700" s="141"/>
    </row>
    <row r="5701" spans="1:4" x14ac:dyDescent="0.2">
      <c r="A5701" s="140" t="s">
        <v>4614</v>
      </c>
      <c r="B5701" s="141">
        <v>4.4714417792878999E-4</v>
      </c>
      <c r="D5701" s="141"/>
    </row>
    <row r="5702" spans="1:4" x14ac:dyDescent="0.2">
      <c r="A5702" s="140" t="s">
        <v>1726</v>
      </c>
      <c r="B5702" s="141">
        <v>4.4588643862404002E-4</v>
      </c>
      <c r="D5702" s="141"/>
    </row>
    <row r="5703" spans="1:4" x14ac:dyDescent="0.2">
      <c r="A5703" s="140" t="s">
        <v>8433</v>
      </c>
      <c r="B5703" s="141">
        <v>4.4573023237888E-4</v>
      </c>
      <c r="D5703" s="141"/>
    </row>
    <row r="5704" spans="1:4" x14ac:dyDescent="0.2">
      <c r="A5704" s="140" t="s">
        <v>8434</v>
      </c>
      <c r="B5704" s="141">
        <v>4.4573023237888E-4</v>
      </c>
      <c r="D5704" s="141"/>
    </row>
    <row r="5705" spans="1:4" x14ac:dyDescent="0.2">
      <c r="A5705" s="140" t="s">
        <v>8435</v>
      </c>
      <c r="B5705" s="141">
        <v>4.4573023237888E-4</v>
      </c>
      <c r="D5705" s="141"/>
    </row>
    <row r="5706" spans="1:4" x14ac:dyDescent="0.2">
      <c r="A5706" s="140" t="s">
        <v>3338</v>
      </c>
      <c r="B5706" s="141">
        <v>4.4573023237888E-4</v>
      </c>
      <c r="D5706" s="141"/>
    </row>
    <row r="5707" spans="1:4" x14ac:dyDescent="0.2">
      <c r="A5707" s="140" t="s">
        <v>8436</v>
      </c>
      <c r="B5707" s="141">
        <v>4.4501165287980001E-4</v>
      </c>
      <c r="D5707" s="141"/>
    </row>
    <row r="5708" spans="1:4" x14ac:dyDescent="0.2">
      <c r="A5708" s="140" t="s">
        <v>2457</v>
      </c>
      <c r="B5708" s="141">
        <v>4.4439566773717999E-4</v>
      </c>
      <c r="D5708" s="141"/>
    </row>
    <row r="5709" spans="1:4" x14ac:dyDescent="0.2">
      <c r="A5709" s="140" t="s">
        <v>2353</v>
      </c>
      <c r="B5709" s="141">
        <v>4.4372768408896E-4</v>
      </c>
      <c r="D5709" s="141"/>
    </row>
    <row r="5710" spans="1:4" x14ac:dyDescent="0.2">
      <c r="A5710" s="140" t="s">
        <v>842</v>
      </c>
      <c r="B5710" s="141">
        <v>4.4318341007786E-4</v>
      </c>
      <c r="D5710" s="141"/>
    </row>
    <row r="5711" spans="1:4" x14ac:dyDescent="0.2">
      <c r="A5711" s="140" t="s">
        <v>5373</v>
      </c>
      <c r="B5711" s="141">
        <v>4.4301654521187002E-4</v>
      </c>
      <c r="D5711" s="141"/>
    </row>
    <row r="5712" spans="1:4" x14ac:dyDescent="0.2">
      <c r="A5712" s="140" t="s">
        <v>8437</v>
      </c>
      <c r="B5712" s="141">
        <v>4.4263579630369001E-4</v>
      </c>
      <c r="D5712" s="141"/>
    </row>
    <row r="5713" spans="1:4" x14ac:dyDescent="0.2">
      <c r="A5713" s="140" t="s">
        <v>4096</v>
      </c>
      <c r="B5713" s="141">
        <v>4.4183937972545997E-4</v>
      </c>
      <c r="D5713" s="141"/>
    </row>
    <row r="5714" spans="1:4" x14ac:dyDescent="0.2">
      <c r="A5714" s="140" t="s">
        <v>857</v>
      </c>
      <c r="B5714" s="141">
        <v>4.4166924336890001E-4</v>
      </c>
      <c r="D5714" s="141"/>
    </row>
    <row r="5715" spans="1:4" x14ac:dyDescent="0.2">
      <c r="A5715" s="140" t="s">
        <v>4831</v>
      </c>
      <c r="B5715" s="141">
        <v>4.4129839507849999E-4</v>
      </c>
      <c r="D5715" s="141"/>
    </row>
    <row r="5716" spans="1:4" x14ac:dyDescent="0.2">
      <c r="A5716" s="140" t="s">
        <v>4116</v>
      </c>
      <c r="B5716" s="141">
        <v>4.4122365690046997E-4</v>
      </c>
      <c r="D5716" s="141"/>
    </row>
    <row r="5717" spans="1:4" x14ac:dyDescent="0.2">
      <c r="A5717" s="140" t="s">
        <v>728</v>
      </c>
      <c r="B5717" s="141">
        <v>4.4086618370461E-4</v>
      </c>
      <c r="D5717" s="141"/>
    </row>
    <row r="5718" spans="1:4" x14ac:dyDescent="0.2">
      <c r="A5718" s="140" t="s">
        <v>8438</v>
      </c>
      <c r="B5718" s="141">
        <v>4.4085361584987999E-4</v>
      </c>
      <c r="D5718" s="141"/>
    </row>
    <row r="5719" spans="1:4" x14ac:dyDescent="0.2">
      <c r="A5719" s="140" t="s">
        <v>4231</v>
      </c>
      <c r="B5719" s="141">
        <v>4.4064316846375998E-4</v>
      </c>
      <c r="D5719" s="141"/>
    </row>
    <row r="5720" spans="1:4" x14ac:dyDescent="0.2">
      <c r="A5720" s="140" t="s">
        <v>5259</v>
      </c>
      <c r="B5720" s="141">
        <v>4.4040889143447001E-4</v>
      </c>
      <c r="D5720" s="141"/>
    </row>
    <row r="5721" spans="1:4" x14ac:dyDescent="0.2">
      <c r="A5721" s="140" t="s">
        <v>2085</v>
      </c>
      <c r="B5721" s="141">
        <v>4.4010498319825998E-4</v>
      </c>
      <c r="D5721" s="141"/>
    </row>
    <row r="5722" spans="1:4" x14ac:dyDescent="0.2">
      <c r="A5722" s="140" t="s">
        <v>1191</v>
      </c>
      <c r="B5722" s="141">
        <v>4.3991094106347E-4</v>
      </c>
      <c r="D5722" s="141"/>
    </row>
    <row r="5723" spans="1:4" x14ac:dyDescent="0.2">
      <c r="A5723" s="140" t="s">
        <v>5656</v>
      </c>
      <c r="B5723" s="141">
        <v>4.3894369122897999E-4</v>
      </c>
      <c r="D5723" s="141"/>
    </row>
    <row r="5724" spans="1:4" x14ac:dyDescent="0.2">
      <c r="A5724" s="140" t="s">
        <v>5524</v>
      </c>
      <c r="B5724" s="141">
        <v>4.3838919077323002E-4</v>
      </c>
      <c r="D5724" s="141"/>
    </row>
    <row r="5725" spans="1:4" x14ac:dyDescent="0.2">
      <c r="A5725" s="140" t="s">
        <v>6250</v>
      </c>
      <c r="B5725" s="141">
        <v>4.3831322382566001E-4</v>
      </c>
      <c r="D5725" s="141"/>
    </row>
    <row r="5726" spans="1:4" x14ac:dyDescent="0.2">
      <c r="A5726" s="140" t="s">
        <v>2310</v>
      </c>
      <c r="B5726" s="141">
        <v>4.3797104021575997E-4</v>
      </c>
      <c r="D5726" s="141"/>
    </row>
    <row r="5727" spans="1:4" x14ac:dyDescent="0.2">
      <c r="A5727" s="140" t="s">
        <v>3062</v>
      </c>
      <c r="B5727" s="141">
        <v>4.3726829763316002E-4</v>
      </c>
      <c r="D5727" s="141"/>
    </row>
    <row r="5728" spans="1:4" x14ac:dyDescent="0.2">
      <c r="A5728" s="140" t="s">
        <v>1710</v>
      </c>
      <c r="B5728" s="141">
        <v>4.3725947202107003E-4</v>
      </c>
      <c r="D5728" s="141"/>
    </row>
    <row r="5729" spans="1:4" x14ac:dyDescent="0.2">
      <c r="A5729" s="140" t="s">
        <v>1708</v>
      </c>
      <c r="B5729" s="141">
        <v>4.3725947202107003E-4</v>
      </c>
      <c r="D5729" s="141"/>
    </row>
    <row r="5730" spans="1:4" x14ac:dyDescent="0.2">
      <c r="A5730" s="140" t="s">
        <v>5377</v>
      </c>
      <c r="B5730" s="141">
        <v>4.3725947202107003E-4</v>
      </c>
      <c r="D5730" s="141"/>
    </row>
    <row r="5731" spans="1:4" x14ac:dyDescent="0.2">
      <c r="A5731" s="140" t="s">
        <v>1658</v>
      </c>
      <c r="B5731" s="141">
        <v>4.3725947202107003E-4</v>
      </c>
      <c r="D5731" s="141"/>
    </row>
    <row r="5732" spans="1:4" x14ac:dyDescent="0.2">
      <c r="A5732" s="140" t="s">
        <v>1719</v>
      </c>
      <c r="B5732" s="141">
        <v>4.3725947202107003E-4</v>
      </c>
      <c r="D5732" s="141"/>
    </row>
    <row r="5733" spans="1:4" x14ac:dyDescent="0.2">
      <c r="A5733" s="140" t="s">
        <v>1701</v>
      </c>
      <c r="B5733" s="141">
        <v>4.3725947202107003E-4</v>
      </c>
      <c r="D5733" s="141"/>
    </row>
    <row r="5734" spans="1:4" x14ac:dyDescent="0.2">
      <c r="A5734" s="140" t="s">
        <v>3806</v>
      </c>
      <c r="B5734" s="141">
        <v>4.3707317275833998E-4</v>
      </c>
      <c r="D5734" s="141"/>
    </row>
    <row r="5735" spans="1:4" x14ac:dyDescent="0.2">
      <c r="A5735" s="140" t="s">
        <v>8439</v>
      </c>
      <c r="B5735" s="141">
        <v>4.3691952921886998E-4</v>
      </c>
      <c r="D5735" s="141"/>
    </row>
    <row r="5736" spans="1:4" x14ac:dyDescent="0.2">
      <c r="A5736" s="140" t="s">
        <v>2871</v>
      </c>
      <c r="B5736" s="141">
        <v>4.3677020948119E-4</v>
      </c>
      <c r="D5736" s="141"/>
    </row>
    <row r="5737" spans="1:4" x14ac:dyDescent="0.2">
      <c r="A5737" s="140" t="s">
        <v>1157</v>
      </c>
      <c r="B5737" s="141">
        <v>4.3661289344197E-4</v>
      </c>
      <c r="D5737" s="141"/>
    </row>
    <row r="5738" spans="1:4" x14ac:dyDescent="0.2">
      <c r="A5738" s="140" t="s">
        <v>1338</v>
      </c>
      <c r="B5738" s="141">
        <v>4.3553940410578001E-4</v>
      </c>
      <c r="D5738" s="141"/>
    </row>
    <row r="5739" spans="1:4" x14ac:dyDescent="0.2">
      <c r="A5739" s="140" t="s">
        <v>5306</v>
      </c>
      <c r="B5739" s="141">
        <v>4.3468842841175998E-4</v>
      </c>
      <c r="D5739" s="141"/>
    </row>
    <row r="5740" spans="1:4" x14ac:dyDescent="0.2">
      <c r="A5740" s="140" t="s">
        <v>3851</v>
      </c>
      <c r="B5740" s="141">
        <v>4.3407521385242998E-4</v>
      </c>
      <c r="D5740" s="141"/>
    </row>
    <row r="5741" spans="1:4" x14ac:dyDescent="0.2">
      <c r="A5741" s="140" t="s">
        <v>2885</v>
      </c>
      <c r="B5741" s="141">
        <v>4.3383393759087002E-4</v>
      </c>
      <c r="D5741" s="141"/>
    </row>
    <row r="5742" spans="1:4" x14ac:dyDescent="0.2">
      <c r="A5742" s="140" t="s">
        <v>3867</v>
      </c>
      <c r="B5742" s="141">
        <v>4.3352206126498998E-4</v>
      </c>
      <c r="D5742" s="141"/>
    </row>
    <row r="5743" spans="1:4" x14ac:dyDescent="0.2">
      <c r="A5743" s="140" t="s">
        <v>8440</v>
      </c>
      <c r="B5743" s="141">
        <v>4.3308571303102999E-4</v>
      </c>
      <c r="D5743" s="141"/>
    </row>
    <row r="5744" spans="1:4" x14ac:dyDescent="0.2">
      <c r="A5744" s="140" t="s">
        <v>5507</v>
      </c>
      <c r="B5744" s="141">
        <v>4.3245341962629998E-4</v>
      </c>
      <c r="D5744" s="141"/>
    </row>
    <row r="5745" spans="1:4" x14ac:dyDescent="0.2">
      <c r="A5745" s="140" t="s">
        <v>5506</v>
      </c>
      <c r="B5745" s="141">
        <v>4.3240578454269E-4</v>
      </c>
      <c r="D5745" s="141"/>
    </row>
    <row r="5746" spans="1:4" x14ac:dyDescent="0.2">
      <c r="A5746" s="140" t="s">
        <v>3888</v>
      </c>
      <c r="B5746" s="141">
        <v>4.3203412977682999E-4</v>
      </c>
      <c r="D5746" s="141"/>
    </row>
    <row r="5747" spans="1:4" x14ac:dyDescent="0.2">
      <c r="A5747" s="140" t="s">
        <v>5053</v>
      </c>
      <c r="B5747" s="141">
        <v>4.3184304796437998E-4</v>
      </c>
      <c r="D5747" s="141"/>
    </row>
    <row r="5748" spans="1:4" x14ac:dyDescent="0.2">
      <c r="A5748" s="140" t="s">
        <v>571</v>
      </c>
      <c r="B5748" s="141">
        <v>4.3130298865809002E-4</v>
      </c>
      <c r="D5748" s="141"/>
    </row>
    <row r="5749" spans="1:4" x14ac:dyDescent="0.2">
      <c r="A5749" s="140" t="s">
        <v>8441</v>
      </c>
      <c r="B5749" s="141">
        <v>4.3112103218479001E-4</v>
      </c>
      <c r="D5749" s="141"/>
    </row>
    <row r="5750" spans="1:4" x14ac:dyDescent="0.2">
      <c r="A5750" s="140" t="s">
        <v>2328</v>
      </c>
      <c r="B5750" s="141">
        <v>4.3098302351385001E-4</v>
      </c>
      <c r="D5750" s="141"/>
    </row>
    <row r="5751" spans="1:4" x14ac:dyDescent="0.2">
      <c r="A5751" s="140" t="s">
        <v>1505</v>
      </c>
      <c r="B5751" s="141">
        <v>4.3067102807172001E-4</v>
      </c>
      <c r="D5751" s="141"/>
    </row>
    <row r="5752" spans="1:4" x14ac:dyDescent="0.2">
      <c r="A5752" s="140" t="s">
        <v>8442</v>
      </c>
      <c r="B5752" s="141">
        <v>4.3065116378664998E-4</v>
      </c>
      <c r="D5752" s="141"/>
    </row>
    <row r="5753" spans="1:4" x14ac:dyDescent="0.2">
      <c r="A5753" s="140" t="s">
        <v>4462</v>
      </c>
      <c r="B5753" s="141">
        <v>4.2997880181228001E-4</v>
      </c>
      <c r="D5753" s="141"/>
    </row>
    <row r="5754" spans="1:4" x14ac:dyDescent="0.2">
      <c r="A5754" s="140" t="s">
        <v>8443</v>
      </c>
      <c r="B5754" s="141">
        <v>4.2997622139381001E-4</v>
      </c>
      <c r="D5754" s="141"/>
    </row>
    <row r="5755" spans="1:4" x14ac:dyDescent="0.2">
      <c r="A5755" s="140" t="s">
        <v>5142</v>
      </c>
      <c r="B5755" s="141">
        <v>4.2952349968559001E-4</v>
      </c>
      <c r="D5755" s="141"/>
    </row>
    <row r="5756" spans="1:4" x14ac:dyDescent="0.2">
      <c r="A5756" s="140" t="s">
        <v>5444</v>
      </c>
      <c r="B5756" s="141">
        <v>4.2948235222112999E-4</v>
      </c>
      <c r="D5756" s="141"/>
    </row>
    <row r="5757" spans="1:4" x14ac:dyDescent="0.2">
      <c r="A5757" s="140" t="s">
        <v>4055</v>
      </c>
      <c r="B5757" s="141">
        <v>4.2942139474102002E-4</v>
      </c>
      <c r="D5757" s="141"/>
    </row>
    <row r="5758" spans="1:4" x14ac:dyDescent="0.2">
      <c r="A5758" s="140" t="s">
        <v>1363</v>
      </c>
      <c r="B5758" s="141">
        <v>4.2887432158431E-4</v>
      </c>
      <c r="D5758" s="141"/>
    </row>
    <row r="5759" spans="1:4" x14ac:dyDescent="0.2">
      <c r="A5759" s="140" t="s">
        <v>5777</v>
      </c>
      <c r="B5759" s="141">
        <v>4.2868089526361001E-4</v>
      </c>
      <c r="D5759" s="141"/>
    </row>
    <row r="5760" spans="1:4" x14ac:dyDescent="0.2">
      <c r="A5760" s="140" t="s">
        <v>3961</v>
      </c>
      <c r="B5760" s="141">
        <v>4.2825130517536002E-4</v>
      </c>
      <c r="D5760" s="141"/>
    </row>
    <row r="5761" spans="1:4" x14ac:dyDescent="0.2">
      <c r="A5761" s="140" t="s">
        <v>4211</v>
      </c>
      <c r="B5761" s="141">
        <v>4.2747252620091002E-4</v>
      </c>
      <c r="D5761" s="141"/>
    </row>
    <row r="5762" spans="1:4" x14ac:dyDescent="0.2">
      <c r="A5762" s="140" t="s">
        <v>8444</v>
      </c>
      <c r="B5762" s="141">
        <v>4.2739817966322999E-4</v>
      </c>
      <c r="D5762" s="141"/>
    </row>
    <row r="5763" spans="1:4" x14ac:dyDescent="0.2">
      <c r="A5763" s="140" t="s">
        <v>8445</v>
      </c>
      <c r="B5763" s="141">
        <v>4.2691582690392997E-4</v>
      </c>
      <c r="D5763" s="141"/>
    </row>
    <row r="5764" spans="1:4" x14ac:dyDescent="0.2">
      <c r="A5764" s="140" t="s">
        <v>2013</v>
      </c>
      <c r="B5764" s="141">
        <v>4.2661696984933002E-4</v>
      </c>
      <c r="D5764" s="141"/>
    </row>
    <row r="5765" spans="1:4" x14ac:dyDescent="0.2">
      <c r="A5765" s="140" t="s">
        <v>2628</v>
      </c>
      <c r="B5765" s="141">
        <v>4.2583746038635998E-4</v>
      </c>
      <c r="D5765" s="141"/>
    </row>
    <row r="5766" spans="1:4" x14ac:dyDescent="0.2">
      <c r="A5766" s="140" t="s">
        <v>1995</v>
      </c>
      <c r="B5766" s="141">
        <v>4.2482317608733E-4</v>
      </c>
      <c r="D5766" s="141"/>
    </row>
    <row r="5767" spans="1:4" x14ac:dyDescent="0.2">
      <c r="A5767" s="140" t="s">
        <v>8446</v>
      </c>
      <c r="B5767" s="141">
        <v>4.2467927865158999E-4</v>
      </c>
      <c r="D5767" s="141"/>
    </row>
    <row r="5768" spans="1:4" x14ac:dyDescent="0.2">
      <c r="A5768" s="140" t="s">
        <v>1504</v>
      </c>
      <c r="B5768" s="141">
        <v>4.2412365073326002E-4</v>
      </c>
      <c r="D5768" s="141"/>
    </row>
    <row r="5769" spans="1:4" x14ac:dyDescent="0.2">
      <c r="A5769" s="140" t="s">
        <v>5049</v>
      </c>
      <c r="B5769" s="141">
        <v>4.2370586316607E-4</v>
      </c>
      <c r="D5769" s="141"/>
    </row>
    <row r="5770" spans="1:4" x14ac:dyDescent="0.2">
      <c r="A5770" s="140" t="s">
        <v>2851</v>
      </c>
      <c r="B5770" s="141">
        <v>4.2351418334636001E-4</v>
      </c>
      <c r="D5770" s="141"/>
    </row>
    <row r="5771" spans="1:4" x14ac:dyDescent="0.2">
      <c r="A5771" s="140" t="s">
        <v>1912</v>
      </c>
      <c r="B5771" s="141">
        <v>4.2337835517436997E-4</v>
      </c>
      <c r="D5771" s="141"/>
    </row>
    <row r="5772" spans="1:4" x14ac:dyDescent="0.2">
      <c r="A5772" s="140" t="s">
        <v>4921</v>
      </c>
      <c r="B5772" s="141">
        <v>4.2291743864308001E-4</v>
      </c>
      <c r="D5772" s="141"/>
    </row>
    <row r="5773" spans="1:4" x14ac:dyDescent="0.2">
      <c r="A5773" s="140" t="s">
        <v>8447</v>
      </c>
      <c r="B5773" s="141">
        <v>4.2266551379487998E-4</v>
      </c>
      <c r="D5773" s="141"/>
    </row>
    <row r="5774" spans="1:4" x14ac:dyDescent="0.2">
      <c r="A5774" s="140" t="s">
        <v>4201</v>
      </c>
      <c r="B5774" s="141">
        <v>4.2138424227371001E-4</v>
      </c>
      <c r="D5774" s="141"/>
    </row>
    <row r="5775" spans="1:4" x14ac:dyDescent="0.2">
      <c r="A5775" s="140" t="s">
        <v>5156</v>
      </c>
      <c r="B5775" s="141">
        <v>4.2132661967710002E-4</v>
      </c>
      <c r="D5775" s="141"/>
    </row>
    <row r="5776" spans="1:4" x14ac:dyDescent="0.2">
      <c r="A5776" s="140" t="s">
        <v>3892</v>
      </c>
      <c r="B5776" s="141">
        <v>4.2080149591142997E-4</v>
      </c>
      <c r="D5776" s="141"/>
    </row>
    <row r="5777" spans="1:4" x14ac:dyDescent="0.2">
      <c r="A5777" s="140" t="s">
        <v>907</v>
      </c>
      <c r="B5777" s="141">
        <v>4.2078612878119001E-4</v>
      </c>
      <c r="D5777" s="141"/>
    </row>
    <row r="5778" spans="1:4" x14ac:dyDescent="0.2">
      <c r="A5778" s="140" t="s">
        <v>8448</v>
      </c>
      <c r="B5778" s="141">
        <v>4.2077659629710998E-4</v>
      </c>
      <c r="D5778" s="141"/>
    </row>
    <row r="5779" spans="1:4" x14ac:dyDescent="0.2">
      <c r="A5779" s="140" t="s">
        <v>5182</v>
      </c>
      <c r="B5779" s="141">
        <v>4.2052009267969001E-4</v>
      </c>
      <c r="D5779" s="141"/>
    </row>
    <row r="5780" spans="1:4" x14ac:dyDescent="0.2">
      <c r="A5780" s="140" t="s">
        <v>8449</v>
      </c>
      <c r="B5780" s="141">
        <v>4.2040279613570001E-4</v>
      </c>
      <c r="D5780" s="141"/>
    </row>
    <row r="5781" spans="1:4" x14ac:dyDescent="0.2">
      <c r="A5781" s="140" t="s">
        <v>2057</v>
      </c>
      <c r="B5781" s="141">
        <v>4.1962496255564002E-4</v>
      </c>
      <c r="D5781" s="141"/>
    </row>
    <row r="5782" spans="1:4" x14ac:dyDescent="0.2">
      <c r="A5782" s="140" t="s">
        <v>3495</v>
      </c>
      <c r="B5782" s="141">
        <v>4.1918718045830998E-4</v>
      </c>
      <c r="D5782" s="141"/>
    </row>
    <row r="5783" spans="1:4" x14ac:dyDescent="0.2">
      <c r="A5783" s="140" t="s">
        <v>8450</v>
      </c>
      <c r="B5783" s="141">
        <v>4.1819712135501998E-4</v>
      </c>
      <c r="D5783" s="141"/>
    </row>
    <row r="5784" spans="1:4" x14ac:dyDescent="0.2">
      <c r="A5784" s="140" t="s">
        <v>1513</v>
      </c>
      <c r="B5784" s="141">
        <v>4.1781455465523002E-4</v>
      </c>
      <c r="D5784" s="141"/>
    </row>
    <row r="5785" spans="1:4" x14ac:dyDescent="0.2">
      <c r="A5785" s="140" t="s">
        <v>5484</v>
      </c>
      <c r="B5785" s="141">
        <v>4.1691799144826999E-4</v>
      </c>
      <c r="D5785" s="141"/>
    </row>
    <row r="5786" spans="1:4" x14ac:dyDescent="0.2">
      <c r="A5786" s="140" t="s">
        <v>3182</v>
      </c>
      <c r="B5786" s="141">
        <v>4.1691799144826999E-4</v>
      </c>
      <c r="D5786" s="141"/>
    </row>
    <row r="5787" spans="1:4" x14ac:dyDescent="0.2">
      <c r="A5787" s="140" t="s">
        <v>8451</v>
      </c>
      <c r="B5787" s="141">
        <v>4.1666131183049998E-4</v>
      </c>
      <c r="D5787" s="141"/>
    </row>
    <row r="5788" spans="1:4" x14ac:dyDescent="0.2">
      <c r="A5788" s="140" t="s">
        <v>2426</v>
      </c>
      <c r="B5788" s="141">
        <v>4.1553284408442001E-4</v>
      </c>
      <c r="D5788" s="141"/>
    </row>
    <row r="5789" spans="1:4" x14ac:dyDescent="0.2">
      <c r="A5789" s="140" t="s">
        <v>560</v>
      </c>
      <c r="B5789" s="141">
        <v>4.152677066835E-4</v>
      </c>
      <c r="D5789" s="141"/>
    </row>
    <row r="5790" spans="1:4" x14ac:dyDescent="0.2">
      <c r="A5790" s="140" t="s">
        <v>2338</v>
      </c>
      <c r="B5790" s="141">
        <v>4.1475457743830998E-4</v>
      </c>
      <c r="D5790" s="141"/>
    </row>
    <row r="5791" spans="1:4" x14ac:dyDescent="0.2">
      <c r="A5791" s="140" t="s">
        <v>8452</v>
      </c>
      <c r="B5791" s="141">
        <v>4.1451109131897002E-4</v>
      </c>
      <c r="D5791" s="141"/>
    </row>
    <row r="5792" spans="1:4" x14ac:dyDescent="0.2">
      <c r="A5792" s="140" t="s">
        <v>5319</v>
      </c>
      <c r="B5792" s="141">
        <v>4.1370775821373E-4</v>
      </c>
      <c r="D5792" s="141"/>
    </row>
    <row r="5793" spans="1:4" x14ac:dyDescent="0.2">
      <c r="A5793" s="140" t="s">
        <v>4965</v>
      </c>
      <c r="B5793" s="141">
        <v>4.1368734079230999E-4</v>
      </c>
      <c r="D5793" s="141"/>
    </row>
    <row r="5794" spans="1:4" x14ac:dyDescent="0.2">
      <c r="A5794" s="140" t="s">
        <v>8453</v>
      </c>
      <c r="B5794" s="141">
        <v>4.1245304660876997E-4</v>
      </c>
      <c r="D5794" s="141"/>
    </row>
    <row r="5795" spans="1:4" x14ac:dyDescent="0.2">
      <c r="A5795" s="140" t="s">
        <v>1951</v>
      </c>
      <c r="B5795" s="141">
        <v>4.1222461432484001E-4</v>
      </c>
      <c r="D5795" s="141"/>
    </row>
    <row r="5796" spans="1:4" x14ac:dyDescent="0.2">
      <c r="A5796" s="140" t="s">
        <v>975</v>
      </c>
      <c r="B5796" s="141">
        <v>4.1159748990997E-4</v>
      </c>
      <c r="D5796" s="141"/>
    </row>
    <row r="5797" spans="1:4" x14ac:dyDescent="0.2">
      <c r="A5797" s="140" t="s">
        <v>1698</v>
      </c>
      <c r="B5797" s="141">
        <v>4.1134052802098002E-4</v>
      </c>
      <c r="D5797" s="141"/>
    </row>
    <row r="5798" spans="1:4" x14ac:dyDescent="0.2">
      <c r="A5798" s="140" t="s">
        <v>8454</v>
      </c>
      <c r="B5798" s="141">
        <v>4.1112117877482E-4</v>
      </c>
      <c r="D5798" s="141"/>
    </row>
    <row r="5799" spans="1:4" x14ac:dyDescent="0.2">
      <c r="A5799" s="140" t="s">
        <v>4730</v>
      </c>
      <c r="B5799" s="141">
        <v>4.1095417090504998E-4</v>
      </c>
      <c r="D5799" s="141"/>
    </row>
    <row r="5800" spans="1:4" x14ac:dyDescent="0.2">
      <c r="A5800" s="140" t="s">
        <v>4360</v>
      </c>
      <c r="B5800" s="141">
        <v>4.1095417090504998E-4</v>
      </c>
      <c r="D5800" s="141"/>
    </row>
    <row r="5801" spans="1:4" x14ac:dyDescent="0.2">
      <c r="A5801" s="140" t="s">
        <v>2485</v>
      </c>
      <c r="B5801" s="141">
        <v>4.1092792261030999E-4</v>
      </c>
      <c r="D5801" s="141"/>
    </row>
    <row r="5802" spans="1:4" x14ac:dyDescent="0.2">
      <c r="A5802" s="140" t="s">
        <v>1936</v>
      </c>
      <c r="B5802" s="141">
        <v>4.0935497312456998E-4</v>
      </c>
      <c r="D5802" s="141"/>
    </row>
    <row r="5803" spans="1:4" x14ac:dyDescent="0.2">
      <c r="A5803" s="140" t="s">
        <v>8455</v>
      </c>
      <c r="B5803" s="141">
        <v>4.0932704647775E-4</v>
      </c>
      <c r="D5803" s="141"/>
    </row>
    <row r="5804" spans="1:4" x14ac:dyDescent="0.2">
      <c r="A5804" s="140" t="s">
        <v>8456</v>
      </c>
      <c r="B5804" s="141">
        <v>4.0932704647775E-4</v>
      </c>
      <c r="D5804" s="141"/>
    </row>
    <row r="5805" spans="1:4" x14ac:dyDescent="0.2">
      <c r="A5805" s="140" t="s">
        <v>8457</v>
      </c>
      <c r="B5805" s="141">
        <v>4.0932704647775E-4</v>
      </c>
      <c r="D5805" s="141"/>
    </row>
    <row r="5806" spans="1:4" x14ac:dyDescent="0.2">
      <c r="A5806" s="140" t="s">
        <v>866</v>
      </c>
      <c r="B5806" s="141">
        <v>4.0833055321825001E-4</v>
      </c>
      <c r="D5806" s="141"/>
    </row>
    <row r="5807" spans="1:4" x14ac:dyDescent="0.2">
      <c r="A5807" s="140" t="s">
        <v>8458</v>
      </c>
      <c r="B5807" s="141">
        <v>4.0788601053162998E-4</v>
      </c>
      <c r="D5807" s="141"/>
    </row>
    <row r="5808" spans="1:4" x14ac:dyDescent="0.2">
      <c r="A5808" s="140" t="s">
        <v>8459</v>
      </c>
      <c r="B5808" s="141">
        <v>4.0788601053162998E-4</v>
      </c>
      <c r="D5808" s="141"/>
    </row>
    <row r="5809" spans="1:4" x14ac:dyDescent="0.2">
      <c r="A5809" s="140" t="s">
        <v>5643</v>
      </c>
      <c r="B5809" s="141">
        <v>4.0744758616888997E-4</v>
      </c>
      <c r="D5809" s="141"/>
    </row>
    <row r="5810" spans="1:4" x14ac:dyDescent="0.2">
      <c r="A5810" s="140" t="s">
        <v>1684</v>
      </c>
      <c r="B5810" s="141">
        <v>4.0715899302760998E-4</v>
      </c>
      <c r="D5810" s="141"/>
    </row>
    <row r="5811" spans="1:4" x14ac:dyDescent="0.2">
      <c r="A5811" s="140" t="s">
        <v>5970</v>
      </c>
      <c r="B5811" s="141">
        <v>4.0704137389132997E-4</v>
      </c>
      <c r="D5811" s="141"/>
    </row>
    <row r="5812" spans="1:4" x14ac:dyDescent="0.2">
      <c r="A5812" s="140" t="s">
        <v>8460</v>
      </c>
      <c r="B5812" s="141">
        <v>4.0699621593112001E-4</v>
      </c>
      <c r="D5812" s="141"/>
    </row>
    <row r="5813" spans="1:4" x14ac:dyDescent="0.2">
      <c r="A5813" s="140" t="s">
        <v>8461</v>
      </c>
      <c r="B5813" s="141">
        <v>4.0695004060970001E-4</v>
      </c>
      <c r="D5813" s="141"/>
    </row>
    <row r="5814" spans="1:4" x14ac:dyDescent="0.2">
      <c r="A5814" s="140" t="s">
        <v>3811</v>
      </c>
      <c r="B5814" s="141">
        <v>4.0675117385727998E-4</v>
      </c>
      <c r="D5814" s="141"/>
    </row>
    <row r="5815" spans="1:4" x14ac:dyDescent="0.2">
      <c r="A5815" s="140" t="s">
        <v>2599</v>
      </c>
      <c r="B5815" s="141">
        <v>4.0669688684356002E-4</v>
      </c>
      <c r="D5815" s="141"/>
    </row>
    <row r="5816" spans="1:4" x14ac:dyDescent="0.2">
      <c r="A5816" s="140" t="s">
        <v>1287</v>
      </c>
      <c r="B5816" s="141">
        <v>4.0652072760070999E-4</v>
      </c>
      <c r="D5816" s="141"/>
    </row>
    <row r="5817" spans="1:4" x14ac:dyDescent="0.2">
      <c r="A5817" s="140" t="s">
        <v>5334</v>
      </c>
      <c r="B5817" s="141">
        <v>4.0597352804371998E-4</v>
      </c>
      <c r="D5817" s="141"/>
    </row>
    <row r="5818" spans="1:4" x14ac:dyDescent="0.2">
      <c r="A5818" s="140" t="s">
        <v>5917</v>
      </c>
      <c r="B5818" s="141">
        <v>4.0585447768968998E-4</v>
      </c>
      <c r="D5818" s="141"/>
    </row>
    <row r="5819" spans="1:4" x14ac:dyDescent="0.2">
      <c r="A5819" s="140" t="s">
        <v>8462</v>
      </c>
      <c r="B5819" s="141">
        <v>4.0533716973361001E-4</v>
      </c>
      <c r="D5819" s="141"/>
    </row>
    <row r="5820" spans="1:4" x14ac:dyDescent="0.2">
      <c r="A5820" s="140" t="s">
        <v>4241</v>
      </c>
      <c r="B5820" s="141">
        <v>4.0513420654762999E-4</v>
      </c>
      <c r="D5820" s="141"/>
    </row>
    <row r="5821" spans="1:4" x14ac:dyDescent="0.2">
      <c r="A5821" s="140" t="s">
        <v>8463</v>
      </c>
      <c r="B5821" s="141">
        <v>4.0464216416304999E-4</v>
      </c>
      <c r="D5821" s="141"/>
    </row>
    <row r="5822" spans="1:4" x14ac:dyDescent="0.2">
      <c r="A5822" s="140" t="s">
        <v>1261</v>
      </c>
      <c r="B5822" s="141">
        <v>4.0385861412636E-4</v>
      </c>
      <c r="D5822" s="141"/>
    </row>
    <row r="5823" spans="1:4" x14ac:dyDescent="0.2">
      <c r="A5823" s="140" t="s">
        <v>8464</v>
      </c>
      <c r="B5823" s="141">
        <v>4.0324205527605999E-4</v>
      </c>
      <c r="D5823" s="141"/>
    </row>
    <row r="5824" spans="1:4" x14ac:dyDescent="0.2">
      <c r="A5824" s="140" t="s">
        <v>8465</v>
      </c>
      <c r="B5824" s="141">
        <v>4.0301090560016E-4</v>
      </c>
      <c r="D5824" s="141"/>
    </row>
    <row r="5825" spans="1:4" x14ac:dyDescent="0.2">
      <c r="A5825" s="140" t="s">
        <v>909</v>
      </c>
      <c r="B5825" s="141">
        <v>4.0257262732856E-4</v>
      </c>
      <c r="D5825" s="141"/>
    </row>
    <row r="5826" spans="1:4" x14ac:dyDescent="0.2">
      <c r="A5826" s="140" t="s">
        <v>1639</v>
      </c>
      <c r="B5826" s="141">
        <v>4.0212620525519998E-4</v>
      </c>
      <c r="D5826" s="141"/>
    </row>
    <row r="5827" spans="1:4" x14ac:dyDescent="0.2">
      <c r="A5827" s="140" t="s">
        <v>3820</v>
      </c>
      <c r="B5827" s="141">
        <v>4.0139787517443E-4</v>
      </c>
      <c r="D5827" s="141"/>
    </row>
    <row r="5828" spans="1:4" x14ac:dyDescent="0.2">
      <c r="A5828" s="140" t="s">
        <v>1921</v>
      </c>
      <c r="B5828" s="141">
        <v>4.0137489441613E-4</v>
      </c>
      <c r="D5828" s="141"/>
    </row>
    <row r="5829" spans="1:4" x14ac:dyDescent="0.2">
      <c r="A5829" s="140" t="s">
        <v>8466</v>
      </c>
      <c r="B5829" s="141">
        <v>4.0100396573304001E-4</v>
      </c>
      <c r="D5829" s="141"/>
    </row>
    <row r="5830" spans="1:4" x14ac:dyDescent="0.2">
      <c r="A5830" s="140" t="s">
        <v>562</v>
      </c>
      <c r="B5830" s="141">
        <v>4.0016727797354001E-4</v>
      </c>
      <c r="D5830" s="141"/>
    </row>
    <row r="5831" spans="1:4" x14ac:dyDescent="0.2">
      <c r="A5831" s="140" t="s">
        <v>8467</v>
      </c>
      <c r="B5831" s="141">
        <v>3.9995131152163998E-4</v>
      </c>
      <c r="D5831" s="141"/>
    </row>
    <row r="5832" spans="1:4" x14ac:dyDescent="0.2">
      <c r="A5832" s="140" t="s">
        <v>4106</v>
      </c>
      <c r="B5832" s="141">
        <v>3.9918487980619E-4</v>
      </c>
      <c r="D5832" s="141"/>
    </row>
    <row r="5833" spans="1:4" x14ac:dyDescent="0.2">
      <c r="A5833" s="140" t="s">
        <v>2478</v>
      </c>
      <c r="B5833" s="141">
        <v>3.9900282149064002E-4</v>
      </c>
      <c r="D5833" s="141"/>
    </row>
    <row r="5834" spans="1:4" x14ac:dyDescent="0.2">
      <c r="A5834" s="140" t="s">
        <v>2177</v>
      </c>
      <c r="B5834" s="141">
        <v>3.9900282149064002E-4</v>
      </c>
      <c r="D5834" s="141"/>
    </row>
    <row r="5835" spans="1:4" x14ac:dyDescent="0.2">
      <c r="A5835" s="140" t="s">
        <v>8468</v>
      </c>
      <c r="B5835" s="141">
        <v>3.9897972746748002E-4</v>
      </c>
      <c r="D5835" s="141"/>
    </row>
    <row r="5836" spans="1:4" x14ac:dyDescent="0.2">
      <c r="A5836" s="140" t="s">
        <v>4183</v>
      </c>
      <c r="B5836" s="141">
        <v>3.9897972746748002E-4</v>
      </c>
      <c r="D5836" s="141"/>
    </row>
    <row r="5837" spans="1:4" x14ac:dyDescent="0.2">
      <c r="A5837" s="140" t="s">
        <v>3516</v>
      </c>
      <c r="B5837" s="141">
        <v>3.9855027318471997E-4</v>
      </c>
      <c r="D5837" s="141"/>
    </row>
    <row r="5838" spans="1:4" x14ac:dyDescent="0.2">
      <c r="A5838" s="140" t="s">
        <v>2384</v>
      </c>
      <c r="B5838" s="141">
        <v>3.9841673965691001E-4</v>
      </c>
      <c r="D5838" s="141"/>
    </row>
    <row r="5839" spans="1:4" x14ac:dyDescent="0.2">
      <c r="A5839" s="140" t="s">
        <v>8469</v>
      </c>
      <c r="B5839" s="141">
        <v>3.9822996263452998E-4</v>
      </c>
      <c r="D5839" s="141"/>
    </row>
    <row r="5840" spans="1:4" x14ac:dyDescent="0.2">
      <c r="A5840" s="140" t="s">
        <v>2232</v>
      </c>
      <c r="B5840" s="141">
        <v>3.9810641827508998E-4</v>
      </c>
      <c r="D5840" s="141"/>
    </row>
    <row r="5841" spans="1:4" x14ac:dyDescent="0.2">
      <c r="A5841" s="140" t="s">
        <v>5692</v>
      </c>
      <c r="B5841" s="141">
        <v>3.9803448240978998E-4</v>
      </c>
      <c r="D5841" s="141"/>
    </row>
    <row r="5842" spans="1:4" x14ac:dyDescent="0.2">
      <c r="A5842" s="140" t="s">
        <v>3707</v>
      </c>
      <c r="B5842" s="141">
        <v>3.9787444603360002E-4</v>
      </c>
      <c r="D5842" s="141"/>
    </row>
    <row r="5843" spans="1:4" x14ac:dyDescent="0.2">
      <c r="A5843" s="140" t="s">
        <v>8470</v>
      </c>
      <c r="B5843" s="141">
        <v>3.9717839342659001E-4</v>
      </c>
      <c r="D5843" s="141"/>
    </row>
    <row r="5844" spans="1:4" x14ac:dyDescent="0.2">
      <c r="A5844" s="140" t="s">
        <v>4165</v>
      </c>
      <c r="B5844" s="141">
        <v>3.9695447545742E-4</v>
      </c>
      <c r="D5844" s="141"/>
    </row>
    <row r="5845" spans="1:4" x14ac:dyDescent="0.2">
      <c r="A5845" s="140" t="s">
        <v>8471</v>
      </c>
      <c r="B5845" s="141">
        <v>3.9674539971528002E-4</v>
      </c>
      <c r="D5845" s="141"/>
    </row>
    <row r="5846" spans="1:4" x14ac:dyDescent="0.2">
      <c r="A5846" s="140" t="s">
        <v>8472</v>
      </c>
      <c r="B5846" s="141">
        <v>3.9674539971528002E-4</v>
      </c>
      <c r="D5846" s="141"/>
    </row>
    <row r="5847" spans="1:4" x14ac:dyDescent="0.2">
      <c r="A5847" s="140" t="s">
        <v>8473</v>
      </c>
      <c r="B5847" s="141">
        <v>3.9674539971528002E-4</v>
      </c>
      <c r="D5847" s="141"/>
    </row>
    <row r="5848" spans="1:4" x14ac:dyDescent="0.2">
      <c r="A5848" s="140" t="s">
        <v>8474</v>
      </c>
      <c r="B5848" s="141">
        <v>3.9674539971528002E-4</v>
      </c>
      <c r="D5848" s="141"/>
    </row>
    <row r="5849" spans="1:4" x14ac:dyDescent="0.2">
      <c r="A5849" s="140" t="s">
        <v>8475</v>
      </c>
      <c r="B5849" s="141">
        <v>3.9650459315014998E-4</v>
      </c>
      <c r="D5849" s="141"/>
    </row>
    <row r="5850" spans="1:4" x14ac:dyDescent="0.2">
      <c r="A5850" s="140" t="s">
        <v>8476</v>
      </c>
      <c r="B5850" s="141">
        <v>3.9650459315014998E-4</v>
      </c>
      <c r="D5850" s="141"/>
    </row>
    <row r="5851" spans="1:4" x14ac:dyDescent="0.2">
      <c r="A5851" s="140" t="s">
        <v>8477</v>
      </c>
      <c r="B5851" s="141">
        <v>3.9650459315014998E-4</v>
      </c>
      <c r="D5851" s="141"/>
    </row>
    <row r="5852" spans="1:4" x14ac:dyDescent="0.2">
      <c r="A5852" s="140" t="s">
        <v>8478</v>
      </c>
      <c r="B5852" s="141">
        <v>3.9650459315014998E-4</v>
      </c>
      <c r="D5852" s="141"/>
    </row>
    <row r="5853" spans="1:4" x14ac:dyDescent="0.2">
      <c r="A5853" s="140" t="s">
        <v>8479</v>
      </c>
      <c r="B5853" s="141">
        <v>3.9650459315014998E-4</v>
      </c>
      <c r="D5853" s="141"/>
    </row>
    <row r="5854" spans="1:4" x14ac:dyDescent="0.2">
      <c r="A5854" s="140" t="s">
        <v>8480</v>
      </c>
      <c r="B5854" s="141">
        <v>3.9642365965253E-4</v>
      </c>
      <c r="D5854" s="141"/>
    </row>
    <row r="5855" spans="1:4" x14ac:dyDescent="0.2">
      <c r="A5855" s="140" t="s">
        <v>5163</v>
      </c>
      <c r="B5855" s="141">
        <v>3.9632271909911999E-4</v>
      </c>
      <c r="D5855" s="141"/>
    </row>
    <row r="5856" spans="1:4" x14ac:dyDescent="0.2">
      <c r="A5856" s="140" t="s">
        <v>8481</v>
      </c>
      <c r="B5856" s="141">
        <v>3.9628139046556999E-4</v>
      </c>
      <c r="D5856" s="141"/>
    </row>
    <row r="5857" spans="1:4" x14ac:dyDescent="0.2">
      <c r="A5857" s="140" t="s">
        <v>8482</v>
      </c>
      <c r="B5857" s="141">
        <v>3.9555736598410998E-4</v>
      </c>
      <c r="D5857" s="141"/>
    </row>
    <row r="5858" spans="1:4" x14ac:dyDescent="0.2">
      <c r="A5858" s="140" t="s">
        <v>8483</v>
      </c>
      <c r="B5858" s="141">
        <v>3.9517687188462002E-4</v>
      </c>
      <c r="D5858" s="141"/>
    </row>
    <row r="5859" spans="1:4" x14ac:dyDescent="0.2">
      <c r="A5859" s="140" t="s">
        <v>8484</v>
      </c>
      <c r="B5859" s="141">
        <v>3.9461099063304997E-4</v>
      </c>
      <c r="D5859" s="141"/>
    </row>
    <row r="5860" spans="1:4" x14ac:dyDescent="0.2">
      <c r="A5860" s="140" t="s">
        <v>1086</v>
      </c>
      <c r="B5860" s="141">
        <v>3.9435127554638002E-4</v>
      </c>
      <c r="D5860" s="141"/>
    </row>
    <row r="5861" spans="1:4" x14ac:dyDescent="0.2">
      <c r="A5861" s="140" t="s">
        <v>4587</v>
      </c>
      <c r="B5861" s="141">
        <v>3.9358495279072001E-4</v>
      </c>
      <c r="D5861" s="141"/>
    </row>
    <row r="5862" spans="1:4" x14ac:dyDescent="0.2">
      <c r="A5862" s="140" t="s">
        <v>1078</v>
      </c>
      <c r="B5862" s="141">
        <v>3.9348812544184002E-4</v>
      </c>
      <c r="D5862" s="141"/>
    </row>
    <row r="5863" spans="1:4" x14ac:dyDescent="0.2">
      <c r="A5863" s="140" t="s">
        <v>3461</v>
      </c>
      <c r="B5863" s="141">
        <v>3.9321758200867E-4</v>
      </c>
      <c r="D5863" s="141"/>
    </row>
    <row r="5864" spans="1:4" x14ac:dyDescent="0.2">
      <c r="A5864" s="140" t="s">
        <v>8485</v>
      </c>
      <c r="B5864" s="141">
        <v>3.9266096247446999E-4</v>
      </c>
      <c r="D5864" s="141"/>
    </row>
    <row r="5865" spans="1:4" x14ac:dyDescent="0.2">
      <c r="A5865" s="140" t="s">
        <v>3807</v>
      </c>
      <c r="B5865" s="141">
        <v>3.9229570396728E-4</v>
      </c>
      <c r="D5865" s="141"/>
    </row>
    <row r="5866" spans="1:4" x14ac:dyDescent="0.2">
      <c r="A5866" s="140" t="s">
        <v>6124</v>
      </c>
      <c r="B5866" s="141">
        <v>3.9217811934223003E-4</v>
      </c>
      <c r="D5866" s="141"/>
    </row>
    <row r="5867" spans="1:4" x14ac:dyDescent="0.2">
      <c r="A5867" s="140" t="s">
        <v>5148</v>
      </c>
      <c r="B5867" s="141">
        <v>3.9152391139861002E-4</v>
      </c>
      <c r="D5867" s="141"/>
    </row>
    <row r="5868" spans="1:4" x14ac:dyDescent="0.2">
      <c r="A5868" s="140" t="s">
        <v>8486</v>
      </c>
      <c r="B5868" s="141">
        <v>3.9102468252706998E-4</v>
      </c>
      <c r="D5868" s="141"/>
    </row>
    <row r="5869" spans="1:4" x14ac:dyDescent="0.2">
      <c r="A5869" s="140" t="s">
        <v>2737</v>
      </c>
      <c r="B5869" s="141">
        <v>3.9090187781483002E-4</v>
      </c>
      <c r="D5869" s="141"/>
    </row>
    <row r="5870" spans="1:4" x14ac:dyDescent="0.2">
      <c r="A5870" s="140" t="s">
        <v>2280</v>
      </c>
      <c r="B5870" s="141">
        <v>3.9058563004473003E-4</v>
      </c>
      <c r="D5870" s="141"/>
    </row>
    <row r="5871" spans="1:4" x14ac:dyDescent="0.2">
      <c r="A5871" s="140" t="s">
        <v>862</v>
      </c>
      <c r="B5871" s="141">
        <v>3.9050466514428997E-4</v>
      </c>
      <c r="D5871" s="141"/>
    </row>
    <row r="5872" spans="1:4" x14ac:dyDescent="0.2">
      <c r="A5872" s="140" t="s">
        <v>8487</v>
      </c>
      <c r="B5872" s="141">
        <v>3.9000432437917999E-4</v>
      </c>
      <c r="D5872" s="141"/>
    </row>
    <row r="5873" spans="1:4" x14ac:dyDescent="0.2">
      <c r="A5873" s="140" t="s">
        <v>1398</v>
      </c>
      <c r="B5873" s="141">
        <v>3.8962825488475002E-4</v>
      </c>
      <c r="D5873" s="141"/>
    </row>
    <row r="5874" spans="1:4" x14ac:dyDescent="0.2">
      <c r="A5874" s="140" t="s">
        <v>2017</v>
      </c>
      <c r="B5874" s="141">
        <v>3.8868844489782999E-4</v>
      </c>
      <c r="D5874" s="141"/>
    </row>
    <row r="5875" spans="1:4" x14ac:dyDescent="0.2">
      <c r="A5875" s="140" t="s">
        <v>8488</v>
      </c>
      <c r="B5875" s="141">
        <v>3.8852614736552998E-4</v>
      </c>
      <c r="D5875" s="141"/>
    </row>
    <row r="5876" spans="1:4" x14ac:dyDescent="0.2">
      <c r="A5876" s="140" t="s">
        <v>4440</v>
      </c>
      <c r="B5876" s="141">
        <v>3.8846446254036998E-4</v>
      </c>
      <c r="D5876" s="141"/>
    </row>
    <row r="5877" spans="1:4" x14ac:dyDescent="0.2">
      <c r="A5877" s="140" t="s">
        <v>8489</v>
      </c>
      <c r="B5877" s="141">
        <v>3.8820874933206999E-4</v>
      </c>
      <c r="D5877" s="141"/>
    </row>
    <row r="5878" spans="1:4" x14ac:dyDescent="0.2">
      <c r="A5878" s="140" t="s">
        <v>8490</v>
      </c>
      <c r="B5878" s="141">
        <v>3.8815902033948997E-4</v>
      </c>
      <c r="D5878" s="141"/>
    </row>
    <row r="5879" spans="1:4" x14ac:dyDescent="0.2">
      <c r="A5879" s="140" t="s">
        <v>781</v>
      </c>
      <c r="B5879" s="141">
        <v>3.8747064901938999E-4</v>
      </c>
      <c r="D5879" s="141"/>
    </row>
    <row r="5880" spans="1:4" x14ac:dyDescent="0.2">
      <c r="A5880" s="140" t="s">
        <v>8491</v>
      </c>
      <c r="B5880" s="141">
        <v>3.8702784963346999E-4</v>
      </c>
      <c r="D5880" s="141"/>
    </row>
    <row r="5881" spans="1:4" x14ac:dyDescent="0.2">
      <c r="A5881" s="140" t="s">
        <v>2919</v>
      </c>
      <c r="B5881" s="141">
        <v>3.8700531471681001E-4</v>
      </c>
      <c r="D5881" s="141"/>
    </row>
    <row r="5882" spans="1:4" x14ac:dyDescent="0.2">
      <c r="A5882" s="140" t="s">
        <v>5571</v>
      </c>
      <c r="B5882" s="141">
        <v>3.8639489563206003E-4</v>
      </c>
      <c r="D5882" s="141"/>
    </row>
    <row r="5883" spans="1:4" x14ac:dyDescent="0.2">
      <c r="A5883" s="140" t="s">
        <v>8492</v>
      </c>
      <c r="B5883" s="141">
        <v>3.8635814128713998E-4</v>
      </c>
      <c r="D5883" s="141"/>
    </row>
    <row r="5884" spans="1:4" x14ac:dyDescent="0.2">
      <c r="A5884" s="140" t="s">
        <v>2344</v>
      </c>
      <c r="B5884" s="141">
        <v>3.8591115459906999E-4</v>
      </c>
      <c r="D5884" s="141"/>
    </row>
    <row r="5885" spans="1:4" x14ac:dyDescent="0.2">
      <c r="A5885" s="140" t="s">
        <v>4300</v>
      </c>
      <c r="B5885" s="141">
        <v>3.8544865783211001E-4</v>
      </c>
      <c r="D5885" s="141"/>
    </row>
    <row r="5886" spans="1:4" x14ac:dyDescent="0.2">
      <c r="A5886" s="140" t="s">
        <v>8493</v>
      </c>
      <c r="B5886" s="141">
        <v>3.8499941756934002E-4</v>
      </c>
      <c r="D5886" s="141"/>
    </row>
    <row r="5887" spans="1:4" x14ac:dyDescent="0.2">
      <c r="A5887" s="140" t="s">
        <v>2421</v>
      </c>
      <c r="B5887" s="141">
        <v>3.8465454589791E-4</v>
      </c>
      <c r="D5887" s="141"/>
    </row>
    <row r="5888" spans="1:4" x14ac:dyDescent="0.2">
      <c r="A5888" s="140" t="s">
        <v>4249</v>
      </c>
      <c r="B5888" s="141">
        <v>3.8424624170479998E-4</v>
      </c>
      <c r="D5888" s="141"/>
    </row>
    <row r="5889" spans="1:4" x14ac:dyDescent="0.2">
      <c r="A5889" s="140" t="s">
        <v>8494</v>
      </c>
      <c r="B5889" s="141">
        <v>3.8378909722569E-4</v>
      </c>
      <c r="D5889" s="141"/>
    </row>
    <row r="5890" spans="1:4" x14ac:dyDescent="0.2">
      <c r="A5890" s="140" t="s">
        <v>1189</v>
      </c>
      <c r="B5890" s="141">
        <v>3.8367202066240998E-4</v>
      </c>
      <c r="D5890" s="141"/>
    </row>
    <row r="5891" spans="1:4" x14ac:dyDescent="0.2">
      <c r="A5891" s="140" t="s">
        <v>3612</v>
      </c>
      <c r="B5891" s="141">
        <v>3.8347963874571002E-4</v>
      </c>
      <c r="D5891" s="141"/>
    </row>
    <row r="5892" spans="1:4" x14ac:dyDescent="0.2">
      <c r="A5892" s="140" t="s">
        <v>8495</v>
      </c>
      <c r="B5892" s="141">
        <v>3.8347784016052997E-4</v>
      </c>
      <c r="D5892" s="141"/>
    </row>
    <row r="5893" spans="1:4" x14ac:dyDescent="0.2">
      <c r="A5893" s="140" t="s">
        <v>8496</v>
      </c>
      <c r="B5893" s="141">
        <v>3.8304080377086998E-4</v>
      </c>
      <c r="D5893" s="141"/>
    </row>
    <row r="5894" spans="1:4" x14ac:dyDescent="0.2">
      <c r="A5894" s="140" t="s">
        <v>8497</v>
      </c>
      <c r="B5894" s="141">
        <v>3.8286908411838E-4</v>
      </c>
      <c r="D5894" s="141"/>
    </row>
    <row r="5895" spans="1:4" x14ac:dyDescent="0.2">
      <c r="A5895" s="140" t="s">
        <v>948</v>
      </c>
      <c r="B5895" s="141">
        <v>3.8278219206756001E-4</v>
      </c>
      <c r="D5895" s="141"/>
    </row>
    <row r="5896" spans="1:4" x14ac:dyDescent="0.2">
      <c r="A5896" s="140" t="s">
        <v>8498</v>
      </c>
      <c r="B5896" s="141">
        <v>3.8252259950440998E-4</v>
      </c>
      <c r="D5896" s="141"/>
    </row>
    <row r="5897" spans="1:4" x14ac:dyDescent="0.2">
      <c r="A5897" s="140" t="s">
        <v>5090</v>
      </c>
      <c r="B5897" s="141">
        <v>3.8106691781970002E-4</v>
      </c>
      <c r="D5897" s="141"/>
    </row>
    <row r="5898" spans="1:4" x14ac:dyDescent="0.2">
      <c r="A5898" s="140" t="s">
        <v>8499</v>
      </c>
      <c r="B5898" s="141">
        <v>3.8095259090209E-4</v>
      </c>
      <c r="D5898" s="141"/>
    </row>
    <row r="5899" spans="1:4" x14ac:dyDescent="0.2">
      <c r="A5899" s="140" t="s">
        <v>8500</v>
      </c>
      <c r="B5899" s="141">
        <v>3.8069542024972002E-4</v>
      </c>
      <c r="D5899" s="141"/>
    </row>
    <row r="5900" spans="1:4" x14ac:dyDescent="0.2">
      <c r="A5900" s="140" t="s">
        <v>4780</v>
      </c>
      <c r="B5900" s="141">
        <v>3.8064990307593E-4</v>
      </c>
      <c r="D5900" s="141"/>
    </row>
    <row r="5901" spans="1:4" x14ac:dyDescent="0.2">
      <c r="A5901" s="140" t="s">
        <v>442</v>
      </c>
      <c r="B5901" s="141">
        <v>3.7980738609134001E-4</v>
      </c>
      <c r="D5901" s="141"/>
    </row>
    <row r="5902" spans="1:4" x14ac:dyDescent="0.2">
      <c r="A5902" s="140" t="s">
        <v>8501</v>
      </c>
      <c r="B5902" s="141">
        <v>3.7966824299430003E-4</v>
      </c>
      <c r="D5902" s="141"/>
    </row>
    <row r="5903" spans="1:4" x14ac:dyDescent="0.2">
      <c r="A5903" s="140" t="s">
        <v>2878</v>
      </c>
      <c r="B5903" s="141">
        <v>3.7964264937000999E-4</v>
      </c>
      <c r="D5903" s="141"/>
    </row>
    <row r="5904" spans="1:4" x14ac:dyDescent="0.2">
      <c r="A5904" s="140" t="s">
        <v>3987</v>
      </c>
      <c r="B5904" s="141">
        <v>3.7963297864561997E-4</v>
      </c>
      <c r="D5904" s="141"/>
    </row>
    <row r="5905" spans="1:4" x14ac:dyDescent="0.2">
      <c r="A5905" s="140" t="s">
        <v>5703</v>
      </c>
      <c r="B5905" s="141">
        <v>3.7962827123293999E-4</v>
      </c>
      <c r="D5905" s="141"/>
    </row>
    <row r="5906" spans="1:4" x14ac:dyDescent="0.2">
      <c r="A5906" s="140" t="s">
        <v>1037</v>
      </c>
      <c r="B5906" s="141">
        <v>3.7942863543784998E-4</v>
      </c>
      <c r="D5906" s="141"/>
    </row>
    <row r="5907" spans="1:4" x14ac:dyDescent="0.2">
      <c r="A5907" s="140" t="s">
        <v>8502</v>
      </c>
      <c r="B5907" s="141">
        <v>3.7937761970027002E-4</v>
      </c>
      <c r="D5907" s="141"/>
    </row>
    <row r="5908" spans="1:4" x14ac:dyDescent="0.2">
      <c r="A5908" s="140" t="s">
        <v>8503</v>
      </c>
      <c r="B5908" s="141">
        <v>3.7926298265323998E-4</v>
      </c>
      <c r="D5908" s="141"/>
    </row>
    <row r="5909" spans="1:4" x14ac:dyDescent="0.2">
      <c r="A5909" s="140" t="s">
        <v>1255</v>
      </c>
      <c r="B5909" s="141">
        <v>3.7925285534404999E-4</v>
      </c>
      <c r="D5909" s="141"/>
    </row>
    <row r="5910" spans="1:4" x14ac:dyDescent="0.2">
      <c r="A5910" s="140" t="s">
        <v>5864</v>
      </c>
      <c r="B5910" s="141">
        <v>3.7844625654417002E-4</v>
      </c>
      <c r="D5910" s="141"/>
    </row>
    <row r="5911" spans="1:4" x14ac:dyDescent="0.2">
      <c r="A5911" s="140" t="s">
        <v>1847</v>
      </c>
      <c r="B5911" s="141">
        <v>3.7825744576928998E-4</v>
      </c>
      <c r="D5911" s="141"/>
    </row>
    <row r="5912" spans="1:4" x14ac:dyDescent="0.2">
      <c r="A5912" s="140" t="s">
        <v>5887</v>
      </c>
      <c r="B5912" s="141">
        <v>3.7766742521691998E-4</v>
      </c>
      <c r="D5912" s="141"/>
    </row>
    <row r="5913" spans="1:4" x14ac:dyDescent="0.2">
      <c r="A5913" s="140" t="s">
        <v>8504</v>
      </c>
      <c r="B5913" s="141">
        <v>3.7760300405347003E-4</v>
      </c>
      <c r="D5913" s="141"/>
    </row>
    <row r="5914" spans="1:4" x14ac:dyDescent="0.2">
      <c r="A5914" s="140" t="s">
        <v>8505</v>
      </c>
      <c r="B5914" s="141">
        <v>3.7725216220824999E-4</v>
      </c>
      <c r="D5914" s="141"/>
    </row>
    <row r="5915" spans="1:4" x14ac:dyDescent="0.2">
      <c r="A5915" s="140" t="s">
        <v>2091</v>
      </c>
      <c r="B5915" s="141">
        <v>3.7621831844582E-4</v>
      </c>
      <c r="D5915" s="141"/>
    </row>
    <row r="5916" spans="1:4" x14ac:dyDescent="0.2">
      <c r="A5916" s="140" t="s">
        <v>1385</v>
      </c>
      <c r="B5916" s="141">
        <v>3.7533278442180998E-4</v>
      </c>
      <c r="D5916" s="141"/>
    </row>
    <row r="5917" spans="1:4" x14ac:dyDescent="0.2">
      <c r="A5917" s="140" t="s">
        <v>3817</v>
      </c>
      <c r="B5917" s="141">
        <v>3.7520710264230998E-4</v>
      </c>
      <c r="D5917" s="141"/>
    </row>
    <row r="5918" spans="1:4" x14ac:dyDescent="0.2">
      <c r="A5918" s="140" t="s">
        <v>4833</v>
      </c>
      <c r="B5918" s="141">
        <v>3.7501556448988E-4</v>
      </c>
      <c r="D5918" s="141"/>
    </row>
    <row r="5919" spans="1:4" x14ac:dyDescent="0.2">
      <c r="A5919" s="140" t="s">
        <v>4706</v>
      </c>
      <c r="B5919" s="141">
        <v>3.7486235972074999E-4</v>
      </c>
      <c r="D5919" s="141"/>
    </row>
    <row r="5920" spans="1:4" x14ac:dyDescent="0.2">
      <c r="A5920" s="140" t="s">
        <v>1310</v>
      </c>
      <c r="B5920" s="141">
        <v>3.7483958192355998E-4</v>
      </c>
      <c r="D5920" s="141"/>
    </row>
    <row r="5921" spans="1:4" x14ac:dyDescent="0.2">
      <c r="A5921" s="140" t="s">
        <v>1692</v>
      </c>
      <c r="B5921" s="141">
        <v>3.74692018362E-4</v>
      </c>
      <c r="D5921" s="141"/>
    </row>
    <row r="5922" spans="1:4" x14ac:dyDescent="0.2">
      <c r="A5922" s="140" t="s">
        <v>5269</v>
      </c>
      <c r="B5922" s="141">
        <v>3.7439117441099E-4</v>
      </c>
      <c r="D5922" s="141"/>
    </row>
    <row r="5923" spans="1:4" x14ac:dyDescent="0.2">
      <c r="A5923" s="140" t="s">
        <v>3277</v>
      </c>
      <c r="B5923" s="141">
        <v>3.7385477577713E-4</v>
      </c>
      <c r="D5923" s="141"/>
    </row>
    <row r="5924" spans="1:4" x14ac:dyDescent="0.2">
      <c r="A5924" s="140" t="s">
        <v>8506</v>
      </c>
      <c r="B5924" s="141">
        <v>3.7362408148167999E-4</v>
      </c>
      <c r="D5924" s="141"/>
    </row>
    <row r="5925" spans="1:4" x14ac:dyDescent="0.2">
      <c r="A5925" s="140" t="s">
        <v>482</v>
      </c>
      <c r="B5925" s="141">
        <v>3.7304845744680001E-4</v>
      </c>
      <c r="D5925" s="141"/>
    </row>
    <row r="5926" spans="1:4" x14ac:dyDescent="0.2">
      <c r="A5926" s="140" t="s">
        <v>8507</v>
      </c>
      <c r="B5926" s="141">
        <v>3.7264308251111998E-4</v>
      </c>
      <c r="D5926" s="141"/>
    </row>
    <row r="5927" spans="1:4" x14ac:dyDescent="0.2">
      <c r="A5927" s="140" t="s">
        <v>4010</v>
      </c>
      <c r="B5927" s="141">
        <v>3.7196620252214E-4</v>
      </c>
      <c r="D5927" s="141"/>
    </row>
    <row r="5928" spans="1:4" x14ac:dyDescent="0.2">
      <c r="A5928" s="140" t="s">
        <v>3144</v>
      </c>
      <c r="B5928" s="141">
        <v>3.7145220423884999E-4</v>
      </c>
      <c r="D5928" s="141"/>
    </row>
    <row r="5929" spans="1:4" x14ac:dyDescent="0.2">
      <c r="A5929" s="140" t="s">
        <v>3267</v>
      </c>
      <c r="B5929" s="141">
        <v>3.7099857073953001E-4</v>
      </c>
      <c r="D5929" s="141"/>
    </row>
    <row r="5930" spans="1:4" x14ac:dyDescent="0.2">
      <c r="A5930" s="140" t="s">
        <v>1205</v>
      </c>
      <c r="B5930" s="141">
        <v>3.7036262189776002E-4</v>
      </c>
      <c r="D5930" s="141"/>
    </row>
    <row r="5931" spans="1:4" x14ac:dyDescent="0.2">
      <c r="A5931" s="140" t="s">
        <v>1935</v>
      </c>
      <c r="B5931" s="141">
        <v>3.7031916011956998E-4</v>
      </c>
      <c r="D5931" s="141"/>
    </row>
    <row r="5932" spans="1:4" x14ac:dyDescent="0.2">
      <c r="A5932" s="140" t="s">
        <v>8508</v>
      </c>
      <c r="B5932" s="141">
        <v>3.7021336732319003E-4</v>
      </c>
      <c r="D5932" s="141"/>
    </row>
    <row r="5933" spans="1:4" x14ac:dyDescent="0.2">
      <c r="A5933" s="140" t="s">
        <v>6173</v>
      </c>
      <c r="B5933" s="141">
        <v>3.6961630017205E-4</v>
      </c>
      <c r="D5933" s="141"/>
    </row>
    <row r="5934" spans="1:4" x14ac:dyDescent="0.2">
      <c r="A5934" s="140" t="s">
        <v>2126</v>
      </c>
      <c r="B5934" s="141">
        <v>3.6931877749472999E-4</v>
      </c>
      <c r="D5934" s="141"/>
    </row>
    <row r="5935" spans="1:4" x14ac:dyDescent="0.2">
      <c r="A5935" s="140" t="s">
        <v>758</v>
      </c>
      <c r="B5935" s="141">
        <v>3.6853156043042999E-4</v>
      </c>
      <c r="D5935" s="141"/>
    </row>
    <row r="5936" spans="1:4" x14ac:dyDescent="0.2">
      <c r="A5936" s="140" t="s">
        <v>1675</v>
      </c>
      <c r="B5936" s="141">
        <v>3.6711516435390001E-4</v>
      </c>
      <c r="D5936" s="141"/>
    </row>
    <row r="5937" spans="1:4" x14ac:dyDescent="0.2">
      <c r="A5937" s="140" t="s">
        <v>4113</v>
      </c>
      <c r="B5937" s="141">
        <v>3.6688882206692999E-4</v>
      </c>
      <c r="D5937" s="141"/>
    </row>
    <row r="5938" spans="1:4" x14ac:dyDescent="0.2">
      <c r="A5938" s="140" t="s">
        <v>4159</v>
      </c>
      <c r="B5938" s="141">
        <v>3.6678767783563998E-4</v>
      </c>
      <c r="D5938" s="141"/>
    </row>
    <row r="5939" spans="1:4" x14ac:dyDescent="0.2">
      <c r="A5939" s="140" t="s">
        <v>8509</v>
      </c>
      <c r="B5939" s="141">
        <v>3.6650665629092E-4</v>
      </c>
      <c r="D5939" s="141"/>
    </row>
    <row r="5940" spans="1:4" x14ac:dyDescent="0.2">
      <c r="A5940" s="140" t="s">
        <v>8510</v>
      </c>
      <c r="B5940" s="141">
        <v>3.662711799123E-4</v>
      </c>
      <c r="D5940" s="141"/>
    </row>
    <row r="5941" spans="1:4" x14ac:dyDescent="0.2">
      <c r="A5941" s="140" t="s">
        <v>5225</v>
      </c>
      <c r="B5941" s="141">
        <v>3.6605011898407003E-4</v>
      </c>
      <c r="D5941" s="141"/>
    </row>
    <row r="5942" spans="1:4" x14ac:dyDescent="0.2">
      <c r="A5942" s="140" t="s">
        <v>3637</v>
      </c>
      <c r="B5942" s="141">
        <v>3.6545779632027E-4</v>
      </c>
      <c r="D5942" s="141"/>
    </row>
    <row r="5943" spans="1:4" x14ac:dyDescent="0.2">
      <c r="A5943" s="140" t="s">
        <v>2565</v>
      </c>
      <c r="B5943" s="141">
        <v>3.6533040780276001E-4</v>
      </c>
      <c r="D5943" s="141"/>
    </row>
    <row r="5944" spans="1:4" x14ac:dyDescent="0.2">
      <c r="A5944" s="140" t="s">
        <v>5173</v>
      </c>
      <c r="B5944" s="141">
        <v>3.649979619521E-4</v>
      </c>
      <c r="D5944" s="141"/>
    </row>
    <row r="5945" spans="1:4" x14ac:dyDescent="0.2">
      <c r="A5945" s="140" t="s">
        <v>4703</v>
      </c>
      <c r="B5945" s="141">
        <v>3.6486988726925002E-4</v>
      </c>
      <c r="D5945" s="141"/>
    </row>
    <row r="5946" spans="1:4" x14ac:dyDescent="0.2">
      <c r="A5946" s="140" t="s">
        <v>8511</v>
      </c>
      <c r="B5946" s="141">
        <v>3.6392962371216002E-4</v>
      </c>
      <c r="D5946" s="141"/>
    </row>
    <row r="5947" spans="1:4" x14ac:dyDescent="0.2">
      <c r="A5947" s="140" t="s">
        <v>8512</v>
      </c>
      <c r="B5947" s="141">
        <v>3.6356461663097998E-4</v>
      </c>
      <c r="D5947" s="141"/>
    </row>
    <row r="5948" spans="1:4" x14ac:dyDescent="0.2">
      <c r="A5948" s="140" t="s">
        <v>8513</v>
      </c>
      <c r="B5948" s="141">
        <v>3.6356461663097998E-4</v>
      </c>
      <c r="D5948" s="141"/>
    </row>
    <row r="5949" spans="1:4" x14ac:dyDescent="0.2">
      <c r="A5949" s="140" t="s">
        <v>8514</v>
      </c>
      <c r="B5949" s="141">
        <v>3.631245400439E-4</v>
      </c>
      <c r="D5949" s="141"/>
    </row>
    <row r="5950" spans="1:4" x14ac:dyDescent="0.2">
      <c r="A5950" s="140" t="s">
        <v>8515</v>
      </c>
      <c r="B5950" s="141">
        <v>3.6281150132369002E-4</v>
      </c>
      <c r="D5950" s="141"/>
    </row>
    <row r="5951" spans="1:4" x14ac:dyDescent="0.2">
      <c r="A5951" s="140" t="s">
        <v>8516</v>
      </c>
      <c r="B5951" s="141">
        <v>3.6252583944842E-4</v>
      </c>
      <c r="D5951" s="141"/>
    </row>
    <row r="5952" spans="1:4" x14ac:dyDescent="0.2">
      <c r="A5952" s="140" t="s">
        <v>923</v>
      </c>
      <c r="B5952" s="141">
        <v>3.6229388592932E-4</v>
      </c>
      <c r="D5952" s="141"/>
    </row>
    <row r="5953" spans="1:4" x14ac:dyDescent="0.2">
      <c r="A5953" s="140" t="s">
        <v>2627</v>
      </c>
      <c r="B5953" s="141">
        <v>3.6173989899964998E-4</v>
      </c>
      <c r="D5953" s="141"/>
    </row>
    <row r="5954" spans="1:4" x14ac:dyDescent="0.2">
      <c r="A5954" s="140" t="s">
        <v>1377</v>
      </c>
      <c r="B5954" s="141">
        <v>3.6142870521784003E-4</v>
      </c>
      <c r="D5954" s="141"/>
    </row>
    <row r="5955" spans="1:4" x14ac:dyDescent="0.2">
      <c r="A5955" s="140" t="s">
        <v>3948</v>
      </c>
      <c r="B5955" s="141">
        <v>3.6138109420673001E-4</v>
      </c>
      <c r="D5955" s="141"/>
    </row>
    <row r="5956" spans="1:4" x14ac:dyDescent="0.2">
      <c r="A5956" s="140" t="s">
        <v>8517</v>
      </c>
      <c r="B5956" s="141">
        <v>3.6116119988411E-4</v>
      </c>
      <c r="D5956" s="141"/>
    </row>
    <row r="5957" spans="1:4" x14ac:dyDescent="0.2">
      <c r="A5957" s="140" t="s">
        <v>6199</v>
      </c>
      <c r="B5957" s="141">
        <v>3.6074339255815001E-4</v>
      </c>
      <c r="D5957" s="141"/>
    </row>
    <row r="5958" spans="1:4" x14ac:dyDescent="0.2">
      <c r="A5958" s="140" t="s">
        <v>8518</v>
      </c>
      <c r="B5958" s="141">
        <v>3.6071515397124001E-4</v>
      </c>
      <c r="D5958" s="141"/>
    </row>
    <row r="5959" spans="1:4" x14ac:dyDescent="0.2">
      <c r="A5959" s="140" t="s">
        <v>391</v>
      </c>
      <c r="B5959" s="141">
        <v>3.6061502044287E-4</v>
      </c>
      <c r="D5959" s="141"/>
    </row>
    <row r="5960" spans="1:4" x14ac:dyDescent="0.2">
      <c r="A5960" s="140" t="s">
        <v>8519</v>
      </c>
      <c r="B5960" s="141">
        <v>3.6022096229332002E-4</v>
      </c>
      <c r="D5960" s="141"/>
    </row>
    <row r="5961" spans="1:4" x14ac:dyDescent="0.2">
      <c r="A5961" s="140" t="s">
        <v>8520</v>
      </c>
      <c r="B5961" s="141">
        <v>3.6018400658996999E-4</v>
      </c>
      <c r="D5961" s="141"/>
    </row>
    <row r="5962" spans="1:4" x14ac:dyDescent="0.2">
      <c r="A5962" s="140" t="s">
        <v>8521</v>
      </c>
      <c r="B5962" s="141">
        <v>3.6018400658996999E-4</v>
      </c>
      <c r="D5962" s="141"/>
    </row>
    <row r="5963" spans="1:4" x14ac:dyDescent="0.2">
      <c r="A5963" s="140" t="s">
        <v>3274</v>
      </c>
      <c r="B5963" s="141">
        <v>3.5990817951297001E-4</v>
      </c>
      <c r="D5963" s="141"/>
    </row>
    <row r="5964" spans="1:4" x14ac:dyDescent="0.2">
      <c r="A5964" s="140" t="s">
        <v>3269</v>
      </c>
      <c r="B5964" s="141">
        <v>3.5990817951297001E-4</v>
      </c>
      <c r="D5964" s="141"/>
    </row>
    <row r="5965" spans="1:4" x14ac:dyDescent="0.2">
      <c r="A5965" s="140" t="s">
        <v>4188</v>
      </c>
      <c r="B5965" s="141">
        <v>3.5984457749077E-4</v>
      </c>
      <c r="D5965" s="141"/>
    </row>
    <row r="5966" spans="1:4" x14ac:dyDescent="0.2">
      <c r="A5966" s="140" t="s">
        <v>2202</v>
      </c>
      <c r="B5966" s="141">
        <v>3.5978685881901998E-4</v>
      </c>
      <c r="D5966" s="141"/>
    </row>
    <row r="5967" spans="1:4" x14ac:dyDescent="0.2">
      <c r="A5967" s="140" t="s">
        <v>4577</v>
      </c>
      <c r="B5967" s="141">
        <v>3.5929264081938002E-4</v>
      </c>
      <c r="D5967" s="141"/>
    </row>
    <row r="5968" spans="1:4" x14ac:dyDescent="0.2">
      <c r="A5968" s="140" t="s">
        <v>649</v>
      </c>
      <c r="B5968" s="141">
        <v>3.5848017854582E-4</v>
      </c>
      <c r="D5968" s="141"/>
    </row>
    <row r="5969" spans="1:4" x14ac:dyDescent="0.2">
      <c r="A5969" s="140" t="s">
        <v>548</v>
      </c>
      <c r="B5969" s="141">
        <v>3.5791927163037E-4</v>
      </c>
      <c r="D5969" s="141"/>
    </row>
    <row r="5970" spans="1:4" x14ac:dyDescent="0.2">
      <c r="A5970" s="140" t="s">
        <v>1103</v>
      </c>
      <c r="B5970" s="141">
        <v>3.5747439166731001E-4</v>
      </c>
      <c r="D5970" s="141"/>
    </row>
    <row r="5971" spans="1:4" x14ac:dyDescent="0.2">
      <c r="A5971" s="140" t="s">
        <v>1280</v>
      </c>
      <c r="B5971" s="141">
        <v>3.5732457000182E-4</v>
      </c>
      <c r="D5971" s="141"/>
    </row>
    <row r="5972" spans="1:4" x14ac:dyDescent="0.2">
      <c r="A5972" s="140" t="s">
        <v>2086</v>
      </c>
      <c r="B5972" s="141">
        <v>3.5720410815686998E-4</v>
      </c>
      <c r="D5972" s="141"/>
    </row>
    <row r="5973" spans="1:4" x14ac:dyDescent="0.2">
      <c r="A5973" s="140" t="s">
        <v>8522</v>
      </c>
      <c r="B5973" s="141">
        <v>3.5649142970577E-4</v>
      </c>
      <c r="D5973" s="141"/>
    </row>
    <row r="5974" spans="1:4" x14ac:dyDescent="0.2">
      <c r="A5974" s="140" t="s">
        <v>8523</v>
      </c>
      <c r="B5974" s="141">
        <v>3.5649142970577E-4</v>
      </c>
      <c r="D5974" s="141"/>
    </row>
    <row r="5975" spans="1:4" x14ac:dyDescent="0.2">
      <c r="A5975" s="140" t="s">
        <v>8524</v>
      </c>
      <c r="B5975" s="141">
        <v>3.5649142970577E-4</v>
      </c>
      <c r="D5975" s="141"/>
    </row>
    <row r="5976" spans="1:4" x14ac:dyDescent="0.2">
      <c r="A5976" s="140" t="s">
        <v>4427</v>
      </c>
      <c r="B5976" s="141">
        <v>3.5607661464556999E-4</v>
      </c>
      <c r="D5976" s="141"/>
    </row>
    <row r="5977" spans="1:4" x14ac:dyDescent="0.2">
      <c r="A5977" s="140" t="s">
        <v>8525</v>
      </c>
      <c r="B5977" s="141">
        <v>3.5554053583543001E-4</v>
      </c>
      <c r="D5977" s="141"/>
    </row>
    <row r="5978" spans="1:4" x14ac:dyDescent="0.2">
      <c r="A5978" s="140" t="s">
        <v>8526</v>
      </c>
      <c r="B5978" s="141">
        <v>3.5544111484908002E-4</v>
      </c>
      <c r="D5978" s="141"/>
    </row>
    <row r="5979" spans="1:4" x14ac:dyDescent="0.2">
      <c r="A5979" s="140" t="s">
        <v>8527</v>
      </c>
      <c r="B5979" s="141">
        <v>3.5544111484908002E-4</v>
      </c>
      <c r="D5979" s="141"/>
    </row>
    <row r="5980" spans="1:4" x14ac:dyDescent="0.2">
      <c r="A5980" s="140" t="s">
        <v>8528</v>
      </c>
      <c r="B5980" s="141">
        <v>3.5544111484908002E-4</v>
      </c>
      <c r="D5980" s="141"/>
    </row>
    <row r="5981" spans="1:4" x14ac:dyDescent="0.2">
      <c r="A5981" s="140" t="s">
        <v>1934</v>
      </c>
      <c r="B5981" s="141">
        <v>3.5541508807355999E-4</v>
      </c>
      <c r="D5981" s="141"/>
    </row>
    <row r="5982" spans="1:4" x14ac:dyDescent="0.2">
      <c r="A5982" s="140" t="s">
        <v>8529</v>
      </c>
      <c r="B5982" s="141">
        <v>3.5429432726720997E-4</v>
      </c>
      <c r="D5982" s="141"/>
    </row>
    <row r="5983" spans="1:4" x14ac:dyDescent="0.2">
      <c r="A5983" s="140" t="s">
        <v>5231</v>
      </c>
      <c r="B5983" s="141">
        <v>3.5279595548364E-4</v>
      </c>
      <c r="D5983" s="141"/>
    </row>
    <row r="5984" spans="1:4" x14ac:dyDescent="0.2">
      <c r="A5984" s="140" t="s">
        <v>2889</v>
      </c>
      <c r="B5984" s="141">
        <v>3.5255661848842E-4</v>
      </c>
      <c r="D5984" s="141"/>
    </row>
    <row r="5985" spans="1:4" x14ac:dyDescent="0.2">
      <c r="A5985" s="140" t="s">
        <v>8530</v>
      </c>
      <c r="B5985" s="141">
        <v>3.5234607321262999E-4</v>
      </c>
      <c r="D5985" s="141"/>
    </row>
    <row r="5986" spans="1:4" x14ac:dyDescent="0.2">
      <c r="A5986" s="140" t="s">
        <v>8531</v>
      </c>
      <c r="B5986" s="141">
        <v>3.5204199612263001E-4</v>
      </c>
      <c r="D5986" s="141"/>
    </row>
    <row r="5987" spans="1:4" x14ac:dyDescent="0.2">
      <c r="A5987" s="140" t="s">
        <v>8532</v>
      </c>
      <c r="B5987" s="141">
        <v>3.5169454404567E-4</v>
      </c>
      <c r="D5987" s="141"/>
    </row>
    <row r="5988" spans="1:4" x14ac:dyDescent="0.2">
      <c r="A5988" s="140" t="s">
        <v>8533</v>
      </c>
      <c r="B5988" s="141">
        <v>3.5124849420481999E-4</v>
      </c>
      <c r="D5988" s="141"/>
    </row>
    <row r="5989" spans="1:4" x14ac:dyDescent="0.2">
      <c r="A5989" s="140" t="s">
        <v>8534</v>
      </c>
      <c r="B5989" s="141">
        <v>3.5124849420481999E-4</v>
      </c>
      <c r="D5989" s="141"/>
    </row>
    <row r="5990" spans="1:4" x14ac:dyDescent="0.2">
      <c r="A5990" s="140" t="s">
        <v>6178</v>
      </c>
      <c r="B5990" s="141">
        <v>3.5124849420481999E-4</v>
      </c>
      <c r="D5990" s="141"/>
    </row>
    <row r="5991" spans="1:4" x14ac:dyDescent="0.2">
      <c r="A5991" s="140" t="s">
        <v>3442</v>
      </c>
      <c r="B5991" s="141">
        <v>3.5124849420481999E-4</v>
      </c>
      <c r="D5991" s="141"/>
    </row>
    <row r="5992" spans="1:4" x14ac:dyDescent="0.2">
      <c r="A5992" s="140" t="s">
        <v>1427</v>
      </c>
      <c r="B5992" s="141">
        <v>3.5113262085441002E-4</v>
      </c>
      <c r="D5992" s="141"/>
    </row>
    <row r="5993" spans="1:4" x14ac:dyDescent="0.2">
      <c r="A5993" s="140" t="s">
        <v>2668</v>
      </c>
      <c r="B5993" s="141">
        <v>3.5068840725508002E-4</v>
      </c>
      <c r="D5993" s="141"/>
    </row>
    <row r="5994" spans="1:4" x14ac:dyDescent="0.2">
      <c r="A5994" s="140" t="s">
        <v>5710</v>
      </c>
      <c r="B5994" s="141">
        <v>3.5045417822832998E-4</v>
      </c>
      <c r="D5994" s="141"/>
    </row>
    <row r="5995" spans="1:4" x14ac:dyDescent="0.2">
      <c r="A5995" s="140" t="s">
        <v>614</v>
      </c>
      <c r="B5995" s="141">
        <v>3.4996275898271998E-4</v>
      </c>
      <c r="D5995" s="141"/>
    </row>
    <row r="5996" spans="1:4" x14ac:dyDescent="0.2">
      <c r="A5996" s="140" t="s">
        <v>8535</v>
      </c>
      <c r="B5996" s="141">
        <v>3.4961272343327998E-4</v>
      </c>
      <c r="D5996" s="141"/>
    </row>
    <row r="5997" spans="1:4" x14ac:dyDescent="0.2">
      <c r="A5997" s="140" t="s">
        <v>8536</v>
      </c>
      <c r="B5997" s="141">
        <v>3.4898075262874002E-4</v>
      </c>
      <c r="D5997" s="141"/>
    </row>
    <row r="5998" spans="1:4" x14ac:dyDescent="0.2">
      <c r="A5998" s="140" t="s">
        <v>8537</v>
      </c>
      <c r="B5998" s="141">
        <v>3.4898075262874002E-4</v>
      </c>
      <c r="D5998" s="141"/>
    </row>
    <row r="5999" spans="1:4" x14ac:dyDescent="0.2">
      <c r="A5999" s="140" t="s">
        <v>714</v>
      </c>
      <c r="B5999" s="141">
        <v>3.4871333965093998E-4</v>
      </c>
      <c r="D5999" s="141"/>
    </row>
    <row r="6000" spans="1:4" x14ac:dyDescent="0.2">
      <c r="A6000" s="140" t="s">
        <v>4177</v>
      </c>
      <c r="B6000" s="141">
        <v>3.4865328931001001E-4</v>
      </c>
      <c r="D6000" s="141"/>
    </row>
    <row r="6001" spans="1:4" x14ac:dyDescent="0.2">
      <c r="A6001" s="140" t="s">
        <v>4916</v>
      </c>
      <c r="B6001" s="141">
        <v>3.4841470992225999E-4</v>
      </c>
      <c r="D6001" s="141"/>
    </row>
    <row r="6002" spans="1:4" x14ac:dyDescent="0.2">
      <c r="A6002" s="140" t="s">
        <v>5847</v>
      </c>
      <c r="B6002" s="141">
        <v>3.4800335454348999E-4</v>
      </c>
      <c r="D6002" s="141"/>
    </row>
    <row r="6003" spans="1:4" x14ac:dyDescent="0.2">
      <c r="A6003" s="140" t="s">
        <v>6310</v>
      </c>
      <c r="B6003" s="141">
        <v>3.4793126489298E-4</v>
      </c>
      <c r="D6003" s="141"/>
    </row>
    <row r="6004" spans="1:4" x14ac:dyDescent="0.2">
      <c r="A6004" s="140" t="s">
        <v>512</v>
      </c>
      <c r="B6004" s="141">
        <v>3.4754209572417002E-4</v>
      </c>
      <c r="D6004" s="141"/>
    </row>
    <row r="6005" spans="1:4" x14ac:dyDescent="0.2">
      <c r="A6005" s="140" t="s">
        <v>8538</v>
      </c>
      <c r="B6005" s="141">
        <v>3.4743402038895998E-4</v>
      </c>
      <c r="D6005" s="141"/>
    </row>
    <row r="6006" spans="1:4" x14ac:dyDescent="0.2">
      <c r="A6006" s="140" t="s">
        <v>603</v>
      </c>
      <c r="B6006" s="141">
        <v>3.4723089197934002E-4</v>
      </c>
      <c r="D6006" s="141"/>
    </row>
    <row r="6007" spans="1:4" x14ac:dyDescent="0.2">
      <c r="A6007" s="140" t="s">
        <v>4566</v>
      </c>
      <c r="B6007" s="141">
        <v>3.472096288833E-4</v>
      </c>
      <c r="D6007" s="141"/>
    </row>
    <row r="6008" spans="1:4" x14ac:dyDescent="0.2">
      <c r="A6008" s="140" t="s">
        <v>1367</v>
      </c>
      <c r="B6008" s="141">
        <v>3.4681336377418001E-4</v>
      </c>
      <c r="D6008" s="141"/>
    </row>
    <row r="6009" spans="1:4" x14ac:dyDescent="0.2">
      <c r="A6009" s="140" t="s">
        <v>2788</v>
      </c>
      <c r="B6009" s="141">
        <v>3.4666327836670998E-4</v>
      </c>
      <c r="D6009" s="141"/>
    </row>
    <row r="6010" spans="1:4" x14ac:dyDescent="0.2">
      <c r="A6010" s="140" t="s">
        <v>5476</v>
      </c>
      <c r="B6010" s="141">
        <v>3.4651287644913001E-4</v>
      </c>
      <c r="D6010" s="141"/>
    </row>
    <row r="6011" spans="1:4" x14ac:dyDescent="0.2">
      <c r="A6011" s="140" t="s">
        <v>5993</v>
      </c>
      <c r="B6011" s="141">
        <v>3.4578706131338998E-4</v>
      </c>
      <c r="D6011" s="141"/>
    </row>
    <row r="6012" spans="1:4" x14ac:dyDescent="0.2">
      <c r="A6012" s="140" t="s">
        <v>8539</v>
      </c>
      <c r="B6012" s="141">
        <v>3.4578706131338998E-4</v>
      </c>
      <c r="D6012" s="141"/>
    </row>
    <row r="6013" spans="1:4" x14ac:dyDescent="0.2">
      <c r="A6013" s="140" t="s">
        <v>8540</v>
      </c>
      <c r="B6013" s="141">
        <v>3.4578706131338998E-4</v>
      </c>
      <c r="D6013" s="141"/>
    </row>
    <row r="6014" spans="1:4" x14ac:dyDescent="0.2">
      <c r="A6014" s="140" t="s">
        <v>8541</v>
      </c>
      <c r="B6014" s="141">
        <v>3.4532382670829001E-4</v>
      </c>
      <c r="D6014" s="141"/>
    </row>
    <row r="6015" spans="1:4" x14ac:dyDescent="0.2">
      <c r="A6015" s="140" t="s">
        <v>1638</v>
      </c>
      <c r="B6015" s="141">
        <v>3.4498927389871998E-4</v>
      </c>
      <c r="D6015" s="141"/>
    </row>
    <row r="6016" spans="1:4" x14ac:dyDescent="0.2">
      <c r="A6016" s="140" t="s">
        <v>5875</v>
      </c>
      <c r="B6016" s="141">
        <v>3.4471342526204998E-4</v>
      </c>
      <c r="D6016" s="141"/>
    </row>
    <row r="6017" spans="1:4" x14ac:dyDescent="0.2">
      <c r="A6017" s="140" t="s">
        <v>3700</v>
      </c>
      <c r="B6017" s="141">
        <v>3.4448064951830002E-4</v>
      </c>
      <c r="D6017" s="141"/>
    </row>
    <row r="6018" spans="1:4" x14ac:dyDescent="0.2">
      <c r="A6018" s="140" t="s">
        <v>4822</v>
      </c>
      <c r="B6018" s="141">
        <v>3.4387615475829999E-4</v>
      </c>
      <c r="D6018" s="141"/>
    </row>
    <row r="6019" spans="1:4" x14ac:dyDescent="0.2">
      <c r="A6019" s="140" t="s">
        <v>4970</v>
      </c>
      <c r="B6019" s="141">
        <v>3.4297584124686999E-4</v>
      </c>
      <c r="D6019" s="141"/>
    </row>
    <row r="6020" spans="1:4" x14ac:dyDescent="0.2">
      <c r="A6020" s="140" t="s">
        <v>678</v>
      </c>
      <c r="B6020" s="141">
        <v>3.4275986443779998E-4</v>
      </c>
      <c r="D6020" s="141"/>
    </row>
    <row r="6021" spans="1:4" x14ac:dyDescent="0.2">
      <c r="A6021" s="140" t="s">
        <v>4124</v>
      </c>
      <c r="B6021" s="141">
        <v>3.4224611468567002E-4</v>
      </c>
      <c r="D6021" s="141"/>
    </row>
    <row r="6022" spans="1:4" x14ac:dyDescent="0.2">
      <c r="A6022" s="140" t="s">
        <v>8542</v>
      </c>
      <c r="B6022" s="141">
        <v>3.4151730314521998E-4</v>
      </c>
      <c r="D6022" s="141"/>
    </row>
    <row r="6023" spans="1:4" x14ac:dyDescent="0.2">
      <c r="A6023" s="140" t="s">
        <v>8543</v>
      </c>
      <c r="B6023" s="141">
        <v>3.4129146908963998E-4</v>
      </c>
      <c r="D6023" s="141"/>
    </row>
    <row r="6024" spans="1:4" x14ac:dyDescent="0.2">
      <c r="A6024" s="140" t="s">
        <v>8544</v>
      </c>
      <c r="B6024" s="141">
        <v>3.4106758089674999E-4</v>
      </c>
      <c r="D6024" s="141"/>
    </row>
    <row r="6025" spans="1:4" x14ac:dyDescent="0.2">
      <c r="A6025" s="140" t="s">
        <v>4474</v>
      </c>
      <c r="B6025" s="141">
        <v>3.4078749561993003E-4</v>
      </c>
      <c r="D6025" s="141"/>
    </row>
    <row r="6026" spans="1:4" x14ac:dyDescent="0.2">
      <c r="A6026" s="140" t="s">
        <v>2062</v>
      </c>
      <c r="B6026" s="141">
        <v>3.4077188741248E-4</v>
      </c>
      <c r="D6026" s="141"/>
    </row>
    <row r="6027" spans="1:4" x14ac:dyDescent="0.2">
      <c r="A6027" s="140" t="s">
        <v>2502</v>
      </c>
      <c r="B6027" s="141">
        <v>3.4067404238035998E-4</v>
      </c>
      <c r="D6027" s="141"/>
    </row>
    <row r="6028" spans="1:4" x14ac:dyDescent="0.2">
      <c r="A6028" s="140" t="s">
        <v>8545</v>
      </c>
      <c r="B6028" s="141">
        <v>3.4053947639410998E-4</v>
      </c>
      <c r="D6028" s="141"/>
    </row>
    <row r="6029" spans="1:4" x14ac:dyDescent="0.2">
      <c r="A6029" s="140" t="s">
        <v>5052</v>
      </c>
      <c r="B6029" s="141">
        <v>3.4053947639410998E-4</v>
      </c>
      <c r="D6029" s="141"/>
    </row>
    <row r="6030" spans="1:4" x14ac:dyDescent="0.2">
      <c r="A6030" s="140" t="s">
        <v>8546</v>
      </c>
      <c r="B6030" s="141">
        <v>3.4053947639410998E-4</v>
      </c>
      <c r="D6030" s="141"/>
    </row>
    <row r="6031" spans="1:4" x14ac:dyDescent="0.2">
      <c r="A6031" s="140" t="s">
        <v>8547</v>
      </c>
      <c r="B6031" s="141">
        <v>3.4037906050139001E-4</v>
      </c>
      <c r="D6031" s="141"/>
    </row>
    <row r="6032" spans="1:4" x14ac:dyDescent="0.2">
      <c r="A6032" s="140" t="s">
        <v>6301</v>
      </c>
      <c r="B6032" s="141">
        <v>3.4037906050139001E-4</v>
      </c>
      <c r="D6032" s="141"/>
    </row>
    <row r="6033" spans="1:4" x14ac:dyDescent="0.2">
      <c r="A6033" s="140" t="s">
        <v>1396</v>
      </c>
      <c r="B6033" s="141">
        <v>3.4034134602280001E-4</v>
      </c>
      <c r="D6033" s="141"/>
    </row>
    <row r="6034" spans="1:4" x14ac:dyDescent="0.2">
      <c r="A6034" s="140" t="s">
        <v>3849</v>
      </c>
      <c r="B6034" s="141">
        <v>3.4014866909753998E-4</v>
      </c>
      <c r="D6034" s="141"/>
    </row>
    <row r="6035" spans="1:4" x14ac:dyDescent="0.2">
      <c r="A6035" s="140" t="s">
        <v>6154</v>
      </c>
      <c r="B6035" s="141">
        <v>3.3910786300093997E-4</v>
      </c>
      <c r="D6035" s="141"/>
    </row>
    <row r="6036" spans="1:4" x14ac:dyDescent="0.2">
      <c r="A6036" s="140" t="s">
        <v>8548</v>
      </c>
      <c r="B6036" s="141">
        <v>3.3905431118320999E-4</v>
      </c>
      <c r="D6036" s="141"/>
    </row>
    <row r="6037" spans="1:4" x14ac:dyDescent="0.2">
      <c r="A6037" s="140" t="s">
        <v>4765</v>
      </c>
      <c r="B6037" s="141">
        <v>3.3893791409659002E-4</v>
      </c>
      <c r="D6037" s="141"/>
    </row>
    <row r="6038" spans="1:4" x14ac:dyDescent="0.2">
      <c r="A6038" s="140" t="s">
        <v>2551</v>
      </c>
      <c r="B6038" s="141">
        <v>3.3790265313071E-4</v>
      </c>
      <c r="D6038" s="141"/>
    </row>
    <row r="6039" spans="1:4" x14ac:dyDescent="0.2">
      <c r="A6039" s="140" t="s">
        <v>8549</v>
      </c>
      <c r="B6039" s="141">
        <v>3.3768067789028002E-4</v>
      </c>
      <c r="D6039" s="141"/>
    </row>
    <row r="6040" spans="1:4" x14ac:dyDescent="0.2">
      <c r="A6040" s="140" t="s">
        <v>2902</v>
      </c>
      <c r="B6040" s="141">
        <v>3.3749271300689002E-4</v>
      </c>
      <c r="D6040" s="141"/>
    </row>
    <row r="6041" spans="1:4" x14ac:dyDescent="0.2">
      <c r="A6041" s="140" t="s">
        <v>3487</v>
      </c>
      <c r="B6041" s="141">
        <v>3.3697321030443003E-4</v>
      </c>
      <c r="D6041" s="141"/>
    </row>
    <row r="6042" spans="1:4" x14ac:dyDescent="0.2">
      <c r="A6042" s="140" t="s">
        <v>8550</v>
      </c>
      <c r="B6042" s="141">
        <v>3.3696958502817999E-4</v>
      </c>
      <c r="D6042" s="141"/>
    </row>
    <row r="6043" spans="1:4" x14ac:dyDescent="0.2">
      <c r="A6043" s="140" t="s">
        <v>8551</v>
      </c>
      <c r="B6043" s="141">
        <v>3.3691058335660998E-4</v>
      </c>
      <c r="D6043" s="141"/>
    </row>
    <row r="6044" spans="1:4" x14ac:dyDescent="0.2">
      <c r="A6044" s="140" t="s">
        <v>5405</v>
      </c>
      <c r="B6044" s="141">
        <v>3.3673541386958997E-4</v>
      </c>
      <c r="D6044" s="141"/>
    </row>
    <row r="6045" spans="1:4" x14ac:dyDescent="0.2">
      <c r="A6045" s="140" t="s">
        <v>5622</v>
      </c>
      <c r="B6045" s="141">
        <v>3.3659029562216E-4</v>
      </c>
      <c r="D6045" s="141"/>
    </row>
    <row r="6046" spans="1:4" x14ac:dyDescent="0.2">
      <c r="A6046" s="140" t="s">
        <v>8552</v>
      </c>
      <c r="B6046" s="141">
        <v>3.3649686272512998E-4</v>
      </c>
      <c r="D6046" s="141"/>
    </row>
    <row r="6047" spans="1:4" x14ac:dyDescent="0.2">
      <c r="A6047" s="140" t="s">
        <v>8553</v>
      </c>
      <c r="B6047" s="141">
        <v>3.3591636783893001E-4</v>
      </c>
      <c r="D6047" s="141"/>
    </row>
    <row r="6048" spans="1:4" x14ac:dyDescent="0.2">
      <c r="A6048" s="140" t="s">
        <v>5547</v>
      </c>
      <c r="B6048" s="141">
        <v>3.3571647270243E-4</v>
      </c>
      <c r="D6048" s="141"/>
    </row>
    <row r="6049" spans="1:4" x14ac:dyDescent="0.2">
      <c r="A6049" s="140" t="s">
        <v>8554</v>
      </c>
      <c r="B6049" s="141">
        <v>3.3520251232532002E-4</v>
      </c>
      <c r="D6049" s="141"/>
    </row>
    <row r="6050" spans="1:4" x14ac:dyDescent="0.2">
      <c r="A6050" s="140" t="s">
        <v>5740</v>
      </c>
      <c r="B6050" s="141">
        <v>3.3488327231754998E-4</v>
      </c>
      <c r="D6050" s="141"/>
    </row>
    <row r="6051" spans="1:4" x14ac:dyDescent="0.2">
      <c r="A6051" s="140" t="s">
        <v>369</v>
      </c>
      <c r="B6051" s="141">
        <v>3.3484496233901002E-4</v>
      </c>
      <c r="D6051" s="141"/>
    </row>
    <row r="6052" spans="1:4" x14ac:dyDescent="0.2">
      <c r="A6052" s="140" t="s">
        <v>3369</v>
      </c>
      <c r="B6052" s="141">
        <v>3.3445562955646999E-4</v>
      </c>
      <c r="D6052" s="141"/>
    </row>
    <row r="6053" spans="1:4" x14ac:dyDescent="0.2">
      <c r="A6053" s="140" t="s">
        <v>8555</v>
      </c>
      <c r="B6053" s="141">
        <v>3.3410960570755998E-4</v>
      </c>
      <c r="D6053" s="141"/>
    </row>
    <row r="6054" spans="1:4" x14ac:dyDescent="0.2">
      <c r="A6054" s="140" t="s">
        <v>8556</v>
      </c>
      <c r="B6054" s="141">
        <v>3.3404227922793998E-4</v>
      </c>
      <c r="D6054" s="141"/>
    </row>
    <row r="6055" spans="1:4" x14ac:dyDescent="0.2">
      <c r="A6055" s="140" t="s">
        <v>8557</v>
      </c>
      <c r="B6055" s="141">
        <v>3.3374060225449E-4</v>
      </c>
      <c r="D6055" s="141"/>
    </row>
    <row r="6056" spans="1:4" x14ac:dyDescent="0.2">
      <c r="A6056" s="140" t="s">
        <v>3359</v>
      </c>
      <c r="B6056" s="141">
        <v>3.3368547638328998E-4</v>
      </c>
      <c r="D6056" s="141"/>
    </row>
    <row r="6057" spans="1:4" x14ac:dyDescent="0.2">
      <c r="A6057" s="140" t="s">
        <v>3415</v>
      </c>
      <c r="B6057" s="141">
        <v>3.3360641630094003E-4</v>
      </c>
      <c r="D6057" s="141"/>
    </row>
    <row r="6058" spans="1:4" x14ac:dyDescent="0.2">
      <c r="A6058" s="140" t="s">
        <v>8558</v>
      </c>
      <c r="B6058" s="141">
        <v>3.3356012790115998E-4</v>
      </c>
      <c r="D6058" s="141"/>
    </row>
    <row r="6059" spans="1:4" x14ac:dyDescent="0.2">
      <c r="A6059" s="140" t="s">
        <v>8559</v>
      </c>
      <c r="B6059" s="141">
        <v>3.3353846126447001E-4</v>
      </c>
      <c r="D6059" s="141"/>
    </row>
    <row r="6060" spans="1:4" x14ac:dyDescent="0.2">
      <c r="A6060" s="140" t="s">
        <v>8560</v>
      </c>
      <c r="B6060" s="141">
        <v>3.3326094613758E-4</v>
      </c>
      <c r="D6060" s="141"/>
    </row>
    <row r="6061" spans="1:4" x14ac:dyDescent="0.2">
      <c r="A6061" s="140" t="s">
        <v>4247</v>
      </c>
      <c r="B6061" s="141">
        <v>3.3307866511072002E-4</v>
      </c>
      <c r="D6061" s="141"/>
    </row>
    <row r="6062" spans="1:4" x14ac:dyDescent="0.2">
      <c r="A6062" s="140" t="s">
        <v>1167</v>
      </c>
      <c r="B6062" s="141">
        <v>3.3300962305063999E-4</v>
      </c>
      <c r="D6062" s="141"/>
    </row>
    <row r="6063" spans="1:4" x14ac:dyDescent="0.2">
      <c r="A6063" s="140" t="s">
        <v>8561</v>
      </c>
      <c r="B6063" s="141">
        <v>3.3285477857886002E-4</v>
      </c>
      <c r="D6063" s="141"/>
    </row>
    <row r="6064" spans="1:4" x14ac:dyDescent="0.2">
      <c r="A6064" s="140" t="s">
        <v>8562</v>
      </c>
      <c r="B6064" s="141">
        <v>3.3285477857886002E-4</v>
      </c>
      <c r="D6064" s="141"/>
    </row>
    <row r="6065" spans="1:4" x14ac:dyDescent="0.2">
      <c r="A6065" s="140" t="s">
        <v>4129</v>
      </c>
      <c r="B6065" s="141">
        <v>3.3270900603188998E-4</v>
      </c>
      <c r="D6065" s="141"/>
    </row>
    <row r="6066" spans="1:4" x14ac:dyDescent="0.2">
      <c r="A6066" s="140" t="s">
        <v>3659</v>
      </c>
      <c r="B6066" s="141">
        <v>3.3186340692221002E-4</v>
      </c>
      <c r="D6066" s="141"/>
    </row>
    <row r="6067" spans="1:4" x14ac:dyDescent="0.2">
      <c r="A6067" s="140" t="s">
        <v>4438</v>
      </c>
      <c r="B6067" s="141">
        <v>3.3186271699848E-4</v>
      </c>
      <c r="D6067" s="141"/>
    </row>
    <row r="6068" spans="1:4" x14ac:dyDescent="0.2">
      <c r="A6068" s="140" t="s">
        <v>8563</v>
      </c>
      <c r="B6068" s="141">
        <v>3.3166001073933E-4</v>
      </c>
      <c r="D6068" s="141"/>
    </row>
    <row r="6069" spans="1:4" x14ac:dyDescent="0.2">
      <c r="A6069" s="140" t="s">
        <v>4366</v>
      </c>
      <c r="B6069" s="141">
        <v>3.3146060540945E-4</v>
      </c>
      <c r="D6069" s="141"/>
    </row>
    <row r="6070" spans="1:4" x14ac:dyDescent="0.2">
      <c r="A6070" s="140" t="s">
        <v>821</v>
      </c>
      <c r="B6070" s="141">
        <v>3.3142459012040998E-4</v>
      </c>
      <c r="D6070" s="141"/>
    </row>
    <row r="6071" spans="1:4" x14ac:dyDescent="0.2">
      <c r="A6071" s="140" t="s">
        <v>8564</v>
      </c>
      <c r="B6071" s="141">
        <v>3.3115129608070999E-4</v>
      </c>
      <c r="D6071" s="141"/>
    </row>
    <row r="6072" spans="1:4" x14ac:dyDescent="0.2">
      <c r="A6072" s="140" t="s">
        <v>8565</v>
      </c>
      <c r="B6072" s="141">
        <v>3.3105568103012001E-4</v>
      </c>
      <c r="D6072" s="141"/>
    </row>
    <row r="6073" spans="1:4" x14ac:dyDescent="0.2">
      <c r="A6073" s="140" t="s">
        <v>8566</v>
      </c>
      <c r="B6073" s="141">
        <v>3.3065337029598998E-4</v>
      </c>
      <c r="D6073" s="141"/>
    </row>
    <row r="6074" spans="1:4" x14ac:dyDescent="0.2">
      <c r="A6074" s="140" t="s">
        <v>2137</v>
      </c>
      <c r="B6074" s="141">
        <v>3.3048248180389002E-4</v>
      </c>
      <c r="D6074" s="141"/>
    </row>
    <row r="6075" spans="1:4" x14ac:dyDescent="0.2">
      <c r="A6075" s="140" t="s">
        <v>775</v>
      </c>
      <c r="B6075" s="141">
        <v>3.3031099501659001E-4</v>
      </c>
      <c r="D6075" s="141"/>
    </row>
    <row r="6076" spans="1:4" x14ac:dyDescent="0.2">
      <c r="A6076" s="140" t="s">
        <v>3184</v>
      </c>
      <c r="B6076" s="141">
        <v>3.2873050144361E-4</v>
      </c>
      <c r="D6076" s="141"/>
    </row>
    <row r="6077" spans="1:4" x14ac:dyDescent="0.2">
      <c r="A6077" s="140" t="s">
        <v>8567</v>
      </c>
      <c r="B6077" s="141">
        <v>3.2867083295174001E-4</v>
      </c>
      <c r="D6077" s="141"/>
    </row>
    <row r="6078" spans="1:4" x14ac:dyDescent="0.2">
      <c r="A6078" s="140" t="s">
        <v>3895</v>
      </c>
      <c r="B6078" s="141">
        <v>3.2805045498427002E-4</v>
      </c>
      <c r="D6078" s="141"/>
    </row>
    <row r="6079" spans="1:4" x14ac:dyDescent="0.2">
      <c r="A6079" s="140" t="s">
        <v>4931</v>
      </c>
      <c r="B6079" s="141">
        <v>3.2777402707499001E-4</v>
      </c>
      <c r="D6079" s="141"/>
    </row>
    <row r="6080" spans="1:4" x14ac:dyDescent="0.2">
      <c r="A6080" s="140" t="s">
        <v>8568</v>
      </c>
      <c r="B6080" s="141">
        <v>3.2735287427555001E-4</v>
      </c>
      <c r="D6080" s="141"/>
    </row>
    <row r="6081" spans="1:4" x14ac:dyDescent="0.2">
      <c r="A6081" s="140" t="s">
        <v>1344</v>
      </c>
      <c r="B6081" s="141">
        <v>3.2682947989465E-4</v>
      </c>
      <c r="D6081" s="141"/>
    </row>
    <row r="6082" spans="1:4" x14ac:dyDescent="0.2">
      <c r="A6082" s="140" t="s">
        <v>8569</v>
      </c>
      <c r="B6082" s="141">
        <v>3.2664167068451001E-4</v>
      </c>
      <c r="D6082" s="141"/>
    </row>
    <row r="6083" spans="1:4" x14ac:dyDescent="0.2">
      <c r="A6083" s="140" t="s">
        <v>8570</v>
      </c>
      <c r="B6083" s="141">
        <v>3.2589229932784998E-4</v>
      </c>
      <c r="D6083" s="141"/>
    </row>
    <row r="6084" spans="1:4" x14ac:dyDescent="0.2">
      <c r="A6084" s="140" t="s">
        <v>4228</v>
      </c>
      <c r="B6084" s="141">
        <v>3.2521776152949001E-4</v>
      </c>
      <c r="D6084" s="141"/>
    </row>
    <row r="6085" spans="1:4" x14ac:dyDescent="0.2">
      <c r="A6085" s="140" t="s">
        <v>8571</v>
      </c>
      <c r="B6085" s="141">
        <v>3.2509019478349E-4</v>
      </c>
      <c r="D6085" s="141"/>
    </row>
    <row r="6086" spans="1:4" x14ac:dyDescent="0.2">
      <c r="A6086" s="140" t="s">
        <v>1994</v>
      </c>
      <c r="B6086" s="141">
        <v>3.2474114683338001E-4</v>
      </c>
      <c r="D6086" s="141"/>
    </row>
    <row r="6087" spans="1:4" x14ac:dyDescent="0.2">
      <c r="A6087" s="140" t="s">
        <v>886</v>
      </c>
      <c r="B6087" s="141">
        <v>3.2471662047711003E-4</v>
      </c>
      <c r="D6087" s="141"/>
    </row>
    <row r="6088" spans="1:4" x14ac:dyDescent="0.2">
      <c r="A6088" s="140" t="s">
        <v>2367</v>
      </c>
      <c r="B6088" s="141">
        <v>3.2446460862560998E-4</v>
      </c>
      <c r="D6088" s="141"/>
    </row>
    <row r="6089" spans="1:4" x14ac:dyDescent="0.2">
      <c r="A6089" s="140" t="s">
        <v>8572</v>
      </c>
      <c r="B6089" s="141">
        <v>3.2439387518956998E-4</v>
      </c>
      <c r="D6089" s="141"/>
    </row>
    <row r="6090" spans="1:4" x14ac:dyDescent="0.2">
      <c r="A6090" s="140" t="s">
        <v>8573</v>
      </c>
      <c r="B6090" s="141">
        <v>3.2439387518956998E-4</v>
      </c>
      <c r="D6090" s="141"/>
    </row>
    <row r="6091" spans="1:4" x14ac:dyDescent="0.2">
      <c r="A6091" s="140" t="s">
        <v>8574</v>
      </c>
      <c r="B6091" s="141">
        <v>3.2439387518956998E-4</v>
      </c>
      <c r="D6091" s="141"/>
    </row>
    <row r="6092" spans="1:4" x14ac:dyDescent="0.2">
      <c r="A6092" s="140" t="s">
        <v>4695</v>
      </c>
      <c r="B6092" s="141">
        <v>3.2409305490431001E-4</v>
      </c>
      <c r="D6092" s="141"/>
    </row>
    <row r="6093" spans="1:4" x14ac:dyDescent="0.2">
      <c r="A6093" s="140" t="s">
        <v>1725</v>
      </c>
      <c r="B6093" s="141">
        <v>3.2355021513496001E-4</v>
      </c>
      <c r="D6093" s="141"/>
    </row>
    <row r="6094" spans="1:4" x14ac:dyDescent="0.2">
      <c r="A6094" s="140" t="s">
        <v>1712</v>
      </c>
      <c r="B6094" s="141">
        <v>3.2355021513496001E-4</v>
      </c>
      <c r="D6094" s="141"/>
    </row>
    <row r="6095" spans="1:4" x14ac:dyDescent="0.2">
      <c r="A6095" s="140" t="s">
        <v>6348</v>
      </c>
      <c r="B6095" s="141">
        <v>3.2325756410557998E-4</v>
      </c>
      <c r="D6095" s="141"/>
    </row>
    <row r="6096" spans="1:4" x14ac:dyDescent="0.2">
      <c r="A6096" s="140" t="s">
        <v>1605</v>
      </c>
      <c r="B6096" s="141">
        <v>3.2304245207778E-4</v>
      </c>
      <c r="D6096" s="141"/>
    </row>
    <row r="6097" spans="1:4" x14ac:dyDescent="0.2">
      <c r="A6097" s="140" t="s">
        <v>8575</v>
      </c>
      <c r="B6097" s="141">
        <v>3.2295848853358E-4</v>
      </c>
      <c r="D6097" s="141"/>
    </row>
    <row r="6098" spans="1:4" x14ac:dyDescent="0.2">
      <c r="A6098" s="140" t="s">
        <v>5769</v>
      </c>
      <c r="B6098" s="141">
        <v>3.2258127704057002E-4</v>
      </c>
      <c r="D6098" s="141"/>
    </row>
    <row r="6099" spans="1:4" x14ac:dyDescent="0.2">
      <c r="A6099" s="140" t="s">
        <v>8576</v>
      </c>
      <c r="B6099" s="141">
        <v>3.2242783890926001E-4</v>
      </c>
      <c r="D6099" s="141"/>
    </row>
    <row r="6100" spans="1:4" x14ac:dyDescent="0.2">
      <c r="A6100" s="140" t="s">
        <v>1226</v>
      </c>
      <c r="B6100" s="141">
        <v>3.2242678556551E-4</v>
      </c>
      <c r="D6100" s="141"/>
    </row>
    <row r="6101" spans="1:4" x14ac:dyDescent="0.2">
      <c r="A6101" s="140" t="s">
        <v>6308</v>
      </c>
      <c r="B6101" s="141">
        <v>3.2199708121390997E-4</v>
      </c>
      <c r="D6101" s="141"/>
    </row>
    <row r="6102" spans="1:4" x14ac:dyDescent="0.2">
      <c r="A6102" s="140" t="s">
        <v>2492</v>
      </c>
      <c r="B6102" s="141">
        <v>3.2186143392593999E-4</v>
      </c>
      <c r="D6102" s="141"/>
    </row>
    <row r="6103" spans="1:4" x14ac:dyDescent="0.2">
      <c r="A6103" s="140" t="s">
        <v>1865</v>
      </c>
      <c r="B6103" s="141">
        <v>3.2111360820503E-4</v>
      </c>
      <c r="D6103" s="141"/>
    </row>
    <row r="6104" spans="1:4" x14ac:dyDescent="0.2">
      <c r="A6104" s="140" t="s">
        <v>8577</v>
      </c>
      <c r="B6104" s="141">
        <v>3.2072249577566001E-4</v>
      </c>
      <c r="D6104" s="141"/>
    </row>
    <row r="6105" spans="1:4" x14ac:dyDescent="0.2">
      <c r="A6105" s="140" t="s">
        <v>738</v>
      </c>
      <c r="B6105" s="141">
        <v>3.2020530531203E-4</v>
      </c>
      <c r="D6105" s="141"/>
    </row>
    <row r="6106" spans="1:4" x14ac:dyDescent="0.2">
      <c r="A6106" s="140" t="s">
        <v>2841</v>
      </c>
      <c r="B6106" s="141">
        <v>3.1902463962581997E-4</v>
      </c>
      <c r="D6106" s="141"/>
    </row>
    <row r="6107" spans="1:4" x14ac:dyDescent="0.2">
      <c r="A6107" s="140" t="s">
        <v>8578</v>
      </c>
      <c r="B6107" s="141">
        <v>3.1891446808137E-4</v>
      </c>
      <c r="D6107" s="141"/>
    </row>
    <row r="6108" spans="1:4" x14ac:dyDescent="0.2">
      <c r="A6108" s="140" t="s">
        <v>8579</v>
      </c>
      <c r="B6108" s="141">
        <v>3.1823172152294001E-4</v>
      </c>
      <c r="D6108" s="141"/>
    </row>
    <row r="6109" spans="1:4" x14ac:dyDescent="0.2">
      <c r="A6109" s="140" t="s">
        <v>5727</v>
      </c>
      <c r="B6109" s="141">
        <v>3.1781795987901999E-4</v>
      </c>
      <c r="D6109" s="141"/>
    </row>
    <row r="6110" spans="1:4" x14ac:dyDescent="0.2">
      <c r="A6110" s="140" t="s">
        <v>4411</v>
      </c>
      <c r="B6110" s="141">
        <v>3.1765457272128999E-4</v>
      </c>
      <c r="D6110" s="141"/>
    </row>
    <row r="6111" spans="1:4" x14ac:dyDescent="0.2">
      <c r="A6111" s="140" t="s">
        <v>726</v>
      </c>
      <c r="B6111" s="141">
        <v>3.1760094474306001E-4</v>
      </c>
      <c r="D6111" s="141"/>
    </row>
    <row r="6112" spans="1:4" x14ac:dyDescent="0.2">
      <c r="A6112" s="140" t="s">
        <v>3473</v>
      </c>
      <c r="B6112" s="141">
        <v>3.1759079878616002E-4</v>
      </c>
      <c r="D6112" s="141"/>
    </row>
    <row r="6113" spans="1:4" x14ac:dyDescent="0.2">
      <c r="A6113" s="140" t="s">
        <v>436</v>
      </c>
      <c r="B6113" s="141">
        <v>3.1758212412391997E-4</v>
      </c>
      <c r="D6113" s="141"/>
    </row>
    <row r="6114" spans="1:4" x14ac:dyDescent="0.2">
      <c r="A6114" s="140" t="s">
        <v>1275</v>
      </c>
      <c r="B6114" s="141">
        <v>3.1725157723831E-4</v>
      </c>
      <c r="D6114" s="141"/>
    </row>
    <row r="6115" spans="1:4" x14ac:dyDescent="0.2">
      <c r="A6115" s="140" t="s">
        <v>6037</v>
      </c>
      <c r="B6115" s="141">
        <v>3.1708105201657002E-4</v>
      </c>
      <c r="D6115" s="141"/>
    </row>
    <row r="6116" spans="1:4" x14ac:dyDescent="0.2">
      <c r="A6116" s="140" t="s">
        <v>2129</v>
      </c>
      <c r="B6116" s="141">
        <v>3.1700591604426001E-4</v>
      </c>
      <c r="D6116" s="141"/>
    </row>
    <row r="6117" spans="1:4" x14ac:dyDescent="0.2">
      <c r="A6117" s="140" t="s">
        <v>8580</v>
      </c>
      <c r="B6117" s="141">
        <v>3.1673720927456999E-4</v>
      </c>
      <c r="D6117" s="141"/>
    </row>
    <row r="6118" spans="1:4" x14ac:dyDescent="0.2">
      <c r="A6118" s="140" t="s">
        <v>3040</v>
      </c>
      <c r="B6118" s="141">
        <v>3.1672838649725999E-4</v>
      </c>
      <c r="D6118" s="141"/>
    </row>
    <row r="6119" spans="1:4" x14ac:dyDescent="0.2">
      <c r="A6119" s="140" t="s">
        <v>962</v>
      </c>
      <c r="B6119" s="141">
        <v>3.1645994932350002E-4</v>
      </c>
      <c r="D6119" s="141"/>
    </row>
    <row r="6120" spans="1:4" x14ac:dyDescent="0.2">
      <c r="A6120" s="140" t="s">
        <v>8581</v>
      </c>
      <c r="B6120" s="141">
        <v>3.1601414157049999E-4</v>
      </c>
      <c r="D6120" s="141"/>
    </row>
    <row r="6121" spans="1:4" x14ac:dyDescent="0.2">
      <c r="A6121" s="140" t="s">
        <v>8582</v>
      </c>
      <c r="B6121" s="141">
        <v>3.1547490144346999E-4</v>
      </c>
      <c r="D6121" s="141"/>
    </row>
    <row r="6122" spans="1:4" x14ac:dyDescent="0.2">
      <c r="A6122" s="140" t="s">
        <v>2052</v>
      </c>
      <c r="B6122" s="141">
        <v>3.1507987797926E-4</v>
      </c>
      <c r="D6122" s="141"/>
    </row>
    <row r="6123" spans="1:4" x14ac:dyDescent="0.2">
      <c r="A6123" s="140" t="s">
        <v>3460</v>
      </c>
      <c r="B6123" s="141">
        <v>3.1353400175760998E-4</v>
      </c>
      <c r="D6123" s="141"/>
    </row>
    <row r="6124" spans="1:4" x14ac:dyDescent="0.2">
      <c r="A6124" s="140" t="s">
        <v>1081</v>
      </c>
      <c r="B6124" s="141">
        <v>3.1330999244732002E-4</v>
      </c>
      <c r="D6124" s="141"/>
    </row>
    <row r="6125" spans="1:4" x14ac:dyDescent="0.2">
      <c r="A6125" s="140" t="s">
        <v>4340</v>
      </c>
      <c r="B6125" s="141">
        <v>3.1322353392552999E-4</v>
      </c>
      <c r="D6125" s="141"/>
    </row>
    <row r="6126" spans="1:4" x14ac:dyDescent="0.2">
      <c r="A6126" s="140" t="s">
        <v>5394</v>
      </c>
      <c r="B6126" s="141">
        <v>3.1315861694987E-4</v>
      </c>
      <c r="D6126" s="141"/>
    </row>
    <row r="6127" spans="1:4" x14ac:dyDescent="0.2">
      <c r="A6127" s="140" t="s">
        <v>3797</v>
      </c>
      <c r="B6127" s="141">
        <v>3.1248692823698001E-4</v>
      </c>
      <c r="D6127" s="141"/>
    </row>
    <row r="6128" spans="1:4" x14ac:dyDescent="0.2">
      <c r="A6128" s="140" t="s">
        <v>2248</v>
      </c>
      <c r="B6128" s="141">
        <v>3.1247768752387E-4</v>
      </c>
      <c r="D6128" s="141"/>
    </row>
    <row r="6129" spans="1:4" x14ac:dyDescent="0.2">
      <c r="A6129" s="140" t="s">
        <v>2063</v>
      </c>
      <c r="B6129" s="141">
        <v>3.1242667963885001E-4</v>
      </c>
      <c r="D6129" s="141"/>
    </row>
    <row r="6130" spans="1:4" x14ac:dyDescent="0.2">
      <c r="A6130" s="140" t="s">
        <v>8583</v>
      </c>
      <c r="B6130" s="141">
        <v>3.1222492617276999E-4</v>
      </c>
      <c r="D6130" s="141"/>
    </row>
    <row r="6131" spans="1:4" x14ac:dyDescent="0.2">
      <c r="A6131" s="140" t="s">
        <v>2876</v>
      </c>
      <c r="B6131" s="141">
        <v>3.1215016820128002E-4</v>
      </c>
      <c r="D6131" s="141"/>
    </row>
    <row r="6132" spans="1:4" x14ac:dyDescent="0.2">
      <c r="A6132" s="140" t="s">
        <v>8584</v>
      </c>
      <c r="B6132" s="141">
        <v>3.1129921546578E-4</v>
      </c>
      <c r="D6132" s="141"/>
    </row>
    <row r="6133" spans="1:4" x14ac:dyDescent="0.2">
      <c r="A6133" s="140" t="s">
        <v>2018</v>
      </c>
      <c r="B6133" s="141">
        <v>3.0966178037382998E-4</v>
      </c>
      <c r="D6133" s="141"/>
    </row>
    <row r="6134" spans="1:4" x14ac:dyDescent="0.2">
      <c r="A6134" s="140" t="s">
        <v>786</v>
      </c>
      <c r="B6134" s="141">
        <v>3.0928889383053998E-4</v>
      </c>
      <c r="D6134" s="141"/>
    </row>
    <row r="6135" spans="1:4" x14ac:dyDescent="0.2">
      <c r="A6135" s="140" t="s">
        <v>3214</v>
      </c>
      <c r="B6135" s="141">
        <v>3.0907227816954997E-4</v>
      </c>
      <c r="D6135" s="141"/>
    </row>
    <row r="6136" spans="1:4" x14ac:dyDescent="0.2">
      <c r="A6136" s="140" t="s">
        <v>2075</v>
      </c>
      <c r="B6136" s="141">
        <v>3.0900511396039001E-4</v>
      </c>
      <c r="D6136" s="141"/>
    </row>
    <row r="6137" spans="1:4" x14ac:dyDescent="0.2">
      <c r="A6137" s="140" t="s">
        <v>8585</v>
      </c>
      <c r="B6137" s="141">
        <v>3.0860002787729999E-4</v>
      </c>
      <c r="D6137" s="141"/>
    </row>
    <row r="6138" spans="1:4" x14ac:dyDescent="0.2">
      <c r="A6138" s="140" t="s">
        <v>8586</v>
      </c>
      <c r="B6138" s="141">
        <v>3.0859388091533001E-4</v>
      </c>
      <c r="D6138" s="141"/>
    </row>
    <row r="6139" spans="1:4" x14ac:dyDescent="0.2">
      <c r="A6139" s="140" t="s">
        <v>1166</v>
      </c>
      <c r="B6139" s="141">
        <v>3.0795235115234999E-4</v>
      </c>
      <c r="D6139" s="141"/>
    </row>
    <row r="6140" spans="1:4" x14ac:dyDescent="0.2">
      <c r="A6140" s="140" t="s">
        <v>3733</v>
      </c>
      <c r="B6140" s="141">
        <v>3.0740520996097999E-4</v>
      </c>
      <c r="D6140" s="141"/>
    </row>
    <row r="6141" spans="1:4" x14ac:dyDescent="0.2">
      <c r="A6141" s="140" t="s">
        <v>1379</v>
      </c>
      <c r="B6141" s="141">
        <v>3.0730578455454E-4</v>
      </c>
      <c r="D6141" s="141"/>
    </row>
    <row r="6142" spans="1:4" x14ac:dyDescent="0.2">
      <c r="A6142" s="140" t="s">
        <v>8587</v>
      </c>
      <c r="B6142" s="141">
        <v>3.0686019485907999E-4</v>
      </c>
      <c r="D6142" s="141"/>
    </row>
    <row r="6143" spans="1:4" x14ac:dyDescent="0.2">
      <c r="A6143" s="140" t="s">
        <v>6286</v>
      </c>
      <c r="B6143" s="141">
        <v>3.0674058098098002E-4</v>
      </c>
      <c r="D6143" s="141"/>
    </row>
    <row r="6144" spans="1:4" x14ac:dyDescent="0.2">
      <c r="A6144" s="140" t="s">
        <v>3197</v>
      </c>
      <c r="B6144" s="141">
        <v>3.0666171948830998E-4</v>
      </c>
      <c r="D6144" s="141"/>
    </row>
    <row r="6145" spans="1:4" x14ac:dyDescent="0.2">
      <c r="A6145" s="140" t="s">
        <v>4049</v>
      </c>
      <c r="B6145" s="141">
        <v>3.0655020371594998E-4</v>
      </c>
      <c r="D6145" s="141"/>
    </row>
    <row r="6146" spans="1:4" x14ac:dyDescent="0.2">
      <c r="A6146" s="140" t="s">
        <v>8588</v>
      </c>
      <c r="B6146" s="141">
        <v>3.0605745615146002E-4</v>
      </c>
      <c r="D6146" s="141"/>
    </row>
    <row r="6147" spans="1:4" x14ac:dyDescent="0.2">
      <c r="A6147" s="140" t="s">
        <v>1052</v>
      </c>
      <c r="B6147" s="141">
        <v>3.0564779951311E-4</v>
      </c>
      <c r="D6147" s="141"/>
    </row>
    <row r="6148" spans="1:4" x14ac:dyDescent="0.2">
      <c r="A6148" s="140" t="s">
        <v>5520</v>
      </c>
      <c r="B6148" s="141">
        <v>3.0488320234748999E-4</v>
      </c>
      <c r="D6148" s="141"/>
    </row>
    <row r="6149" spans="1:4" x14ac:dyDescent="0.2">
      <c r="A6149" s="140" t="s">
        <v>8589</v>
      </c>
      <c r="B6149" s="141">
        <v>3.0473539892782002E-4</v>
      </c>
      <c r="D6149" s="141"/>
    </row>
    <row r="6150" spans="1:4" x14ac:dyDescent="0.2">
      <c r="A6150" s="140" t="s">
        <v>1575</v>
      </c>
      <c r="B6150" s="141">
        <v>3.0450257057194999E-4</v>
      </c>
      <c r="D6150" s="141"/>
    </row>
    <row r="6151" spans="1:4" x14ac:dyDescent="0.2">
      <c r="A6151" s="140" t="s">
        <v>8590</v>
      </c>
      <c r="B6151" s="141">
        <v>3.0349520003899999E-4</v>
      </c>
      <c r="D6151" s="141"/>
    </row>
    <row r="6152" spans="1:4" x14ac:dyDescent="0.2">
      <c r="A6152" s="140" t="s">
        <v>8591</v>
      </c>
      <c r="B6152" s="141">
        <v>3.0285467109997997E-4</v>
      </c>
      <c r="D6152" s="141"/>
    </row>
    <row r="6153" spans="1:4" x14ac:dyDescent="0.2">
      <c r="A6153" s="140" t="s">
        <v>8592</v>
      </c>
      <c r="B6153" s="141">
        <v>3.0285467109997997E-4</v>
      </c>
      <c r="D6153" s="141"/>
    </row>
    <row r="6154" spans="1:4" x14ac:dyDescent="0.2">
      <c r="A6154" s="140" t="s">
        <v>1092</v>
      </c>
      <c r="B6154" s="141">
        <v>3.0282222115974997E-4</v>
      </c>
      <c r="D6154" s="141"/>
    </row>
    <row r="6155" spans="1:4" x14ac:dyDescent="0.2">
      <c r="A6155" s="140" t="s">
        <v>2413</v>
      </c>
      <c r="B6155" s="141">
        <v>3.0261110528912003E-4</v>
      </c>
      <c r="D6155" s="141"/>
    </row>
    <row r="6156" spans="1:4" x14ac:dyDescent="0.2">
      <c r="A6156" s="140" t="s">
        <v>767</v>
      </c>
      <c r="B6156" s="141">
        <v>3.0255962947869003E-4</v>
      </c>
      <c r="D6156" s="141"/>
    </row>
    <row r="6157" spans="1:4" x14ac:dyDescent="0.2">
      <c r="A6157" s="140" t="s">
        <v>3943</v>
      </c>
      <c r="B6157" s="141">
        <v>3.0212144297225E-4</v>
      </c>
      <c r="D6157" s="141"/>
    </row>
    <row r="6158" spans="1:4" x14ac:dyDescent="0.2">
      <c r="A6158" s="140" t="s">
        <v>8593</v>
      </c>
      <c r="B6158" s="141">
        <v>3.0143372772640999E-4</v>
      </c>
      <c r="D6158" s="141"/>
    </row>
    <row r="6159" spans="1:4" x14ac:dyDescent="0.2">
      <c r="A6159" s="140" t="s">
        <v>8594</v>
      </c>
      <c r="B6159" s="141">
        <v>3.0121245685246003E-4</v>
      </c>
      <c r="D6159" s="141"/>
    </row>
    <row r="6160" spans="1:4" x14ac:dyDescent="0.2">
      <c r="A6160" s="140" t="s">
        <v>4953</v>
      </c>
      <c r="B6160" s="141">
        <v>3.0071904462500998E-4</v>
      </c>
      <c r="D6160" s="141"/>
    </row>
    <row r="6161" spans="1:4" x14ac:dyDescent="0.2">
      <c r="A6161" s="140" t="s">
        <v>2251</v>
      </c>
      <c r="B6161" s="141">
        <v>3.0071904462500998E-4</v>
      </c>
      <c r="D6161" s="141"/>
    </row>
    <row r="6162" spans="1:4" x14ac:dyDescent="0.2">
      <c r="A6162" s="140" t="s">
        <v>3459</v>
      </c>
      <c r="B6162" s="141">
        <v>3.0071904462500998E-4</v>
      </c>
      <c r="D6162" s="141"/>
    </row>
    <row r="6163" spans="1:4" x14ac:dyDescent="0.2">
      <c r="A6163" s="140" t="s">
        <v>8595</v>
      </c>
      <c r="B6163" s="141">
        <v>3.0071904462500998E-4</v>
      </c>
      <c r="D6163" s="141"/>
    </row>
    <row r="6164" spans="1:4" x14ac:dyDescent="0.2">
      <c r="A6164" s="140" t="s">
        <v>1573</v>
      </c>
      <c r="B6164" s="141">
        <v>3.0062723050168998E-4</v>
      </c>
      <c r="D6164" s="141"/>
    </row>
    <row r="6165" spans="1:4" x14ac:dyDescent="0.2">
      <c r="A6165" s="140" t="s">
        <v>4655</v>
      </c>
      <c r="B6165" s="141">
        <v>3.0051801537859E-4</v>
      </c>
      <c r="D6165" s="141"/>
    </row>
    <row r="6166" spans="1:4" x14ac:dyDescent="0.2">
      <c r="A6166" s="140" t="s">
        <v>8596</v>
      </c>
      <c r="B6166" s="141">
        <v>3.0019890217E-4</v>
      </c>
      <c r="D6166" s="141"/>
    </row>
    <row r="6167" spans="1:4" x14ac:dyDescent="0.2">
      <c r="A6167" s="140" t="s">
        <v>8597</v>
      </c>
      <c r="B6167" s="141">
        <v>3.0019644428135999E-4</v>
      </c>
      <c r="D6167" s="141"/>
    </row>
    <row r="6168" spans="1:4" x14ac:dyDescent="0.2">
      <c r="A6168" s="140" t="s">
        <v>8598</v>
      </c>
      <c r="B6168" s="141">
        <v>2.9994459663234001E-4</v>
      </c>
      <c r="D6168" s="141"/>
    </row>
    <row r="6169" spans="1:4" x14ac:dyDescent="0.2">
      <c r="A6169" s="140" t="s">
        <v>8599</v>
      </c>
      <c r="B6169" s="141">
        <v>2.9964253334178E-4</v>
      </c>
      <c r="D6169" s="141"/>
    </row>
    <row r="6170" spans="1:4" x14ac:dyDescent="0.2">
      <c r="A6170" s="140" t="s">
        <v>2309</v>
      </c>
      <c r="B6170" s="141">
        <v>2.9951703712989E-4</v>
      </c>
      <c r="D6170" s="141"/>
    </row>
    <row r="6171" spans="1:4" x14ac:dyDescent="0.2">
      <c r="A6171" s="140" t="s">
        <v>3748</v>
      </c>
      <c r="B6171" s="141">
        <v>2.9936416969359998E-4</v>
      </c>
      <c r="D6171" s="141"/>
    </row>
    <row r="6172" spans="1:4" x14ac:dyDescent="0.2">
      <c r="A6172" s="140" t="s">
        <v>4850</v>
      </c>
      <c r="B6172" s="141">
        <v>2.9894037690644001E-4</v>
      </c>
      <c r="D6172" s="141"/>
    </row>
    <row r="6173" spans="1:4" x14ac:dyDescent="0.2">
      <c r="A6173" s="140" t="s">
        <v>1438</v>
      </c>
      <c r="B6173" s="141">
        <v>2.9862808039200002E-4</v>
      </c>
      <c r="D6173" s="141"/>
    </row>
    <row r="6174" spans="1:4" x14ac:dyDescent="0.2">
      <c r="A6174" s="140" t="s">
        <v>1958</v>
      </c>
      <c r="B6174" s="141">
        <v>2.9849535850879998E-4</v>
      </c>
      <c r="D6174" s="141"/>
    </row>
    <row r="6175" spans="1:4" x14ac:dyDescent="0.2">
      <c r="A6175" s="140" t="s">
        <v>3051</v>
      </c>
      <c r="B6175" s="141">
        <v>2.9812698461254998E-4</v>
      </c>
      <c r="D6175" s="141"/>
    </row>
    <row r="6176" spans="1:4" x14ac:dyDescent="0.2">
      <c r="A6176" s="140" t="s">
        <v>3012</v>
      </c>
      <c r="B6176" s="141">
        <v>2.9810914948154998E-4</v>
      </c>
      <c r="D6176" s="141"/>
    </row>
    <row r="6177" spans="1:4" x14ac:dyDescent="0.2">
      <c r="A6177" s="140" t="s">
        <v>2096</v>
      </c>
      <c r="B6177" s="141">
        <v>2.9783146556065001E-4</v>
      </c>
      <c r="D6177" s="141"/>
    </row>
    <row r="6178" spans="1:4" x14ac:dyDescent="0.2">
      <c r="A6178" s="140" t="s">
        <v>1055</v>
      </c>
      <c r="B6178" s="141">
        <v>2.9771611587281E-4</v>
      </c>
      <c r="D6178" s="141"/>
    </row>
    <row r="6179" spans="1:4" x14ac:dyDescent="0.2">
      <c r="A6179" s="140" t="s">
        <v>2361</v>
      </c>
      <c r="B6179" s="141">
        <v>2.9750233482961E-4</v>
      </c>
      <c r="D6179" s="141"/>
    </row>
    <row r="6180" spans="1:4" x14ac:dyDescent="0.2">
      <c r="A6180" s="140" t="s">
        <v>8600</v>
      </c>
      <c r="B6180" s="141">
        <v>2.9724794368033E-4</v>
      </c>
      <c r="D6180" s="141"/>
    </row>
    <row r="6181" spans="1:4" x14ac:dyDescent="0.2">
      <c r="A6181" s="140" t="s">
        <v>8601</v>
      </c>
      <c r="B6181" s="141">
        <v>2.9697243611002998E-4</v>
      </c>
      <c r="D6181" s="141"/>
    </row>
    <row r="6182" spans="1:4" x14ac:dyDescent="0.2">
      <c r="A6182" s="140" t="s">
        <v>2305</v>
      </c>
      <c r="B6182" s="141">
        <v>2.9688879983008002E-4</v>
      </c>
      <c r="D6182" s="141"/>
    </row>
    <row r="6183" spans="1:4" x14ac:dyDescent="0.2">
      <c r="A6183" s="140" t="s">
        <v>544</v>
      </c>
      <c r="B6183" s="141">
        <v>2.9682128715918999E-4</v>
      </c>
      <c r="D6183" s="141"/>
    </row>
    <row r="6184" spans="1:4" x14ac:dyDescent="0.2">
      <c r="A6184" s="140" t="s">
        <v>1210</v>
      </c>
      <c r="B6184" s="141">
        <v>2.9674535591373003E-4</v>
      </c>
      <c r="D6184" s="141"/>
    </row>
    <row r="6185" spans="1:4" x14ac:dyDescent="0.2">
      <c r="A6185" s="140" t="s">
        <v>682</v>
      </c>
      <c r="B6185" s="141">
        <v>2.9655053058588E-4</v>
      </c>
      <c r="D6185" s="141"/>
    </row>
    <row r="6186" spans="1:4" x14ac:dyDescent="0.2">
      <c r="A6186" s="140" t="s">
        <v>4638</v>
      </c>
      <c r="B6186" s="141">
        <v>2.9610954320873003E-4</v>
      </c>
      <c r="D6186" s="141"/>
    </row>
    <row r="6187" spans="1:4" x14ac:dyDescent="0.2">
      <c r="A6187" s="140" t="s">
        <v>8602</v>
      </c>
      <c r="B6187" s="141">
        <v>2.9525996406470001E-4</v>
      </c>
      <c r="D6187" s="141"/>
    </row>
    <row r="6188" spans="1:4" x14ac:dyDescent="0.2">
      <c r="A6188" s="140" t="s">
        <v>8603</v>
      </c>
      <c r="B6188" s="141">
        <v>2.9503304762190001E-4</v>
      </c>
      <c r="D6188" s="141"/>
    </row>
    <row r="6189" spans="1:4" x14ac:dyDescent="0.2">
      <c r="A6189" s="140" t="s">
        <v>986</v>
      </c>
      <c r="B6189" s="141">
        <v>2.9502254348760001E-4</v>
      </c>
      <c r="D6189" s="141"/>
    </row>
    <row r="6190" spans="1:4" x14ac:dyDescent="0.2">
      <c r="A6190" s="140" t="s">
        <v>8604</v>
      </c>
      <c r="B6190" s="141">
        <v>2.9471472830231002E-4</v>
      </c>
      <c r="D6190" s="141"/>
    </row>
    <row r="6191" spans="1:4" x14ac:dyDescent="0.2">
      <c r="A6191" s="140" t="s">
        <v>8605</v>
      </c>
      <c r="B6191" s="141">
        <v>2.9452567789911999E-4</v>
      </c>
      <c r="D6191" s="141"/>
    </row>
    <row r="6192" spans="1:4" x14ac:dyDescent="0.2">
      <c r="A6192" s="140" t="s">
        <v>8606</v>
      </c>
      <c r="B6192" s="141">
        <v>2.9422255588996998E-4</v>
      </c>
      <c r="D6192" s="141"/>
    </row>
    <row r="6193" spans="1:4" x14ac:dyDescent="0.2">
      <c r="A6193" s="140" t="s">
        <v>3046</v>
      </c>
      <c r="B6193" s="141">
        <v>2.9412749492318001E-4</v>
      </c>
      <c r="D6193" s="141"/>
    </row>
    <row r="6194" spans="1:4" x14ac:dyDescent="0.2">
      <c r="A6194" s="140" t="s">
        <v>3458</v>
      </c>
      <c r="B6194" s="141">
        <v>2.9370748000634997E-4</v>
      </c>
      <c r="D6194" s="141"/>
    </row>
    <row r="6195" spans="1:4" x14ac:dyDescent="0.2">
      <c r="A6195" s="140" t="s">
        <v>8607</v>
      </c>
      <c r="B6195" s="141">
        <v>2.9353183953454001E-4</v>
      </c>
      <c r="D6195" s="141"/>
    </row>
    <row r="6196" spans="1:4" x14ac:dyDescent="0.2">
      <c r="A6196" s="140" t="s">
        <v>2154</v>
      </c>
      <c r="B6196" s="141">
        <v>2.9292459790820002E-4</v>
      </c>
      <c r="D6196" s="141"/>
    </row>
    <row r="6197" spans="1:4" x14ac:dyDescent="0.2">
      <c r="A6197" s="140" t="s">
        <v>4244</v>
      </c>
      <c r="B6197" s="141">
        <v>2.9193120831947001E-4</v>
      </c>
      <c r="D6197" s="141"/>
    </row>
    <row r="6198" spans="1:4" x14ac:dyDescent="0.2">
      <c r="A6198" s="140" t="s">
        <v>8608</v>
      </c>
      <c r="B6198" s="141">
        <v>2.9174163627147001E-4</v>
      </c>
      <c r="D6198" s="141"/>
    </row>
    <row r="6199" spans="1:4" x14ac:dyDescent="0.2">
      <c r="A6199" s="140" t="s">
        <v>8609</v>
      </c>
      <c r="B6199" s="141">
        <v>2.9174163627147001E-4</v>
      </c>
      <c r="D6199" s="141"/>
    </row>
    <row r="6200" spans="1:4" x14ac:dyDescent="0.2">
      <c r="A6200" s="140" t="s">
        <v>5331</v>
      </c>
      <c r="B6200" s="141">
        <v>2.9155881537777E-4</v>
      </c>
      <c r="D6200" s="141"/>
    </row>
    <row r="6201" spans="1:4" x14ac:dyDescent="0.2">
      <c r="A6201" s="140" t="s">
        <v>4299</v>
      </c>
      <c r="B6201" s="141">
        <v>2.9139323873387998E-4</v>
      </c>
      <c r="D6201" s="141"/>
    </row>
    <row r="6202" spans="1:4" x14ac:dyDescent="0.2">
      <c r="A6202" s="140" t="s">
        <v>4860</v>
      </c>
      <c r="B6202" s="141">
        <v>2.9139052899499E-4</v>
      </c>
      <c r="D6202" s="141"/>
    </row>
    <row r="6203" spans="1:4" x14ac:dyDescent="0.2">
      <c r="A6203" s="140" t="s">
        <v>8610</v>
      </c>
      <c r="B6203" s="141">
        <v>2.9095693542084997E-4</v>
      </c>
      <c r="D6203" s="141"/>
    </row>
    <row r="6204" spans="1:4" x14ac:dyDescent="0.2">
      <c r="A6204" s="140" t="s">
        <v>6083</v>
      </c>
      <c r="B6204" s="141">
        <v>2.9083806415000001E-4</v>
      </c>
      <c r="D6204" s="141"/>
    </row>
    <row r="6205" spans="1:4" x14ac:dyDescent="0.2">
      <c r="A6205" s="140" t="s">
        <v>8611</v>
      </c>
      <c r="B6205" s="141">
        <v>2.9064239332828002E-4</v>
      </c>
      <c r="D6205" s="141"/>
    </row>
    <row r="6206" spans="1:4" x14ac:dyDescent="0.2">
      <c r="A6206" s="140" t="s">
        <v>5789</v>
      </c>
      <c r="B6206" s="141">
        <v>2.9052115676092999E-4</v>
      </c>
      <c r="D6206" s="141"/>
    </row>
    <row r="6207" spans="1:4" x14ac:dyDescent="0.2">
      <c r="A6207" s="140" t="s">
        <v>854</v>
      </c>
      <c r="B6207" s="141">
        <v>2.9050085221477001E-4</v>
      </c>
      <c r="D6207" s="141"/>
    </row>
    <row r="6208" spans="1:4" x14ac:dyDescent="0.2">
      <c r="A6208" s="140" t="s">
        <v>8612</v>
      </c>
      <c r="B6208" s="141">
        <v>2.8875592553712E-4</v>
      </c>
      <c r="D6208" s="141"/>
    </row>
    <row r="6209" spans="1:4" x14ac:dyDescent="0.2">
      <c r="A6209" s="140" t="s">
        <v>5308</v>
      </c>
      <c r="B6209" s="141">
        <v>2.8870093385740999E-4</v>
      </c>
      <c r="D6209" s="141"/>
    </row>
    <row r="6210" spans="1:4" x14ac:dyDescent="0.2">
      <c r="A6210" s="140" t="s">
        <v>8613</v>
      </c>
      <c r="B6210" s="141">
        <v>2.8829096141097001E-4</v>
      </c>
      <c r="D6210" s="141"/>
    </row>
    <row r="6211" spans="1:4" x14ac:dyDescent="0.2">
      <c r="A6211" s="140" t="s">
        <v>1032</v>
      </c>
      <c r="B6211" s="141">
        <v>2.8691879274068998E-4</v>
      </c>
      <c r="D6211" s="141"/>
    </row>
    <row r="6212" spans="1:4" x14ac:dyDescent="0.2">
      <c r="A6212" s="140" t="s">
        <v>8614</v>
      </c>
      <c r="B6212" s="141">
        <v>2.8678236187026001E-4</v>
      </c>
      <c r="D6212" s="141"/>
    </row>
    <row r="6213" spans="1:4" x14ac:dyDescent="0.2">
      <c r="A6213" s="140" t="s">
        <v>2094</v>
      </c>
      <c r="B6213" s="141">
        <v>2.8668460174248E-4</v>
      </c>
      <c r="D6213" s="141"/>
    </row>
    <row r="6214" spans="1:4" x14ac:dyDescent="0.2">
      <c r="A6214" s="140" t="s">
        <v>4525</v>
      </c>
      <c r="B6214" s="141">
        <v>2.8642137623574002E-4</v>
      </c>
      <c r="D6214" s="141"/>
    </row>
    <row r="6215" spans="1:4" x14ac:dyDescent="0.2">
      <c r="A6215" s="140" t="s">
        <v>8615</v>
      </c>
      <c r="B6215" s="141">
        <v>2.8625526608117003E-4</v>
      </c>
      <c r="D6215" s="141"/>
    </row>
    <row r="6216" spans="1:4" x14ac:dyDescent="0.2">
      <c r="A6216" s="140" t="s">
        <v>8616</v>
      </c>
      <c r="B6216" s="141">
        <v>2.8624273981726997E-4</v>
      </c>
      <c r="D6216" s="141"/>
    </row>
    <row r="6217" spans="1:4" x14ac:dyDescent="0.2">
      <c r="A6217" s="140" t="s">
        <v>8617</v>
      </c>
      <c r="B6217" s="141">
        <v>2.8588009533680997E-4</v>
      </c>
      <c r="D6217" s="141"/>
    </row>
    <row r="6218" spans="1:4" x14ac:dyDescent="0.2">
      <c r="A6218" s="140" t="s">
        <v>8618</v>
      </c>
      <c r="B6218" s="141">
        <v>2.8586691364153999E-4</v>
      </c>
      <c r="D6218" s="141"/>
    </row>
    <row r="6219" spans="1:4" x14ac:dyDescent="0.2">
      <c r="A6219" s="140" t="s">
        <v>8619</v>
      </c>
      <c r="B6219" s="141">
        <v>2.8505398187934E-4</v>
      </c>
      <c r="D6219" s="141"/>
    </row>
    <row r="6220" spans="1:4" x14ac:dyDescent="0.2">
      <c r="A6220" s="140" t="s">
        <v>8620</v>
      </c>
      <c r="B6220" s="141">
        <v>2.8500574145322999E-4</v>
      </c>
      <c r="D6220" s="141"/>
    </row>
    <row r="6221" spans="1:4" x14ac:dyDescent="0.2">
      <c r="A6221" s="140" t="s">
        <v>4760</v>
      </c>
      <c r="B6221" s="141">
        <v>2.8490318001847E-4</v>
      </c>
      <c r="D6221" s="141"/>
    </row>
    <row r="6222" spans="1:4" x14ac:dyDescent="0.2">
      <c r="A6222" s="140" t="s">
        <v>4443</v>
      </c>
      <c r="B6222" s="141">
        <v>2.8455270612931001E-4</v>
      </c>
      <c r="D6222" s="141"/>
    </row>
    <row r="6223" spans="1:4" x14ac:dyDescent="0.2">
      <c r="A6223" s="140" t="s">
        <v>1730</v>
      </c>
      <c r="B6223" s="141">
        <v>2.845267936749E-4</v>
      </c>
      <c r="D6223" s="141"/>
    </row>
    <row r="6224" spans="1:4" x14ac:dyDescent="0.2">
      <c r="A6224" s="140" t="s">
        <v>1732</v>
      </c>
      <c r="B6224" s="141">
        <v>2.8442125021295998E-4</v>
      </c>
      <c r="D6224" s="141"/>
    </row>
    <row r="6225" spans="1:4" x14ac:dyDescent="0.2">
      <c r="A6225" s="140" t="s">
        <v>2466</v>
      </c>
      <c r="B6225" s="141">
        <v>2.8423299634310002E-4</v>
      </c>
      <c r="D6225" s="141"/>
    </row>
    <row r="6226" spans="1:4" x14ac:dyDescent="0.2">
      <c r="A6226" s="140" t="s">
        <v>8621</v>
      </c>
      <c r="B6226" s="141">
        <v>2.8384036179747999E-4</v>
      </c>
      <c r="D6226" s="141"/>
    </row>
    <row r="6227" spans="1:4" x14ac:dyDescent="0.2">
      <c r="A6227" s="140" t="s">
        <v>8622</v>
      </c>
      <c r="B6227" s="141">
        <v>2.8335222615587003E-4</v>
      </c>
      <c r="D6227" s="141"/>
    </row>
    <row r="6228" spans="1:4" x14ac:dyDescent="0.2">
      <c r="A6228" s="140" t="s">
        <v>8623</v>
      </c>
      <c r="B6228" s="141">
        <v>2.8320199510561002E-4</v>
      </c>
      <c r="D6228" s="141"/>
    </row>
    <row r="6229" spans="1:4" x14ac:dyDescent="0.2">
      <c r="A6229" s="140" t="s">
        <v>6327</v>
      </c>
      <c r="B6229" s="141">
        <v>2.8320199510561002E-4</v>
      </c>
      <c r="D6229" s="141"/>
    </row>
    <row r="6230" spans="1:4" x14ac:dyDescent="0.2">
      <c r="A6230" s="140" t="s">
        <v>8624</v>
      </c>
      <c r="B6230" s="141">
        <v>2.8320199510561002E-4</v>
      </c>
      <c r="D6230" s="141"/>
    </row>
    <row r="6231" spans="1:4" x14ac:dyDescent="0.2">
      <c r="A6231" s="140" t="s">
        <v>6349</v>
      </c>
      <c r="B6231" s="141">
        <v>2.8320199510561002E-4</v>
      </c>
      <c r="D6231" s="141"/>
    </row>
    <row r="6232" spans="1:4" x14ac:dyDescent="0.2">
      <c r="A6232" s="140" t="s">
        <v>6255</v>
      </c>
      <c r="B6232" s="141">
        <v>2.8254306147492E-4</v>
      </c>
      <c r="D6232" s="141"/>
    </row>
    <row r="6233" spans="1:4" x14ac:dyDescent="0.2">
      <c r="A6233" s="140" t="s">
        <v>8625</v>
      </c>
      <c r="B6233" s="141">
        <v>2.8217814425334002E-4</v>
      </c>
      <c r="D6233" s="141"/>
    </row>
    <row r="6234" spans="1:4" x14ac:dyDescent="0.2">
      <c r="A6234" s="140" t="s">
        <v>8626</v>
      </c>
      <c r="B6234" s="141">
        <v>2.8192381223687E-4</v>
      </c>
      <c r="D6234" s="141"/>
    </row>
    <row r="6235" spans="1:4" x14ac:dyDescent="0.2">
      <c r="A6235" s="140" t="s">
        <v>1402</v>
      </c>
      <c r="B6235" s="141">
        <v>2.8192381223687E-4</v>
      </c>
      <c r="D6235" s="141"/>
    </row>
    <row r="6236" spans="1:4" x14ac:dyDescent="0.2">
      <c r="A6236" s="140" t="s">
        <v>2049</v>
      </c>
      <c r="B6236" s="141">
        <v>2.8174137937810999E-4</v>
      </c>
      <c r="D6236" s="141"/>
    </row>
    <row r="6237" spans="1:4" x14ac:dyDescent="0.2">
      <c r="A6237" s="140" t="s">
        <v>2071</v>
      </c>
      <c r="B6237" s="141">
        <v>2.8169076823194E-4</v>
      </c>
      <c r="D6237" s="141"/>
    </row>
    <row r="6238" spans="1:4" x14ac:dyDescent="0.2">
      <c r="A6238" s="140" t="s">
        <v>8627</v>
      </c>
      <c r="B6238" s="141">
        <v>2.8143090013406E-4</v>
      </c>
      <c r="D6238" s="141"/>
    </row>
    <row r="6239" spans="1:4" x14ac:dyDescent="0.2">
      <c r="A6239" s="140" t="s">
        <v>3959</v>
      </c>
      <c r="B6239" s="141">
        <v>2.8131933765312999E-4</v>
      </c>
      <c r="D6239" s="141"/>
    </row>
    <row r="6240" spans="1:4" x14ac:dyDescent="0.2">
      <c r="A6240" s="140" t="s">
        <v>8628</v>
      </c>
      <c r="B6240" s="141">
        <v>2.8124166599651998E-4</v>
      </c>
      <c r="D6240" s="141"/>
    </row>
    <row r="6241" spans="1:4" x14ac:dyDescent="0.2">
      <c r="A6241" s="140" t="s">
        <v>4098</v>
      </c>
      <c r="B6241" s="141">
        <v>2.8115500636360002E-4</v>
      </c>
      <c r="D6241" s="141"/>
    </row>
    <row r="6242" spans="1:4" x14ac:dyDescent="0.2">
      <c r="A6242" s="140" t="s">
        <v>8629</v>
      </c>
      <c r="B6242" s="141">
        <v>2.8051278670476E-4</v>
      </c>
      <c r="D6242" s="141"/>
    </row>
    <row r="6243" spans="1:4" x14ac:dyDescent="0.2">
      <c r="A6243" s="140" t="s">
        <v>8630</v>
      </c>
      <c r="B6243" s="141">
        <v>2.8051278670476E-4</v>
      </c>
      <c r="D6243" s="141"/>
    </row>
    <row r="6244" spans="1:4" x14ac:dyDescent="0.2">
      <c r="A6244" s="140" t="s">
        <v>2655</v>
      </c>
      <c r="B6244" s="141">
        <v>2.8051278670476E-4</v>
      </c>
      <c r="D6244" s="141"/>
    </row>
    <row r="6245" spans="1:4" x14ac:dyDescent="0.2">
      <c r="A6245" s="140" t="s">
        <v>8631</v>
      </c>
      <c r="B6245" s="141">
        <v>2.8036992977886001E-4</v>
      </c>
      <c r="D6245" s="141"/>
    </row>
    <row r="6246" spans="1:4" x14ac:dyDescent="0.2">
      <c r="A6246" s="140" t="s">
        <v>825</v>
      </c>
      <c r="B6246" s="141">
        <v>2.8032845897405997E-4</v>
      </c>
      <c r="D6246" s="141"/>
    </row>
    <row r="6247" spans="1:4" x14ac:dyDescent="0.2">
      <c r="A6247" s="140" t="s">
        <v>4512</v>
      </c>
      <c r="B6247" s="141">
        <v>2.7941551757790001E-4</v>
      </c>
      <c r="D6247" s="141"/>
    </row>
    <row r="6248" spans="1:4" x14ac:dyDescent="0.2">
      <c r="A6248" s="140" t="s">
        <v>344</v>
      </c>
      <c r="B6248" s="141">
        <v>2.7935612765245E-4</v>
      </c>
      <c r="D6248" s="141"/>
    </row>
    <row r="6249" spans="1:4" x14ac:dyDescent="0.2">
      <c r="A6249" s="140" t="s">
        <v>8632</v>
      </c>
      <c r="B6249" s="141">
        <v>2.7915425384789002E-4</v>
      </c>
      <c r="D6249" s="141"/>
    </row>
    <row r="6250" spans="1:4" x14ac:dyDescent="0.2">
      <c r="A6250" s="140" t="s">
        <v>4665</v>
      </c>
      <c r="B6250" s="141">
        <v>2.7902297750831E-4</v>
      </c>
      <c r="D6250" s="141"/>
    </row>
    <row r="6251" spans="1:4" x14ac:dyDescent="0.2">
      <c r="A6251" s="140" t="s">
        <v>8633</v>
      </c>
      <c r="B6251" s="141">
        <v>2.7845443672012998E-4</v>
      </c>
      <c r="D6251" s="141"/>
    </row>
    <row r="6252" spans="1:4" x14ac:dyDescent="0.2">
      <c r="A6252" s="140" t="s">
        <v>898</v>
      </c>
      <c r="B6252" s="141">
        <v>2.7835034086747001E-4</v>
      </c>
      <c r="D6252" s="141"/>
    </row>
    <row r="6253" spans="1:4" x14ac:dyDescent="0.2">
      <c r="A6253" s="140" t="s">
        <v>8634</v>
      </c>
      <c r="B6253" s="141">
        <v>2.7821225922351002E-4</v>
      </c>
      <c r="D6253" s="141"/>
    </row>
    <row r="6254" spans="1:4" x14ac:dyDescent="0.2">
      <c r="A6254" s="140" t="s">
        <v>4410</v>
      </c>
      <c r="B6254" s="141">
        <v>2.7807820976214999E-4</v>
      </c>
      <c r="D6254" s="141"/>
    </row>
    <row r="6255" spans="1:4" x14ac:dyDescent="0.2">
      <c r="A6255" s="140" t="s">
        <v>5877</v>
      </c>
      <c r="B6255" s="141">
        <v>2.7762654543292002E-4</v>
      </c>
      <c r="D6255" s="141"/>
    </row>
    <row r="6256" spans="1:4" x14ac:dyDescent="0.2">
      <c r="A6256" s="140" t="s">
        <v>8635</v>
      </c>
      <c r="B6256" s="141">
        <v>2.7758345154493E-4</v>
      </c>
      <c r="D6256" s="141"/>
    </row>
    <row r="6257" spans="1:4" x14ac:dyDescent="0.2">
      <c r="A6257" s="140" t="s">
        <v>5486</v>
      </c>
      <c r="B6257" s="141">
        <v>2.7731428222459999E-4</v>
      </c>
      <c r="D6257" s="141"/>
    </row>
    <row r="6258" spans="1:4" x14ac:dyDescent="0.2">
      <c r="A6258" s="140" t="s">
        <v>4598</v>
      </c>
      <c r="B6258" s="141">
        <v>2.7731428222459999E-4</v>
      </c>
      <c r="D6258" s="141"/>
    </row>
    <row r="6259" spans="1:4" x14ac:dyDescent="0.2">
      <c r="A6259" s="140" t="s">
        <v>3640</v>
      </c>
      <c r="B6259" s="141">
        <v>2.7726715262073998E-4</v>
      </c>
      <c r="D6259" s="141"/>
    </row>
    <row r="6260" spans="1:4" x14ac:dyDescent="0.2">
      <c r="A6260" s="140" t="s">
        <v>3374</v>
      </c>
      <c r="B6260" s="141">
        <v>2.7710537887397E-4</v>
      </c>
      <c r="D6260" s="141"/>
    </row>
    <row r="6261" spans="1:4" x14ac:dyDescent="0.2">
      <c r="A6261" s="140" t="s">
        <v>5100</v>
      </c>
      <c r="B6261" s="141">
        <v>2.7707059081041001E-4</v>
      </c>
      <c r="D6261" s="141"/>
    </row>
    <row r="6262" spans="1:4" x14ac:dyDescent="0.2">
      <c r="A6262" s="140" t="s">
        <v>1307</v>
      </c>
      <c r="B6262" s="141">
        <v>2.7691652936600003E-4</v>
      </c>
      <c r="D6262" s="141"/>
    </row>
    <row r="6263" spans="1:4" x14ac:dyDescent="0.2">
      <c r="A6263" s="140" t="s">
        <v>8636</v>
      </c>
      <c r="B6263" s="141">
        <v>2.7662294159376999E-4</v>
      </c>
      <c r="D6263" s="141"/>
    </row>
    <row r="6264" spans="1:4" x14ac:dyDescent="0.2">
      <c r="A6264" s="140" t="s">
        <v>3283</v>
      </c>
      <c r="B6264" s="141">
        <v>2.7656602572628E-4</v>
      </c>
      <c r="D6264" s="141"/>
    </row>
    <row r="6265" spans="1:4" x14ac:dyDescent="0.2">
      <c r="A6265" s="140" t="s">
        <v>8637</v>
      </c>
      <c r="B6265" s="141">
        <v>2.7483246725717E-4</v>
      </c>
      <c r="D6265" s="141"/>
    </row>
    <row r="6266" spans="1:4" x14ac:dyDescent="0.2">
      <c r="A6266" s="140" t="s">
        <v>8638</v>
      </c>
      <c r="B6266" s="141">
        <v>2.7435002367505001E-4</v>
      </c>
      <c r="D6266" s="141"/>
    </row>
    <row r="6267" spans="1:4" x14ac:dyDescent="0.2">
      <c r="A6267" s="140" t="s">
        <v>5865</v>
      </c>
      <c r="B6267" s="141">
        <v>2.7419775762921002E-4</v>
      </c>
      <c r="D6267" s="141"/>
    </row>
    <row r="6268" spans="1:4" x14ac:dyDescent="0.2">
      <c r="A6268" s="140" t="s">
        <v>5973</v>
      </c>
      <c r="B6268" s="141">
        <v>2.7382775746101999E-4</v>
      </c>
      <c r="D6268" s="141"/>
    </row>
    <row r="6269" spans="1:4" x14ac:dyDescent="0.2">
      <c r="A6269" s="140" t="s">
        <v>8639</v>
      </c>
      <c r="B6269" s="141">
        <v>2.7336867479164998E-4</v>
      </c>
      <c r="D6269" s="141"/>
    </row>
    <row r="6270" spans="1:4" x14ac:dyDescent="0.2">
      <c r="A6270" s="140" t="s">
        <v>8640</v>
      </c>
      <c r="B6270" s="141">
        <v>2.7336867479164998E-4</v>
      </c>
      <c r="D6270" s="141"/>
    </row>
    <row r="6271" spans="1:4" x14ac:dyDescent="0.2">
      <c r="A6271" s="140" t="s">
        <v>8641</v>
      </c>
      <c r="B6271" s="141">
        <v>2.7336867479164998E-4</v>
      </c>
      <c r="D6271" s="141"/>
    </row>
    <row r="6272" spans="1:4" x14ac:dyDescent="0.2">
      <c r="A6272" s="140" t="s">
        <v>8642</v>
      </c>
      <c r="B6272" s="141">
        <v>2.7336867479164998E-4</v>
      </c>
      <c r="D6272" s="141"/>
    </row>
    <row r="6273" spans="1:4" x14ac:dyDescent="0.2">
      <c r="A6273" s="140" t="s">
        <v>1217</v>
      </c>
      <c r="B6273" s="141">
        <v>2.7320363862404001E-4</v>
      </c>
      <c r="D6273" s="141"/>
    </row>
    <row r="6274" spans="1:4" x14ac:dyDescent="0.2">
      <c r="A6274" s="140" t="s">
        <v>4983</v>
      </c>
      <c r="B6274" s="141">
        <v>2.727559179691E-4</v>
      </c>
      <c r="D6274" s="141"/>
    </row>
    <row r="6275" spans="1:4" x14ac:dyDescent="0.2">
      <c r="A6275" s="140" t="s">
        <v>1042</v>
      </c>
      <c r="B6275" s="141">
        <v>2.7275057050786999E-4</v>
      </c>
      <c r="D6275" s="141"/>
    </row>
    <row r="6276" spans="1:4" x14ac:dyDescent="0.2">
      <c r="A6276" s="140" t="s">
        <v>8643</v>
      </c>
      <c r="B6276" s="141">
        <v>2.7268740909980999E-4</v>
      </c>
      <c r="D6276" s="141"/>
    </row>
    <row r="6277" spans="1:4" x14ac:dyDescent="0.2">
      <c r="A6277" s="140" t="s">
        <v>3685</v>
      </c>
      <c r="B6277" s="141">
        <v>2.7268740909980999E-4</v>
      </c>
      <c r="D6277" s="141"/>
    </row>
    <row r="6278" spans="1:4" x14ac:dyDescent="0.2">
      <c r="A6278" s="140" t="s">
        <v>583</v>
      </c>
      <c r="B6278" s="141">
        <v>2.7214011517382998E-4</v>
      </c>
      <c r="D6278" s="141"/>
    </row>
    <row r="6279" spans="1:4" x14ac:dyDescent="0.2">
      <c r="A6279" s="140" t="s">
        <v>723</v>
      </c>
      <c r="B6279" s="141">
        <v>2.7177326241649999E-4</v>
      </c>
      <c r="D6279" s="141"/>
    </row>
    <row r="6280" spans="1:4" x14ac:dyDescent="0.2">
      <c r="A6280" s="140" t="s">
        <v>6137</v>
      </c>
      <c r="B6280" s="141">
        <v>2.7066580327154001E-4</v>
      </c>
      <c r="D6280" s="141"/>
    </row>
    <row r="6281" spans="1:4" x14ac:dyDescent="0.2">
      <c r="A6281" s="140" t="s">
        <v>2936</v>
      </c>
      <c r="B6281" s="141">
        <v>2.7004509467052999E-4</v>
      </c>
      <c r="D6281" s="141"/>
    </row>
    <row r="6282" spans="1:4" x14ac:dyDescent="0.2">
      <c r="A6282" s="140" t="s">
        <v>4051</v>
      </c>
      <c r="B6282" s="141">
        <v>2.6982786062355001E-4</v>
      </c>
      <c r="D6282" s="141"/>
    </row>
    <row r="6283" spans="1:4" x14ac:dyDescent="0.2">
      <c r="A6283" s="140" t="s">
        <v>5422</v>
      </c>
      <c r="B6283" s="141">
        <v>2.6952533074781E-4</v>
      </c>
      <c r="D6283" s="141"/>
    </row>
    <row r="6284" spans="1:4" x14ac:dyDescent="0.2">
      <c r="A6284" s="140" t="s">
        <v>3621</v>
      </c>
      <c r="B6284" s="141">
        <v>2.6952533074781E-4</v>
      </c>
      <c r="D6284" s="141"/>
    </row>
    <row r="6285" spans="1:4" x14ac:dyDescent="0.2">
      <c r="A6285" s="140" t="s">
        <v>3335</v>
      </c>
      <c r="B6285" s="141">
        <v>2.6945174453400002E-4</v>
      </c>
      <c r="D6285" s="141"/>
    </row>
    <row r="6286" spans="1:4" x14ac:dyDescent="0.2">
      <c r="A6286" s="140" t="s">
        <v>8644</v>
      </c>
      <c r="B6286" s="141">
        <v>2.6878560033803E-4</v>
      </c>
      <c r="D6286" s="141"/>
    </row>
    <row r="6287" spans="1:4" x14ac:dyDescent="0.2">
      <c r="A6287" s="140" t="s">
        <v>4496</v>
      </c>
      <c r="B6287" s="141">
        <v>2.6873157912734002E-4</v>
      </c>
      <c r="D6287" s="141"/>
    </row>
    <row r="6288" spans="1:4" x14ac:dyDescent="0.2">
      <c r="A6288" s="140" t="s">
        <v>3122</v>
      </c>
      <c r="B6288" s="141">
        <v>2.6815629946558002E-4</v>
      </c>
      <c r="D6288" s="141"/>
    </row>
    <row r="6289" spans="1:4" x14ac:dyDescent="0.2">
      <c r="A6289" s="140" t="s">
        <v>8645</v>
      </c>
      <c r="B6289" s="141">
        <v>2.6782868781111E-4</v>
      </c>
      <c r="D6289" s="141"/>
    </row>
    <row r="6290" spans="1:4" x14ac:dyDescent="0.2">
      <c r="A6290" s="140" t="s">
        <v>5501</v>
      </c>
      <c r="B6290" s="141">
        <v>2.6765871498477998E-4</v>
      </c>
      <c r="D6290" s="141"/>
    </row>
    <row r="6291" spans="1:4" x14ac:dyDescent="0.2">
      <c r="A6291" s="140" t="s">
        <v>5440</v>
      </c>
      <c r="B6291" s="141">
        <v>2.6750334212366001E-4</v>
      </c>
      <c r="D6291" s="141"/>
    </row>
    <row r="6292" spans="1:4" x14ac:dyDescent="0.2">
      <c r="A6292" s="140" t="s">
        <v>1204</v>
      </c>
      <c r="B6292" s="141">
        <v>2.6739462804714002E-4</v>
      </c>
      <c r="D6292" s="141"/>
    </row>
    <row r="6293" spans="1:4" x14ac:dyDescent="0.2">
      <c r="A6293" s="140" t="s">
        <v>5340</v>
      </c>
      <c r="B6293" s="141">
        <v>2.6701419537015998E-4</v>
      </c>
      <c r="D6293" s="141"/>
    </row>
    <row r="6294" spans="1:4" x14ac:dyDescent="0.2">
      <c r="A6294" s="140" t="s">
        <v>5738</v>
      </c>
      <c r="B6294" s="141">
        <v>2.6623391678872002E-4</v>
      </c>
      <c r="D6294" s="141"/>
    </row>
    <row r="6295" spans="1:4" x14ac:dyDescent="0.2">
      <c r="A6295" s="140" t="s">
        <v>2420</v>
      </c>
      <c r="B6295" s="141">
        <v>2.6550860358672001E-4</v>
      </c>
      <c r="D6295" s="141"/>
    </row>
    <row r="6296" spans="1:4" x14ac:dyDescent="0.2">
      <c r="A6296" s="140" t="s">
        <v>1449</v>
      </c>
      <c r="B6296" s="141">
        <v>2.6524006864897E-4</v>
      </c>
      <c r="D6296" s="141"/>
    </row>
    <row r="6297" spans="1:4" x14ac:dyDescent="0.2">
      <c r="A6297" s="140" t="s">
        <v>8646</v>
      </c>
      <c r="B6297" s="141">
        <v>2.6519406163463003E-4</v>
      </c>
      <c r="D6297" s="141"/>
    </row>
    <row r="6298" spans="1:4" x14ac:dyDescent="0.2">
      <c r="A6298" s="140" t="s">
        <v>709</v>
      </c>
      <c r="B6298" s="141">
        <v>2.6438160915028002E-4</v>
      </c>
      <c r="D6298" s="141"/>
    </row>
    <row r="6299" spans="1:4" x14ac:dyDescent="0.2">
      <c r="A6299" s="140" t="s">
        <v>5968</v>
      </c>
      <c r="B6299" s="141">
        <v>2.6417978219726E-4</v>
      </c>
      <c r="D6299" s="141"/>
    </row>
    <row r="6300" spans="1:4" x14ac:dyDescent="0.2">
      <c r="A6300" s="140" t="s">
        <v>6320</v>
      </c>
      <c r="B6300" s="141">
        <v>2.6398783850821E-4</v>
      </c>
      <c r="D6300" s="141"/>
    </row>
    <row r="6301" spans="1:4" x14ac:dyDescent="0.2">
      <c r="A6301" s="140" t="s">
        <v>1411</v>
      </c>
      <c r="B6301" s="141">
        <v>2.6380392756011997E-4</v>
      </c>
      <c r="D6301" s="141"/>
    </row>
    <row r="6302" spans="1:4" x14ac:dyDescent="0.2">
      <c r="A6302" s="140" t="s">
        <v>3942</v>
      </c>
      <c r="B6302" s="141">
        <v>2.6365956289371999E-4</v>
      </c>
      <c r="D6302" s="141"/>
    </row>
    <row r="6303" spans="1:4" x14ac:dyDescent="0.2">
      <c r="A6303" s="140" t="s">
        <v>5490</v>
      </c>
      <c r="B6303" s="141">
        <v>2.6337989883225E-4</v>
      </c>
      <c r="D6303" s="141"/>
    </row>
    <row r="6304" spans="1:4" x14ac:dyDescent="0.2">
      <c r="A6304" s="140" t="s">
        <v>574</v>
      </c>
      <c r="B6304" s="141">
        <v>2.6335127320447E-4</v>
      </c>
      <c r="D6304" s="141"/>
    </row>
    <row r="6305" spans="1:4" x14ac:dyDescent="0.2">
      <c r="A6305" s="140" t="s">
        <v>4578</v>
      </c>
      <c r="B6305" s="141">
        <v>2.6328875125056E-4</v>
      </c>
      <c r="D6305" s="141"/>
    </row>
    <row r="6306" spans="1:4" x14ac:dyDescent="0.2">
      <c r="A6306" s="140" t="s">
        <v>1026</v>
      </c>
      <c r="B6306" s="141">
        <v>2.6322694793761E-4</v>
      </c>
      <c r="D6306" s="141"/>
    </row>
    <row r="6307" spans="1:4" x14ac:dyDescent="0.2">
      <c r="A6307" s="140" t="s">
        <v>8647</v>
      </c>
      <c r="B6307" s="141">
        <v>2.6297707737494002E-4</v>
      </c>
      <c r="D6307" s="141"/>
    </row>
    <row r="6308" spans="1:4" x14ac:dyDescent="0.2">
      <c r="A6308" s="140" t="s">
        <v>4272</v>
      </c>
      <c r="B6308" s="141">
        <v>2.6253212340066002E-4</v>
      </c>
      <c r="D6308" s="141"/>
    </row>
    <row r="6309" spans="1:4" x14ac:dyDescent="0.2">
      <c r="A6309" s="140" t="s">
        <v>8648</v>
      </c>
      <c r="B6309" s="141">
        <v>2.6233930506611001E-4</v>
      </c>
      <c r="D6309" s="141"/>
    </row>
    <row r="6310" spans="1:4" x14ac:dyDescent="0.2">
      <c r="A6310" s="140" t="s">
        <v>1346</v>
      </c>
      <c r="B6310" s="141">
        <v>2.6220973416577002E-4</v>
      </c>
      <c r="D6310" s="141"/>
    </row>
    <row r="6311" spans="1:4" x14ac:dyDescent="0.2">
      <c r="A6311" s="140" t="s">
        <v>4707</v>
      </c>
      <c r="B6311" s="141">
        <v>2.6220329100691E-4</v>
      </c>
      <c r="D6311" s="141"/>
    </row>
    <row r="6312" spans="1:4" x14ac:dyDescent="0.2">
      <c r="A6312" s="140" t="s">
        <v>4112</v>
      </c>
      <c r="B6312" s="141">
        <v>2.6127888710301002E-4</v>
      </c>
      <c r="D6312" s="141"/>
    </row>
    <row r="6313" spans="1:4" x14ac:dyDescent="0.2">
      <c r="A6313" s="140" t="s">
        <v>8649</v>
      </c>
      <c r="B6313" s="141">
        <v>2.6112052895167E-4</v>
      </c>
      <c r="D6313" s="141"/>
    </row>
    <row r="6314" spans="1:4" x14ac:dyDescent="0.2">
      <c r="A6314" s="140" t="s">
        <v>2887</v>
      </c>
      <c r="B6314" s="141">
        <v>2.6107250868715002E-4</v>
      </c>
      <c r="D6314" s="141"/>
    </row>
    <row r="6315" spans="1:4" x14ac:dyDescent="0.2">
      <c r="A6315" s="140" t="s">
        <v>4829</v>
      </c>
      <c r="B6315" s="141">
        <v>2.6074746754484E-4</v>
      </c>
      <c r="D6315" s="141"/>
    </row>
    <row r="6316" spans="1:4" x14ac:dyDescent="0.2">
      <c r="A6316" s="140" t="s">
        <v>1073</v>
      </c>
      <c r="B6316" s="141">
        <v>2.6045964064777999E-4</v>
      </c>
      <c r="D6316" s="141"/>
    </row>
    <row r="6317" spans="1:4" x14ac:dyDescent="0.2">
      <c r="A6317" s="140" t="s">
        <v>944</v>
      </c>
      <c r="B6317" s="141">
        <v>2.6040553026071003E-4</v>
      </c>
      <c r="D6317" s="141"/>
    </row>
    <row r="6318" spans="1:4" x14ac:dyDescent="0.2">
      <c r="A6318" s="140" t="s">
        <v>1152</v>
      </c>
      <c r="B6318" s="141">
        <v>2.6010271996498001E-4</v>
      </c>
      <c r="D6318" s="141"/>
    </row>
    <row r="6319" spans="1:4" x14ac:dyDescent="0.2">
      <c r="A6319" s="140" t="s">
        <v>8650</v>
      </c>
      <c r="B6319" s="141">
        <v>2.600844595583E-4</v>
      </c>
      <c r="D6319" s="141"/>
    </row>
    <row r="6320" spans="1:4" x14ac:dyDescent="0.2">
      <c r="A6320" s="140" t="s">
        <v>8651</v>
      </c>
      <c r="B6320" s="141">
        <v>2.600844595583E-4</v>
      </c>
      <c r="D6320" s="141"/>
    </row>
    <row r="6321" spans="1:4" x14ac:dyDescent="0.2">
      <c r="A6321" s="140" t="s">
        <v>8652</v>
      </c>
      <c r="B6321" s="141">
        <v>2.5992605640655001E-4</v>
      </c>
      <c r="D6321" s="141"/>
    </row>
    <row r="6322" spans="1:4" x14ac:dyDescent="0.2">
      <c r="A6322" s="140" t="s">
        <v>6153</v>
      </c>
      <c r="B6322" s="141">
        <v>2.5989431165787002E-4</v>
      </c>
      <c r="D6322" s="141"/>
    </row>
    <row r="6323" spans="1:4" x14ac:dyDescent="0.2">
      <c r="A6323" s="140" t="s">
        <v>8653</v>
      </c>
      <c r="B6323" s="141">
        <v>2.5963522484113001E-4</v>
      </c>
      <c r="D6323" s="141"/>
    </row>
    <row r="6324" spans="1:4" x14ac:dyDescent="0.2">
      <c r="A6324" s="140" t="s">
        <v>1972</v>
      </c>
      <c r="B6324" s="141">
        <v>2.5944207216762E-4</v>
      </c>
      <c r="D6324" s="141"/>
    </row>
    <row r="6325" spans="1:4" x14ac:dyDescent="0.2">
      <c r="A6325" s="140" t="s">
        <v>598</v>
      </c>
      <c r="B6325" s="141">
        <v>2.5943017747730998E-4</v>
      </c>
      <c r="D6325" s="141"/>
    </row>
    <row r="6326" spans="1:4" x14ac:dyDescent="0.2">
      <c r="A6326" s="140" t="s">
        <v>2236</v>
      </c>
      <c r="B6326" s="141">
        <v>2.5914832803731E-4</v>
      </c>
      <c r="D6326" s="141"/>
    </row>
    <row r="6327" spans="1:4" x14ac:dyDescent="0.2">
      <c r="A6327" s="140" t="s">
        <v>1017</v>
      </c>
      <c r="B6327" s="141">
        <v>2.5895887023269E-4</v>
      </c>
      <c r="D6327" s="141"/>
    </row>
    <row r="6328" spans="1:4" x14ac:dyDescent="0.2">
      <c r="A6328" s="140" t="s">
        <v>8654</v>
      </c>
      <c r="B6328" s="141">
        <v>2.5886496706386002E-4</v>
      </c>
      <c r="D6328" s="141"/>
    </row>
    <row r="6329" spans="1:4" x14ac:dyDescent="0.2">
      <c r="A6329" s="140" t="s">
        <v>8655</v>
      </c>
      <c r="B6329" s="141">
        <v>2.5878324893915998E-4</v>
      </c>
      <c r="D6329" s="141"/>
    </row>
    <row r="6330" spans="1:4" x14ac:dyDescent="0.2">
      <c r="A6330" s="140" t="s">
        <v>5606</v>
      </c>
      <c r="B6330" s="141">
        <v>2.5869834305618E-4</v>
      </c>
      <c r="D6330" s="141"/>
    </row>
    <row r="6331" spans="1:4" x14ac:dyDescent="0.2">
      <c r="A6331" s="140" t="s">
        <v>3255</v>
      </c>
      <c r="B6331" s="141">
        <v>2.5869834305618E-4</v>
      </c>
      <c r="D6331" s="141"/>
    </row>
    <row r="6332" spans="1:4" x14ac:dyDescent="0.2">
      <c r="A6332" s="140" t="s">
        <v>8656</v>
      </c>
      <c r="B6332" s="141">
        <v>2.5859996201313E-4</v>
      </c>
      <c r="D6332" s="141"/>
    </row>
    <row r="6333" spans="1:4" x14ac:dyDescent="0.2">
      <c r="A6333" s="140" t="s">
        <v>468</v>
      </c>
      <c r="B6333" s="141">
        <v>2.5834895217475998E-4</v>
      </c>
      <c r="D6333" s="141"/>
    </row>
    <row r="6334" spans="1:4" x14ac:dyDescent="0.2">
      <c r="A6334" s="140" t="s">
        <v>2349</v>
      </c>
      <c r="B6334" s="141">
        <v>2.5821247574224E-4</v>
      </c>
      <c r="D6334" s="141"/>
    </row>
    <row r="6335" spans="1:4" x14ac:dyDescent="0.2">
      <c r="A6335" s="140" t="s">
        <v>405</v>
      </c>
      <c r="B6335" s="141">
        <v>2.5803683261470001E-4</v>
      </c>
      <c r="D6335" s="141"/>
    </row>
    <row r="6336" spans="1:4" x14ac:dyDescent="0.2">
      <c r="A6336" s="140" t="s">
        <v>8657</v>
      </c>
      <c r="B6336" s="141">
        <v>2.5802856465328999E-4</v>
      </c>
      <c r="D6336" s="141"/>
    </row>
    <row r="6337" spans="1:4" x14ac:dyDescent="0.2">
      <c r="A6337" s="140" t="s">
        <v>6297</v>
      </c>
      <c r="B6337" s="141">
        <v>2.5753523918280999E-4</v>
      </c>
      <c r="D6337" s="141"/>
    </row>
    <row r="6338" spans="1:4" x14ac:dyDescent="0.2">
      <c r="A6338" s="140" t="s">
        <v>807</v>
      </c>
      <c r="B6338" s="141">
        <v>2.5747872946997E-4</v>
      </c>
      <c r="D6338" s="141"/>
    </row>
    <row r="6339" spans="1:4" x14ac:dyDescent="0.2">
      <c r="A6339" s="140" t="s">
        <v>4870</v>
      </c>
      <c r="B6339" s="141">
        <v>2.5688410144872001E-4</v>
      </c>
      <c r="D6339" s="141"/>
    </row>
    <row r="6340" spans="1:4" x14ac:dyDescent="0.2">
      <c r="A6340" s="140" t="s">
        <v>1003</v>
      </c>
      <c r="B6340" s="141">
        <v>2.565012098394E-4</v>
      </c>
      <c r="D6340" s="141"/>
    </row>
    <row r="6341" spans="1:4" x14ac:dyDescent="0.2">
      <c r="A6341" s="140" t="s">
        <v>3007</v>
      </c>
      <c r="B6341" s="141">
        <v>2.5614118427668E-4</v>
      </c>
      <c r="D6341" s="141"/>
    </row>
    <row r="6342" spans="1:4" x14ac:dyDescent="0.2">
      <c r="A6342" s="140" t="s">
        <v>8658</v>
      </c>
      <c r="B6342" s="141">
        <v>2.5562666964981998E-4</v>
      </c>
      <c r="D6342" s="141"/>
    </row>
    <row r="6343" spans="1:4" x14ac:dyDescent="0.2">
      <c r="A6343" s="140" t="s">
        <v>806</v>
      </c>
      <c r="B6343" s="141">
        <v>2.5555220223155001E-4</v>
      </c>
      <c r="D6343" s="141"/>
    </row>
    <row r="6344" spans="1:4" x14ac:dyDescent="0.2">
      <c r="A6344" s="140" t="s">
        <v>8659</v>
      </c>
      <c r="B6344" s="141">
        <v>2.5541401097941999E-4</v>
      </c>
      <c r="D6344" s="141"/>
    </row>
    <row r="6345" spans="1:4" x14ac:dyDescent="0.2">
      <c r="A6345" s="140" t="s">
        <v>4841</v>
      </c>
      <c r="B6345" s="141">
        <v>2.5449307095889003E-4</v>
      </c>
      <c r="D6345" s="141"/>
    </row>
    <row r="6346" spans="1:4" x14ac:dyDescent="0.2">
      <c r="A6346" s="140" t="s">
        <v>5617</v>
      </c>
      <c r="B6346" s="141">
        <v>2.5401289161979001E-4</v>
      </c>
      <c r="D6346" s="141"/>
    </row>
    <row r="6347" spans="1:4" x14ac:dyDescent="0.2">
      <c r="A6347" s="140" t="s">
        <v>4741</v>
      </c>
      <c r="B6347" s="141">
        <v>2.5390933183007999E-4</v>
      </c>
      <c r="D6347" s="141"/>
    </row>
    <row r="6348" spans="1:4" x14ac:dyDescent="0.2">
      <c r="A6348" s="140" t="s">
        <v>2120</v>
      </c>
      <c r="B6348" s="141">
        <v>2.5390933183007999E-4</v>
      </c>
      <c r="D6348" s="141"/>
    </row>
    <row r="6349" spans="1:4" x14ac:dyDescent="0.2">
      <c r="A6349" s="140" t="s">
        <v>3190</v>
      </c>
      <c r="B6349" s="141">
        <v>2.5368961885285002E-4</v>
      </c>
      <c r="D6349" s="141"/>
    </row>
    <row r="6350" spans="1:4" x14ac:dyDescent="0.2">
      <c r="A6350" s="140" t="s">
        <v>6152</v>
      </c>
      <c r="B6350" s="141">
        <v>2.5365625567709001E-4</v>
      </c>
      <c r="D6350" s="141"/>
    </row>
    <row r="6351" spans="1:4" x14ac:dyDescent="0.2">
      <c r="A6351" s="140" t="s">
        <v>5378</v>
      </c>
      <c r="B6351" s="141">
        <v>2.5364922774625002E-4</v>
      </c>
      <c r="D6351" s="141"/>
    </row>
    <row r="6352" spans="1:4" x14ac:dyDescent="0.2">
      <c r="A6352" s="140" t="s">
        <v>4571</v>
      </c>
      <c r="B6352" s="141">
        <v>2.5328216383074001E-4</v>
      </c>
      <c r="D6352" s="141"/>
    </row>
    <row r="6353" spans="1:4" x14ac:dyDescent="0.2">
      <c r="A6353" s="140" t="s">
        <v>2226</v>
      </c>
      <c r="B6353" s="141">
        <v>2.5326156271649001E-4</v>
      </c>
      <c r="D6353" s="141"/>
    </row>
    <row r="6354" spans="1:4" x14ac:dyDescent="0.2">
      <c r="A6354" s="140" t="s">
        <v>8660</v>
      </c>
      <c r="B6354" s="141">
        <v>2.5308441633611E-4</v>
      </c>
      <c r="D6354" s="141"/>
    </row>
    <row r="6355" spans="1:4" x14ac:dyDescent="0.2">
      <c r="A6355" s="140" t="s">
        <v>8661</v>
      </c>
      <c r="B6355" s="141">
        <v>2.5291080062098999E-4</v>
      </c>
      <c r="D6355" s="141"/>
    </row>
    <row r="6356" spans="1:4" x14ac:dyDescent="0.2">
      <c r="A6356" s="140" t="s">
        <v>3345</v>
      </c>
      <c r="B6356" s="141">
        <v>2.5290372000353998E-4</v>
      </c>
      <c r="D6356" s="141"/>
    </row>
    <row r="6357" spans="1:4" x14ac:dyDescent="0.2">
      <c r="A6357" s="140" t="s">
        <v>4100</v>
      </c>
      <c r="B6357" s="141">
        <v>2.5262349644609002E-4</v>
      </c>
      <c r="D6357" s="141"/>
    </row>
    <row r="6358" spans="1:4" x14ac:dyDescent="0.2">
      <c r="A6358" s="140" t="s">
        <v>804</v>
      </c>
      <c r="B6358" s="141">
        <v>2.5252038300585002E-4</v>
      </c>
      <c r="D6358" s="141"/>
    </row>
    <row r="6359" spans="1:4" x14ac:dyDescent="0.2">
      <c r="A6359" s="140" t="s">
        <v>3478</v>
      </c>
      <c r="B6359" s="141">
        <v>2.5239599381194998E-4</v>
      </c>
      <c r="D6359" s="141"/>
    </row>
    <row r="6360" spans="1:4" x14ac:dyDescent="0.2">
      <c r="A6360" s="140" t="s">
        <v>3036</v>
      </c>
      <c r="B6360" s="141">
        <v>2.5214821941673998E-4</v>
      </c>
      <c r="D6360" s="141"/>
    </row>
    <row r="6361" spans="1:4" x14ac:dyDescent="0.2">
      <c r="A6361" s="140" t="s">
        <v>2935</v>
      </c>
      <c r="B6361" s="141">
        <v>2.5184594158029003E-4</v>
      </c>
      <c r="D6361" s="141"/>
    </row>
    <row r="6362" spans="1:4" x14ac:dyDescent="0.2">
      <c r="A6362" s="140" t="s">
        <v>8662</v>
      </c>
      <c r="B6362" s="141">
        <v>2.5151464941079997E-4</v>
      </c>
      <c r="D6362" s="141"/>
    </row>
    <row r="6363" spans="1:4" x14ac:dyDescent="0.2">
      <c r="A6363" s="140" t="s">
        <v>4209</v>
      </c>
      <c r="B6363" s="141">
        <v>2.5143425674115002E-4</v>
      </c>
      <c r="D6363" s="141"/>
    </row>
    <row r="6364" spans="1:4" x14ac:dyDescent="0.2">
      <c r="A6364" s="140" t="s">
        <v>785</v>
      </c>
      <c r="B6364" s="141">
        <v>2.5136140626759001E-4</v>
      </c>
      <c r="D6364" s="141"/>
    </row>
    <row r="6365" spans="1:4" x14ac:dyDescent="0.2">
      <c r="A6365" s="140" t="s">
        <v>1736</v>
      </c>
      <c r="B6365" s="141">
        <v>2.5131204587628E-4</v>
      </c>
      <c r="D6365" s="141"/>
    </row>
    <row r="6366" spans="1:4" x14ac:dyDescent="0.2">
      <c r="A6366" s="140" t="s">
        <v>8663</v>
      </c>
      <c r="B6366" s="141">
        <v>2.5102088420007001E-4</v>
      </c>
      <c r="D6366" s="141"/>
    </row>
    <row r="6367" spans="1:4" x14ac:dyDescent="0.2">
      <c r="A6367" s="140" t="s">
        <v>6221</v>
      </c>
      <c r="B6367" s="141">
        <v>2.5093885572598001E-4</v>
      </c>
      <c r="D6367" s="141"/>
    </row>
    <row r="6368" spans="1:4" x14ac:dyDescent="0.2">
      <c r="A6368" s="140" t="s">
        <v>5019</v>
      </c>
      <c r="B6368" s="141">
        <v>2.5064094568206998E-4</v>
      </c>
      <c r="D6368" s="141"/>
    </row>
    <row r="6369" spans="1:4" x14ac:dyDescent="0.2">
      <c r="A6369" s="140" t="s">
        <v>1430</v>
      </c>
      <c r="B6369" s="141">
        <v>2.5044671360424002E-4</v>
      </c>
      <c r="D6369" s="141"/>
    </row>
    <row r="6370" spans="1:4" x14ac:dyDescent="0.2">
      <c r="A6370" s="140" t="s">
        <v>473</v>
      </c>
      <c r="B6370" s="141">
        <v>2.5020541517059997E-4</v>
      </c>
      <c r="D6370" s="141"/>
    </row>
    <row r="6371" spans="1:4" x14ac:dyDescent="0.2">
      <c r="A6371" s="140" t="s">
        <v>4912</v>
      </c>
      <c r="B6371" s="141">
        <v>2.4922215003448999E-4</v>
      </c>
      <c r="D6371" s="141"/>
    </row>
    <row r="6372" spans="1:4" x14ac:dyDescent="0.2">
      <c r="A6372" s="140" t="s">
        <v>5388</v>
      </c>
      <c r="B6372" s="141">
        <v>2.4883677503009999E-4</v>
      </c>
      <c r="D6372" s="141"/>
    </row>
    <row r="6373" spans="1:4" x14ac:dyDescent="0.2">
      <c r="A6373" s="140" t="s">
        <v>4946</v>
      </c>
      <c r="B6373" s="141">
        <v>2.4866960681355001E-4</v>
      </c>
      <c r="D6373" s="141"/>
    </row>
    <row r="6374" spans="1:4" x14ac:dyDescent="0.2">
      <c r="A6374" s="140" t="s">
        <v>5830</v>
      </c>
      <c r="B6374" s="141">
        <v>2.4849567760733997E-4</v>
      </c>
      <c r="D6374" s="141"/>
    </row>
    <row r="6375" spans="1:4" x14ac:dyDescent="0.2">
      <c r="A6375" s="140" t="s">
        <v>701</v>
      </c>
      <c r="B6375" s="141">
        <v>2.4814101368796001E-4</v>
      </c>
      <c r="D6375" s="141"/>
    </row>
    <row r="6376" spans="1:4" x14ac:dyDescent="0.2">
      <c r="A6376" s="140" t="s">
        <v>5282</v>
      </c>
      <c r="B6376" s="141">
        <v>2.4784481949147999E-4</v>
      </c>
      <c r="D6376" s="141"/>
    </row>
    <row r="6377" spans="1:4" x14ac:dyDescent="0.2">
      <c r="A6377" s="140" t="s">
        <v>8664</v>
      </c>
      <c r="B6377" s="141">
        <v>2.4771147861087003E-4</v>
      </c>
      <c r="D6377" s="141"/>
    </row>
    <row r="6378" spans="1:4" x14ac:dyDescent="0.2">
      <c r="A6378" s="140" t="s">
        <v>2363</v>
      </c>
      <c r="B6378" s="141">
        <v>2.4757552140741002E-4</v>
      </c>
      <c r="D6378" s="141"/>
    </row>
    <row r="6379" spans="1:4" x14ac:dyDescent="0.2">
      <c r="A6379" s="140" t="s">
        <v>4808</v>
      </c>
      <c r="B6379" s="141">
        <v>2.4747631693224998E-4</v>
      </c>
      <c r="D6379" s="141"/>
    </row>
    <row r="6380" spans="1:4" x14ac:dyDescent="0.2">
      <c r="A6380" s="140" t="s">
        <v>6132</v>
      </c>
      <c r="B6380" s="141">
        <v>2.4724927986129002E-4</v>
      </c>
      <c r="D6380" s="141"/>
    </row>
    <row r="6381" spans="1:4" x14ac:dyDescent="0.2">
      <c r="A6381" s="140" t="s">
        <v>8665</v>
      </c>
      <c r="B6381" s="141">
        <v>2.4672541814801003E-4</v>
      </c>
      <c r="D6381" s="141"/>
    </row>
    <row r="6382" spans="1:4" x14ac:dyDescent="0.2">
      <c r="A6382" s="140" t="s">
        <v>3737</v>
      </c>
      <c r="B6382" s="141">
        <v>2.4661390452301998E-4</v>
      </c>
      <c r="D6382" s="141"/>
    </row>
    <row r="6383" spans="1:4" x14ac:dyDescent="0.2">
      <c r="A6383" s="140" t="s">
        <v>3464</v>
      </c>
      <c r="B6383" s="141">
        <v>2.4650250878090001E-4</v>
      </c>
      <c r="D6383" s="141"/>
    </row>
    <row r="6384" spans="1:4" x14ac:dyDescent="0.2">
      <c r="A6384" s="140" t="s">
        <v>8666</v>
      </c>
      <c r="B6384" s="141">
        <v>2.4595022698755E-4</v>
      </c>
      <c r="D6384" s="141"/>
    </row>
    <row r="6385" spans="1:4" x14ac:dyDescent="0.2">
      <c r="A6385" s="140" t="s">
        <v>8667</v>
      </c>
      <c r="B6385" s="141">
        <v>2.4589137348218998E-4</v>
      </c>
      <c r="D6385" s="141"/>
    </row>
    <row r="6386" spans="1:4" x14ac:dyDescent="0.2">
      <c r="A6386" s="140" t="s">
        <v>8668</v>
      </c>
      <c r="B6386" s="141">
        <v>2.4564035032138999E-4</v>
      </c>
      <c r="D6386" s="141"/>
    </row>
    <row r="6387" spans="1:4" x14ac:dyDescent="0.2">
      <c r="A6387" s="140" t="s">
        <v>8669</v>
      </c>
      <c r="B6387" s="141">
        <v>2.4512510401800001E-4</v>
      </c>
      <c r="D6387" s="141"/>
    </row>
    <row r="6388" spans="1:4" x14ac:dyDescent="0.2">
      <c r="A6388" s="140" t="s">
        <v>4930</v>
      </c>
      <c r="B6388" s="141">
        <v>2.4476047483241997E-4</v>
      </c>
      <c r="D6388" s="141"/>
    </row>
    <row r="6389" spans="1:4" x14ac:dyDescent="0.2">
      <c r="A6389" s="140" t="s">
        <v>3355</v>
      </c>
      <c r="B6389" s="141">
        <v>2.4453648022338998E-4</v>
      </c>
      <c r="D6389" s="141"/>
    </row>
    <row r="6390" spans="1:4" x14ac:dyDescent="0.2">
      <c r="A6390" s="140" t="s">
        <v>8670</v>
      </c>
      <c r="B6390" s="141">
        <v>2.4444757475956997E-4</v>
      </c>
      <c r="D6390" s="141"/>
    </row>
    <row r="6391" spans="1:4" x14ac:dyDescent="0.2">
      <c r="A6391" s="140" t="s">
        <v>8671</v>
      </c>
      <c r="B6391" s="141">
        <v>2.4443578024279001E-4</v>
      </c>
      <c r="D6391" s="141"/>
    </row>
    <row r="6392" spans="1:4" x14ac:dyDescent="0.2">
      <c r="A6392" s="140" t="s">
        <v>8672</v>
      </c>
      <c r="B6392" s="141">
        <v>2.4370746214594E-4</v>
      </c>
      <c r="D6392" s="141"/>
    </row>
    <row r="6393" spans="1:4" x14ac:dyDescent="0.2">
      <c r="A6393" s="140" t="s">
        <v>1497</v>
      </c>
      <c r="B6393" s="141">
        <v>2.4354294443503999E-4</v>
      </c>
      <c r="D6393" s="141"/>
    </row>
    <row r="6394" spans="1:4" x14ac:dyDescent="0.2">
      <c r="A6394" s="140" t="s">
        <v>2371</v>
      </c>
      <c r="B6394" s="141">
        <v>2.4290627306763001E-4</v>
      </c>
      <c r="D6394" s="141"/>
    </row>
    <row r="6395" spans="1:4" x14ac:dyDescent="0.2">
      <c r="A6395" s="140" t="s">
        <v>5491</v>
      </c>
      <c r="B6395" s="141">
        <v>2.4272964158602E-4</v>
      </c>
      <c r="D6395" s="141"/>
    </row>
    <row r="6396" spans="1:4" x14ac:dyDescent="0.2">
      <c r="A6396" s="140" t="s">
        <v>534</v>
      </c>
      <c r="B6396" s="141">
        <v>2.4262943474471E-4</v>
      </c>
      <c r="D6396" s="141"/>
    </row>
    <row r="6397" spans="1:4" x14ac:dyDescent="0.2">
      <c r="A6397" s="140" t="s">
        <v>4904</v>
      </c>
      <c r="B6397" s="141">
        <v>2.4258889088123E-4</v>
      </c>
      <c r="D6397" s="141"/>
    </row>
    <row r="6398" spans="1:4" x14ac:dyDescent="0.2">
      <c r="A6398" s="140" t="s">
        <v>8673</v>
      </c>
      <c r="B6398" s="141">
        <v>2.4210783340725001E-4</v>
      </c>
      <c r="D6398" s="141"/>
    </row>
    <row r="6399" spans="1:4" x14ac:dyDescent="0.2">
      <c r="A6399" s="140" t="s">
        <v>8674</v>
      </c>
      <c r="B6399" s="141">
        <v>2.4209904217143999E-4</v>
      </c>
      <c r="D6399" s="141"/>
    </row>
    <row r="6400" spans="1:4" x14ac:dyDescent="0.2">
      <c r="A6400" s="140" t="s">
        <v>5646</v>
      </c>
      <c r="B6400" s="141">
        <v>2.4209486166355999E-4</v>
      </c>
      <c r="D6400" s="141"/>
    </row>
    <row r="6401" spans="1:4" x14ac:dyDescent="0.2">
      <c r="A6401" s="140" t="s">
        <v>1877</v>
      </c>
      <c r="B6401" s="141">
        <v>2.4209165495005E-4</v>
      </c>
      <c r="D6401" s="141"/>
    </row>
    <row r="6402" spans="1:4" x14ac:dyDescent="0.2">
      <c r="A6402" s="140" t="s">
        <v>8675</v>
      </c>
      <c r="B6402" s="141">
        <v>2.4149015687525001E-4</v>
      </c>
      <c r="D6402" s="141"/>
    </row>
    <row r="6403" spans="1:4" x14ac:dyDescent="0.2">
      <c r="A6403" s="140" t="s">
        <v>4661</v>
      </c>
      <c r="B6403" s="141">
        <v>2.4125087387215E-4</v>
      </c>
      <c r="D6403" s="141"/>
    </row>
    <row r="6404" spans="1:4" x14ac:dyDescent="0.2">
      <c r="A6404" s="140" t="s">
        <v>2475</v>
      </c>
      <c r="B6404" s="141">
        <v>2.4087569628073E-4</v>
      </c>
      <c r="D6404" s="141"/>
    </row>
    <row r="6405" spans="1:4" x14ac:dyDescent="0.2">
      <c r="A6405" s="140" t="s">
        <v>3128</v>
      </c>
      <c r="B6405" s="141">
        <v>2.4050217976794E-4</v>
      </c>
      <c r="D6405" s="141"/>
    </row>
    <row r="6406" spans="1:4" x14ac:dyDescent="0.2">
      <c r="A6406" s="140" t="s">
        <v>2312</v>
      </c>
      <c r="B6406" s="141">
        <v>2.4040474724526E-4</v>
      </c>
      <c r="D6406" s="141"/>
    </row>
    <row r="6407" spans="1:4" x14ac:dyDescent="0.2">
      <c r="A6407" s="140" t="s">
        <v>3066</v>
      </c>
      <c r="B6407" s="141">
        <v>2.4032587351211E-4</v>
      </c>
      <c r="D6407" s="141"/>
    </row>
    <row r="6408" spans="1:4" x14ac:dyDescent="0.2">
      <c r="A6408" s="140" t="s">
        <v>3527</v>
      </c>
      <c r="B6408" s="141">
        <v>2.4006971500064E-4</v>
      </c>
      <c r="D6408" s="141"/>
    </row>
    <row r="6409" spans="1:4" x14ac:dyDescent="0.2">
      <c r="A6409" s="140" t="s">
        <v>8676</v>
      </c>
      <c r="B6409" s="141">
        <v>2.3991927407889001E-4</v>
      </c>
      <c r="D6409" s="141"/>
    </row>
    <row r="6410" spans="1:4" x14ac:dyDescent="0.2">
      <c r="A6410" s="140" t="s">
        <v>5827</v>
      </c>
      <c r="B6410" s="141">
        <v>2.3948133773872001E-4</v>
      </c>
      <c r="D6410" s="141"/>
    </row>
    <row r="6411" spans="1:4" x14ac:dyDescent="0.2">
      <c r="A6411" s="140" t="s">
        <v>8677</v>
      </c>
      <c r="B6411" s="141">
        <v>2.3941103260728E-4</v>
      </c>
      <c r="D6411" s="141"/>
    </row>
    <row r="6412" spans="1:4" x14ac:dyDescent="0.2">
      <c r="A6412" s="140" t="s">
        <v>8678</v>
      </c>
      <c r="B6412" s="141">
        <v>2.3941103260728E-4</v>
      </c>
      <c r="D6412" s="141"/>
    </row>
    <row r="6413" spans="1:4" x14ac:dyDescent="0.2">
      <c r="A6413" s="140" t="s">
        <v>1723</v>
      </c>
      <c r="B6413" s="141">
        <v>2.3941103260728E-4</v>
      </c>
      <c r="D6413" s="141"/>
    </row>
    <row r="6414" spans="1:4" x14ac:dyDescent="0.2">
      <c r="A6414" s="140" t="s">
        <v>1722</v>
      </c>
      <c r="B6414" s="141">
        <v>2.3941103260728E-4</v>
      </c>
      <c r="D6414" s="141"/>
    </row>
    <row r="6415" spans="1:4" x14ac:dyDescent="0.2">
      <c r="A6415" s="140" t="s">
        <v>4253</v>
      </c>
      <c r="B6415" s="141">
        <v>2.3941103260728E-4</v>
      </c>
      <c r="D6415" s="141"/>
    </row>
    <row r="6416" spans="1:4" x14ac:dyDescent="0.2">
      <c r="A6416" s="140" t="s">
        <v>8679</v>
      </c>
      <c r="B6416" s="141">
        <v>2.3941103260728E-4</v>
      </c>
      <c r="D6416" s="141"/>
    </row>
    <row r="6417" spans="1:4" x14ac:dyDescent="0.2">
      <c r="A6417" s="140" t="s">
        <v>8680</v>
      </c>
      <c r="B6417" s="141">
        <v>2.3941103260728E-4</v>
      </c>
      <c r="D6417" s="141"/>
    </row>
    <row r="6418" spans="1:4" x14ac:dyDescent="0.2">
      <c r="A6418" s="140" t="s">
        <v>1781</v>
      </c>
      <c r="B6418" s="141">
        <v>2.3941103260728E-4</v>
      </c>
      <c r="D6418" s="141"/>
    </row>
    <row r="6419" spans="1:4" x14ac:dyDescent="0.2">
      <c r="A6419" s="140" t="s">
        <v>3376</v>
      </c>
      <c r="B6419" s="141">
        <v>2.393934196622E-4</v>
      </c>
      <c r="D6419" s="141"/>
    </row>
    <row r="6420" spans="1:4" x14ac:dyDescent="0.2">
      <c r="A6420" s="140" t="s">
        <v>3465</v>
      </c>
      <c r="B6420" s="141">
        <v>2.3931537788443E-4</v>
      </c>
      <c r="D6420" s="141"/>
    </row>
    <row r="6421" spans="1:4" x14ac:dyDescent="0.2">
      <c r="A6421" s="140" t="s">
        <v>1090</v>
      </c>
      <c r="B6421" s="141">
        <v>2.3905846462564999E-4</v>
      </c>
      <c r="D6421" s="141"/>
    </row>
    <row r="6422" spans="1:4" x14ac:dyDescent="0.2">
      <c r="A6422" s="140" t="s">
        <v>1819</v>
      </c>
      <c r="B6422" s="141">
        <v>2.3905724396380999E-4</v>
      </c>
      <c r="D6422" s="141"/>
    </row>
    <row r="6423" spans="1:4" x14ac:dyDescent="0.2">
      <c r="A6423" s="140" t="s">
        <v>4716</v>
      </c>
      <c r="B6423" s="141">
        <v>2.3887728443695001E-4</v>
      </c>
      <c r="D6423" s="141"/>
    </row>
    <row r="6424" spans="1:4" x14ac:dyDescent="0.2">
      <c r="A6424" s="140" t="s">
        <v>3865</v>
      </c>
      <c r="B6424" s="141">
        <v>2.3885100710930001E-4</v>
      </c>
      <c r="D6424" s="141"/>
    </row>
    <row r="6425" spans="1:4" x14ac:dyDescent="0.2">
      <c r="A6425" s="140" t="s">
        <v>8681</v>
      </c>
      <c r="B6425" s="141">
        <v>2.382317628759E-4</v>
      </c>
      <c r="D6425" s="141"/>
    </row>
    <row r="6426" spans="1:4" x14ac:dyDescent="0.2">
      <c r="A6426" s="140" t="s">
        <v>5472</v>
      </c>
      <c r="B6426" s="141">
        <v>2.3803482942488999E-4</v>
      </c>
      <c r="D6426" s="141"/>
    </row>
    <row r="6427" spans="1:4" x14ac:dyDescent="0.2">
      <c r="A6427" s="140" t="s">
        <v>2734</v>
      </c>
      <c r="B6427" s="141">
        <v>2.3782339762506001E-4</v>
      </c>
      <c r="D6427" s="141"/>
    </row>
    <row r="6428" spans="1:4" x14ac:dyDescent="0.2">
      <c r="A6428" s="140" t="s">
        <v>612</v>
      </c>
      <c r="B6428" s="141">
        <v>2.3777801728112999E-4</v>
      </c>
      <c r="D6428" s="141"/>
    </row>
    <row r="6429" spans="1:4" x14ac:dyDescent="0.2">
      <c r="A6429" s="140" t="s">
        <v>582</v>
      </c>
      <c r="B6429" s="141">
        <v>2.3763136794761999E-4</v>
      </c>
      <c r="D6429" s="141"/>
    </row>
    <row r="6430" spans="1:4" x14ac:dyDescent="0.2">
      <c r="A6430" s="140" t="s">
        <v>8682</v>
      </c>
      <c r="B6430" s="141">
        <v>2.3745915970178999E-4</v>
      </c>
      <c r="D6430" s="141"/>
    </row>
    <row r="6431" spans="1:4" x14ac:dyDescent="0.2">
      <c r="A6431" s="140" t="s">
        <v>1370</v>
      </c>
      <c r="B6431" s="141">
        <v>2.3741850911313E-4</v>
      </c>
      <c r="D6431" s="141"/>
    </row>
    <row r="6432" spans="1:4" x14ac:dyDescent="0.2">
      <c r="A6432" s="140" t="s">
        <v>1139</v>
      </c>
      <c r="B6432" s="141">
        <v>2.3665423744164001E-4</v>
      </c>
      <c r="D6432" s="141"/>
    </row>
    <row r="6433" spans="1:4" x14ac:dyDescent="0.2">
      <c r="A6433" s="140" t="s">
        <v>441</v>
      </c>
      <c r="B6433" s="141">
        <v>2.3629064242054E-4</v>
      </c>
      <c r="D6433" s="141"/>
    </row>
    <row r="6434" spans="1:4" x14ac:dyDescent="0.2">
      <c r="A6434" s="140" t="s">
        <v>8683</v>
      </c>
      <c r="B6434" s="141">
        <v>2.3598514684048001E-4</v>
      </c>
      <c r="D6434" s="141"/>
    </row>
    <row r="6435" spans="1:4" x14ac:dyDescent="0.2">
      <c r="A6435" s="140" t="s">
        <v>8684</v>
      </c>
      <c r="B6435" s="141">
        <v>2.3585596347689E-4</v>
      </c>
      <c r="D6435" s="141"/>
    </row>
    <row r="6436" spans="1:4" x14ac:dyDescent="0.2">
      <c r="A6436" s="140" t="s">
        <v>5584</v>
      </c>
      <c r="B6436" s="141">
        <v>2.3578095160379999E-4</v>
      </c>
      <c r="D6436" s="141"/>
    </row>
    <row r="6437" spans="1:4" x14ac:dyDescent="0.2">
      <c r="A6437" s="140" t="s">
        <v>6326</v>
      </c>
      <c r="B6437" s="141">
        <v>2.3563200129773001E-4</v>
      </c>
      <c r="D6437" s="141"/>
    </row>
    <row r="6438" spans="1:4" x14ac:dyDescent="0.2">
      <c r="A6438" s="140" t="s">
        <v>5933</v>
      </c>
      <c r="B6438" s="141">
        <v>2.3560992398883999E-4</v>
      </c>
      <c r="D6438" s="141"/>
    </row>
    <row r="6439" spans="1:4" x14ac:dyDescent="0.2">
      <c r="A6439" s="140" t="s">
        <v>5109</v>
      </c>
      <c r="B6439" s="141">
        <v>2.3499206020004E-4</v>
      </c>
      <c r="D6439" s="141"/>
    </row>
    <row r="6440" spans="1:4" x14ac:dyDescent="0.2">
      <c r="A6440" s="140" t="s">
        <v>8685</v>
      </c>
      <c r="B6440" s="141">
        <v>2.3481731872870999E-4</v>
      </c>
      <c r="D6440" s="141"/>
    </row>
    <row r="6441" spans="1:4" x14ac:dyDescent="0.2">
      <c r="A6441" s="140" t="s">
        <v>8686</v>
      </c>
      <c r="B6441" s="141">
        <v>2.3481731872870999E-4</v>
      </c>
      <c r="D6441" s="141"/>
    </row>
    <row r="6442" spans="1:4" x14ac:dyDescent="0.2">
      <c r="A6442" s="140" t="s">
        <v>2529</v>
      </c>
      <c r="B6442" s="141">
        <v>2.3424471444722999E-4</v>
      </c>
      <c r="D6442" s="141"/>
    </row>
    <row r="6443" spans="1:4" x14ac:dyDescent="0.2">
      <c r="A6443" s="140" t="s">
        <v>4111</v>
      </c>
      <c r="B6443" s="141">
        <v>2.3381153319962001E-4</v>
      </c>
      <c r="D6443" s="141"/>
    </row>
    <row r="6444" spans="1:4" x14ac:dyDescent="0.2">
      <c r="A6444" s="140" t="s">
        <v>5352</v>
      </c>
      <c r="B6444" s="141">
        <v>2.3358055395777001E-4</v>
      </c>
      <c r="D6444" s="141"/>
    </row>
    <row r="6445" spans="1:4" x14ac:dyDescent="0.2">
      <c r="A6445" s="140" t="s">
        <v>915</v>
      </c>
      <c r="B6445" s="141">
        <v>2.33075522872E-4</v>
      </c>
      <c r="D6445" s="141"/>
    </row>
    <row r="6446" spans="1:4" x14ac:dyDescent="0.2">
      <c r="A6446" s="140" t="s">
        <v>869</v>
      </c>
      <c r="B6446" s="141">
        <v>2.3296816054657E-4</v>
      </c>
      <c r="D6446" s="141"/>
    </row>
    <row r="6447" spans="1:4" x14ac:dyDescent="0.2">
      <c r="A6447" s="140" t="s">
        <v>8687</v>
      </c>
      <c r="B6447" s="141">
        <v>2.3291466247040999E-4</v>
      </c>
      <c r="D6447" s="141"/>
    </row>
    <row r="6448" spans="1:4" x14ac:dyDescent="0.2">
      <c r="A6448" s="140" t="s">
        <v>5348</v>
      </c>
      <c r="B6448" s="141">
        <v>2.3272113103792999E-4</v>
      </c>
      <c r="D6448" s="141"/>
    </row>
    <row r="6449" spans="1:4" x14ac:dyDescent="0.2">
      <c r="A6449" s="140" t="s">
        <v>1509</v>
      </c>
      <c r="B6449" s="141">
        <v>2.3206413182264E-4</v>
      </c>
      <c r="D6449" s="141"/>
    </row>
    <row r="6450" spans="1:4" x14ac:dyDescent="0.2">
      <c r="A6450" s="140" t="s">
        <v>5174</v>
      </c>
      <c r="B6450" s="141">
        <v>2.3188205124162001E-4</v>
      </c>
      <c r="D6450" s="141"/>
    </row>
    <row r="6451" spans="1:4" x14ac:dyDescent="0.2">
      <c r="A6451" s="140" t="s">
        <v>4386</v>
      </c>
      <c r="B6451" s="141">
        <v>2.3157708609054001E-4</v>
      </c>
      <c r="D6451" s="141"/>
    </row>
    <row r="6452" spans="1:4" x14ac:dyDescent="0.2">
      <c r="A6452" s="140" t="s">
        <v>8688</v>
      </c>
      <c r="B6452" s="141">
        <v>2.3116440124781E-4</v>
      </c>
      <c r="D6452" s="141"/>
    </row>
    <row r="6453" spans="1:4" x14ac:dyDescent="0.2">
      <c r="A6453" s="140" t="s">
        <v>8689</v>
      </c>
      <c r="B6453" s="141">
        <v>2.3116440124781E-4</v>
      </c>
      <c r="D6453" s="141"/>
    </row>
    <row r="6454" spans="1:4" x14ac:dyDescent="0.2">
      <c r="A6454" s="140" t="s">
        <v>8690</v>
      </c>
      <c r="B6454" s="141">
        <v>2.3106696568066999E-4</v>
      </c>
      <c r="D6454" s="141"/>
    </row>
    <row r="6455" spans="1:4" x14ac:dyDescent="0.2">
      <c r="A6455" s="140" t="s">
        <v>8691</v>
      </c>
      <c r="B6455" s="141">
        <v>2.3104056469005999E-4</v>
      </c>
      <c r="D6455" s="141"/>
    </row>
    <row r="6456" spans="1:4" x14ac:dyDescent="0.2">
      <c r="A6456" s="140" t="s">
        <v>1895</v>
      </c>
      <c r="B6456" s="141">
        <v>2.3056777420251001E-4</v>
      </c>
      <c r="D6456" s="141"/>
    </row>
    <row r="6457" spans="1:4" x14ac:dyDescent="0.2">
      <c r="A6457" s="140" t="s">
        <v>8692</v>
      </c>
      <c r="B6457" s="141">
        <v>2.3012532758944E-4</v>
      </c>
      <c r="D6457" s="141"/>
    </row>
    <row r="6458" spans="1:4" x14ac:dyDescent="0.2">
      <c r="A6458" s="140" t="s">
        <v>635</v>
      </c>
      <c r="B6458" s="141">
        <v>2.2938771689264001E-4</v>
      </c>
      <c r="D6458" s="141"/>
    </row>
    <row r="6459" spans="1:4" x14ac:dyDescent="0.2">
      <c r="A6459" s="140" t="s">
        <v>8693</v>
      </c>
      <c r="B6459" s="141">
        <v>2.291492053551E-4</v>
      </c>
      <c r="D6459" s="141"/>
    </row>
    <row r="6460" spans="1:4" x14ac:dyDescent="0.2">
      <c r="A6460" s="140" t="s">
        <v>6032</v>
      </c>
      <c r="B6460" s="141">
        <v>2.2897389550928E-4</v>
      </c>
      <c r="D6460" s="141"/>
    </row>
    <row r="6461" spans="1:4" x14ac:dyDescent="0.2">
      <c r="A6461" s="140" t="s">
        <v>8694</v>
      </c>
      <c r="B6461" s="141">
        <v>2.2833797540787999E-4</v>
      </c>
      <c r="D6461" s="141"/>
    </row>
    <row r="6462" spans="1:4" x14ac:dyDescent="0.2">
      <c r="A6462" s="140" t="s">
        <v>8695</v>
      </c>
      <c r="B6462" s="141">
        <v>2.2780745626962E-4</v>
      </c>
      <c r="D6462" s="141"/>
    </row>
    <row r="6463" spans="1:4" x14ac:dyDescent="0.2">
      <c r="A6463" s="140" t="s">
        <v>4690</v>
      </c>
      <c r="B6463" s="141">
        <v>2.2765198839374E-4</v>
      </c>
      <c r="D6463" s="141"/>
    </row>
    <row r="6464" spans="1:4" x14ac:dyDescent="0.2">
      <c r="A6464" s="140" t="s">
        <v>2476</v>
      </c>
      <c r="B6464" s="141">
        <v>2.2762974609083001E-4</v>
      </c>
      <c r="D6464" s="141"/>
    </row>
    <row r="6465" spans="1:4" x14ac:dyDescent="0.2">
      <c r="A6465" s="140" t="s">
        <v>5267</v>
      </c>
      <c r="B6465" s="141">
        <v>2.27479515313E-4</v>
      </c>
      <c r="D6465" s="141"/>
    </row>
    <row r="6466" spans="1:4" x14ac:dyDescent="0.2">
      <c r="A6466" s="140" t="s">
        <v>3801</v>
      </c>
      <c r="B6466" s="141">
        <v>2.2743844236141001E-4</v>
      </c>
      <c r="D6466" s="141"/>
    </row>
    <row r="6467" spans="1:4" x14ac:dyDescent="0.2">
      <c r="A6467" s="140" t="s">
        <v>8696</v>
      </c>
      <c r="B6467" s="141">
        <v>2.2702477316799999E-4</v>
      </c>
      <c r="D6467" s="141"/>
    </row>
    <row r="6468" spans="1:4" x14ac:dyDescent="0.2">
      <c r="A6468" s="140" t="s">
        <v>8697</v>
      </c>
      <c r="B6468" s="141">
        <v>2.2630566486641E-4</v>
      </c>
      <c r="D6468" s="141"/>
    </row>
    <row r="6469" spans="1:4" x14ac:dyDescent="0.2">
      <c r="A6469" s="140" t="s">
        <v>1143</v>
      </c>
      <c r="B6469" s="141">
        <v>2.2630260838008001E-4</v>
      </c>
      <c r="D6469" s="141"/>
    </row>
    <row r="6470" spans="1:4" x14ac:dyDescent="0.2">
      <c r="A6470" s="140" t="s">
        <v>5252</v>
      </c>
      <c r="B6470" s="141">
        <v>2.2627105640717001E-4</v>
      </c>
      <c r="D6470" s="141"/>
    </row>
    <row r="6471" spans="1:4" x14ac:dyDescent="0.2">
      <c r="A6471" s="140" t="s">
        <v>2722</v>
      </c>
      <c r="B6471" s="141">
        <v>2.2625937697121E-4</v>
      </c>
      <c r="D6471" s="141"/>
    </row>
    <row r="6472" spans="1:4" x14ac:dyDescent="0.2">
      <c r="A6472" s="140" t="s">
        <v>8698</v>
      </c>
      <c r="B6472" s="141">
        <v>2.2623762566910001E-4</v>
      </c>
      <c r="D6472" s="141"/>
    </row>
    <row r="6473" spans="1:4" x14ac:dyDescent="0.2">
      <c r="A6473" s="140" t="s">
        <v>8699</v>
      </c>
      <c r="B6473" s="141">
        <v>2.2616083144939999E-4</v>
      </c>
      <c r="D6473" s="141"/>
    </row>
    <row r="6474" spans="1:4" x14ac:dyDescent="0.2">
      <c r="A6474" s="140" t="s">
        <v>913</v>
      </c>
      <c r="B6474" s="141">
        <v>2.2583027416461999E-4</v>
      </c>
      <c r="D6474" s="141"/>
    </row>
    <row r="6475" spans="1:4" x14ac:dyDescent="0.2">
      <c r="A6475" s="140" t="s">
        <v>2757</v>
      </c>
      <c r="B6475" s="141">
        <v>2.2553871717308999E-4</v>
      </c>
      <c r="D6475" s="141"/>
    </row>
    <row r="6476" spans="1:4" x14ac:dyDescent="0.2">
      <c r="A6476" s="140" t="s">
        <v>8700</v>
      </c>
      <c r="B6476" s="141">
        <v>2.2543580906896001E-4</v>
      </c>
      <c r="D6476" s="141"/>
    </row>
    <row r="6477" spans="1:4" x14ac:dyDescent="0.2">
      <c r="A6477" s="140" t="s">
        <v>1304</v>
      </c>
      <c r="B6477" s="141">
        <v>2.2519596947013999E-4</v>
      </c>
      <c r="D6477" s="141"/>
    </row>
    <row r="6478" spans="1:4" x14ac:dyDescent="0.2">
      <c r="A6478" s="140" t="s">
        <v>1094</v>
      </c>
      <c r="B6478" s="141">
        <v>2.2494060528568E-4</v>
      </c>
      <c r="D6478" s="141"/>
    </row>
    <row r="6479" spans="1:4" x14ac:dyDescent="0.2">
      <c r="A6479" s="140" t="s">
        <v>8701</v>
      </c>
      <c r="B6479" s="141">
        <v>2.2488883820023E-4</v>
      </c>
      <c r="D6479" s="141"/>
    </row>
    <row r="6480" spans="1:4" x14ac:dyDescent="0.2">
      <c r="A6480" s="140" t="s">
        <v>2455</v>
      </c>
      <c r="B6480" s="141">
        <v>2.2395020838105999E-4</v>
      </c>
      <c r="D6480" s="141"/>
    </row>
    <row r="6481" spans="1:4" x14ac:dyDescent="0.2">
      <c r="A6481" s="140" t="s">
        <v>984</v>
      </c>
      <c r="B6481" s="141">
        <v>2.2390395627999E-4</v>
      </c>
      <c r="D6481" s="141"/>
    </row>
    <row r="6482" spans="1:4" x14ac:dyDescent="0.2">
      <c r="A6482" s="140" t="s">
        <v>5645</v>
      </c>
      <c r="B6482" s="141">
        <v>2.2387712036336E-4</v>
      </c>
      <c r="D6482" s="141"/>
    </row>
    <row r="6483" spans="1:4" x14ac:dyDescent="0.2">
      <c r="A6483" s="140" t="s">
        <v>592</v>
      </c>
      <c r="B6483" s="141">
        <v>2.2318096671014001E-4</v>
      </c>
      <c r="D6483" s="141"/>
    </row>
    <row r="6484" spans="1:4" x14ac:dyDescent="0.2">
      <c r="A6484" s="140" t="s">
        <v>8702</v>
      </c>
      <c r="B6484" s="141">
        <v>2.2253200167119999E-4</v>
      </c>
      <c r="D6484" s="141"/>
    </row>
    <row r="6485" spans="1:4" x14ac:dyDescent="0.2">
      <c r="A6485" s="140" t="s">
        <v>2266</v>
      </c>
      <c r="B6485" s="141">
        <v>2.2199190947595E-4</v>
      </c>
      <c r="D6485" s="141"/>
    </row>
    <row r="6486" spans="1:4" x14ac:dyDescent="0.2">
      <c r="A6486" s="140" t="s">
        <v>8703</v>
      </c>
      <c r="B6486" s="141">
        <v>2.2197089195058001E-4</v>
      </c>
      <c r="D6486" s="141"/>
    </row>
    <row r="6487" spans="1:4" x14ac:dyDescent="0.2">
      <c r="A6487" s="140" t="s">
        <v>1451</v>
      </c>
      <c r="B6487" s="141">
        <v>2.2164906538414E-4</v>
      </c>
      <c r="D6487" s="141"/>
    </row>
    <row r="6488" spans="1:4" x14ac:dyDescent="0.2">
      <c r="A6488" s="140" t="s">
        <v>3110</v>
      </c>
      <c r="B6488" s="141">
        <v>2.2121911457523001E-4</v>
      </c>
      <c r="D6488" s="141"/>
    </row>
    <row r="6489" spans="1:4" x14ac:dyDescent="0.2">
      <c r="A6489" s="140" t="s">
        <v>797</v>
      </c>
      <c r="B6489" s="141">
        <v>2.2094523966508E-4</v>
      </c>
      <c r="D6489" s="141"/>
    </row>
    <row r="6490" spans="1:4" x14ac:dyDescent="0.2">
      <c r="A6490" s="140" t="s">
        <v>6299</v>
      </c>
      <c r="B6490" s="141">
        <v>2.2092383141194001E-4</v>
      </c>
      <c r="D6490" s="141"/>
    </row>
    <row r="6491" spans="1:4" x14ac:dyDescent="0.2">
      <c r="A6491" s="140" t="s">
        <v>2281</v>
      </c>
      <c r="B6491" s="141">
        <v>2.2063440189413E-4</v>
      </c>
      <c r="D6491" s="141"/>
    </row>
    <row r="6492" spans="1:4" x14ac:dyDescent="0.2">
      <c r="A6492" s="140" t="s">
        <v>1265</v>
      </c>
      <c r="B6492" s="141">
        <v>2.2030190659580001E-4</v>
      </c>
      <c r="D6492" s="141"/>
    </row>
    <row r="6493" spans="1:4" x14ac:dyDescent="0.2">
      <c r="A6493" s="140" t="s">
        <v>8704</v>
      </c>
      <c r="B6493" s="141">
        <v>2.1814663005882999E-4</v>
      </c>
      <c r="D6493" s="141"/>
    </row>
    <row r="6494" spans="1:4" x14ac:dyDescent="0.2">
      <c r="A6494" s="140" t="s">
        <v>8705</v>
      </c>
      <c r="B6494" s="141">
        <v>2.180528251285E-4</v>
      </c>
      <c r="D6494" s="141"/>
    </row>
    <row r="6495" spans="1:4" x14ac:dyDescent="0.2">
      <c r="A6495" s="140" t="s">
        <v>4721</v>
      </c>
      <c r="B6495" s="141">
        <v>2.1754611291597E-4</v>
      </c>
      <c r="D6495" s="141"/>
    </row>
    <row r="6496" spans="1:4" x14ac:dyDescent="0.2">
      <c r="A6496" s="140" t="s">
        <v>1551</v>
      </c>
      <c r="B6496" s="141">
        <v>2.1753681171190001E-4</v>
      </c>
      <c r="D6496" s="141"/>
    </row>
    <row r="6497" spans="1:4" x14ac:dyDescent="0.2">
      <c r="A6497" s="140" t="s">
        <v>8706</v>
      </c>
      <c r="B6497" s="141">
        <v>2.1747586439647E-4</v>
      </c>
      <c r="D6497" s="141"/>
    </row>
    <row r="6498" spans="1:4" x14ac:dyDescent="0.2">
      <c r="A6498" s="140" t="s">
        <v>4626</v>
      </c>
      <c r="B6498" s="141">
        <v>2.1739713147704001E-4</v>
      </c>
      <c r="D6498" s="141"/>
    </row>
    <row r="6499" spans="1:4" x14ac:dyDescent="0.2">
      <c r="A6499" s="140" t="s">
        <v>8707</v>
      </c>
      <c r="B6499" s="141">
        <v>2.1728850864578001E-4</v>
      </c>
      <c r="D6499" s="141"/>
    </row>
    <row r="6500" spans="1:4" x14ac:dyDescent="0.2">
      <c r="A6500" s="140" t="s">
        <v>4532</v>
      </c>
      <c r="B6500" s="141">
        <v>2.1721495805132E-4</v>
      </c>
      <c r="D6500" s="141"/>
    </row>
    <row r="6501" spans="1:4" x14ac:dyDescent="0.2">
      <c r="A6501" s="140" t="s">
        <v>4507</v>
      </c>
      <c r="B6501" s="141">
        <v>2.1670272110176E-4</v>
      </c>
      <c r="D6501" s="141"/>
    </row>
    <row r="6502" spans="1:4" x14ac:dyDescent="0.2">
      <c r="A6502" s="140" t="s">
        <v>4012</v>
      </c>
      <c r="B6502" s="141">
        <v>2.1655059881213999E-4</v>
      </c>
      <c r="D6502" s="141"/>
    </row>
    <row r="6503" spans="1:4" x14ac:dyDescent="0.2">
      <c r="A6503" s="140" t="s">
        <v>2462</v>
      </c>
      <c r="B6503" s="141">
        <v>2.1647293023536001E-4</v>
      </c>
      <c r="D6503" s="141"/>
    </row>
    <row r="6504" spans="1:4" x14ac:dyDescent="0.2">
      <c r="A6504" s="140" t="s">
        <v>8708</v>
      </c>
      <c r="B6504" s="141">
        <v>2.1635357488286001E-4</v>
      </c>
      <c r="D6504" s="141"/>
    </row>
    <row r="6505" spans="1:4" x14ac:dyDescent="0.2">
      <c r="A6505" s="140" t="s">
        <v>5489</v>
      </c>
      <c r="B6505" s="141">
        <v>2.1635357488286001E-4</v>
      </c>
      <c r="D6505" s="141"/>
    </row>
    <row r="6506" spans="1:4" x14ac:dyDescent="0.2">
      <c r="A6506" s="140" t="s">
        <v>8709</v>
      </c>
      <c r="B6506" s="141">
        <v>2.1634378450649999E-4</v>
      </c>
      <c r="D6506" s="141"/>
    </row>
    <row r="6507" spans="1:4" x14ac:dyDescent="0.2">
      <c r="A6507" s="140" t="s">
        <v>8710</v>
      </c>
      <c r="B6507" s="141">
        <v>2.1631554379449001E-4</v>
      </c>
      <c r="D6507" s="141"/>
    </row>
    <row r="6508" spans="1:4" x14ac:dyDescent="0.2">
      <c r="A6508" s="140" t="s">
        <v>5655</v>
      </c>
      <c r="B6508" s="141">
        <v>2.1590421631779001E-4</v>
      </c>
      <c r="D6508" s="141"/>
    </row>
    <row r="6509" spans="1:4" x14ac:dyDescent="0.2">
      <c r="A6509" s="140" t="s">
        <v>1582</v>
      </c>
      <c r="B6509" s="141">
        <v>2.1570634386536999E-4</v>
      </c>
      <c r="D6509" s="141"/>
    </row>
    <row r="6510" spans="1:4" x14ac:dyDescent="0.2">
      <c r="A6510" s="140" t="s">
        <v>6082</v>
      </c>
      <c r="B6510" s="141">
        <v>2.1549063592581999E-4</v>
      </c>
      <c r="D6510" s="141"/>
    </row>
    <row r="6511" spans="1:4" x14ac:dyDescent="0.2">
      <c r="A6511" s="140" t="s">
        <v>8711</v>
      </c>
      <c r="B6511" s="141">
        <v>2.1501270013113999E-4</v>
      </c>
      <c r="D6511" s="141"/>
    </row>
    <row r="6512" spans="1:4" x14ac:dyDescent="0.2">
      <c r="A6512" s="140" t="s">
        <v>4326</v>
      </c>
      <c r="B6512" s="141">
        <v>2.1491130666057999E-4</v>
      </c>
      <c r="D6512" s="141"/>
    </row>
    <row r="6513" spans="1:4" x14ac:dyDescent="0.2">
      <c r="A6513" s="140" t="s">
        <v>2383</v>
      </c>
      <c r="B6513" s="141">
        <v>2.1484137884582999E-4</v>
      </c>
      <c r="D6513" s="141"/>
    </row>
    <row r="6514" spans="1:4" x14ac:dyDescent="0.2">
      <c r="A6514" s="140" t="s">
        <v>8712</v>
      </c>
      <c r="B6514" s="141">
        <v>2.1473568166164E-4</v>
      </c>
      <c r="D6514" s="141"/>
    </row>
    <row r="6515" spans="1:4" x14ac:dyDescent="0.2">
      <c r="A6515" s="140" t="s">
        <v>868</v>
      </c>
      <c r="B6515" s="141">
        <v>2.1472653895437E-4</v>
      </c>
      <c r="D6515" s="141"/>
    </row>
    <row r="6516" spans="1:4" x14ac:dyDescent="0.2">
      <c r="A6516" s="140" t="s">
        <v>5332</v>
      </c>
      <c r="B6516" s="141">
        <v>2.1455094301491001E-4</v>
      </c>
      <c r="D6516" s="141"/>
    </row>
    <row r="6517" spans="1:4" x14ac:dyDescent="0.2">
      <c r="A6517" s="140" t="s">
        <v>8713</v>
      </c>
      <c r="B6517" s="141">
        <v>2.1448375298716E-4</v>
      </c>
      <c r="D6517" s="141"/>
    </row>
    <row r="6518" spans="1:4" x14ac:dyDescent="0.2">
      <c r="A6518" s="140" t="s">
        <v>5085</v>
      </c>
      <c r="B6518" s="141">
        <v>2.1445196683076001E-4</v>
      </c>
      <c r="D6518" s="141"/>
    </row>
    <row r="6519" spans="1:4" x14ac:dyDescent="0.2">
      <c r="A6519" s="140" t="s">
        <v>3309</v>
      </c>
      <c r="B6519" s="141">
        <v>2.1445196683076001E-4</v>
      </c>
      <c r="D6519" s="141"/>
    </row>
    <row r="6520" spans="1:4" x14ac:dyDescent="0.2">
      <c r="A6520" s="140" t="s">
        <v>2414</v>
      </c>
      <c r="B6520" s="141">
        <v>2.1418267663476001E-4</v>
      </c>
      <c r="D6520" s="141"/>
    </row>
    <row r="6521" spans="1:4" x14ac:dyDescent="0.2">
      <c r="A6521" s="140" t="s">
        <v>1343</v>
      </c>
      <c r="B6521" s="141">
        <v>2.1398715918806999E-4</v>
      </c>
      <c r="D6521" s="141"/>
    </row>
    <row r="6522" spans="1:4" x14ac:dyDescent="0.2">
      <c r="A6522" s="140" t="s">
        <v>430</v>
      </c>
      <c r="B6522" s="141">
        <v>2.1349368323137001E-4</v>
      </c>
      <c r="D6522" s="141"/>
    </row>
    <row r="6523" spans="1:4" x14ac:dyDescent="0.2">
      <c r="A6523" s="140" t="s">
        <v>4715</v>
      </c>
      <c r="B6523" s="141">
        <v>2.1289234406171001E-4</v>
      </c>
      <c r="D6523" s="141"/>
    </row>
    <row r="6524" spans="1:4" x14ac:dyDescent="0.2">
      <c r="A6524" s="140" t="s">
        <v>3282</v>
      </c>
      <c r="B6524" s="141">
        <v>2.1268983483372999E-4</v>
      </c>
      <c r="D6524" s="141"/>
    </row>
    <row r="6525" spans="1:4" x14ac:dyDescent="0.2">
      <c r="A6525" s="140" t="s">
        <v>3539</v>
      </c>
      <c r="B6525" s="141">
        <v>2.1260783230702001E-4</v>
      </c>
      <c r="D6525" s="141"/>
    </row>
    <row r="6526" spans="1:4" x14ac:dyDescent="0.2">
      <c r="A6526" s="140" t="s">
        <v>2011</v>
      </c>
      <c r="B6526" s="141">
        <v>2.1238422276881E-4</v>
      </c>
      <c r="D6526" s="141"/>
    </row>
    <row r="6527" spans="1:4" x14ac:dyDescent="0.2">
      <c r="A6527" s="140" t="s">
        <v>6185</v>
      </c>
      <c r="B6527" s="141">
        <v>2.1236709474722001E-4</v>
      </c>
      <c r="D6527" s="141"/>
    </row>
    <row r="6528" spans="1:4" x14ac:dyDescent="0.2">
      <c r="A6528" s="140" t="s">
        <v>2490</v>
      </c>
      <c r="B6528" s="141">
        <v>2.11975120715E-4</v>
      </c>
      <c r="D6528" s="141"/>
    </row>
    <row r="6529" spans="1:4" x14ac:dyDescent="0.2">
      <c r="A6529" s="140" t="s">
        <v>8714</v>
      </c>
      <c r="B6529" s="141">
        <v>2.1129206962537E-4</v>
      </c>
      <c r="D6529" s="141"/>
    </row>
    <row r="6530" spans="1:4" x14ac:dyDescent="0.2">
      <c r="A6530" s="140" t="s">
        <v>8715</v>
      </c>
      <c r="B6530" s="141">
        <v>2.1129206962537E-4</v>
      </c>
      <c r="D6530" s="141"/>
    </row>
    <row r="6531" spans="1:4" x14ac:dyDescent="0.2">
      <c r="A6531" s="140" t="s">
        <v>611</v>
      </c>
      <c r="B6531" s="141">
        <v>2.1103369182890001E-4</v>
      </c>
      <c r="D6531" s="141"/>
    </row>
    <row r="6532" spans="1:4" x14ac:dyDescent="0.2">
      <c r="A6532" s="140" t="s">
        <v>6126</v>
      </c>
      <c r="B6532" s="141">
        <v>2.1089459747711999E-4</v>
      </c>
      <c r="D6532" s="141"/>
    </row>
    <row r="6533" spans="1:4" x14ac:dyDescent="0.2">
      <c r="A6533" s="140" t="s">
        <v>5995</v>
      </c>
      <c r="B6533" s="141">
        <v>2.1079197503382001E-4</v>
      </c>
      <c r="D6533" s="141"/>
    </row>
    <row r="6534" spans="1:4" x14ac:dyDescent="0.2">
      <c r="A6534" s="140" t="s">
        <v>8716</v>
      </c>
      <c r="B6534" s="141">
        <v>2.1073261677707E-4</v>
      </c>
      <c r="D6534" s="141"/>
    </row>
    <row r="6535" spans="1:4" x14ac:dyDescent="0.2">
      <c r="A6535" s="140" t="s">
        <v>2806</v>
      </c>
      <c r="B6535" s="141">
        <v>2.1031644058386E-4</v>
      </c>
      <c r="D6535" s="141"/>
    </row>
    <row r="6536" spans="1:4" x14ac:dyDescent="0.2">
      <c r="A6536" s="140" t="s">
        <v>1799</v>
      </c>
      <c r="B6536" s="141">
        <v>2.1025879421967999E-4</v>
      </c>
      <c r="D6536" s="141"/>
    </row>
    <row r="6537" spans="1:4" x14ac:dyDescent="0.2">
      <c r="A6537" s="140" t="s">
        <v>481</v>
      </c>
      <c r="B6537" s="141">
        <v>2.0962807467861001E-4</v>
      </c>
      <c r="D6537" s="141"/>
    </row>
    <row r="6538" spans="1:4" x14ac:dyDescent="0.2">
      <c r="A6538" s="140" t="s">
        <v>3613</v>
      </c>
      <c r="B6538" s="141">
        <v>2.0926188101861001E-4</v>
      </c>
      <c r="D6538" s="141"/>
    </row>
    <row r="6539" spans="1:4" x14ac:dyDescent="0.2">
      <c r="A6539" s="140" t="s">
        <v>5381</v>
      </c>
      <c r="B6539" s="141">
        <v>2.0922251875151999E-4</v>
      </c>
      <c r="D6539" s="141"/>
    </row>
    <row r="6540" spans="1:4" x14ac:dyDescent="0.2">
      <c r="A6540" s="140" t="s">
        <v>3687</v>
      </c>
      <c r="B6540" s="141">
        <v>2.0896722920955E-4</v>
      </c>
      <c r="D6540" s="141"/>
    </row>
    <row r="6541" spans="1:4" x14ac:dyDescent="0.2">
      <c r="A6541" s="140" t="s">
        <v>2513</v>
      </c>
      <c r="B6541" s="141">
        <v>2.0889503320748999E-4</v>
      </c>
      <c r="D6541" s="141"/>
    </row>
    <row r="6542" spans="1:4" x14ac:dyDescent="0.2">
      <c r="A6542" s="140" t="s">
        <v>5918</v>
      </c>
      <c r="B6542" s="141">
        <v>2.0849652184525E-4</v>
      </c>
      <c r="D6542" s="141"/>
    </row>
    <row r="6543" spans="1:4" x14ac:dyDescent="0.2">
      <c r="A6543" s="140" t="s">
        <v>8717</v>
      </c>
      <c r="B6543" s="141">
        <v>2.0807666864974001E-4</v>
      </c>
      <c r="D6543" s="141"/>
    </row>
    <row r="6544" spans="1:4" x14ac:dyDescent="0.2">
      <c r="A6544" s="140" t="s">
        <v>2399</v>
      </c>
      <c r="B6544" s="141">
        <v>2.0787832378638E-4</v>
      </c>
      <c r="D6544" s="141"/>
    </row>
    <row r="6545" spans="1:4" x14ac:dyDescent="0.2">
      <c r="A6545" s="140" t="s">
        <v>3281</v>
      </c>
      <c r="B6545" s="141">
        <v>2.0787832378638E-4</v>
      </c>
      <c r="D6545" s="141"/>
    </row>
    <row r="6546" spans="1:4" x14ac:dyDescent="0.2">
      <c r="A6546" s="140" t="s">
        <v>8718</v>
      </c>
      <c r="B6546" s="141">
        <v>2.0774369271454001E-4</v>
      </c>
      <c r="D6546" s="141"/>
    </row>
    <row r="6547" spans="1:4" x14ac:dyDescent="0.2">
      <c r="A6547" s="140" t="s">
        <v>2318</v>
      </c>
      <c r="B6547" s="141">
        <v>2.0760518257510001E-4</v>
      </c>
      <c r="D6547" s="141"/>
    </row>
    <row r="6548" spans="1:4" x14ac:dyDescent="0.2">
      <c r="A6548" s="140" t="s">
        <v>1236</v>
      </c>
      <c r="B6548" s="141">
        <v>2.0729647099299001E-4</v>
      </c>
      <c r="D6548" s="141"/>
    </row>
    <row r="6549" spans="1:4" x14ac:dyDescent="0.2">
      <c r="A6549" s="140" t="s">
        <v>3440</v>
      </c>
      <c r="B6549" s="141">
        <v>2.0699479441760001E-4</v>
      </c>
      <c r="D6549" s="141"/>
    </row>
    <row r="6550" spans="1:4" x14ac:dyDescent="0.2">
      <c r="A6550" s="140" t="s">
        <v>663</v>
      </c>
      <c r="B6550" s="141">
        <v>2.0641862327183E-4</v>
      </c>
      <c r="D6550" s="141"/>
    </row>
    <row r="6551" spans="1:4" x14ac:dyDescent="0.2">
      <c r="A6551" s="140" t="s">
        <v>8719</v>
      </c>
      <c r="B6551" s="141">
        <v>2.0637960592689001E-4</v>
      </c>
      <c r="D6551" s="141"/>
    </row>
    <row r="6552" spans="1:4" x14ac:dyDescent="0.2">
      <c r="A6552" s="140" t="s">
        <v>4977</v>
      </c>
      <c r="B6552" s="141">
        <v>2.0628195054943999E-4</v>
      </c>
      <c r="D6552" s="141"/>
    </row>
    <row r="6553" spans="1:4" x14ac:dyDescent="0.2">
      <c r="A6553" s="140" t="s">
        <v>3245</v>
      </c>
      <c r="B6553" s="141">
        <v>2.0628195054943999E-4</v>
      </c>
      <c r="D6553" s="141"/>
    </row>
    <row r="6554" spans="1:4" x14ac:dyDescent="0.2">
      <c r="A6554" s="140" t="s">
        <v>3161</v>
      </c>
      <c r="B6554" s="141">
        <v>2.0590126555971E-4</v>
      </c>
      <c r="D6554" s="141"/>
    </row>
    <row r="6555" spans="1:4" x14ac:dyDescent="0.2">
      <c r="A6555" s="140" t="s">
        <v>8720</v>
      </c>
      <c r="B6555" s="141">
        <v>2.0587473742111E-4</v>
      </c>
      <c r="D6555" s="141"/>
    </row>
    <row r="6556" spans="1:4" x14ac:dyDescent="0.2">
      <c r="A6556" s="140" t="s">
        <v>8721</v>
      </c>
      <c r="B6556" s="141">
        <v>2.0580647401838E-4</v>
      </c>
      <c r="D6556" s="141"/>
    </row>
    <row r="6557" spans="1:4" x14ac:dyDescent="0.2">
      <c r="A6557" s="140" t="s">
        <v>4271</v>
      </c>
      <c r="B6557" s="141">
        <v>2.0520093436363001E-4</v>
      </c>
      <c r="D6557" s="141"/>
    </row>
    <row r="6558" spans="1:4" x14ac:dyDescent="0.2">
      <c r="A6558" s="140" t="s">
        <v>5275</v>
      </c>
      <c r="B6558" s="141">
        <v>2.0496316620537001E-4</v>
      </c>
      <c r="D6558" s="141"/>
    </row>
    <row r="6559" spans="1:4" x14ac:dyDescent="0.2">
      <c r="A6559" s="140" t="s">
        <v>8722</v>
      </c>
      <c r="B6559" s="141">
        <v>2.0491150730564999E-4</v>
      </c>
      <c r="D6559" s="141"/>
    </row>
    <row r="6560" spans="1:4" x14ac:dyDescent="0.2">
      <c r="A6560" s="140" t="s">
        <v>6256</v>
      </c>
      <c r="B6560" s="141">
        <v>2.0489974358016999E-4</v>
      </c>
      <c r="D6560" s="141"/>
    </row>
    <row r="6561" spans="1:4" x14ac:dyDescent="0.2">
      <c r="A6561" s="140" t="s">
        <v>2366</v>
      </c>
      <c r="B6561" s="141">
        <v>2.0435627187511001E-4</v>
      </c>
      <c r="D6561" s="141"/>
    </row>
    <row r="6562" spans="1:4" x14ac:dyDescent="0.2">
      <c r="A6562" s="140" t="s">
        <v>3765</v>
      </c>
      <c r="B6562" s="141">
        <v>2.0435489496294001E-4</v>
      </c>
      <c r="D6562" s="141"/>
    </row>
    <row r="6563" spans="1:4" x14ac:dyDescent="0.2">
      <c r="A6563" s="140" t="s">
        <v>8723</v>
      </c>
      <c r="B6563" s="141">
        <v>2.0416821035226001E-4</v>
      </c>
      <c r="D6563" s="141"/>
    </row>
    <row r="6564" spans="1:4" x14ac:dyDescent="0.2">
      <c r="A6564" s="140" t="s">
        <v>2440</v>
      </c>
      <c r="B6564" s="141">
        <v>2.0414985380038999E-4</v>
      </c>
      <c r="D6564" s="141"/>
    </row>
    <row r="6565" spans="1:4" x14ac:dyDescent="0.2">
      <c r="A6565" s="140" t="s">
        <v>3447</v>
      </c>
      <c r="B6565" s="141">
        <v>2.0401726473627001E-4</v>
      </c>
      <c r="D6565" s="141"/>
    </row>
    <row r="6566" spans="1:4" x14ac:dyDescent="0.2">
      <c r="A6566" s="140" t="s">
        <v>3951</v>
      </c>
      <c r="B6566" s="141">
        <v>2.0354418789590001E-4</v>
      </c>
      <c r="D6566" s="141"/>
    </row>
    <row r="6567" spans="1:4" x14ac:dyDescent="0.2">
      <c r="A6567" s="140" t="s">
        <v>4548</v>
      </c>
      <c r="B6567" s="141">
        <v>2.035142363778E-4</v>
      </c>
      <c r="D6567" s="141"/>
    </row>
    <row r="6568" spans="1:4" x14ac:dyDescent="0.2">
      <c r="A6568" s="140" t="s">
        <v>3228</v>
      </c>
      <c r="B6568" s="141">
        <v>2.0323821208971001E-4</v>
      </c>
      <c r="D6568" s="141"/>
    </row>
    <row r="6569" spans="1:4" x14ac:dyDescent="0.2">
      <c r="A6569" s="140" t="s">
        <v>8724</v>
      </c>
      <c r="B6569" s="141">
        <v>2.0304354137329E-4</v>
      </c>
      <c r="D6569" s="141"/>
    </row>
    <row r="6570" spans="1:4" x14ac:dyDescent="0.2">
      <c r="A6570" s="140" t="s">
        <v>8725</v>
      </c>
      <c r="B6570" s="141">
        <v>2.0288526031837E-4</v>
      </c>
      <c r="D6570" s="141"/>
    </row>
    <row r="6571" spans="1:4" x14ac:dyDescent="0.2">
      <c r="A6571" s="140" t="s">
        <v>8726</v>
      </c>
      <c r="B6571" s="141">
        <v>2.028144835983E-4</v>
      </c>
      <c r="D6571" s="141"/>
    </row>
    <row r="6572" spans="1:4" x14ac:dyDescent="0.2">
      <c r="A6572" s="140" t="s">
        <v>4374</v>
      </c>
      <c r="B6572" s="141">
        <v>2.0276894082582001E-4</v>
      </c>
      <c r="D6572" s="141"/>
    </row>
    <row r="6573" spans="1:4" x14ac:dyDescent="0.2">
      <c r="A6573" s="140" t="s">
        <v>634</v>
      </c>
      <c r="B6573" s="141">
        <v>2.0200766891812001E-4</v>
      </c>
      <c r="D6573" s="141"/>
    </row>
    <row r="6574" spans="1:4" x14ac:dyDescent="0.2">
      <c r="A6574" s="140" t="s">
        <v>5761</v>
      </c>
      <c r="B6574" s="141">
        <v>2.0181195481462001E-4</v>
      </c>
      <c r="D6574" s="141"/>
    </row>
    <row r="6575" spans="1:4" x14ac:dyDescent="0.2">
      <c r="A6575" s="140" t="s">
        <v>988</v>
      </c>
      <c r="B6575" s="141">
        <v>2.0166765328195999E-4</v>
      </c>
      <c r="D6575" s="141"/>
    </row>
    <row r="6576" spans="1:4" x14ac:dyDescent="0.2">
      <c r="A6576" s="140" t="s">
        <v>2319</v>
      </c>
      <c r="B6576" s="141">
        <v>2.0164291900606E-4</v>
      </c>
      <c r="D6576" s="141"/>
    </row>
    <row r="6577" spans="1:4" x14ac:dyDescent="0.2">
      <c r="A6577" s="140" t="s">
        <v>8727</v>
      </c>
      <c r="B6577" s="141">
        <v>2.0161024327921E-4</v>
      </c>
      <c r="D6577" s="141"/>
    </row>
    <row r="6578" spans="1:4" x14ac:dyDescent="0.2">
      <c r="A6578" s="140" t="s">
        <v>1114</v>
      </c>
      <c r="B6578" s="141">
        <v>2.0156197112738001E-4</v>
      </c>
      <c r="D6578" s="141"/>
    </row>
    <row r="6579" spans="1:4" x14ac:dyDescent="0.2">
      <c r="A6579" s="140" t="s">
        <v>8728</v>
      </c>
      <c r="B6579" s="141">
        <v>2.0132881988906999E-4</v>
      </c>
      <c r="D6579" s="141"/>
    </row>
    <row r="6580" spans="1:4" x14ac:dyDescent="0.2">
      <c r="A6580" s="140" t="s">
        <v>1987</v>
      </c>
      <c r="B6580" s="141">
        <v>2.0097680672408999E-4</v>
      </c>
      <c r="D6580" s="141"/>
    </row>
    <row r="6581" spans="1:4" x14ac:dyDescent="0.2">
      <c r="A6581" s="140" t="s">
        <v>1577</v>
      </c>
      <c r="B6581" s="141">
        <v>2.0091743662885999E-4</v>
      </c>
      <c r="D6581" s="141"/>
    </row>
    <row r="6582" spans="1:4" x14ac:dyDescent="0.2">
      <c r="A6582" s="140" t="s">
        <v>8729</v>
      </c>
      <c r="B6582" s="141">
        <v>2.0085359564587E-4</v>
      </c>
      <c r="D6582" s="141"/>
    </row>
    <row r="6583" spans="1:4" x14ac:dyDescent="0.2">
      <c r="A6583" s="140" t="s">
        <v>3509</v>
      </c>
      <c r="B6583" s="141">
        <v>2.0073167897205E-4</v>
      </c>
      <c r="D6583" s="141"/>
    </row>
    <row r="6584" spans="1:4" x14ac:dyDescent="0.2">
      <c r="A6584" s="140" t="s">
        <v>2728</v>
      </c>
      <c r="B6584" s="141">
        <v>2.0038652155688E-4</v>
      </c>
      <c r="D6584" s="141"/>
    </row>
    <row r="6585" spans="1:4" x14ac:dyDescent="0.2">
      <c r="A6585" s="140" t="s">
        <v>1408</v>
      </c>
      <c r="B6585" s="141">
        <v>2.0034539119916E-4</v>
      </c>
      <c r="D6585" s="141"/>
    </row>
    <row r="6586" spans="1:4" x14ac:dyDescent="0.2">
      <c r="A6586" s="140" t="s">
        <v>5834</v>
      </c>
      <c r="B6586" s="141">
        <v>2.0021448664941E-4</v>
      </c>
      <c r="D6586" s="141"/>
    </row>
    <row r="6587" spans="1:4" x14ac:dyDescent="0.2">
      <c r="A6587" s="140" t="s">
        <v>3915</v>
      </c>
      <c r="B6587" s="141">
        <v>2.0003629032764E-4</v>
      </c>
      <c r="D6587" s="141"/>
    </row>
    <row r="6588" spans="1:4" x14ac:dyDescent="0.2">
      <c r="A6588" s="140" t="s">
        <v>4057</v>
      </c>
      <c r="B6588" s="141">
        <v>1.9997102179147001E-4</v>
      </c>
      <c r="D6588" s="141"/>
    </row>
    <row r="6589" spans="1:4" x14ac:dyDescent="0.2">
      <c r="A6589" s="140" t="s">
        <v>8730</v>
      </c>
      <c r="B6589" s="141">
        <v>1.9995352494928001E-4</v>
      </c>
      <c r="D6589" s="141"/>
    </row>
    <row r="6590" spans="1:4" x14ac:dyDescent="0.2">
      <c r="A6590" s="140" t="s">
        <v>711</v>
      </c>
      <c r="B6590" s="141">
        <v>1.9995192333271001E-4</v>
      </c>
      <c r="D6590" s="141"/>
    </row>
    <row r="6591" spans="1:4" x14ac:dyDescent="0.2">
      <c r="A6591" s="140" t="s">
        <v>4531</v>
      </c>
      <c r="B6591" s="141">
        <v>1.9948781049809001E-4</v>
      </c>
      <c r="D6591" s="141"/>
    </row>
    <row r="6592" spans="1:4" x14ac:dyDescent="0.2">
      <c r="A6592" s="140" t="s">
        <v>568</v>
      </c>
      <c r="B6592" s="141">
        <v>1.9946138486330001E-4</v>
      </c>
      <c r="D6592" s="141"/>
    </row>
    <row r="6593" spans="1:4" x14ac:dyDescent="0.2">
      <c r="A6593" s="140" t="s">
        <v>3601</v>
      </c>
      <c r="B6593" s="141">
        <v>1.9939101476740999E-4</v>
      </c>
      <c r="D6593" s="141"/>
    </row>
    <row r="6594" spans="1:4" x14ac:dyDescent="0.2">
      <c r="A6594" s="140" t="s">
        <v>4005</v>
      </c>
      <c r="B6594" s="141">
        <v>1.9935064318973001E-4</v>
      </c>
      <c r="D6594" s="141"/>
    </row>
    <row r="6595" spans="1:4" x14ac:dyDescent="0.2">
      <c r="A6595" s="140" t="s">
        <v>2403</v>
      </c>
      <c r="B6595" s="141">
        <v>1.9912582515394E-4</v>
      </c>
      <c r="D6595" s="141"/>
    </row>
    <row r="6596" spans="1:4" x14ac:dyDescent="0.2">
      <c r="A6596" s="140" t="s">
        <v>625</v>
      </c>
      <c r="B6596" s="141">
        <v>1.9909423506451999E-4</v>
      </c>
      <c r="D6596" s="141"/>
    </row>
    <row r="6597" spans="1:4" x14ac:dyDescent="0.2">
      <c r="A6597" s="140" t="s">
        <v>8731</v>
      </c>
      <c r="B6597" s="141">
        <v>1.9908730229392999E-4</v>
      </c>
      <c r="D6597" s="141"/>
    </row>
    <row r="6598" spans="1:4" x14ac:dyDescent="0.2">
      <c r="A6598" s="140" t="s">
        <v>8732</v>
      </c>
      <c r="B6598" s="141">
        <v>1.9908730229392999E-4</v>
      </c>
      <c r="D6598" s="141"/>
    </row>
    <row r="6599" spans="1:4" x14ac:dyDescent="0.2">
      <c r="A6599" s="140" t="s">
        <v>5324</v>
      </c>
      <c r="B6599" s="141">
        <v>1.9907915500177E-4</v>
      </c>
      <c r="D6599" s="141"/>
    </row>
    <row r="6600" spans="1:4" x14ac:dyDescent="0.2">
      <c r="A6600" s="140" t="s">
        <v>2990</v>
      </c>
      <c r="B6600" s="141">
        <v>1.9868193826442999E-4</v>
      </c>
      <c r="D6600" s="141"/>
    </row>
    <row r="6601" spans="1:4" x14ac:dyDescent="0.2">
      <c r="A6601" s="140" t="s">
        <v>1041</v>
      </c>
      <c r="B6601" s="141">
        <v>1.9844800319492999E-4</v>
      </c>
      <c r="D6601" s="141"/>
    </row>
    <row r="6602" spans="1:4" x14ac:dyDescent="0.2">
      <c r="A6602" s="140" t="s">
        <v>4501</v>
      </c>
      <c r="B6602" s="141">
        <v>1.9816781401626999E-4</v>
      </c>
      <c r="D6602" s="141"/>
    </row>
    <row r="6603" spans="1:4" x14ac:dyDescent="0.2">
      <c r="A6603" s="140" t="s">
        <v>8733</v>
      </c>
      <c r="B6603" s="141">
        <v>1.9809786502971E-4</v>
      </c>
      <c r="D6603" s="141"/>
    </row>
    <row r="6604" spans="1:4" x14ac:dyDescent="0.2">
      <c r="A6604" s="140" t="s">
        <v>8734</v>
      </c>
      <c r="B6604" s="141">
        <v>1.9775493332232E-4</v>
      </c>
      <c r="D6604" s="141"/>
    </row>
    <row r="6605" spans="1:4" x14ac:dyDescent="0.2">
      <c r="A6605" s="140" t="s">
        <v>1845</v>
      </c>
      <c r="B6605" s="141">
        <v>1.9764965963426999E-4</v>
      </c>
      <c r="D6605" s="141"/>
    </row>
    <row r="6606" spans="1:4" x14ac:dyDescent="0.2">
      <c r="A6606" s="140" t="s">
        <v>3772</v>
      </c>
      <c r="B6606" s="141">
        <v>1.9763856223214E-4</v>
      </c>
      <c r="D6606" s="141"/>
    </row>
    <row r="6607" spans="1:4" x14ac:dyDescent="0.2">
      <c r="A6607" s="140" t="s">
        <v>8735</v>
      </c>
      <c r="B6607" s="141">
        <v>1.9742395906762001E-4</v>
      </c>
      <c r="D6607" s="141"/>
    </row>
    <row r="6608" spans="1:4" x14ac:dyDescent="0.2">
      <c r="A6608" s="140" t="s">
        <v>8736</v>
      </c>
      <c r="B6608" s="141">
        <v>1.9722738019263E-4</v>
      </c>
      <c r="D6608" s="141"/>
    </row>
    <row r="6609" spans="1:4" x14ac:dyDescent="0.2">
      <c r="A6609" s="140" t="s">
        <v>3462</v>
      </c>
      <c r="B6609" s="141">
        <v>1.9687139886135E-4</v>
      </c>
      <c r="D6609" s="141"/>
    </row>
    <row r="6610" spans="1:4" x14ac:dyDescent="0.2">
      <c r="A6610" s="140" t="s">
        <v>8737</v>
      </c>
      <c r="B6610" s="141">
        <v>1.9653755305456001E-4</v>
      </c>
      <c r="D6610" s="141"/>
    </row>
    <row r="6611" spans="1:4" x14ac:dyDescent="0.2">
      <c r="A6611" s="140" t="s">
        <v>5817</v>
      </c>
      <c r="B6611" s="141">
        <v>1.9634636611875E-4</v>
      </c>
      <c r="D6611" s="141"/>
    </row>
    <row r="6612" spans="1:4" x14ac:dyDescent="0.2">
      <c r="A6612" s="140" t="s">
        <v>8738</v>
      </c>
      <c r="B6612" s="141">
        <v>1.9587301944777E-4</v>
      </c>
      <c r="D6612" s="141"/>
    </row>
    <row r="6613" spans="1:4" x14ac:dyDescent="0.2">
      <c r="A6613" s="140" t="s">
        <v>5102</v>
      </c>
      <c r="B6613" s="141">
        <v>1.9574564358189E-4</v>
      </c>
      <c r="D6613" s="141"/>
    </row>
    <row r="6614" spans="1:4" x14ac:dyDescent="0.2">
      <c r="A6614" s="140" t="s">
        <v>5824</v>
      </c>
      <c r="B6614" s="141">
        <v>1.9570102011799999E-4</v>
      </c>
      <c r="D6614" s="141"/>
    </row>
    <row r="6615" spans="1:4" x14ac:dyDescent="0.2">
      <c r="A6615" s="140" t="s">
        <v>4594</v>
      </c>
      <c r="B6615" s="141">
        <v>1.9569541249763001E-4</v>
      </c>
      <c r="D6615" s="141"/>
    </row>
    <row r="6616" spans="1:4" x14ac:dyDescent="0.2">
      <c r="A6616" s="140" t="s">
        <v>8739</v>
      </c>
      <c r="B6616" s="141">
        <v>1.9566956814231999E-4</v>
      </c>
      <c r="D6616" s="141"/>
    </row>
    <row r="6617" spans="1:4" x14ac:dyDescent="0.2">
      <c r="A6617" s="140" t="s">
        <v>2577</v>
      </c>
      <c r="B6617" s="141">
        <v>1.953769733233E-4</v>
      </c>
      <c r="D6617" s="141"/>
    </row>
    <row r="6618" spans="1:4" x14ac:dyDescent="0.2">
      <c r="A6618" s="140" t="s">
        <v>5032</v>
      </c>
      <c r="B6618" s="141">
        <v>1.9537339947136E-4</v>
      </c>
      <c r="D6618" s="141"/>
    </row>
    <row r="6619" spans="1:4" x14ac:dyDescent="0.2">
      <c r="A6619" s="140" t="s">
        <v>8740</v>
      </c>
      <c r="B6619" s="141">
        <v>1.9531388926338999E-4</v>
      </c>
      <c r="D6619" s="141"/>
    </row>
    <row r="6620" spans="1:4" x14ac:dyDescent="0.2">
      <c r="A6620" s="140" t="s">
        <v>5758</v>
      </c>
      <c r="B6620" s="141">
        <v>1.9527339943904999E-4</v>
      </c>
      <c r="D6620" s="141"/>
    </row>
    <row r="6621" spans="1:4" x14ac:dyDescent="0.2">
      <c r="A6621" s="140" t="s">
        <v>8741</v>
      </c>
      <c r="B6621" s="141">
        <v>1.9519442491319999E-4</v>
      </c>
      <c r="D6621" s="141"/>
    </row>
    <row r="6622" spans="1:4" x14ac:dyDescent="0.2">
      <c r="A6622" s="140" t="s">
        <v>561</v>
      </c>
      <c r="B6622" s="141">
        <v>1.9519388593299E-4</v>
      </c>
      <c r="D6622" s="141"/>
    </row>
    <row r="6623" spans="1:4" x14ac:dyDescent="0.2">
      <c r="A6623" s="140" t="s">
        <v>1514</v>
      </c>
      <c r="B6623" s="141">
        <v>1.9503013666001E-4</v>
      </c>
      <c r="D6623" s="141"/>
    </row>
    <row r="6624" spans="1:4" x14ac:dyDescent="0.2">
      <c r="A6624" s="140" t="s">
        <v>3783</v>
      </c>
      <c r="B6624" s="141">
        <v>1.949019385077E-4</v>
      </c>
      <c r="D6624" s="141"/>
    </row>
    <row r="6625" spans="1:4" x14ac:dyDescent="0.2">
      <c r="A6625" s="140" t="s">
        <v>8742</v>
      </c>
      <c r="B6625" s="141">
        <v>1.947762879364E-4</v>
      </c>
      <c r="D6625" s="141"/>
    </row>
    <row r="6626" spans="1:4" x14ac:dyDescent="0.2">
      <c r="A6626" s="140" t="s">
        <v>2156</v>
      </c>
      <c r="B6626" s="141">
        <v>1.94638025586E-4</v>
      </c>
      <c r="D6626" s="141"/>
    </row>
    <row r="6627" spans="1:4" x14ac:dyDescent="0.2">
      <c r="A6627" s="140" t="s">
        <v>950</v>
      </c>
      <c r="B6627" s="141">
        <v>1.9461280736368999E-4</v>
      </c>
      <c r="D6627" s="141"/>
    </row>
    <row r="6628" spans="1:4" x14ac:dyDescent="0.2">
      <c r="A6628" s="140" t="s">
        <v>8743</v>
      </c>
      <c r="B6628" s="141">
        <v>1.9420105529351E-4</v>
      </c>
      <c r="D6628" s="141"/>
    </row>
    <row r="6629" spans="1:4" x14ac:dyDescent="0.2">
      <c r="A6629" s="140" t="s">
        <v>1874</v>
      </c>
      <c r="B6629" s="141">
        <v>1.9387512976555999E-4</v>
      </c>
      <c r="D6629" s="141"/>
    </row>
    <row r="6630" spans="1:4" x14ac:dyDescent="0.2">
      <c r="A6630" s="140" t="s">
        <v>1005</v>
      </c>
      <c r="B6630" s="141">
        <v>1.9330084370916E-4</v>
      </c>
      <c r="D6630" s="141"/>
    </row>
    <row r="6631" spans="1:4" x14ac:dyDescent="0.2">
      <c r="A6631" s="140" t="s">
        <v>3641</v>
      </c>
      <c r="B6631" s="141">
        <v>1.9314039368281E-4</v>
      </c>
      <c r="D6631" s="141"/>
    </row>
    <row r="6632" spans="1:4" x14ac:dyDescent="0.2">
      <c r="A6632" s="140" t="s">
        <v>8744</v>
      </c>
      <c r="B6632" s="141">
        <v>1.9268491369944999E-4</v>
      </c>
      <c r="D6632" s="141"/>
    </row>
    <row r="6633" spans="1:4" x14ac:dyDescent="0.2">
      <c r="A6633" s="140" t="s">
        <v>5885</v>
      </c>
      <c r="B6633" s="141">
        <v>1.9257365099386E-4</v>
      </c>
      <c r="D6633" s="141"/>
    </row>
    <row r="6634" spans="1:4" x14ac:dyDescent="0.2">
      <c r="A6634" s="140" t="s">
        <v>457</v>
      </c>
      <c r="B6634" s="141">
        <v>1.9252769845056001E-4</v>
      </c>
      <c r="D6634" s="141"/>
    </row>
    <row r="6635" spans="1:4" x14ac:dyDescent="0.2">
      <c r="A6635" s="140" t="s">
        <v>2286</v>
      </c>
      <c r="B6635" s="141">
        <v>1.9246607826031999E-4</v>
      </c>
      <c r="D6635" s="141"/>
    </row>
    <row r="6636" spans="1:4" x14ac:dyDescent="0.2">
      <c r="A6636" s="140" t="s">
        <v>8745</v>
      </c>
      <c r="B6636" s="141">
        <v>1.9195112749100001E-4</v>
      </c>
      <c r="D6636" s="141"/>
    </row>
    <row r="6637" spans="1:4" x14ac:dyDescent="0.2">
      <c r="A6637" s="140" t="s">
        <v>5838</v>
      </c>
      <c r="B6637" s="141">
        <v>1.9182837228395999E-4</v>
      </c>
      <c r="D6637" s="141"/>
    </row>
    <row r="6638" spans="1:4" x14ac:dyDescent="0.2">
      <c r="A6638" s="140" t="s">
        <v>888</v>
      </c>
      <c r="B6638" s="141">
        <v>1.9161318135607001E-4</v>
      </c>
      <c r="D6638" s="141"/>
    </row>
    <row r="6639" spans="1:4" x14ac:dyDescent="0.2">
      <c r="A6639" s="140" t="s">
        <v>2072</v>
      </c>
      <c r="B6639" s="141">
        <v>1.9149521481697001E-4</v>
      </c>
      <c r="D6639" s="141"/>
    </row>
    <row r="6640" spans="1:4" x14ac:dyDescent="0.2">
      <c r="A6640" s="140" t="s">
        <v>8746</v>
      </c>
      <c r="B6640" s="141">
        <v>1.9133409343841999E-4</v>
      </c>
      <c r="D6640" s="141"/>
    </row>
    <row r="6641" spans="1:4" x14ac:dyDescent="0.2">
      <c r="A6641" s="140" t="s">
        <v>1839</v>
      </c>
      <c r="B6641" s="141">
        <v>1.9122008725935E-4</v>
      </c>
      <c r="D6641" s="141"/>
    </row>
    <row r="6642" spans="1:4" x14ac:dyDescent="0.2">
      <c r="A6642" s="140" t="s">
        <v>5309</v>
      </c>
      <c r="B6642" s="141">
        <v>1.9086371732182999E-4</v>
      </c>
      <c r="D6642" s="141"/>
    </row>
    <row r="6643" spans="1:4" x14ac:dyDescent="0.2">
      <c r="A6643" s="140" t="s">
        <v>8747</v>
      </c>
      <c r="B6643" s="141">
        <v>1.9070543690940999E-4</v>
      </c>
      <c r="D6643" s="141"/>
    </row>
    <row r="6644" spans="1:4" x14ac:dyDescent="0.2">
      <c r="A6644" s="140" t="s">
        <v>5132</v>
      </c>
      <c r="B6644" s="141">
        <v>1.9070225627938999E-4</v>
      </c>
      <c r="D6644" s="141"/>
    </row>
    <row r="6645" spans="1:4" x14ac:dyDescent="0.2">
      <c r="A6645" s="140" t="s">
        <v>974</v>
      </c>
      <c r="B6645" s="141">
        <v>1.9038676264148999E-4</v>
      </c>
      <c r="D6645" s="141"/>
    </row>
    <row r="6646" spans="1:4" x14ac:dyDescent="0.2">
      <c r="A6646" s="140" t="s">
        <v>8748</v>
      </c>
      <c r="B6646" s="141">
        <v>1.8950261680164999E-4</v>
      </c>
      <c r="D6646" s="141"/>
    </row>
    <row r="6647" spans="1:4" x14ac:dyDescent="0.2">
      <c r="A6647" s="140" t="s">
        <v>8749</v>
      </c>
      <c r="B6647" s="141">
        <v>1.8947552258472E-4</v>
      </c>
      <c r="D6647" s="141"/>
    </row>
    <row r="6648" spans="1:4" x14ac:dyDescent="0.2">
      <c r="A6648" s="140" t="s">
        <v>5078</v>
      </c>
      <c r="B6648" s="141">
        <v>1.8930538772586001E-4</v>
      </c>
      <c r="D6648" s="141"/>
    </row>
    <row r="6649" spans="1:4" x14ac:dyDescent="0.2">
      <c r="A6649" s="140" t="s">
        <v>5735</v>
      </c>
      <c r="B6649" s="141">
        <v>1.8883886795118999E-4</v>
      </c>
      <c r="D6649" s="141"/>
    </row>
    <row r="6650" spans="1:4" x14ac:dyDescent="0.2">
      <c r="A6650" s="140" t="s">
        <v>8750</v>
      </c>
      <c r="B6650" s="141">
        <v>1.8881621811493E-4</v>
      </c>
      <c r="D6650" s="141"/>
    </row>
    <row r="6651" spans="1:4" x14ac:dyDescent="0.2">
      <c r="A6651" s="140" t="s">
        <v>2611</v>
      </c>
      <c r="B6651" s="141">
        <v>1.8833319488308E-4</v>
      </c>
      <c r="D6651" s="141"/>
    </row>
    <row r="6652" spans="1:4" x14ac:dyDescent="0.2">
      <c r="A6652" s="140" t="s">
        <v>4273</v>
      </c>
      <c r="B6652" s="141">
        <v>1.8822092764738001E-4</v>
      </c>
      <c r="D6652" s="141"/>
    </row>
    <row r="6653" spans="1:4" x14ac:dyDescent="0.2">
      <c r="A6653" s="140" t="s">
        <v>2175</v>
      </c>
      <c r="B6653" s="141">
        <v>1.8805308376746999E-4</v>
      </c>
      <c r="D6653" s="141"/>
    </row>
    <row r="6654" spans="1:4" x14ac:dyDescent="0.2">
      <c r="A6654" s="140" t="s">
        <v>4823</v>
      </c>
      <c r="B6654" s="141">
        <v>1.872169582551E-4</v>
      </c>
      <c r="D6654" s="141"/>
    </row>
    <row r="6655" spans="1:4" x14ac:dyDescent="0.2">
      <c r="A6655" s="140" t="s">
        <v>6251</v>
      </c>
      <c r="B6655" s="141">
        <v>1.8720935423380001E-4</v>
      </c>
      <c r="D6655" s="141"/>
    </row>
    <row r="6656" spans="1:4" x14ac:dyDescent="0.2">
      <c r="A6656" s="140" t="s">
        <v>1738</v>
      </c>
      <c r="B6656" s="141">
        <v>1.8717461526634001E-4</v>
      </c>
      <c r="D6656" s="141"/>
    </row>
    <row r="6657" spans="1:4" x14ac:dyDescent="0.2">
      <c r="A6657" s="140" t="s">
        <v>798</v>
      </c>
      <c r="B6657" s="141">
        <v>1.8684417960563999E-4</v>
      </c>
      <c r="D6657" s="141"/>
    </row>
    <row r="6658" spans="1:4" x14ac:dyDescent="0.2">
      <c r="A6658" s="140" t="s">
        <v>1944</v>
      </c>
      <c r="B6658" s="141">
        <v>1.8682668717179E-4</v>
      </c>
      <c r="D6658" s="141"/>
    </row>
    <row r="6659" spans="1:4" x14ac:dyDescent="0.2">
      <c r="A6659" s="140" t="s">
        <v>8751</v>
      </c>
      <c r="B6659" s="141">
        <v>1.8645429751406001E-4</v>
      </c>
      <c r="D6659" s="141"/>
    </row>
    <row r="6660" spans="1:4" x14ac:dyDescent="0.2">
      <c r="A6660" s="140" t="s">
        <v>2037</v>
      </c>
      <c r="B6660" s="141">
        <v>1.8633499354693E-4</v>
      </c>
      <c r="D6660" s="141"/>
    </row>
    <row r="6661" spans="1:4" x14ac:dyDescent="0.2">
      <c r="A6661" s="140" t="s">
        <v>2411</v>
      </c>
      <c r="B6661" s="141">
        <v>1.8629649611288999E-4</v>
      </c>
      <c r="D6661" s="141"/>
    </row>
    <row r="6662" spans="1:4" x14ac:dyDescent="0.2">
      <c r="A6662" s="140" t="s">
        <v>480</v>
      </c>
      <c r="B6662" s="141">
        <v>1.8550265538552001E-4</v>
      </c>
      <c r="D6662" s="141"/>
    </row>
    <row r="6663" spans="1:4" x14ac:dyDescent="0.2">
      <c r="A6663" s="140" t="s">
        <v>8752</v>
      </c>
      <c r="B6663" s="141">
        <v>1.8547426260422001E-4</v>
      </c>
      <c r="D6663" s="141"/>
    </row>
    <row r="6664" spans="1:4" x14ac:dyDescent="0.2">
      <c r="A6664" s="140" t="s">
        <v>2249</v>
      </c>
      <c r="B6664" s="141">
        <v>1.8537363274360999E-4</v>
      </c>
      <c r="D6664" s="141"/>
    </row>
    <row r="6665" spans="1:4" x14ac:dyDescent="0.2">
      <c r="A6665" s="140" t="s">
        <v>8753</v>
      </c>
      <c r="B6665" s="141">
        <v>1.8532729136035999E-4</v>
      </c>
      <c r="D6665" s="141"/>
    </row>
    <row r="6666" spans="1:4" x14ac:dyDescent="0.2">
      <c r="A6666" s="140" t="s">
        <v>8754</v>
      </c>
      <c r="B6666" s="141">
        <v>1.8488952152268001E-4</v>
      </c>
      <c r="D6666" s="141"/>
    </row>
    <row r="6667" spans="1:4" x14ac:dyDescent="0.2">
      <c r="A6667" s="140" t="s">
        <v>3404</v>
      </c>
      <c r="B6667" s="141">
        <v>1.8479289851634E-4</v>
      </c>
      <c r="D6667" s="141"/>
    </row>
    <row r="6668" spans="1:4" x14ac:dyDescent="0.2">
      <c r="A6668" s="140" t="s">
        <v>1229</v>
      </c>
      <c r="B6668" s="141">
        <v>1.8453615636301001E-4</v>
      </c>
      <c r="D6668" s="141"/>
    </row>
    <row r="6669" spans="1:4" x14ac:dyDescent="0.2">
      <c r="A6669" s="140" t="s">
        <v>5590</v>
      </c>
      <c r="B6669" s="141">
        <v>1.8422627052368999E-4</v>
      </c>
      <c r="D6669" s="141"/>
    </row>
    <row r="6670" spans="1:4" x14ac:dyDescent="0.2">
      <c r="A6670" s="140" t="s">
        <v>6238</v>
      </c>
      <c r="B6670" s="141">
        <v>1.8416504905755001E-4</v>
      </c>
      <c r="D6670" s="141"/>
    </row>
    <row r="6671" spans="1:4" x14ac:dyDescent="0.2">
      <c r="A6671" s="140" t="s">
        <v>2348</v>
      </c>
      <c r="B6671" s="141">
        <v>1.8394873696557E-4</v>
      </c>
      <c r="D6671" s="141"/>
    </row>
    <row r="6672" spans="1:4" x14ac:dyDescent="0.2">
      <c r="A6672" s="140" t="s">
        <v>8755</v>
      </c>
      <c r="B6672" s="141">
        <v>1.8394569859562999E-4</v>
      </c>
      <c r="D6672" s="141"/>
    </row>
    <row r="6673" spans="1:4" x14ac:dyDescent="0.2">
      <c r="A6673" s="140" t="s">
        <v>782</v>
      </c>
      <c r="B6673" s="141">
        <v>1.8390856748659999E-4</v>
      </c>
      <c r="D6673" s="141"/>
    </row>
    <row r="6674" spans="1:4" x14ac:dyDescent="0.2">
      <c r="A6674" s="140" t="s">
        <v>8756</v>
      </c>
      <c r="B6674" s="141">
        <v>1.8374999130016999E-4</v>
      </c>
      <c r="D6674" s="141"/>
    </row>
    <row r="6675" spans="1:4" x14ac:dyDescent="0.2">
      <c r="A6675" s="140" t="s">
        <v>1664</v>
      </c>
      <c r="B6675" s="141">
        <v>1.8371199525182001E-4</v>
      </c>
      <c r="D6675" s="141"/>
    </row>
    <row r="6676" spans="1:4" x14ac:dyDescent="0.2">
      <c r="A6676" s="140" t="s">
        <v>641</v>
      </c>
      <c r="B6676" s="141">
        <v>1.8324135232643E-4</v>
      </c>
      <c r="D6676" s="141"/>
    </row>
    <row r="6677" spans="1:4" x14ac:dyDescent="0.2">
      <c r="A6677" s="140" t="s">
        <v>697</v>
      </c>
      <c r="B6677" s="141">
        <v>1.8232113007594E-4</v>
      </c>
      <c r="D6677" s="141"/>
    </row>
    <row r="6678" spans="1:4" x14ac:dyDescent="0.2">
      <c r="A6678" s="140" t="s">
        <v>8757</v>
      </c>
      <c r="B6678" s="141">
        <v>1.8212590601748E-4</v>
      </c>
      <c r="D6678" s="141"/>
    </row>
    <row r="6679" spans="1:4" x14ac:dyDescent="0.2">
      <c r="A6679" s="140" t="s">
        <v>8758</v>
      </c>
      <c r="B6679" s="141">
        <v>1.8190062628404999E-4</v>
      </c>
      <c r="D6679" s="141"/>
    </row>
    <row r="6680" spans="1:4" x14ac:dyDescent="0.2">
      <c r="A6680" s="140" t="s">
        <v>403</v>
      </c>
      <c r="B6680" s="141">
        <v>1.8086397010702999E-4</v>
      </c>
      <c r="D6680" s="141"/>
    </row>
    <row r="6681" spans="1:4" x14ac:dyDescent="0.2">
      <c r="A6681" s="140" t="s">
        <v>3663</v>
      </c>
      <c r="B6681" s="141">
        <v>1.8058368366458E-4</v>
      </c>
      <c r="D6681" s="141"/>
    </row>
    <row r="6682" spans="1:4" x14ac:dyDescent="0.2">
      <c r="A6682" s="140" t="s">
        <v>1047</v>
      </c>
      <c r="B6682" s="141">
        <v>1.8052344916882001E-4</v>
      </c>
      <c r="D6682" s="141"/>
    </row>
    <row r="6683" spans="1:4" x14ac:dyDescent="0.2">
      <c r="A6683" s="140" t="s">
        <v>4242</v>
      </c>
      <c r="B6683" s="141">
        <v>1.8019702333818999E-4</v>
      </c>
      <c r="D6683" s="141"/>
    </row>
    <row r="6684" spans="1:4" x14ac:dyDescent="0.2">
      <c r="A6684" s="140" t="s">
        <v>3106</v>
      </c>
      <c r="B6684" s="141">
        <v>1.8014871181446001E-4</v>
      </c>
      <c r="D6684" s="141"/>
    </row>
    <row r="6685" spans="1:4" x14ac:dyDescent="0.2">
      <c r="A6685" s="140" t="s">
        <v>2110</v>
      </c>
      <c r="B6685" s="141">
        <v>1.8000046040857E-4</v>
      </c>
      <c r="D6685" s="141"/>
    </row>
    <row r="6686" spans="1:4" x14ac:dyDescent="0.2">
      <c r="A6686" s="140" t="s">
        <v>8759</v>
      </c>
      <c r="B6686" s="141">
        <v>1.7993702065876999E-4</v>
      </c>
      <c r="D6686" s="141"/>
    </row>
    <row r="6687" spans="1:4" x14ac:dyDescent="0.2">
      <c r="A6687" s="140" t="s">
        <v>8760</v>
      </c>
      <c r="B6687" s="141">
        <v>1.7993702065876999E-4</v>
      </c>
      <c r="D6687" s="141"/>
    </row>
    <row r="6688" spans="1:4" x14ac:dyDescent="0.2">
      <c r="A6688" s="140" t="s">
        <v>8761</v>
      </c>
      <c r="B6688" s="141">
        <v>1.7993702065876999E-4</v>
      </c>
      <c r="D6688" s="141"/>
    </row>
    <row r="6689" spans="1:4" x14ac:dyDescent="0.2">
      <c r="A6689" s="140" t="s">
        <v>355</v>
      </c>
      <c r="B6689" s="141">
        <v>1.7991812381297999E-4</v>
      </c>
      <c r="D6689" s="141"/>
    </row>
    <row r="6690" spans="1:4" x14ac:dyDescent="0.2">
      <c r="A6690" s="140" t="s">
        <v>8762</v>
      </c>
      <c r="B6690" s="141">
        <v>1.7974457884423E-4</v>
      </c>
      <c r="D6690" s="141"/>
    </row>
    <row r="6691" spans="1:4" x14ac:dyDescent="0.2">
      <c r="A6691" s="140" t="s">
        <v>671</v>
      </c>
      <c r="B6691" s="141">
        <v>1.7962661508609E-4</v>
      </c>
      <c r="D6691" s="141"/>
    </row>
    <row r="6692" spans="1:4" x14ac:dyDescent="0.2">
      <c r="A6692" s="140" t="s">
        <v>1885</v>
      </c>
      <c r="B6692" s="141">
        <v>1.7959820002611999E-4</v>
      </c>
      <c r="D6692" s="141"/>
    </row>
    <row r="6693" spans="1:4" x14ac:dyDescent="0.2">
      <c r="A6693" s="140" t="s">
        <v>8763</v>
      </c>
      <c r="B6693" s="141">
        <v>1.7950088434419E-4</v>
      </c>
      <c r="D6693" s="141"/>
    </row>
    <row r="6694" spans="1:4" x14ac:dyDescent="0.2">
      <c r="A6694" s="140" t="s">
        <v>8764</v>
      </c>
      <c r="B6694" s="141">
        <v>1.793224483063E-4</v>
      </c>
      <c r="D6694" s="141"/>
    </row>
    <row r="6695" spans="1:4" x14ac:dyDescent="0.2">
      <c r="A6695" s="140" t="s">
        <v>3887</v>
      </c>
      <c r="B6695" s="141">
        <v>1.7917448055259001E-4</v>
      </c>
      <c r="D6695" s="141"/>
    </row>
    <row r="6696" spans="1:4" x14ac:dyDescent="0.2">
      <c r="A6696" s="140" t="s">
        <v>5819</v>
      </c>
      <c r="B6696" s="141">
        <v>1.7877747114831001E-4</v>
      </c>
      <c r="D6696" s="141"/>
    </row>
    <row r="6697" spans="1:4" x14ac:dyDescent="0.2">
      <c r="A6697" s="140" t="s">
        <v>8765</v>
      </c>
      <c r="B6697" s="141">
        <v>1.7848203196606E-4</v>
      </c>
      <c r="D6697" s="141"/>
    </row>
    <row r="6698" spans="1:4" x14ac:dyDescent="0.2">
      <c r="A6698" s="140" t="s">
        <v>8766</v>
      </c>
      <c r="B6698" s="141">
        <v>1.7848203196606E-4</v>
      </c>
      <c r="D6698" s="141"/>
    </row>
    <row r="6699" spans="1:4" x14ac:dyDescent="0.2">
      <c r="A6699" s="140" t="s">
        <v>1097</v>
      </c>
      <c r="B6699" s="141">
        <v>1.78451920522E-4</v>
      </c>
      <c r="D6699" s="141"/>
    </row>
    <row r="6700" spans="1:4" x14ac:dyDescent="0.2">
      <c r="A6700" s="140" t="s">
        <v>5468</v>
      </c>
      <c r="B6700" s="141">
        <v>1.7825417831431999E-4</v>
      </c>
      <c r="D6700" s="141"/>
    </row>
    <row r="6701" spans="1:4" x14ac:dyDescent="0.2">
      <c r="A6701" s="140" t="s">
        <v>8767</v>
      </c>
      <c r="B6701" s="141">
        <v>1.7778194975626E-4</v>
      </c>
      <c r="D6701" s="141"/>
    </row>
    <row r="6702" spans="1:4" x14ac:dyDescent="0.2">
      <c r="A6702" s="140" t="s">
        <v>5488</v>
      </c>
      <c r="B6702" s="141">
        <v>1.7769696134343999E-4</v>
      </c>
      <c r="D6702" s="141"/>
    </row>
    <row r="6703" spans="1:4" x14ac:dyDescent="0.2">
      <c r="A6703" s="140" t="s">
        <v>3375</v>
      </c>
      <c r="B6703" s="141">
        <v>1.7757284016854999E-4</v>
      </c>
      <c r="D6703" s="141"/>
    </row>
    <row r="6704" spans="1:4" x14ac:dyDescent="0.2">
      <c r="A6704" s="140" t="s">
        <v>1601</v>
      </c>
      <c r="B6704" s="141">
        <v>1.7739558949257E-4</v>
      </c>
      <c r="D6704" s="141"/>
    </row>
    <row r="6705" spans="1:4" x14ac:dyDescent="0.2">
      <c r="A6705" s="140" t="s">
        <v>1729</v>
      </c>
      <c r="B6705" s="141">
        <v>1.7715223125466001E-4</v>
      </c>
      <c r="D6705" s="141"/>
    </row>
    <row r="6706" spans="1:4" x14ac:dyDescent="0.2">
      <c r="A6706" s="140" t="s">
        <v>8768</v>
      </c>
      <c r="B6706" s="141">
        <v>1.7715223125466001E-4</v>
      </c>
      <c r="D6706" s="141"/>
    </row>
    <row r="6707" spans="1:4" x14ac:dyDescent="0.2">
      <c r="A6707" s="140" t="s">
        <v>1711</v>
      </c>
      <c r="B6707" s="141">
        <v>1.7715223125466001E-4</v>
      </c>
      <c r="D6707" s="141"/>
    </row>
    <row r="6708" spans="1:4" x14ac:dyDescent="0.2">
      <c r="A6708" s="140" t="s">
        <v>1531</v>
      </c>
      <c r="B6708" s="141">
        <v>1.7715223125466001E-4</v>
      </c>
      <c r="D6708" s="141"/>
    </row>
    <row r="6709" spans="1:4" x14ac:dyDescent="0.2">
      <c r="A6709" s="140" t="s">
        <v>8769</v>
      </c>
      <c r="B6709" s="141">
        <v>1.7705137238107E-4</v>
      </c>
      <c r="D6709" s="141"/>
    </row>
    <row r="6710" spans="1:4" x14ac:dyDescent="0.2">
      <c r="A6710" s="140" t="s">
        <v>1587</v>
      </c>
      <c r="B6710" s="141">
        <v>1.7693805452143001E-4</v>
      </c>
      <c r="D6710" s="141"/>
    </row>
    <row r="6711" spans="1:4" x14ac:dyDescent="0.2">
      <c r="A6711" s="140" t="s">
        <v>1506</v>
      </c>
      <c r="B6711" s="141">
        <v>1.7654498979753001E-4</v>
      </c>
      <c r="D6711" s="141"/>
    </row>
    <row r="6712" spans="1:4" x14ac:dyDescent="0.2">
      <c r="A6712" s="140" t="s">
        <v>4975</v>
      </c>
      <c r="B6712" s="141">
        <v>1.7652543018931E-4</v>
      </c>
      <c r="D6712" s="141"/>
    </row>
    <row r="6713" spans="1:4" x14ac:dyDescent="0.2">
      <c r="A6713" s="140" t="s">
        <v>8770</v>
      </c>
      <c r="B6713" s="141">
        <v>1.7638031697778E-4</v>
      </c>
      <c r="D6713" s="141"/>
    </row>
    <row r="6714" spans="1:4" x14ac:dyDescent="0.2">
      <c r="A6714" s="140" t="s">
        <v>8771</v>
      </c>
      <c r="B6714" s="141">
        <v>1.7633730840070999E-4</v>
      </c>
      <c r="D6714" s="141"/>
    </row>
    <row r="6715" spans="1:4" x14ac:dyDescent="0.2">
      <c r="A6715" s="140" t="s">
        <v>8772</v>
      </c>
      <c r="B6715" s="141">
        <v>1.7622062599108001E-4</v>
      </c>
      <c r="D6715" s="141"/>
    </row>
    <row r="6716" spans="1:4" x14ac:dyDescent="0.2">
      <c r="A6716" s="140" t="s">
        <v>8773</v>
      </c>
      <c r="B6716" s="141">
        <v>1.7622062599108001E-4</v>
      </c>
      <c r="D6716" s="141"/>
    </row>
    <row r="6717" spans="1:4" x14ac:dyDescent="0.2">
      <c r="A6717" s="140" t="s">
        <v>5180</v>
      </c>
      <c r="B6717" s="141">
        <v>1.7619355095647001E-4</v>
      </c>
      <c r="D6717" s="141"/>
    </row>
    <row r="6718" spans="1:4" x14ac:dyDescent="0.2">
      <c r="A6718" s="140" t="s">
        <v>4033</v>
      </c>
      <c r="B6718" s="141">
        <v>1.7538483272819001E-4</v>
      </c>
      <c r="D6718" s="141"/>
    </row>
    <row r="6719" spans="1:4" x14ac:dyDescent="0.2">
      <c r="A6719" s="140" t="s">
        <v>791</v>
      </c>
      <c r="B6719" s="141">
        <v>1.7537348914586001E-4</v>
      </c>
      <c r="D6719" s="141"/>
    </row>
    <row r="6720" spans="1:4" x14ac:dyDescent="0.2">
      <c r="A6720" s="140" t="s">
        <v>8774</v>
      </c>
      <c r="B6720" s="141">
        <v>1.7525076650481001E-4</v>
      </c>
      <c r="D6720" s="141"/>
    </row>
    <row r="6721" spans="1:4" x14ac:dyDescent="0.2">
      <c r="A6721" s="140" t="s">
        <v>8775</v>
      </c>
      <c r="B6721" s="141">
        <v>1.7523982294103001E-4</v>
      </c>
      <c r="D6721" s="141"/>
    </row>
    <row r="6722" spans="1:4" x14ac:dyDescent="0.2">
      <c r="A6722" s="140" t="s">
        <v>2669</v>
      </c>
      <c r="B6722" s="141">
        <v>1.7462030596002999E-4</v>
      </c>
      <c r="D6722" s="141"/>
    </row>
    <row r="6723" spans="1:4" x14ac:dyDescent="0.2">
      <c r="A6723" s="140" t="s">
        <v>6019</v>
      </c>
      <c r="B6723" s="141">
        <v>1.7451929627713999E-4</v>
      </c>
      <c r="D6723" s="141"/>
    </row>
    <row r="6724" spans="1:4" x14ac:dyDescent="0.2">
      <c r="A6724" s="140" t="s">
        <v>8776</v>
      </c>
      <c r="B6724" s="141">
        <v>1.7427371349992E-4</v>
      </c>
      <c r="D6724" s="141"/>
    </row>
    <row r="6725" spans="1:4" x14ac:dyDescent="0.2">
      <c r="A6725" s="140" t="s">
        <v>8777</v>
      </c>
      <c r="B6725" s="141">
        <v>1.7386722866337E-4</v>
      </c>
      <c r="D6725" s="141"/>
    </row>
    <row r="6726" spans="1:4" x14ac:dyDescent="0.2">
      <c r="A6726" s="140" t="s">
        <v>1940</v>
      </c>
      <c r="B6726" s="141">
        <v>1.7369362637416E-4</v>
      </c>
      <c r="D6726" s="141"/>
    </row>
    <row r="6727" spans="1:4" x14ac:dyDescent="0.2">
      <c r="A6727" s="140" t="s">
        <v>1113</v>
      </c>
      <c r="B6727" s="141">
        <v>1.7366732763633E-4</v>
      </c>
      <c r="D6727" s="141"/>
    </row>
    <row r="6728" spans="1:4" x14ac:dyDescent="0.2">
      <c r="A6728" s="140" t="s">
        <v>8778</v>
      </c>
      <c r="B6728" s="141">
        <v>1.7344672632727001E-4</v>
      </c>
      <c r="D6728" s="141"/>
    </row>
    <row r="6729" spans="1:4" x14ac:dyDescent="0.2">
      <c r="A6729" s="140" t="s">
        <v>3098</v>
      </c>
      <c r="B6729" s="141">
        <v>1.7342193180419001E-4</v>
      </c>
      <c r="D6729" s="141"/>
    </row>
    <row r="6730" spans="1:4" x14ac:dyDescent="0.2">
      <c r="A6730" s="140" t="s">
        <v>8779</v>
      </c>
      <c r="B6730" s="141">
        <v>1.7342193180419001E-4</v>
      </c>
      <c r="D6730" s="141"/>
    </row>
    <row r="6731" spans="1:4" x14ac:dyDescent="0.2">
      <c r="A6731" s="140" t="s">
        <v>1564</v>
      </c>
      <c r="B6731" s="141">
        <v>1.7291925520568E-4</v>
      </c>
      <c r="D6731" s="141"/>
    </row>
    <row r="6732" spans="1:4" x14ac:dyDescent="0.2">
      <c r="A6732" s="140" t="s">
        <v>1585</v>
      </c>
      <c r="B6732" s="141">
        <v>1.72783733125E-4</v>
      </c>
      <c r="D6732" s="141"/>
    </row>
    <row r="6733" spans="1:4" x14ac:dyDescent="0.2">
      <c r="A6733" s="140" t="s">
        <v>2241</v>
      </c>
      <c r="B6733" s="141">
        <v>1.7274924633927001E-4</v>
      </c>
      <c r="D6733" s="141"/>
    </row>
    <row r="6734" spans="1:4" x14ac:dyDescent="0.2">
      <c r="A6734" s="140" t="s">
        <v>6283</v>
      </c>
      <c r="B6734" s="141">
        <v>1.7273930300189E-4</v>
      </c>
      <c r="D6734" s="141"/>
    </row>
    <row r="6735" spans="1:4" x14ac:dyDescent="0.2">
      <c r="A6735" s="140" t="s">
        <v>969</v>
      </c>
      <c r="B6735" s="141">
        <v>1.7269583348538E-4</v>
      </c>
      <c r="D6735" s="141"/>
    </row>
    <row r="6736" spans="1:4" x14ac:dyDescent="0.2">
      <c r="A6736" s="140" t="s">
        <v>1077</v>
      </c>
      <c r="B6736" s="141">
        <v>1.7268332040389E-4</v>
      </c>
      <c r="D6736" s="141"/>
    </row>
    <row r="6737" spans="1:4" x14ac:dyDescent="0.2">
      <c r="A6737" s="140" t="s">
        <v>3551</v>
      </c>
      <c r="B6737" s="141">
        <v>1.7263537629141001E-4</v>
      </c>
      <c r="D6737" s="141"/>
    </row>
    <row r="6738" spans="1:4" x14ac:dyDescent="0.2">
      <c r="A6738" s="140" t="s">
        <v>8780</v>
      </c>
      <c r="B6738" s="141">
        <v>1.7223977599677999E-4</v>
      </c>
      <c r="D6738" s="141"/>
    </row>
    <row r="6739" spans="1:4" x14ac:dyDescent="0.2">
      <c r="A6739" s="140" t="s">
        <v>4576</v>
      </c>
      <c r="B6739" s="141">
        <v>1.7220991546775999E-4</v>
      </c>
      <c r="D6739" s="141"/>
    </row>
    <row r="6740" spans="1:4" x14ac:dyDescent="0.2">
      <c r="A6740" s="140" t="s">
        <v>818</v>
      </c>
      <c r="B6740" s="141">
        <v>1.7215266090009999E-4</v>
      </c>
      <c r="D6740" s="141"/>
    </row>
    <row r="6741" spans="1:4" x14ac:dyDescent="0.2">
      <c r="A6741" s="140" t="s">
        <v>419</v>
      </c>
      <c r="B6741" s="141">
        <v>1.7172440133583999E-4</v>
      </c>
      <c r="D6741" s="141"/>
    </row>
    <row r="6742" spans="1:4" x14ac:dyDescent="0.2">
      <c r="A6742" s="140" t="s">
        <v>6303</v>
      </c>
      <c r="B6742" s="141">
        <v>1.7168996271974999E-4</v>
      </c>
      <c r="D6742" s="141"/>
    </row>
    <row r="6743" spans="1:4" x14ac:dyDescent="0.2">
      <c r="A6743" s="140" t="s">
        <v>8781</v>
      </c>
      <c r="B6743" s="141">
        <v>1.7136204555053E-4</v>
      </c>
      <c r="D6743" s="141"/>
    </row>
    <row r="6744" spans="1:4" x14ac:dyDescent="0.2">
      <c r="A6744" s="140" t="s">
        <v>8782</v>
      </c>
      <c r="B6744" s="141">
        <v>1.7115246270851001E-4</v>
      </c>
      <c r="D6744" s="141"/>
    </row>
    <row r="6745" spans="1:4" x14ac:dyDescent="0.2">
      <c r="A6745" s="140" t="s">
        <v>4645</v>
      </c>
      <c r="B6745" s="141">
        <v>1.7107303616378E-4</v>
      </c>
      <c r="D6745" s="141"/>
    </row>
    <row r="6746" spans="1:4" x14ac:dyDescent="0.2">
      <c r="A6746" s="140" t="s">
        <v>8783</v>
      </c>
      <c r="B6746" s="141">
        <v>1.7058026807091999E-4</v>
      </c>
      <c r="D6746" s="141"/>
    </row>
    <row r="6747" spans="1:4" x14ac:dyDescent="0.2">
      <c r="A6747" s="140" t="s">
        <v>3429</v>
      </c>
      <c r="B6747" s="141">
        <v>1.7056494654702999E-4</v>
      </c>
      <c r="D6747" s="141"/>
    </row>
    <row r="6748" spans="1:4" x14ac:dyDescent="0.2">
      <c r="A6748" s="140" t="s">
        <v>8784</v>
      </c>
      <c r="B6748" s="141">
        <v>1.7020350520475001E-4</v>
      </c>
      <c r="D6748" s="141"/>
    </row>
    <row r="6749" spans="1:4" x14ac:dyDescent="0.2">
      <c r="A6749" s="140" t="s">
        <v>8785</v>
      </c>
      <c r="B6749" s="141">
        <v>1.7020350520475001E-4</v>
      </c>
      <c r="D6749" s="141"/>
    </row>
    <row r="6750" spans="1:4" x14ac:dyDescent="0.2">
      <c r="A6750" s="140" t="s">
        <v>2210</v>
      </c>
      <c r="B6750" s="141">
        <v>1.7013518585865E-4</v>
      </c>
      <c r="D6750" s="141"/>
    </row>
    <row r="6751" spans="1:4" x14ac:dyDescent="0.2">
      <c r="A6751" s="140" t="s">
        <v>8786</v>
      </c>
      <c r="B6751" s="141">
        <v>1.7012427360689001E-4</v>
      </c>
      <c r="D6751" s="141"/>
    </row>
    <row r="6752" spans="1:4" x14ac:dyDescent="0.2">
      <c r="A6752" s="140" t="s">
        <v>8787</v>
      </c>
      <c r="B6752" s="141">
        <v>1.7012400482167999E-4</v>
      </c>
      <c r="D6752" s="141"/>
    </row>
    <row r="6753" spans="1:4" x14ac:dyDescent="0.2">
      <c r="A6753" s="140" t="s">
        <v>8788</v>
      </c>
      <c r="B6753" s="141">
        <v>1.7012240127541999E-4</v>
      </c>
      <c r="D6753" s="141"/>
    </row>
    <row r="6754" spans="1:4" x14ac:dyDescent="0.2">
      <c r="A6754" s="140" t="s">
        <v>5410</v>
      </c>
      <c r="B6754" s="141">
        <v>1.6966343449613001E-4</v>
      </c>
      <c r="D6754" s="141"/>
    </row>
    <row r="6755" spans="1:4" x14ac:dyDescent="0.2">
      <c r="A6755" s="140" t="s">
        <v>5663</v>
      </c>
      <c r="B6755" s="141">
        <v>1.6961674624328999E-4</v>
      </c>
      <c r="D6755" s="141"/>
    </row>
    <row r="6756" spans="1:4" x14ac:dyDescent="0.2">
      <c r="A6756" s="140" t="s">
        <v>3061</v>
      </c>
      <c r="B6756" s="141">
        <v>1.6960604196986E-4</v>
      </c>
      <c r="D6756" s="141"/>
    </row>
    <row r="6757" spans="1:4" x14ac:dyDescent="0.2">
      <c r="A6757" s="140" t="s">
        <v>3775</v>
      </c>
      <c r="B6757" s="141">
        <v>1.6950952272083001E-4</v>
      </c>
      <c r="D6757" s="141"/>
    </row>
    <row r="6758" spans="1:4" x14ac:dyDescent="0.2">
      <c r="A6758" s="140" t="s">
        <v>1271</v>
      </c>
      <c r="B6758" s="141">
        <v>1.6908280323014001E-4</v>
      </c>
      <c r="D6758" s="141"/>
    </row>
    <row r="6759" spans="1:4" x14ac:dyDescent="0.2">
      <c r="A6759" s="140" t="s">
        <v>8789</v>
      </c>
      <c r="B6759" s="141">
        <v>1.6904532447015999E-4</v>
      </c>
      <c r="D6759" s="141"/>
    </row>
    <row r="6760" spans="1:4" x14ac:dyDescent="0.2">
      <c r="A6760" s="140" t="s">
        <v>8790</v>
      </c>
      <c r="B6760" s="141">
        <v>1.6843110599729999E-4</v>
      </c>
      <c r="D6760" s="141"/>
    </row>
    <row r="6761" spans="1:4" x14ac:dyDescent="0.2">
      <c r="A6761" s="140" t="s">
        <v>3224</v>
      </c>
      <c r="B6761" s="141">
        <v>1.6843083728933E-4</v>
      </c>
      <c r="D6761" s="141"/>
    </row>
    <row r="6762" spans="1:4" x14ac:dyDescent="0.2">
      <c r="A6762" s="140" t="s">
        <v>4166</v>
      </c>
      <c r="B6762" s="141">
        <v>1.6838353790543E-4</v>
      </c>
      <c r="D6762" s="141"/>
    </row>
    <row r="6763" spans="1:4" x14ac:dyDescent="0.2">
      <c r="A6763" s="140" t="s">
        <v>3835</v>
      </c>
      <c r="B6763" s="141">
        <v>1.6832440451355001E-4</v>
      </c>
      <c r="D6763" s="141"/>
    </row>
    <row r="6764" spans="1:4" x14ac:dyDescent="0.2">
      <c r="A6764" s="140" t="s">
        <v>5550</v>
      </c>
      <c r="B6764" s="141">
        <v>1.6796885535704E-4</v>
      </c>
      <c r="D6764" s="141"/>
    </row>
    <row r="6765" spans="1:4" x14ac:dyDescent="0.2">
      <c r="A6765" s="140" t="s">
        <v>8791</v>
      </c>
      <c r="B6765" s="141">
        <v>1.6784086054897999E-4</v>
      </c>
      <c r="D6765" s="141"/>
    </row>
    <row r="6766" spans="1:4" x14ac:dyDescent="0.2">
      <c r="A6766" s="140" t="s">
        <v>8792</v>
      </c>
      <c r="B6766" s="141">
        <v>1.6753285753288001E-4</v>
      </c>
      <c r="D6766" s="141"/>
    </row>
    <row r="6767" spans="1:4" x14ac:dyDescent="0.2">
      <c r="A6767" s="140" t="s">
        <v>8793</v>
      </c>
      <c r="B6767" s="141">
        <v>1.6753285753288001E-4</v>
      </c>
      <c r="D6767" s="141"/>
    </row>
    <row r="6768" spans="1:4" x14ac:dyDescent="0.2">
      <c r="A6768" s="140" t="s">
        <v>8794</v>
      </c>
      <c r="B6768" s="141">
        <v>1.6753285753288001E-4</v>
      </c>
      <c r="D6768" s="141"/>
    </row>
    <row r="6769" spans="1:4" x14ac:dyDescent="0.2">
      <c r="A6769" s="140" t="s">
        <v>8795</v>
      </c>
      <c r="B6769" s="141">
        <v>1.6753285753288001E-4</v>
      </c>
      <c r="D6769" s="141"/>
    </row>
    <row r="6770" spans="1:4" x14ac:dyDescent="0.2">
      <c r="A6770" s="140" t="s">
        <v>3137</v>
      </c>
      <c r="B6770" s="141">
        <v>1.6751484043807E-4</v>
      </c>
      <c r="D6770" s="141"/>
    </row>
    <row r="6771" spans="1:4" x14ac:dyDescent="0.2">
      <c r="A6771" s="140" t="s">
        <v>5744</v>
      </c>
      <c r="B6771" s="141">
        <v>1.6738031966531E-4</v>
      </c>
      <c r="D6771" s="141"/>
    </row>
    <row r="6772" spans="1:4" x14ac:dyDescent="0.2">
      <c r="A6772" s="140" t="s">
        <v>8796</v>
      </c>
      <c r="B6772" s="141">
        <v>1.6730751287054999E-4</v>
      </c>
      <c r="D6772" s="141"/>
    </row>
    <row r="6773" spans="1:4" x14ac:dyDescent="0.2">
      <c r="A6773" s="140" t="s">
        <v>8797</v>
      </c>
      <c r="B6773" s="141">
        <v>1.6712708205199E-4</v>
      </c>
      <c r="D6773" s="141"/>
    </row>
    <row r="6774" spans="1:4" x14ac:dyDescent="0.2">
      <c r="A6774" s="140" t="s">
        <v>5682</v>
      </c>
      <c r="B6774" s="141">
        <v>1.6688593002198E-4</v>
      </c>
      <c r="D6774" s="141"/>
    </row>
    <row r="6775" spans="1:4" x14ac:dyDescent="0.2">
      <c r="A6775" s="140" t="s">
        <v>6151</v>
      </c>
      <c r="B6775" s="141">
        <v>1.6660613983932E-4</v>
      </c>
      <c r="D6775" s="141"/>
    </row>
    <row r="6776" spans="1:4" x14ac:dyDescent="0.2">
      <c r="A6776" s="140" t="s">
        <v>6280</v>
      </c>
      <c r="B6776" s="141">
        <v>1.6658406182159001E-4</v>
      </c>
      <c r="D6776" s="141"/>
    </row>
    <row r="6777" spans="1:4" x14ac:dyDescent="0.2">
      <c r="A6777" s="140" t="s">
        <v>6207</v>
      </c>
      <c r="B6777" s="141">
        <v>1.665713411489E-4</v>
      </c>
      <c r="D6777" s="141"/>
    </row>
    <row r="6778" spans="1:4" x14ac:dyDescent="0.2">
      <c r="A6778" s="140" t="s">
        <v>6267</v>
      </c>
      <c r="B6778" s="141">
        <v>1.6654564233558E-4</v>
      </c>
      <c r="D6778" s="141"/>
    </row>
    <row r="6779" spans="1:4" x14ac:dyDescent="0.2">
      <c r="A6779" s="140" t="s">
        <v>3356</v>
      </c>
      <c r="B6779" s="141">
        <v>1.6648288463263E-4</v>
      </c>
      <c r="D6779" s="141"/>
    </row>
    <row r="6780" spans="1:4" x14ac:dyDescent="0.2">
      <c r="A6780" s="140" t="s">
        <v>8798</v>
      </c>
      <c r="B6780" s="141">
        <v>1.663685896312E-4</v>
      </c>
      <c r="D6780" s="141"/>
    </row>
    <row r="6781" spans="1:4" x14ac:dyDescent="0.2">
      <c r="A6781" s="140" t="s">
        <v>1049</v>
      </c>
      <c r="B6781" s="141">
        <v>1.6634488290625E-4</v>
      </c>
      <c r="D6781" s="141"/>
    </row>
    <row r="6782" spans="1:4" x14ac:dyDescent="0.2">
      <c r="A6782" s="140" t="s">
        <v>2408</v>
      </c>
      <c r="B6782" s="141">
        <v>1.6615038379933999E-4</v>
      </c>
      <c r="D6782" s="141"/>
    </row>
    <row r="6783" spans="1:4" x14ac:dyDescent="0.2">
      <c r="A6783" s="140" t="s">
        <v>1916</v>
      </c>
      <c r="B6783" s="141">
        <v>1.6606535886765E-4</v>
      </c>
      <c r="D6783" s="141"/>
    </row>
    <row r="6784" spans="1:4" x14ac:dyDescent="0.2">
      <c r="A6784" s="140" t="s">
        <v>4343</v>
      </c>
      <c r="B6784" s="141">
        <v>1.6566352274016E-4</v>
      </c>
      <c r="D6784" s="141"/>
    </row>
    <row r="6785" spans="1:4" x14ac:dyDescent="0.2">
      <c r="A6785" s="140" t="s">
        <v>1011</v>
      </c>
      <c r="B6785" s="141">
        <v>1.6562921638599E-4</v>
      </c>
      <c r="D6785" s="141"/>
    </row>
    <row r="6786" spans="1:4" x14ac:dyDescent="0.2">
      <c r="A6786" s="140" t="s">
        <v>8799</v>
      </c>
      <c r="B6786" s="141">
        <v>1.6558848375629E-4</v>
      </c>
      <c r="D6786" s="141"/>
    </row>
    <row r="6787" spans="1:4" x14ac:dyDescent="0.2">
      <c r="A6787" s="140" t="s">
        <v>5462</v>
      </c>
      <c r="B6787" s="141">
        <v>1.653667091649E-4</v>
      </c>
      <c r="D6787" s="141"/>
    </row>
    <row r="6788" spans="1:4" x14ac:dyDescent="0.2">
      <c r="A6788" s="140" t="s">
        <v>1180</v>
      </c>
      <c r="B6788" s="141">
        <v>1.6507555471685E-4</v>
      </c>
      <c r="D6788" s="141"/>
    </row>
    <row r="6789" spans="1:4" x14ac:dyDescent="0.2">
      <c r="A6789" s="140" t="s">
        <v>8800</v>
      </c>
      <c r="B6789" s="141">
        <v>1.6446238938554999E-4</v>
      </c>
      <c r="D6789" s="141"/>
    </row>
    <row r="6790" spans="1:4" x14ac:dyDescent="0.2">
      <c r="A6790" s="140" t="s">
        <v>932</v>
      </c>
      <c r="B6790" s="141">
        <v>1.6436518850746E-4</v>
      </c>
      <c r="D6790" s="141"/>
    </row>
    <row r="6791" spans="1:4" x14ac:dyDescent="0.2">
      <c r="A6791" s="140" t="s">
        <v>3402</v>
      </c>
      <c r="B6791" s="141">
        <v>1.6434528707007999E-4</v>
      </c>
      <c r="D6791" s="141"/>
    </row>
    <row r="6792" spans="1:4" x14ac:dyDescent="0.2">
      <c r="A6792" s="140" t="s">
        <v>3431</v>
      </c>
      <c r="B6792" s="141">
        <v>1.6430618650491001E-4</v>
      </c>
      <c r="D6792" s="141"/>
    </row>
    <row r="6793" spans="1:4" x14ac:dyDescent="0.2">
      <c r="A6793" s="140" t="s">
        <v>5654</v>
      </c>
      <c r="B6793" s="141">
        <v>1.6412303023457999E-4</v>
      </c>
      <c r="D6793" s="141"/>
    </row>
    <row r="6794" spans="1:4" x14ac:dyDescent="0.2">
      <c r="A6794" s="140" t="s">
        <v>8801</v>
      </c>
      <c r="B6794" s="141">
        <v>1.63949846614E-4</v>
      </c>
      <c r="D6794" s="141"/>
    </row>
    <row r="6795" spans="1:4" x14ac:dyDescent="0.2">
      <c r="A6795" s="140" t="s">
        <v>845</v>
      </c>
      <c r="B6795" s="141">
        <v>1.6391799826835001E-4</v>
      </c>
      <c r="D6795" s="141"/>
    </row>
    <row r="6796" spans="1:4" x14ac:dyDescent="0.2">
      <c r="A6796" s="140" t="s">
        <v>1095</v>
      </c>
      <c r="B6796" s="141">
        <v>1.6365701265806001E-4</v>
      </c>
      <c r="D6796" s="141"/>
    </row>
    <row r="6797" spans="1:4" x14ac:dyDescent="0.2">
      <c r="A6797" s="140" t="s">
        <v>8802</v>
      </c>
      <c r="B6797" s="141">
        <v>1.6334215847364E-4</v>
      </c>
      <c r="D6797" s="141"/>
    </row>
    <row r="6798" spans="1:4" x14ac:dyDescent="0.2">
      <c r="A6798" s="140" t="s">
        <v>4630</v>
      </c>
      <c r="B6798" s="141">
        <v>1.6319246002310001E-4</v>
      </c>
      <c r="D6798" s="141"/>
    </row>
    <row r="6799" spans="1:4" x14ac:dyDescent="0.2">
      <c r="A6799" s="140" t="s">
        <v>5473</v>
      </c>
      <c r="B6799" s="141">
        <v>1.6318748597016E-4</v>
      </c>
      <c r="D6799" s="141"/>
    </row>
    <row r="6800" spans="1:4" x14ac:dyDescent="0.2">
      <c r="A6800" s="140" t="s">
        <v>4731</v>
      </c>
      <c r="B6800" s="141">
        <v>1.6318748597016E-4</v>
      </c>
      <c r="D6800" s="141"/>
    </row>
    <row r="6801" spans="1:4" x14ac:dyDescent="0.2">
      <c r="A6801" s="140" t="s">
        <v>4743</v>
      </c>
      <c r="B6801" s="141">
        <v>1.6317705038171001E-4</v>
      </c>
      <c r="D6801" s="141"/>
    </row>
    <row r="6802" spans="1:4" x14ac:dyDescent="0.2">
      <c r="A6802" s="140" t="s">
        <v>588</v>
      </c>
      <c r="B6802" s="141">
        <v>1.6311490445232999E-4</v>
      </c>
      <c r="D6802" s="141"/>
    </row>
    <row r="6803" spans="1:4" x14ac:dyDescent="0.2">
      <c r="A6803" s="140" t="s">
        <v>742</v>
      </c>
      <c r="B6803" s="141">
        <v>1.6303086153879001E-4</v>
      </c>
      <c r="D6803" s="141"/>
    </row>
    <row r="6804" spans="1:4" x14ac:dyDescent="0.2">
      <c r="A6804" s="140" t="s">
        <v>5562</v>
      </c>
      <c r="B6804" s="141">
        <v>1.6299070633081999E-4</v>
      </c>
      <c r="D6804" s="141"/>
    </row>
    <row r="6805" spans="1:4" x14ac:dyDescent="0.2">
      <c r="A6805" s="140" t="s">
        <v>1674</v>
      </c>
      <c r="B6805" s="141">
        <v>1.6262501374220999E-4</v>
      </c>
      <c r="D6805" s="141"/>
    </row>
    <row r="6806" spans="1:4" x14ac:dyDescent="0.2">
      <c r="A6806" s="140" t="s">
        <v>8803</v>
      </c>
      <c r="B6806" s="141">
        <v>1.6244807045811001E-4</v>
      </c>
      <c r="D6806" s="141"/>
    </row>
    <row r="6807" spans="1:4" x14ac:dyDescent="0.2">
      <c r="A6807" s="140" t="s">
        <v>8804</v>
      </c>
      <c r="B6807" s="141">
        <v>1.6244807045811001E-4</v>
      </c>
      <c r="D6807" s="141"/>
    </row>
    <row r="6808" spans="1:4" x14ac:dyDescent="0.2">
      <c r="A6808" s="140" t="s">
        <v>8805</v>
      </c>
      <c r="B6808" s="141">
        <v>1.6236134565244999E-4</v>
      </c>
      <c r="D6808" s="141"/>
    </row>
    <row r="6809" spans="1:4" x14ac:dyDescent="0.2">
      <c r="A6809" s="140" t="s">
        <v>3761</v>
      </c>
      <c r="B6809" s="141">
        <v>1.6199890473976E-4</v>
      </c>
      <c r="D6809" s="141"/>
    </row>
    <row r="6810" spans="1:4" x14ac:dyDescent="0.2">
      <c r="A6810" s="140" t="s">
        <v>1640</v>
      </c>
      <c r="B6810" s="141">
        <v>1.6178378360484001E-4</v>
      </c>
      <c r="D6810" s="141"/>
    </row>
    <row r="6811" spans="1:4" x14ac:dyDescent="0.2">
      <c r="A6811" s="140" t="s">
        <v>8806</v>
      </c>
      <c r="B6811" s="141">
        <v>1.6156541233158E-4</v>
      </c>
      <c r="D6811" s="141"/>
    </row>
    <row r="6812" spans="1:4" x14ac:dyDescent="0.2">
      <c r="A6812" s="140" t="s">
        <v>778</v>
      </c>
      <c r="B6812" s="141">
        <v>1.6154685047129001E-4</v>
      </c>
      <c r="D6812" s="141"/>
    </row>
    <row r="6813" spans="1:4" x14ac:dyDescent="0.2">
      <c r="A6813" s="140" t="s">
        <v>5009</v>
      </c>
      <c r="B6813" s="141">
        <v>1.6150962668864E-4</v>
      </c>
      <c r="D6813" s="141"/>
    </row>
    <row r="6814" spans="1:4" x14ac:dyDescent="0.2">
      <c r="A6814" s="140" t="s">
        <v>8807</v>
      </c>
      <c r="B6814" s="141">
        <v>1.6144836794101001E-4</v>
      </c>
      <c r="D6814" s="141"/>
    </row>
    <row r="6815" spans="1:4" x14ac:dyDescent="0.2">
      <c r="A6815" s="140" t="s">
        <v>3517</v>
      </c>
      <c r="B6815" s="141">
        <v>1.6137964597623999E-4</v>
      </c>
      <c r="D6815" s="141"/>
    </row>
    <row r="6816" spans="1:4" x14ac:dyDescent="0.2">
      <c r="A6816" s="140" t="s">
        <v>8808</v>
      </c>
      <c r="B6816" s="141">
        <v>1.6118145695505999E-4</v>
      </c>
      <c r="D6816" s="141"/>
    </row>
    <row r="6817" spans="1:4" x14ac:dyDescent="0.2">
      <c r="A6817" s="140" t="s">
        <v>1251</v>
      </c>
      <c r="B6817" s="141">
        <v>1.6070425863228999E-4</v>
      </c>
      <c r="D6817" s="141"/>
    </row>
    <row r="6818" spans="1:4" x14ac:dyDescent="0.2">
      <c r="A6818" s="140" t="s">
        <v>4171</v>
      </c>
      <c r="B6818" s="141">
        <v>1.6053987433633E-4</v>
      </c>
      <c r="D6818" s="141"/>
    </row>
    <row r="6819" spans="1:4" x14ac:dyDescent="0.2">
      <c r="A6819" s="140" t="s">
        <v>6144</v>
      </c>
      <c r="B6819" s="141">
        <v>1.6038136026881001E-4</v>
      </c>
      <c r="D6819" s="141"/>
    </row>
    <row r="6820" spans="1:4" x14ac:dyDescent="0.2">
      <c r="A6820" s="140" t="s">
        <v>8809</v>
      </c>
      <c r="B6820" s="141">
        <v>1.6036327427354001E-4</v>
      </c>
      <c r="D6820" s="141"/>
    </row>
    <row r="6821" spans="1:4" x14ac:dyDescent="0.2">
      <c r="A6821" s="140" t="s">
        <v>8810</v>
      </c>
      <c r="B6821" s="141">
        <v>1.6036327427354001E-4</v>
      </c>
      <c r="D6821" s="141"/>
    </row>
    <row r="6822" spans="1:4" x14ac:dyDescent="0.2">
      <c r="A6822" s="140" t="s">
        <v>8811</v>
      </c>
      <c r="B6822" s="141">
        <v>1.6036327427354001E-4</v>
      </c>
      <c r="D6822" s="141"/>
    </row>
    <row r="6823" spans="1:4" x14ac:dyDescent="0.2">
      <c r="A6823" s="140" t="s">
        <v>3498</v>
      </c>
      <c r="B6823" s="141">
        <v>1.6023664967032E-4</v>
      </c>
      <c r="D6823" s="141"/>
    </row>
    <row r="6824" spans="1:4" x14ac:dyDescent="0.2">
      <c r="A6824" s="140" t="s">
        <v>8812</v>
      </c>
      <c r="B6824" s="141">
        <v>1.6021297798064001E-4</v>
      </c>
      <c r="D6824" s="141"/>
    </row>
    <row r="6825" spans="1:4" x14ac:dyDescent="0.2">
      <c r="A6825" s="140" t="s">
        <v>5226</v>
      </c>
      <c r="B6825" s="141">
        <v>1.6013685057065E-4</v>
      </c>
      <c r="D6825" s="141"/>
    </row>
    <row r="6826" spans="1:4" x14ac:dyDescent="0.2">
      <c r="A6826" s="140" t="s">
        <v>942</v>
      </c>
      <c r="B6826" s="141">
        <v>1.6010255910758E-4</v>
      </c>
      <c r="D6826" s="141"/>
    </row>
    <row r="6827" spans="1:4" x14ac:dyDescent="0.2">
      <c r="A6827" s="140" t="s">
        <v>1604</v>
      </c>
      <c r="B6827" s="141">
        <v>1.599171136888E-4</v>
      </c>
      <c r="D6827" s="141"/>
    </row>
    <row r="6828" spans="1:4" x14ac:dyDescent="0.2">
      <c r="A6828" s="140" t="s">
        <v>5560</v>
      </c>
      <c r="B6828" s="141">
        <v>1.5984763818485001E-4</v>
      </c>
      <c r="D6828" s="141"/>
    </row>
    <row r="6829" spans="1:4" x14ac:dyDescent="0.2">
      <c r="A6829" s="140" t="s">
        <v>8813</v>
      </c>
      <c r="B6829" s="141">
        <v>1.5967611345614E-4</v>
      </c>
      <c r="D6829" s="141"/>
    </row>
    <row r="6830" spans="1:4" x14ac:dyDescent="0.2">
      <c r="A6830" s="140" t="s">
        <v>3611</v>
      </c>
      <c r="B6830" s="141">
        <v>1.5964658616506001E-4</v>
      </c>
      <c r="D6830" s="141"/>
    </row>
    <row r="6831" spans="1:4" x14ac:dyDescent="0.2">
      <c r="A6831" s="140" t="s">
        <v>5474</v>
      </c>
      <c r="B6831" s="141">
        <v>1.5961292088638999E-4</v>
      </c>
      <c r="D6831" s="141"/>
    </row>
    <row r="6832" spans="1:4" x14ac:dyDescent="0.2">
      <c r="A6832" s="140" t="s">
        <v>8814</v>
      </c>
      <c r="B6832" s="141">
        <v>1.595762586242E-4</v>
      </c>
      <c r="D6832" s="141"/>
    </row>
    <row r="6833" spans="1:4" x14ac:dyDescent="0.2">
      <c r="A6833" s="140" t="s">
        <v>8815</v>
      </c>
      <c r="B6833" s="141">
        <v>1.5940551636283001E-4</v>
      </c>
      <c r="D6833" s="141"/>
    </row>
    <row r="6834" spans="1:4" x14ac:dyDescent="0.2">
      <c r="A6834" s="140" t="s">
        <v>8816</v>
      </c>
      <c r="B6834" s="141">
        <v>1.5928817316719E-4</v>
      </c>
      <c r="D6834" s="141"/>
    </row>
    <row r="6835" spans="1:4" x14ac:dyDescent="0.2">
      <c r="A6835" s="140" t="s">
        <v>4767</v>
      </c>
      <c r="B6835" s="141">
        <v>1.5916283626410001E-4</v>
      </c>
      <c r="D6835" s="141"/>
    </row>
    <row r="6836" spans="1:4" x14ac:dyDescent="0.2">
      <c r="A6836" s="140" t="s">
        <v>777</v>
      </c>
      <c r="B6836" s="141">
        <v>1.5906001821924999E-4</v>
      </c>
      <c r="D6836" s="141"/>
    </row>
    <row r="6837" spans="1:4" x14ac:dyDescent="0.2">
      <c r="A6837" s="140" t="s">
        <v>8817</v>
      </c>
      <c r="B6837" s="141">
        <v>1.5905462567624001E-4</v>
      </c>
      <c r="D6837" s="141"/>
    </row>
    <row r="6838" spans="1:4" x14ac:dyDescent="0.2">
      <c r="A6838" s="140" t="s">
        <v>8818</v>
      </c>
      <c r="B6838" s="141">
        <v>1.5905462567624001E-4</v>
      </c>
      <c r="D6838" s="141"/>
    </row>
    <row r="6839" spans="1:4" x14ac:dyDescent="0.2">
      <c r="A6839" s="140" t="s">
        <v>5047</v>
      </c>
      <c r="B6839" s="141">
        <v>1.5883623559193001E-4</v>
      </c>
      <c r="D6839" s="141"/>
    </row>
    <row r="6840" spans="1:4" x14ac:dyDescent="0.2">
      <c r="A6840" s="140" t="s">
        <v>6187</v>
      </c>
      <c r="B6840" s="141">
        <v>1.5845986490468E-4</v>
      </c>
      <c r="D6840" s="141"/>
    </row>
    <row r="6841" spans="1:4" x14ac:dyDescent="0.2">
      <c r="A6841" s="140" t="s">
        <v>5094</v>
      </c>
      <c r="B6841" s="141">
        <v>1.5840886083743E-4</v>
      </c>
      <c r="D6841" s="141"/>
    </row>
    <row r="6842" spans="1:4" x14ac:dyDescent="0.2">
      <c r="A6842" s="140" t="s">
        <v>8819</v>
      </c>
      <c r="B6842" s="141">
        <v>1.5833248029804999E-4</v>
      </c>
      <c r="D6842" s="141"/>
    </row>
    <row r="6843" spans="1:4" x14ac:dyDescent="0.2">
      <c r="A6843" s="140" t="s">
        <v>5093</v>
      </c>
      <c r="B6843" s="141">
        <v>1.5833039960534999E-4</v>
      </c>
      <c r="D6843" s="141"/>
    </row>
    <row r="6844" spans="1:4" x14ac:dyDescent="0.2">
      <c r="A6844" s="140" t="s">
        <v>5014</v>
      </c>
      <c r="B6844" s="141">
        <v>1.5818343316990999E-4</v>
      </c>
      <c r="D6844" s="141"/>
    </row>
    <row r="6845" spans="1:4" x14ac:dyDescent="0.2">
      <c r="A6845" s="140" t="s">
        <v>8820</v>
      </c>
      <c r="B6845" s="141">
        <v>1.5810534253490999E-4</v>
      </c>
      <c r="D6845" s="141"/>
    </row>
    <row r="6846" spans="1:4" x14ac:dyDescent="0.2">
      <c r="A6846" s="140" t="s">
        <v>8821</v>
      </c>
      <c r="B6846" s="141">
        <v>1.5802745210752E-4</v>
      </c>
      <c r="D6846" s="141"/>
    </row>
    <row r="6847" spans="1:4" x14ac:dyDescent="0.2">
      <c r="A6847" s="140" t="s">
        <v>5595</v>
      </c>
      <c r="B6847" s="141">
        <v>1.5795339938799E-4</v>
      </c>
      <c r="D6847" s="141"/>
    </row>
    <row r="6848" spans="1:4" x14ac:dyDescent="0.2">
      <c r="A6848" s="140" t="s">
        <v>1034</v>
      </c>
      <c r="B6848" s="141">
        <v>1.5774968263895E-4</v>
      </c>
      <c r="D6848" s="141"/>
    </row>
    <row r="6849" spans="1:4" x14ac:dyDescent="0.2">
      <c r="A6849" s="140" t="s">
        <v>2164</v>
      </c>
      <c r="B6849" s="141">
        <v>1.576720179978E-4</v>
      </c>
      <c r="D6849" s="141"/>
    </row>
    <row r="6850" spans="1:4" x14ac:dyDescent="0.2">
      <c r="A6850" s="140" t="s">
        <v>4919</v>
      </c>
      <c r="B6850" s="141">
        <v>1.5760364063139001E-4</v>
      </c>
      <c r="D6850" s="141"/>
    </row>
    <row r="6851" spans="1:4" x14ac:dyDescent="0.2">
      <c r="A6851" s="140" t="s">
        <v>8822</v>
      </c>
      <c r="B6851" s="141">
        <v>1.5738128279024999E-4</v>
      </c>
      <c r="D6851" s="141"/>
    </row>
    <row r="6852" spans="1:4" x14ac:dyDescent="0.2">
      <c r="A6852" s="140" t="s">
        <v>8823</v>
      </c>
      <c r="B6852" s="141">
        <v>1.5738128279024999E-4</v>
      </c>
      <c r="D6852" s="141"/>
    </row>
    <row r="6853" spans="1:4" x14ac:dyDescent="0.2">
      <c r="A6853" s="140" t="s">
        <v>8824</v>
      </c>
      <c r="B6853" s="141">
        <v>1.5723894909085999E-4</v>
      </c>
      <c r="D6853" s="141"/>
    </row>
    <row r="6854" spans="1:4" x14ac:dyDescent="0.2">
      <c r="A6854" s="140" t="s">
        <v>5694</v>
      </c>
      <c r="B6854" s="141">
        <v>1.5713722797305001E-4</v>
      </c>
      <c r="D6854" s="141"/>
    </row>
    <row r="6855" spans="1:4" x14ac:dyDescent="0.2">
      <c r="A6855" s="140" t="s">
        <v>3023</v>
      </c>
      <c r="B6855" s="141">
        <v>1.5700630945815E-4</v>
      </c>
      <c r="D6855" s="141"/>
    </row>
    <row r="6856" spans="1:4" x14ac:dyDescent="0.2">
      <c r="A6856" s="140" t="s">
        <v>1129</v>
      </c>
      <c r="B6856" s="141">
        <v>1.5643338453587001E-4</v>
      </c>
      <c r="D6856" s="141"/>
    </row>
    <row r="6857" spans="1:4" x14ac:dyDescent="0.2">
      <c r="A6857" s="140" t="s">
        <v>8825</v>
      </c>
      <c r="B6857" s="141">
        <v>1.5581016462640001E-4</v>
      </c>
      <c r="D6857" s="141"/>
    </row>
    <row r="6858" spans="1:4" x14ac:dyDescent="0.2">
      <c r="A6858" s="140" t="s">
        <v>4773</v>
      </c>
      <c r="B6858" s="141">
        <v>1.5558537441851E-4</v>
      </c>
      <c r="D6858" s="141"/>
    </row>
    <row r="6859" spans="1:4" x14ac:dyDescent="0.2">
      <c r="A6859" s="140" t="s">
        <v>4281</v>
      </c>
      <c r="B6859" s="141">
        <v>1.5539358513895E-4</v>
      </c>
      <c r="D6859" s="141"/>
    </row>
    <row r="6860" spans="1:4" x14ac:dyDescent="0.2">
      <c r="A6860" s="140" t="s">
        <v>2158</v>
      </c>
      <c r="B6860" s="141">
        <v>1.5528336843082999E-4</v>
      </c>
      <c r="D6860" s="141"/>
    </row>
    <row r="6861" spans="1:4" x14ac:dyDescent="0.2">
      <c r="A6861" s="140" t="s">
        <v>5233</v>
      </c>
      <c r="B6861" s="141">
        <v>1.5523298096526E-4</v>
      </c>
      <c r="D6861" s="141"/>
    </row>
    <row r="6862" spans="1:4" x14ac:dyDescent="0.2">
      <c r="A6862" s="140" t="s">
        <v>5071</v>
      </c>
      <c r="B6862" s="141">
        <v>1.5522520905614001E-4</v>
      </c>
      <c r="D6862" s="141"/>
    </row>
    <row r="6863" spans="1:4" x14ac:dyDescent="0.2">
      <c r="A6863" s="140" t="s">
        <v>5614</v>
      </c>
      <c r="B6863" s="141">
        <v>1.5480791686801001E-4</v>
      </c>
      <c r="D6863" s="141"/>
    </row>
    <row r="6864" spans="1:4" x14ac:dyDescent="0.2">
      <c r="A6864" s="140" t="s">
        <v>2538</v>
      </c>
      <c r="B6864" s="141">
        <v>1.5476132819179999E-4</v>
      </c>
      <c r="D6864" s="141"/>
    </row>
    <row r="6865" spans="1:4" x14ac:dyDescent="0.2">
      <c r="A6865" s="140" t="s">
        <v>8826</v>
      </c>
      <c r="B6865" s="141">
        <v>1.5462682700957E-4</v>
      </c>
      <c r="D6865" s="141"/>
    </row>
    <row r="6866" spans="1:4" x14ac:dyDescent="0.2">
      <c r="A6866" s="140" t="s">
        <v>8827</v>
      </c>
      <c r="B6866" s="141">
        <v>1.5459871328569999E-4</v>
      </c>
      <c r="D6866" s="141"/>
    </row>
    <row r="6867" spans="1:4" x14ac:dyDescent="0.2">
      <c r="A6867" s="140" t="s">
        <v>4540</v>
      </c>
      <c r="B6867" s="141">
        <v>1.5456675392672999E-4</v>
      </c>
      <c r="D6867" s="141"/>
    </row>
    <row r="6868" spans="1:4" x14ac:dyDescent="0.2">
      <c r="A6868" s="140" t="s">
        <v>8828</v>
      </c>
      <c r="B6868" s="141">
        <v>1.5448419495754E-4</v>
      </c>
      <c r="D6868" s="141"/>
    </row>
    <row r="6869" spans="1:4" x14ac:dyDescent="0.2">
      <c r="A6869" s="140" t="s">
        <v>8829</v>
      </c>
      <c r="B6869" s="141">
        <v>1.5441216878999E-4</v>
      </c>
      <c r="D6869" s="141"/>
    </row>
    <row r="6870" spans="1:4" x14ac:dyDescent="0.2">
      <c r="A6870" s="140" t="s">
        <v>1682</v>
      </c>
      <c r="B6870" s="141">
        <v>1.5439692450945001E-4</v>
      </c>
      <c r="D6870" s="141"/>
    </row>
    <row r="6871" spans="1:4" x14ac:dyDescent="0.2">
      <c r="A6871" s="140" t="s">
        <v>1635</v>
      </c>
      <c r="B6871" s="141">
        <v>1.5433038124797001E-4</v>
      </c>
      <c r="D6871" s="141"/>
    </row>
    <row r="6872" spans="1:4" x14ac:dyDescent="0.2">
      <c r="A6872" s="140" t="s">
        <v>8830</v>
      </c>
      <c r="B6872" s="141">
        <v>1.5415341903044001E-4</v>
      </c>
      <c r="D6872" s="141"/>
    </row>
    <row r="6873" spans="1:4" x14ac:dyDescent="0.2">
      <c r="A6873" s="140" t="s">
        <v>8831</v>
      </c>
      <c r="B6873" s="141">
        <v>1.5415341903044001E-4</v>
      </c>
      <c r="D6873" s="141"/>
    </row>
    <row r="6874" spans="1:4" x14ac:dyDescent="0.2">
      <c r="A6874" s="140" t="s">
        <v>4958</v>
      </c>
      <c r="B6874" s="141">
        <v>1.5401100738930999E-4</v>
      </c>
      <c r="D6874" s="141"/>
    </row>
    <row r="6875" spans="1:4" x14ac:dyDescent="0.2">
      <c r="A6875" s="140" t="s">
        <v>8832</v>
      </c>
      <c r="B6875" s="141">
        <v>1.5384148499358999E-4</v>
      </c>
      <c r="D6875" s="141"/>
    </row>
    <row r="6876" spans="1:4" x14ac:dyDescent="0.2">
      <c r="A6876" s="140" t="s">
        <v>2467</v>
      </c>
      <c r="B6876" s="141">
        <v>1.5358811008512E-4</v>
      </c>
      <c r="D6876" s="141"/>
    </row>
    <row r="6877" spans="1:4" x14ac:dyDescent="0.2">
      <c r="A6877" s="140" t="s">
        <v>2657</v>
      </c>
      <c r="B6877" s="141">
        <v>1.5358811008512E-4</v>
      </c>
      <c r="D6877" s="141"/>
    </row>
    <row r="6878" spans="1:4" x14ac:dyDescent="0.2">
      <c r="A6878" s="140" t="s">
        <v>8833</v>
      </c>
      <c r="B6878" s="141">
        <v>1.5319993655822E-4</v>
      </c>
      <c r="D6878" s="141"/>
    </row>
    <row r="6879" spans="1:4" x14ac:dyDescent="0.2">
      <c r="A6879" s="140" t="s">
        <v>8834</v>
      </c>
      <c r="B6879" s="141">
        <v>1.5315125541680999E-4</v>
      </c>
      <c r="D6879" s="141"/>
    </row>
    <row r="6880" spans="1:4" x14ac:dyDescent="0.2">
      <c r="A6880" s="140" t="s">
        <v>4882</v>
      </c>
      <c r="B6880" s="141">
        <v>1.5312036330680001E-4</v>
      </c>
      <c r="D6880" s="141"/>
    </row>
    <row r="6881" spans="1:4" x14ac:dyDescent="0.2">
      <c r="A6881" s="140" t="s">
        <v>2365</v>
      </c>
      <c r="B6881" s="141">
        <v>1.5295199056654E-4</v>
      </c>
      <c r="D6881" s="141"/>
    </row>
    <row r="6882" spans="1:4" x14ac:dyDescent="0.2">
      <c r="A6882" s="140" t="s">
        <v>2104</v>
      </c>
      <c r="B6882" s="141">
        <v>1.5277636016176001E-4</v>
      </c>
      <c r="D6882" s="141"/>
    </row>
    <row r="6883" spans="1:4" x14ac:dyDescent="0.2">
      <c r="A6883" s="140" t="s">
        <v>8835</v>
      </c>
      <c r="B6883" s="141">
        <v>1.5268284694946999E-4</v>
      </c>
      <c r="D6883" s="141"/>
    </row>
    <row r="6884" spans="1:4" x14ac:dyDescent="0.2">
      <c r="A6884" s="140" t="s">
        <v>3470</v>
      </c>
      <c r="B6884" s="141">
        <v>1.5252268992142E-4</v>
      </c>
      <c r="D6884" s="141"/>
    </row>
    <row r="6885" spans="1:4" x14ac:dyDescent="0.2">
      <c r="A6885" s="140" t="s">
        <v>2117</v>
      </c>
      <c r="B6885" s="141">
        <v>1.5235077397044E-4</v>
      </c>
      <c r="D6885" s="141"/>
    </row>
    <row r="6886" spans="1:4" x14ac:dyDescent="0.2">
      <c r="A6886" s="140" t="s">
        <v>1444</v>
      </c>
      <c r="B6886" s="141">
        <v>1.5203788596041001E-4</v>
      </c>
      <c r="D6886" s="141"/>
    </row>
    <row r="6887" spans="1:4" x14ac:dyDescent="0.2">
      <c r="A6887" s="140" t="s">
        <v>5725</v>
      </c>
      <c r="B6887" s="141">
        <v>1.5198062910682999E-4</v>
      </c>
      <c r="D6887" s="141"/>
    </row>
    <row r="6888" spans="1:4" x14ac:dyDescent="0.2">
      <c r="A6888" s="140" t="s">
        <v>8836</v>
      </c>
      <c r="B6888" s="141">
        <v>1.5190352013864E-4</v>
      </c>
      <c r="D6888" s="141"/>
    </row>
    <row r="6889" spans="1:4" x14ac:dyDescent="0.2">
      <c r="A6889" s="140" t="s">
        <v>2417</v>
      </c>
      <c r="B6889" s="141">
        <v>1.5136119851816E-4</v>
      </c>
      <c r="D6889" s="141"/>
    </row>
    <row r="6890" spans="1:4" x14ac:dyDescent="0.2">
      <c r="A6890" s="140" t="s">
        <v>1479</v>
      </c>
      <c r="B6890" s="141">
        <v>1.5130982262796E-4</v>
      </c>
      <c r="D6890" s="141"/>
    </row>
    <row r="6891" spans="1:4" x14ac:dyDescent="0.2">
      <c r="A6891" s="140" t="s">
        <v>1380</v>
      </c>
      <c r="B6891" s="141">
        <v>1.5126379096481001E-4</v>
      </c>
      <c r="D6891" s="141"/>
    </row>
    <row r="6892" spans="1:4" x14ac:dyDescent="0.2">
      <c r="A6892" s="140" t="s">
        <v>5385</v>
      </c>
      <c r="B6892" s="141">
        <v>1.5110976128117999E-4</v>
      </c>
      <c r="D6892" s="141"/>
    </row>
    <row r="6893" spans="1:4" x14ac:dyDescent="0.2">
      <c r="A6893" s="140" t="s">
        <v>1643</v>
      </c>
      <c r="B6893" s="141">
        <v>1.5098613131849E-4</v>
      </c>
      <c r="D6893" s="141"/>
    </row>
    <row r="6894" spans="1:4" x14ac:dyDescent="0.2">
      <c r="A6894" s="140" t="s">
        <v>8837</v>
      </c>
      <c r="B6894" s="141">
        <v>1.5084806729946001E-4</v>
      </c>
      <c r="D6894" s="141"/>
    </row>
    <row r="6895" spans="1:4" x14ac:dyDescent="0.2">
      <c r="A6895" s="140" t="s">
        <v>3403</v>
      </c>
      <c r="B6895" s="141">
        <v>1.5077279228133001E-4</v>
      </c>
      <c r="D6895" s="141"/>
    </row>
    <row r="6896" spans="1:4" x14ac:dyDescent="0.2">
      <c r="A6896" s="140" t="s">
        <v>1998</v>
      </c>
      <c r="B6896" s="141">
        <v>1.5076342348588001E-4</v>
      </c>
      <c r="D6896" s="141"/>
    </row>
    <row r="6897" spans="1:4" x14ac:dyDescent="0.2">
      <c r="A6897" s="140" t="s">
        <v>8838</v>
      </c>
      <c r="B6897" s="141">
        <v>1.5068872313949E-4</v>
      </c>
      <c r="D6897" s="141"/>
    </row>
    <row r="6898" spans="1:4" x14ac:dyDescent="0.2">
      <c r="A6898" s="140" t="s">
        <v>8839</v>
      </c>
      <c r="B6898" s="141">
        <v>1.5039363453443999E-4</v>
      </c>
      <c r="D6898" s="141"/>
    </row>
    <row r="6899" spans="1:4" x14ac:dyDescent="0.2">
      <c r="A6899" s="140" t="s">
        <v>351</v>
      </c>
      <c r="B6899" s="141">
        <v>1.5031291421211001E-4</v>
      </c>
      <c r="D6899" s="141"/>
    </row>
    <row r="6900" spans="1:4" x14ac:dyDescent="0.2">
      <c r="A6900" s="140" t="s">
        <v>2253</v>
      </c>
      <c r="B6900" s="141">
        <v>1.5021300639852001E-4</v>
      </c>
      <c r="D6900" s="141"/>
    </row>
    <row r="6901" spans="1:4" x14ac:dyDescent="0.2">
      <c r="A6901" s="140" t="s">
        <v>8840</v>
      </c>
      <c r="B6901" s="141">
        <v>1.5011148134568E-4</v>
      </c>
      <c r="D6901" s="141"/>
    </row>
    <row r="6902" spans="1:4" x14ac:dyDescent="0.2">
      <c r="A6902" s="140" t="s">
        <v>1954</v>
      </c>
      <c r="B6902" s="141">
        <v>1.4999232849663001E-4</v>
      </c>
      <c r="D6902" s="141"/>
    </row>
    <row r="6903" spans="1:4" x14ac:dyDescent="0.2">
      <c r="A6903" s="140" t="s">
        <v>3033</v>
      </c>
      <c r="B6903" s="141">
        <v>1.498753262674E-4</v>
      </c>
      <c r="D6903" s="141"/>
    </row>
    <row r="6904" spans="1:4" x14ac:dyDescent="0.2">
      <c r="A6904" s="140" t="s">
        <v>2109</v>
      </c>
      <c r="B6904" s="141">
        <v>1.4975789830249999E-4</v>
      </c>
      <c r="D6904" s="141"/>
    </row>
    <row r="6905" spans="1:4" x14ac:dyDescent="0.2">
      <c r="A6905" s="140" t="s">
        <v>8841</v>
      </c>
      <c r="B6905" s="141">
        <v>1.4973414255582001E-4</v>
      </c>
      <c r="D6905" s="141"/>
    </row>
    <row r="6906" spans="1:4" x14ac:dyDescent="0.2">
      <c r="A6906" s="140" t="s">
        <v>6353</v>
      </c>
      <c r="B6906" s="141">
        <v>1.4962428204174001E-4</v>
      </c>
      <c r="D6906" s="141"/>
    </row>
    <row r="6907" spans="1:4" x14ac:dyDescent="0.2">
      <c r="A6907" s="140" t="s">
        <v>428</v>
      </c>
      <c r="B6907" s="141">
        <v>1.4945651042827E-4</v>
      </c>
      <c r="D6907" s="141"/>
    </row>
    <row r="6908" spans="1:4" x14ac:dyDescent="0.2">
      <c r="A6908" s="140" t="s">
        <v>3735</v>
      </c>
      <c r="B6908" s="141">
        <v>1.4942139613823E-4</v>
      </c>
      <c r="D6908" s="141"/>
    </row>
    <row r="6909" spans="1:4" x14ac:dyDescent="0.2">
      <c r="A6909" s="140" t="s">
        <v>8842</v>
      </c>
      <c r="B6909" s="141">
        <v>1.4937500274222001E-4</v>
      </c>
      <c r="D6909" s="141"/>
    </row>
    <row r="6910" spans="1:4" x14ac:dyDescent="0.2">
      <c r="A6910" s="140" t="s">
        <v>8843</v>
      </c>
      <c r="B6910" s="141">
        <v>1.4935274837544999E-4</v>
      </c>
      <c r="D6910" s="141"/>
    </row>
    <row r="6911" spans="1:4" x14ac:dyDescent="0.2">
      <c r="A6911" s="140" t="s">
        <v>5054</v>
      </c>
      <c r="B6911" s="141">
        <v>1.4931237473588999E-4</v>
      </c>
      <c r="D6911" s="141"/>
    </row>
    <row r="6912" spans="1:4" x14ac:dyDescent="0.2">
      <c r="A6912" s="140" t="s">
        <v>1249</v>
      </c>
      <c r="B6912" s="141">
        <v>1.4923371185063001E-4</v>
      </c>
      <c r="D6912" s="141"/>
    </row>
    <row r="6913" spans="1:4" x14ac:dyDescent="0.2">
      <c r="A6913" s="140" t="s">
        <v>519</v>
      </c>
      <c r="B6913" s="141">
        <v>1.4895195708155E-4</v>
      </c>
      <c r="D6913" s="141"/>
    </row>
    <row r="6914" spans="1:4" x14ac:dyDescent="0.2">
      <c r="A6914" s="140" t="s">
        <v>1886</v>
      </c>
      <c r="B6914" s="141">
        <v>1.4868236187219001E-4</v>
      </c>
      <c r="D6914" s="141"/>
    </row>
    <row r="6915" spans="1:4" x14ac:dyDescent="0.2">
      <c r="A6915" s="140" t="s">
        <v>8844</v>
      </c>
      <c r="B6915" s="141">
        <v>1.4860808288294001E-4</v>
      </c>
      <c r="D6915" s="141"/>
    </row>
    <row r="6916" spans="1:4" x14ac:dyDescent="0.2">
      <c r="A6916" s="140" t="s">
        <v>6018</v>
      </c>
      <c r="B6916" s="141">
        <v>1.4811852202667E-4</v>
      </c>
      <c r="D6916" s="141"/>
    </row>
    <row r="6917" spans="1:4" x14ac:dyDescent="0.2">
      <c r="A6917" s="140" t="s">
        <v>958</v>
      </c>
      <c r="B6917" s="141">
        <v>1.4797197653951001E-4</v>
      </c>
      <c r="D6917" s="141"/>
    </row>
    <row r="6918" spans="1:4" x14ac:dyDescent="0.2">
      <c r="A6918" s="140" t="s">
        <v>5487</v>
      </c>
      <c r="B6918" s="141">
        <v>1.4772345829038001E-4</v>
      </c>
      <c r="D6918" s="141"/>
    </row>
    <row r="6919" spans="1:4" x14ac:dyDescent="0.2">
      <c r="A6919" s="140" t="s">
        <v>708</v>
      </c>
      <c r="B6919" s="141">
        <v>1.4756230843638999E-4</v>
      </c>
      <c r="D6919" s="141"/>
    </row>
    <row r="6920" spans="1:4" x14ac:dyDescent="0.2">
      <c r="A6920" s="140" t="s">
        <v>8845</v>
      </c>
      <c r="B6920" s="141">
        <v>1.4741487027510001E-4</v>
      </c>
      <c r="D6920" s="141"/>
    </row>
    <row r="6921" spans="1:4" x14ac:dyDescent="0.2">
      <c r="A6921" s="140" t="s">
        <v>8846</v>
      </c>
      <c r="B6921" s="141">
        <v>1.4741487027510001E-4</v>
      </c>
      <c r="D6921" s="141"/>
    </row>
    <row r="6922" spans="1:4" x14ac:dyDescent="0.2">
      <c r="A6922" s="140" t="s">
        <v>8847</v>
      </c>
      <c r="B6922" s="141">
        <v>1.4741487027510001E-4</v>
      </c>
      <c r="D6922" s="141"/>
    </row>
    <row r="6923" spans="1:4" x14ac:dyDescent="0.2">
      <c r="A6923" s="140" t="s">
        <v>8848</v>
      </c>
      <c r="B6923" s="141">
        <v>1.4741487027510001E-4</v>
      </c>
      <c r="D6923" s="141"/>
    </row>
    <row r="6924" spans="1:4" x14ac:dyDescent="0.2">
      <c r="A6924" s="140" t="s">
        <v>8849</v>
      </c>
      <c r="B6924" s="141">
        <v>1.4741487027510001E-4</v>
      </c>
      <c r="D6924" s="141"/>
    </row>
    <row r="6925" spans="1:4" x14ac:dyDescent="0.2">
      <c r="A6925" s="140" t="s">
        <v>8850</v>
      </c>
      <c r="B6925" s="141">
        <v>1.4741487027510001E-4</v>
      </c>
      <c r="D6925" s="141"/>
    </row>
    <row r="6926" spans="1:4" x14ac:dyDescent="0.2">
      <c r="A6926" s="140" t="s">
        <v>8851</v>
      </c>
      <c r="B6926" s="141">
        <v>1.4741487027510001E-4</v>
      </c>
      <c r="D6926" s="141"/>
    </row>
    <row r="6927" spans="1:4" x14ac:dyDescent="0.2">
      <c r="A6927" s="140" t="s">
        <v>8852</v>
      </c>
      <c r="B6927" s="141">
        <v>1.4741487027510001E-4</v>
      </c>
      <c r="D6927" s="141"/>
    </row>
    <row r="6928" spans="1:4" x14ac:dyDescent="0.2">
      <c r="A6928" s="140" t="s">
        <v>8853</v>
      </c>
      <c r="B6928" s="141">
        <v>1.4734165168439999E-4</v>
      </c>
      <c r="D6928" s="141"/>
    </row>
    <row r="6929" spans="1:4" x14ac:dyDescent="0.2">
      <c r="A6929" s="140" t="s">
        <v>8854</v>
      </c>
      <c r="B6929" s="141">
        <v>1.473276948309E-4</v>
      </c>
      <c r="D6929" s="141"/>
    </row>
    <row r="6930" spans="1:4" x14ac:dyDescent="0.2">
      <c r="A6930" s="140" t="s">
        <v>8855</v>
      </c>
      <c r="B6930" s="141">
        <v>1.4716338555009E-4</v>
      </c>
      <c r="D6930" s="141"/>
    </row>
    <row r="6931" spans="1:4" x14ac:dyDescent="0.2">
      <c r="A6931" s="140" t="s">
        <v>6279</v>
      </c>
      <c r="B6931" s="141">
        <v>1.4689242800178999E-4</v>
      </c>
      <c r="D6931" s="141"/>
    </row>
    <row r="6932" spans="1:4" x14ac:dyDescent="0.2">
      <c r="A6932" s="140" t="s">
        <v>6164</v>
      </c>
      <c r="B6932" s="141">
        <v>1.466443209136E-4</v>
      </c>
      <c r="D6932" s="141"/>
    </row>
    <row r="6933" spans="1:4" x14ac:dyDescent="0.2">
      <c r="A6933" s="140" t="s">
        <v>2580</v>
      </c>
      <c r="B6933" s="141">
        <v>1.4649939777131E-4</v>
      </c>
      <c r="D6933" s="141"/>
    </row>
    <row r="6934" spans="1:4" x14ac:dyDescent="0.2">
      <c r="A6934" s="140" t="s">
        <v>8856</v>
      </c>
      <c r="B6934" s="141">
        <v>1.4645852809069999E-4</v>
      </c>
      <c r="D6934" s="141"/>
    </row>
    <row r="6935" spans="1:4" x14ac:dyDescent="0.2">
      <c r="A6935" s="140" t="s">
        <v>3594</v>
      </c>
      <c r="B6935" s="141">
        <v>1.4620155696142001E-4</v>
      </c>
      <c r="D6935" s="141"/>
    </row>
    <row r="6936" spans="1:4" x14ac:dyDescent="0.2">
      <c r="A6936" s="140" t="s">
        <v>8857</v>
      </c>
      <c r="B6936" s="141">
        <v>1.4592571347793001E-4</v>
      </c>
      <c r="D6936" s="141"/>
    </row>
    <row r="6937" spans="1:4" x14ac:dyDescent="0.2">
      <c r="A6937" s="140" t="s">
        <v>2697</v>
      </c>
      <c r="B6937" s="141">
        <v>1.4552261042015001E-4</v>
      </c>
      <c r="D6937" s="141"/>
    </row>
    <row r="6938" spans="1:4" x14ac:dyDescent="0.2">
      <c r="A6938" s="140" t="s">
        <v>4222</v>
      </c>
      <c r="B6938" s="141">
        <v>1.4536625508883001E-4</v>
      </c>
      <c r="D6938" s="141"/>
    </row>
    <row r="6939" spans="1:4" x14ac:dyDescent="0.2">
      <c r="A6939" s="140" t="s">
        <v>8858</v>
      </c>
      <c r="B6939" s="141">
        <v>1.4530574971863001E-4</v>
      </c>
      <c r="D6939" s="141"/>
    </row>
    <row r="6940" spans="1:4" x14ac:dyDescent="0.2">
      <c r="A6940" s="140" t="s">
        <v>8859</v>
      </c>
      <c r="B6940" s="141">
        <v>1.4507826819097001E-4</v>
      </c>
      <c r="D6940" s="141"/>
    </row>
    <row r="6941" spans="1:4" x14ac:dyDescent="0.2">
      <c r="A6941" s="140" t="s">
        <v>5681</v>
      </c>
      <c r="B6941" s="141">
        <v>1.4507826819097001E-4</v>
      </c>
      <c r="D6941" s="141"/>
    </row>
    <row r="6942" spans="1:4" x14ac:dyDescent="0.2">
      <c r="A6942" s="140" t="s">
        <v>5680</v>
      </c>
      <c r="B6942" s="141">
        <v>1.4507826819097001E-4</v>
      </c>
      <c r="D6942" s="141"/>
    </row>
    <row r="6943" spans="1:4" x14ac:dyDescent="0.2">
      <c r="A6943" s="140" t="s">
        <v>5679</v>
      </c>
      <c r="B6943" s="141">
        <v>1.4507826819097001E-4</v>
      </c>
      <c r="D6943" s="141"/>
    </row>
    <row r="6944" spans="1:4" x14ac:dyDescent="0.2">
      <c r="A6944" s="140" t="s">
        <v>5676</v>
      </c>
      <c r="B6944" s="141">
        <v>1.4507826819097001E-4</v>
      </c>
      <c r="D6944" s="141"/>
    </row>
    <row r="6945" spans="1:4" x14ac:dyDescent="0.2">
      <c r="A6945" s="140" t="s">
        <v>8860</v>
      </c>
      <c r="B6945" s="141">
        <v>1.4507826819097001E-4</v>
      </c>
      <c r="D6945" s="141"/>
    </row>
    <row r="6946" spans="1:4" x14ac:dyDescent="0.2">
      <c r="A6946" s="140" t="s">
        <v>8861</v>
      </c>
      <c r="B6946" s="141">
        <v>1.4507826819097001E-4</v>
      </c>
      <c r="D6946" s="141"/>
    </row>
    <row r="6947" spans="1:4" x14ac:dyDescent="0.2">
      <c r="A6947" s="140" t="s">
        <v>8862</v>
      </c>
      <c r="B6947" s="141">
        <v>1.4507826819097001E-4</v>
      </c>
      <c r="D6947" s="141"/>
    </row>
    <row r="6948" spans="1:4" x14ac:dyDescent="0.2">
      <c r="A6948" s="140" t="s">
        <v>8863</v>
      </c>
      <c r="B6948" s="141">
        <v>1.4507826819097001E-4</v>
      </c>
      <c r="D6948" s="141"/>
    </row>
    <row r="6949" spans="1:4" x14ac:dyDescent="0.2">
      <c r="A6949" s="140" t="s">
        <v>5265</v>
      </c>
      <c r="B6949" s="141">
        <v>1.4507826819097001E-4</v>
      </c>
      <c r="D6949" s="141"/>
    </row>
    <row r="6950" spans="1:4" x14ac:dyDescent="0.2">
      <c r="A6950" s="140" t="s">
        <v>8864</v>
      </c>
      <c r="B6950" s="141">
        <v>1.4507826819097001E-4</v>
      </c>
      <c r="D6950" s="141"/>
    </row>
    <row r="6951" spans="1:4" x14ac:dyDescent="0.2">
      <c r="A6951" s="140" t="s">
        <v>5095</v>
      </c>
      <c r="B6951" s="141">
        <v>1.4507826819097001E-4</v>
      </c>
      <c r="D6951" s="141"/>
    </row>
    <row r="6952" spans="1:4" x14ac:dyDescent="0.2">
      <c r="A6952" s="140" t="s">
        <v>5025</v>
      </c>
      <c r="B6952" s="141">
        <v>1.4507826819097001E-4</v>
      </c>
      <c r="D6952" s="141"/>
    </row>
    <row r="6953" spans="1:4" x14ac:dyDescent="0.2">
      <c r="A6953" s="140" t="s">
        <v>8865</v>
      </c>
      <c r="B6953" s="141">
        <v>1.4507826819097001E-4</v>
      </c>
      <c r="D6953" s="141"/>
    </row>
    <row r="6954" spans="1:4" x14ac:dyDescent="0.2">
      <c r="A6954" s="140" t="s">
        <v>8866</v>
      </c>
      <c r="B6954" s="141">
        <v>1.4507826819097001E-4</v>
      </c>
      <c r="D6954" s="141"/>
    </row>
    <row r="6955" spans="1:4" x14ac:dyDescent="0.2">
      <c r="A6955" s="140" t="s">
        <v>4618</v>
      </c>
      <c r="B6955" s="141">
        <v>1.4507826819097001E-4</v>
      </c>
      <c r="D6955" s="141"/>
    </row>
    <row r="6956" spans="1:4" x14ac:dyDescent="0.2">
      <c r="A6956" s="140" t="s">
        <v>4524</v>
      </c>
      <c r="B6956" s="141">
        <v>1.4507826819097001E-4</v>
      </c>
      <c r="D6956" s="141"/>
    </row>
    <row r="6957" spans="1:4" x14ac:dyDescent="0.2">
      <c r="A6957" s="140" t="s">
        <v>4353</v>
      </c>
      <c r="B6957" s="141">
        <v>1.4507826819097001E-4</v>
      </c>
      <c r="D6957" s="141"/>
    </row>
    <row r="6958" spans="1:4" x14ac:dyDescent="0.2">
      <c r="A6958" s="140" t="s">
        <v>4236</v>
      </c>
      <c r="B6958" s="141">
        <v>1.4507826819097001E-4</v>
      </c>
      <c r="D6958" s="141"/>
    </row>
    <row r="6959" spans="1:4" x14ac:dyDescent="0.2">
      <c r="A6959" s="140" t="s">
        <v>4212</v>
      </c>
      <c r="B6959" s="141">
        <v>1.4507826819097001E-4</v>
      </c>
      <c r="D6959" s="141"/>
    </row>
    <row r="6960" spans="1:4" x14ac:dyDescent="0.2">
      <c r="A6960" s="140" t="s">
        <v>4076</v>
      </c>
      <c r="B6960" s="141">
        <v>1.4507826819097001E-4</v>
      </c>
      <c r="D6960" s="141"/>
    </row>
    <row r="6961" spans="1:4" x14ac:dyDescent="0.2">
      <c r="A6961" s="140" t="s">
        <v>8867</v>
      </c>
      <c r="B6961" s="141">
        <v>1.4507826819097001E-4</v>
      </c>
      <c r="D6961" s="141"/>
    </row>
    <row r="6962" spans="1:4" x14ac:dyDescent="0.2">
      <c r="A6962" s="140" t="s">
        <v>8868</v>
      </c>
      <c r="B6962" s="141">
        <v>1.4507826819097001E-4</v>
      </c>
      <c r="D6962" s="141"/>
    </row>
    <row r="6963" spans="1:4" x14ac:dyDescent="0.2">
      <c r="A6963" s="140" t="s">
        <v>8869</v>
      </c>
      <c r="B6963" s="141">
        <v>1.4507826819097001E-4</v>
      </c>
      <c r="D6963" s="141"/>
    </row>
    <row r="6964" spans="1:4" x14ac:dyDescent="0.2">
      <c r="A6964" s="140" t="s">
        <v>8870</v>
      </c>
      <c r="B6964" s="141">
        <v>1.4507826819097001E-4</v>
      </c>
      <c r="D6964" s="141"/>
    </row>
    <row r="6965" spans="1:4" x14ac:dyDescent="0.2">
      <c r="A6965" s="140" t="s">
        <v>8871</v>
      </c>
      <c r="B6965" s="141">
        <v>1.4507826819097001E-4</v>
      </c>
      <c r="D6965" s="141"/>
    </row>
    <row r="6966" spans="1:4" x14ac:dyDescent="0.2">
      <c r="A6966" s="140" t="s">
        <v>8872</v>
      </c>
      <c r="B6966" s="141">
        <v>1.4507826819097001E-4</v>
      </c>
      <c r="D6966" s="141"/>
    </row>
    <row r="6967" spans="1:4" x14ac:dyDescent="0.2">
      <c r="A6967" s="140" t="s">
        <v>8873</v>
      </c>
      <c r="B6967" s="141">
        <v>1.4507826819097001E-4</v>
      </c>
      <c r="D6967" s="141"/>
    </row>
    <row r="6968" spans="1:4" x14ac:dyDescent="0.2">
      <c r="A6968" s="140" t="s">
        <v>8874</v>
      </c>
      <c r="B6968" s="141">
        <v>1.4507826819097001E-4</v>
      </c>
      <c r="D6968" s="141"/>
    </row>
    <row r="6969" spans="1:4" x14ac:dyDescent="0.2">
      <c r="A6969" s="140" t="s">
        <v>8875</v>
      </c>
      <c r="B6969" s="141">
        <v>1.4507826819097001E-4</v>
      </c>
      <c r="D6969" s="141"/>
    </row>
    <row r="6970" spans="1:4" x14ac:dyDescent="0.2">
      <c r="A6970" s="140" t="s">
        <v>3593</v>
      </c>
      <c r="B6970" s="141">
        <v>1.4507826819097001E-4</v>
      </c>
      <c r="D6970" s="141"/>
    </row>
    <row r="6971" spans="1:4" x14ac:dyDescent="0.2">
      <c r="A6971" s="140" t="s">
        <v>8876</v>
      </c>
      <c r="B6971" s="141">
        <v>1.4507826819097001E-4</v>
      </c>
      <c r="D6971" s="141"/>
    </row>
    <row r="6972" spans="1:4" x14ac:dyDescent="0.2">
      <c r="A6972" s="140" t="s">
        <v>3445</v>
      </c>
      <c r="B6972" s="141">
        <v>1.4507826819097001E-4</v>
      </c>
      <c r="D6972" s="141"/>
    </row>
    <row r="6973" spans="1:4" x14ac:dyDescent="0.2">
      <c r="A6973" s="140" t="s">
        <v>8877</v>
      </c>
      <c r="B6973" s="141">
        <v>1.4507826819097001E-4</v>
      </c>
      <c r="D6973" s="141"/>
    </row>
    <row r="6974" spans="1:4" x14ac:dyDescent="0.2">
      <c r="A6974" s="140" t="s">
        <v>8878</v>
      </c>
      <c r="B6974" s="141">
        <v>1.4507826819097001E-4</v>
      </c>
      <c r="D6974" s="141"/>
    </row>
    <row r="6975" spans="1:4" x14ac:dyDescent="0.2">
      <c r="A6975" s="140" t="s">
        <v>8879</v>
      </c>
      <c r="B6975" s="141">
        <v>1.4507826819097001E-4</v>
      </c>
      <c r="D6975" s="141"/>
    </row>
    <row r="6976" spans="1:4" x14ac:dyDescent="0.2">
      <c r="A6976" s="140" t="s">
        <v>8880</v>
      </c>
      <c r="B6976" s="141">
        <v>1.4507826819097001E-4</v>
      </c>
      <c r="D6976" s="141"/>
    </row>
    <row r="6977" spans="1:4" x14ac:dyDescent="0.2">
      <c r="A6977" s="140" t="s">
        <v>8881</v>
      </c>
      <c r="B6977" s="141">
        <v>1.4507826819097001E-4</v>
      </c>
      <c r="D6977" s="141"/>
    </row>
    <row r="6978" spans="1:4" x14ac:dyDescent="0.2">
      <c r="A6978" s="140" t="s">
        <v>3298</v>
      </c>
      <c r="B6978" s="141">
        <v>1.4507826819097001E-4</v>
      </c>
      <c r="D6978" s="141"/>
    </row>
    <row r="6979" spans="1:4" x14ac:dyDescent="0.2">
      <c r="A6979" s="140" t="s">
        <v>3201</v>
      </c>
      <c r="B6979" s="141">
        <v>1.4507826819097001E-4</v>
      </c>
      <c r="D6979" s="141"/>
    </row>
    <row r="6980" spans="1:4" x14ac:dyDescent="0.2">
      <c r="A6980" s="140" t="s">
        <v>8882</v>
      </c>
      <c r="B6980" s="141">
        <v>1.4500307733956999E-4</v>
      </c>
      <c r="D6980" s="141"/>
    </row>
    <row r="6981" spans="1:4" x14ac:dyDescent="0.2">
      <c r="A6981" s="140" t="s">
        <v>4126</v>
      </c>
      <c r="B6981" s="141">
        <v>1.4469765983804E-4</v>
      </c>
      <c r="D6981" s="141"/>
    </row>
    <row r="6982" spans="1:4" x14ac:dyDescent="0.2">
      <c r="A6982" s="140" t="s">
        <v>8883</v>
      </c>
      <c r="B6982" s="141">
        <v>1.4465037213764E-4</v>
      </c>
      <c r="D6982" s="141"/>
    </row>
    <row r="6983" spans="1:4" x14ac:dyDescent="0.2">
      <c r="A6983" s="140" t="s">
        <v>8884</v>
      </c>
      <c r="B6983" s="141">
        <v>1.4465037213764E-4</v>
      </c>
      <c r="D6983" s="141"/>
    </row>
    <row r="6984" spans="1:4" x14ac:dyDescent="0.2">
      <c r="A6984" s="140" t="s">
        <v>8885</v>
      </c>
      <c r="B6984" s="141">
        <v>1.4448990736166999E-4</v>
      </c>
      <c r="D6984" s="141"/>
    </row>
    <row r="6985" spans="1:4" x14ac:dyDescent="0.2">
      <c r="A6985" s="140" t="s">
        <v>8886</v>
      </c>
      <c r="B6985" s="141">
        <v>1.4445441246829999E-4</v>
      </c>
      <c r="D6985" s="141"/>
    </row>
    <row r="6986" spans="1:4" x14ac:dyDescent="0.2">
      <c r="A6986" s="140" t="s">
        <v>8887</v>
      </c>
      <c r="B6986" s="141">
        <v>1.4427435566596999E-4</v>
      </c>
      <c r="D6986" s="141"/>
    </row>
    <row r="6987" spans="1:4" x14ac:dyDescent="0.2">
      <c r="A6987" s="140" t="s">
        <v>2337</v>
      </c>
      <c r="B6987" s="141">
        <v>1.4426487448779E-4</v>
      </c>
      <c r="D6987" s="141"/>
    </row>
    <row r="6988" spans="1:4" x14ac:dyDescent="0.2">
      <c r="A6988" s="140" t="s">
        <v>8888</v>
      </c>
      <c r="B6988" s="141">
        <v>1.4419828201282E-4</v>
      </c>
      <c r="D6988" s="141"/>
    </row>
    <row r="6989" spans="1:4" x14ac:dyDescent="0.2">
      <c r="A6989" s="140" t="s">
        <v>8889</v>
      </c>
      <c r="B6989" s="141">
        <v>1.4418534261398001E-4</v>
      </c>
      <c r="D6989" s="141"/>
    </row>
    <row r="6990" spans="1:4" x14ac:dyDescent="0.2">
      <c r="A6990" s="140" t="s">
        <v>8890</v>
      </c>
      <c r="B6990" s="141">
        <v>1.4418534261398001E-4</v>
      </c>
      <c r="D6990" s="141"/>
    </row>
    <row r="6991" spans="1:4" x14ac:dyDescent="0.2">
      <c r="A6991" s="140" t="s">
        <v>2135</v>
      </c>
      <c r="B6991" s="141">
        <v>1.4410343182519E-4</v>
      </c>
      <c r="D6991" s="141"/>
    </row>
    <row r="6992" spans="1:4" x14ac:dyDescent="0.2">
      <c r="A6992" s="140" t="s">
        <v>8891</v>
      </c>
      <c r="B6992" s="141">
        <v>1.4393113406045E-4</v>
      </c>
      <c r="D6992" s="141"/>
    </row>
    <row r="6993" spans="1:4" x14ac:dyDescent="0.2">
      <c r="A6993" s="140" t="s">
        <v>8892</v>
      </c>
      <c r="B6993" s="141">
        <v>1.4372212372235001E-4</v>
      </c>
      <c r="D6993" s="141"/>
    </row>
    <row r="6994" spans="1:4" x14ac:dyDescent="0.2">
      <c r="A6994" s="140" t="s">
        <v>615</v>
      </c>
      <c r="B6994" s="141">
        <v>1.4369650277965999E-4</v>
      </c>
      <c r="D6994" s="141"/>
    </row>
    <row r="6995" spans="1:4" x14ac:dyDescent="0.2">
      <c r="A6995" s="140" t="s">
        <v>1662</v>
      </c>
      <c r="B6995" s="141">
        <v>1.4367828090019999E-4</v>
      </c>
      <c r="D6995" s="141"/>
    </row>
    <row r="6996" spans="1:4" x14ac:dyDescent="0.2">
      <c r="A6996" s="140" t="s">
        <v>406</v>
      </c>
      <c r="B6996" s="141">
        <v>1.4356122435984001E-4</v>
      </c>
      <c r="D6996" s="141"/>
    </row>
    <row r="6997" spans="1:4" x14ac:dyDescent="0.2">
      <c r="A6997" s="140" t="s">
        <v>2395</v>
      </c>
      <c r="B6997" s="141">
        <v>1.4350772423977001E-4</v>
      </c>
      <c r="D6997" s="141"/>
    </row>
    <row r="6998" spans="1:4" x14ac:dyDescent="0.2">
      <c r="A6998" s="140" t="s">
        <v>8893</v>
      </c>
      <c r="B6998" s="141">
        <v>1.4349700851194999E-4</v>
      </c>
      <c r="D6998" s="141"/>
    </row>
    <row r="6999" spans="1:4" x14ac:dyDescent="0.2">
      <c r="A6999" s="140" t="s">
        <v>8894</v>
      </c>
      <c r="B6999" s="141">
        <v>1.4337502356935001E-4</v>
      </c>
      <c r="D6999" s="141"/>
    </row>
    <row r="7000" spans="1:4" x14ac:dyDescent="0.2">
      <c r="A7000" s="140" t="s">
        <v>8895</v>
      </c>
      <c r="B7000" s="141">
        <v>1.4285341722238001E-4</v>
      </c>
      <c r="D7000" s="141"/>
    </row>
    <row r="7001" spans="1:4" x14ac:dyDescent="0.2">
      <c r="A7001" s="140" t="s">
        <v>5846</v>
      </c>
      <c r="B7001" s="141">
        <v>1.4281235003675999E-4</v>
      </c>
      <c r="D7001" s="141"/>
    </row>
    <row r="7002" spans="1:4" x14ac:dyDescent="0.2">
      <c r="A7002" s="140" t="s">
        <v>849</v>
      </c>
      <c r="B7002" s="141">
        <v>1.4276589871762001E-4</v>
      </c>
      <c r="D7002" s="141"/>
    </row>
    <row r="7003" spans="1:4" x14ac:dyDescent="0.2">
      <c r="A7003" s="140" t="s">
        <v>8896</v>
      </c>
      <c r="B7003" s="141">
        <v>1.4265517116249999E-4</v>
      </c>
      <c r="D7003" s="141"/>
    </row>
    <row r="7004" spans="1:4" x14ac:dyDescent="0.2">
      <c r="A7004" s="140" t="s">
        <v>2445</v>
      </c>
      <c r="B7004" s="141">
        <v>1.4240306502715999E-4</v>
      </c>
      <c r="D7004" s="141"/>
    </row>
    <row r="7005" spans="1:4" x14ac:dyDescent="0.2">
      <c r="A7005" s="140" t="s">
        <v>4003</v>
      </c>
      <c r="B7005" s="141">
        <v>1.42311635734E-4</v>
      </c>
      <c r="D7005" s="141"/>
    </row>
    <row r="7006" spans="1:4" x14ac:dyDescent="0.2">
      <c r="A7006" s="140" t="s">
        <v>393</v>
      </c>
      <c r="B7006" s="141">
        <v>1.4228139425398001E-4</v>
      </c>
      <c r="D7006" s="141"/>
    </row>
    <row r="7007" spans="1:4" x14ac:dyDescent="0.2">
      <c r="A7007" s="140" t="s">
        <v>4709</v>
      </c>
      <c r="B7007" s="141">
        <v>1.4190786500074999E-4</v>
      </c>
      <c r="D7007" s="141"/>
    </row>
    <row r="7008" spans="1:4" x14ac:dyDescent="0.2">
      <c r="A7008" s="140" t="s">
        <v>929</v>
      </c>
      <c r="B7008" s="141">
        <v>1.4188702668106E-4</v>
      </c>
      <c r="D7008" s="141"/>
    </row>
    <row r="7009" spans="1:4" x14ac:dyDescent="0.2">
      <c r="A7009" s="140" t="s">
        <v>858</v>
      </c>
      <c r="B7009" s="141">
        <v>1.4171675800633E-4</v>
      </c>
      <c r="D7009" s="141"/>
    </row>
    <row r="7010" spans="1:4" x14ac:dyDescent="0.2">
      <c r="A7010" s="140" t="s">
        <v>4893</v>
      </c>
      <c r="B7010" s="141">
        <v>1.4165289487744E-4</v>
      </c>
      <c r="D7010" s="141"/>
    </row>
    <row r="7011" spans="1:4" x14ac:dyDescent="0.2">
      <c r="A7011" s="140" t="s">
        <v>5103</v>
      </c>
      <c r="B7011" s="141">
        <v>1.4164438776794001E-4</v>
      </c>
      <c r="D7011" s="141"/>
    </row>
    <row r="7012" spans="1:4" x14ac:dyDescent="0.2">
      <c r="A7012" s="140" t="s">
        <v>672</v>
      </c>
      <c r="B7012" s="141">
        <v>1.4162548727299001E-4</v>
      </c>
      <c r="D7012" s="141"/>
    </row>
    <row r="7013" spans="1:4" x14ac:dyDescent="0.2">
      <c r="A7013" s="140" t="s">
        <v>4649</v>
      </c>
      <c r="B7013" s="141">
        <v>1.4159307684158E-4</v>
      </c>
      <c r="D7013" s="141"/>
    </row>
    <row r="7014" spans="1:4" x14ac:dyDescent="0.2">
      <c r="A7014" s="140" t="s">
        <v>8897</v>
      </c>
      <c r="B7014" s="141">
        <v>1.4153359295314001E-4</v>
      </c>
      <c r="D7014" s="141"/>
    </row>
    <row r="7015" spans="1:4" x14ac:dyDescent="0.2">
      <c r="A7015" s="140" t="s">
        <v>8898</v>
      </c>
      <c r="B7015" s="141">
        <v>1.4153108429252001E-4</v>
      </c>
      <c r="D7015" s="141"/>
    </row>
    <row r="7016" spans="1:4" x14ac:dyDescent="0.2">
      <c r="A7016" s="140" t="s">
        <v>1897</v>
      </c>
      <c r="B7016" s="141">
        <v>1.4149992559554E-4</v>
      </c>
      <c r="D7016" s="141"/>
    </row>
    <row r="7017" spans="1:4" x14ac:dyDescent="0.2">
      <c r="A7017" s="140" t="s">
        <v>5300</v>
      </c>
      <c r="B7017" s="141">
        <v>1.4144480213719001E-4</v>
      </c>
      <c r="D7017" s="141"/>
    </row>
    <row r="7018" spans="1:4" x14ac:dyDescent="0.2">
      <c r="A7018" s="140" t="s">
        <v>8899</v>
      </c>
      <c r="B7018" s="141">
        <v>1.4132648529498001E-4</v>
      </c>
      <c r="D7018" s="141"/>
    </row>
    <row r="7019" spans="1:4" x14ac:dyDescent="0.2">
      <c r="A7019" s="140" t="s">
        <v>4905</v>
      </c>
      <c r="B7019" s="141">
        <v>1.4131147553111999E-4</v>
      </c>
      <c r="D7019" s="141"/>
    </row>
    <row r="7020" spans="1:4" x14ac:dyDescent="0.2">
      <c r="A7020" s="140" t="s">
        <v>6269</v>
      </c>
      <c r="B7020" s="141">
        <v>1.4129605530447E-4</v>
      </c>
      <c r="D7020" s="141"/>
    </row>
    <row r="7021" spans="1:4" x14ac:dyDescent="0.2">
      <c r="A7021" s="140" t="s">
        <v>4261</v>
      </c>
      <c r="B7021" s="141">
        <v>1.4122282421222E-4</v>
      </c>
      <c r="D7021" s="141"/>
    </row>
    <row r="7022" spans="1:4" x14ac:dyDescent="0.2">
      <c r="A7022" s="140" t="s">
        <v>5921</v>
      </c>
      <c r="B7022" s="141">
        <v>1.4108515952600999E-4</v>
      </c>
      <c r="D7022" s="141"/>
    </row>
    <row r="7023" spans="1:4" x14ac:dyDescent="0.2">
      <c r="A7023" s="140" t="s">
        <v>6236</v>
      </c>
      <c r="B7023" s="141">
        <v>1.4102360831331001E-4</v>
      </c>
      <c r="D7023" s="141"/>
    </row>
    <row r="7024" spans="1:4" x14ac:dyDescent="0.2">
      <c r="A7024" s="140" t="s">
        <v>8900</v>
      </c>
      <c r="B7024" s="141">
        <v>1.4095648489522E-4</v>
      </c>
      <c r="D7024" s="141"/>
    </row>
    <row r="7025" spans="1:4" x14ac:dyDescent="0.2">
      <c r="A7025" s="140" t="s">
        <v>2385</v>
      </c>
      <c r="B7025" s="141">
        <v>1.4091462468578001E-4</v>
      </c>
      <c r="D7025" s="141"/>
    </row>
    <row r="7026" spans="1:4" x14ac:dyDescent="0.2">
      <c r="A7026" s="140" t="s">
        <v>3963</v>
      </c>
      <c r="B7026" s="141">
        <v>1.4087602414189E-4</v>
      </c>
      <c r="D7026" s="141"/>
    </row>
    <row r="7027" spans="1:4" x14ac:dyDescent="0.2">
      <c r="A7027" s="140" t="s">
        <v>1455</v>
      </c>
      <c r="B7027" s="141">
        <v>1.4028550064848001E-4</v>
      </c>
      <c r="D7027" s="141"/>
    </row>
    <row r="7028" spans="1:4" x14ac:dyDescent="0.2">
      <c r="A7028" s="140" t="s">
        <v>8901</v>
      </c>
      <c r="B7028" s="141">
        <v>1.4015039854510999E-4</v>
      </c>
      <c r="D7028" s="141"/>
    </row>
    <row r="7029" spans="1:4" x14ac:dyDescent="0.2">
      <c r="A7029" s="140" t="s">
        <v>541</v>
      </c>
      <c r="B7029" s="141">
        <v>1.3992256601681001E-4</v>
      </c>
      <c r="D7029" s="141"/>
    </row>
    <row r="7030" spans="1:4" x14ac:dyDescent="0.2">
      <c r="A7030" s="140" t="s">
        <v>4646</v>
      </c>
      <c r="B7030" s="141">
        <v>1.3959537148217001E-4</v>
      </c>
      <c r="D7030" s="141"/>
    </row>
    <row r="7031" spans="1:4" x14ac:dyDescent="0.2">
      <c r="A7031" s="140" t="s">
        <v>8902</v>
      </c>
      <c r="B7031" s="141">
        <v>1.3952451272129999E-4</v>
      </c>
      <c r="D7031" s="141"/>
    </row>
    <row r="7032" spans="1:4" x14ac:dyDescent="0.2">
      <c r="A7032" s="140" t="s">
        <v>8903</v>
      </c>
      <c r="B7032" s="141">
        <v>1.3952451272129999E-4</v>
      </c>
      <c r="D7032" s="141"/>
    </row>
    <row r="7033" spans="1:4" x14ac:dyDescent="0.2">
      <c r="A7033" s="140" t="s">
        <v>8904</v>
      </c>
      <c r="B7033" s="141">
        <v>1.3952451272129999E-4</v>
      </c>
      <c r="D7033" s="141"/>
    </row>
    <row r="7034" spans="1:4" x14ac:dyDescent="0.2">
      <c r="A7034" s="140" t="s">
        <v>1697</v>
      </c>
      <c r="B7034" s="141">
        <v>1.3947479213978999E-4</v>
      </c>
      <c r="D7034" s="141"/>
    </row>
    <row r="7035" spans="1:4" x14ac:dyDescent="0.2">
      <c r="A7035" s="140" t="s">
        <v>5730</v>
      </c>
      <c r="B7035" s="141">
        <v>1.3918184632286001E-4</v>
      </c>
      <c r="D7035" s="141"/>
    </row>
    <row r="7036" spans="1:4" x14ac:dyDescent="0.2">
      <c r="A7036" s="140" t="s">
        <v>3736</v>
      </c>
      <c r="B7036" s="141">
        <v>1.3903932775053001E-4</v>
      </c>
      <c r="D7036" s="141"/>
    </row>
    <row r="7037" spans="1:4" x14ac:dyDescent="0.2">
      <c r="A7037" s="140" t="s">
        <v>8905</v>
      </c>
      <c r="B7037" s="141">
        <v>1.3902955678229999E-4</v>
      </c>
      <c r="D7037" s="141"/>
    </row>
    <row r="7038" spans="1:4" x14ac:dyDescent="0.2">
      <c r="A7038" s="140" t="s">
        <v>5329</v>
      </c>
      <c r="B7038" s="141">
        <v>1.3890029892085E-4</v>
      </c>
      <c r="D7038" s="141"/>
    </row>
    <row r="7039" spans="1:4" x14ac:dyDescent="0.2">
      <c r="A7039" s="140" t="s">
        <v>1882</v>
      </c>
      <c r="B7039" s="141">
        <v>1.3887614269642999E-4</v>
      </c>
      <c r="D7039" s="141"/>
    </row>
    <row r="7040" spans="1:4" x14ac:dyDescent="0.2">
      <c r="A7040" s="140" t="s">
        <v>3756</v>
      </c>
      <c r="B7040" s="141">
        <v>1.3881111468089E-4</v>
      </c>
      <c r="D7040" s="141"/>
    </row>
    <row r="7041" spans="1:4" x14ac:dyDescent="0.2">
      <c r="A7041" s="140" t="s">
        <v>8906</v>
      </c>
      <c r="B7041" s="141">
        <v>1.387104059826E-4</v>
      </c>
      <c r="D7041" s="141"/>
    </row>
    <row r="7042" spans="1:4" x14ac:dyDescent="0.2">
      <c r="A7042" s="140" t="s">
        <v>803</v>
      </c>
      <c r="B7042" s="141">
        <v>1.3847805789699E-4</v>
      </c>
      <c r="D7042" s="141"/>
    </row>
    <row r="7043" spans="1:4" x14ac:dyDescent="0.2">
      <c r="A7043" s="140" t="s">
        <v>1132</v>
      </c>
      <c r="B7043" s="141">
        <v>1.3836564155811999E-4</v>
      </c>
      <c r="D7043" s="141"/>
    </row>
    <row r="7044" spans="1:4" x14ac:dyDescent="0.2">
      <c r="A7044" s="140" t="s">
        <v>8907</v>
      </c>
      <c r="B7044" s="141">
        <v>1.3829411206188E-4</v>
      </c>
      <c r="D7044" s="141"/>
    </row>
    <row r="7045" spans="1:4" x14ac:dyDescent="0.2">
      <c r="A7045" s="140" t="s">
        <v>8908</v>
      </c>
      <c r="B7045" s="141">
        <v>1.3823257456887001E-4</v>
      </c>
      <c r="D7045" s="141"/>
    </row>
    <row r="7046" spans="1:4" x14ac:dyDescent="0.2">
      <c r="A7046" s="140" t="s">
        <v>421</v>
      </c>
      <c r="B7046" s="141">
        <v>1.3813508924647E-4</v>
      </c>
      <c r="D7046" s="141"/>
    </row>
    <row r="7047" spans="1:4" x14ac:dyDescent="0.2">
      <c r="A7047" s="140" t="s">
        <v>707</v>
      </c>
      <c r="B7047" s="141">
        <v>1.3812645824310001E-4</v>
      </c>
      <c r="D7047" s="141"/>
    </row>
    <row r="7048" spans="1:4" x14ac:dyDescent="0.2">
      <c r="A7048" s="140" t="s">
        <v>8909</v>
      </c>
      <c r="B7048" s="141">
        <v>1.3807307521509999E-4</v>
      </c>
      <c r="D7048" s="141"/>
    </row>
    <row r="7049" spans="1:4" x14ac:dyDescent="0.2">
      <c r="A7049" s="140" t="s">
        <v>8910</v>
      </c>
      <c r="B7049" s="141">
        <v>1.3789226029341001E-4</v>
      </c>
      <c r="D7049" s="141"/>
    </row>
    <row r="7050" spans="1:4" x14ac:dyDescent="0.2">
      <c r="A7050" s="140" t="s">
        <v>5045</v>
      </c>
      <c r="B7050" s="141">
        <v>1.3787093385004E-4</v>
      </c>
      <c r="D7050" s="141"/>
    </row>
    <row r="7051" spans="1:4" x14ac:dyDescent="0.2">
      <c r="A7051" s="140" t="s">
        <v>926</v>
      </c>
      <c r="B7051" s="141">
        <v>1.3777016285563E-4</v>
      </c>
      <c r="D7051" s="141"/>
    </row>
    <row r="7052" spans="1:4" x14ac:dyDescent="0.2">
      <c r="A7052" s="140" t="s">
        <v>8911</v>
      </c>
      <c r="B7052" s="141">
        <v>1.3772366874297999E-4</v>
      </c>
      <c r="D7052" s="141"/>
    </row>
    <row r="7053" spans="1:4" x14ac:dyDescent="0.2">
      <c r="A7053" s="140" t="s">
        <v>5140</v>
      </c>
      <c r="B7053" s="141">
        <v>1.3766034990867E-4</v>
      </c>
      <c r="D7053" s="141"/>
    </row>
    <row r="7054" spans="1:4" x14ac:dyDescent="0.2">
      <c r="A7054" s="140" t="s">
        <v>8912</v>
      </c>
      <c r="B7054" s="141">
        <v>1.3734852675036999E-4</v>
      </c>
      <c r="D7054" s="141"/>
    </row>
    <row r="7055" spans="1:4" x14ac:dyDescent="0.2">
      <c r="A7055" s="140" t="s">
        <v>686</v>
      </c>
      <c r="B7055" s="141">
        <v>1.3707659357603999E-4</v>
      </c>
      <c r="D7055" s="141"/>
    </row>
    <row r="7056" spans="1:4" x14ac:dyDescent="0.2">
      <c r="A7056" s="140" t="s">
        <v>8913</v>
      </c>
      <c r="B7056" s="141">
        <v>1.3703657707114E-4</v>
      </c>
      <c r="D7056" s="141"/>
    </row>
    <row r="7057" spans="1:4" x14ac:dyDescent="0.2">
      <c r="A7057" s="140" t="s">
        <v>3337</v>
      </c>
      <c r="B7057" s="141">
        <v>1.368291096928E-4</v>
      </c>
      <c r="D7057" s="141"/>
    </row>
    <row r="7058" spans="1:4" x14ac:dyDescent="0.2">
      <c r="A7058" s="140" t="s">
        <v>4563</v>
      </c>
      <c r="B7058" s="141">
        <v>1.3675782459574999E-4</v>
      </c>
      <c r="D7058" s="141"/>
    </row>
    <row r="7059" spans="1:4" x14ac:dyDescent="0.2">
      <c r="A7059" s="140" t="s">
        <v>5522</v>
      </c>
      <c r="B7059" s="141">
        <v>1.3673757944955E-4</v>
      </c>
      <c r="D7059" s="141"/>
    </row>
    <row r="7060" spans="1:4" x14ac:dyDescent="0.2">
      <c r="A7060" s="140" t="s">
        <v>8914</v>
      </c>
      <c r="B7060" s="141">
        <v>1.3663521162301999E-4</v>
      </c>
      <c r="D7060" s="141"/>
    </row>
    <row r="7061" spans="1:4" x14ac:dyDescent="0.2">
      <c r="A7061" s="140" t="s">
        <v>8915</v>
      </c>
      <c r="B7061" s="141">
        <v>1.3662786956809001E-4</v>
      </c>
      <c r="D7061" s="141"/>
    </row>
    <row r="7062" spans="1:4" x14ac:dyDescent="0.2">
      <c r="A7062" s="140" t="s">
        <v>4932</v>
      </c>
      <c r="B7062" s="141">
        <v>1.3658409788059E-4</v>
      </c>
      <c r="D7062" s="141"/>
    </row>
    <row r="7063" spans="1:4" x14ac:dyDescent="0.2">
      <c r="A7063" s="140" t="s">
        <v>2515</v>
      </c>
      <c r="B7063" s="141">
        <v>1.3655871431310999E-4</v>
      </c>
      <c r="D7063" s="141"/>
    </row>
    <row r="7064" spans="1:4" x14ac:dyDescent="0.2">
      <c r="A7064" s="140" t="s">
        <v>3361</v>
      </c>
      <c r="B7064" s="141">
        <v>1.3647565172577E-4</v>
      </c>
      <c r="D7064" s="141"/>
    </row>
    <row r="7065" spans="1:4" x14ac:dyDescent="0.2">
      <c r="A7065" s="140" t="s">
        <v>8916</v>
      </c>
      <c r="B7065" s="141">
        <v>1.3647283876490999E-4</v>
      </c>
      <c r="D7065" s="141"/>
    </row>
    <row r="7066" spans="1:4" x14ac:dyDescent="0.2">
      <c r="A7066" s="140" t="s">
        <v>985</v>
      </c>
      <c r="B7066" s="141">
        <v>1.3607152083371999E-4</v>
      </c>
      <c r="D7066" s="141"/>
    </row>
    <row r="7067" spans="1:4" x14ac:dyDescent="0.2">
      <c r="A7067" s="140" t="s">
        <v>8917</v>
      </c>
      <c r="B7067" s="141">
        <v>1.3562853334838E-4</v>
      </c>
      <c r="D7067" s="141"/>
    </row>
    <row r="7068" spans="1:4" x14ac:dyDescent="0.2">
      <c r="A7068" s="140" t="s">
        <v>476</v>
      </c>
      <c r="B7068" s="141">
        <v>1.3560656443276E-4</v>
      </c>
      <c r="D7068" s="141"/>
    </row>
    <row r="7069" spans="1:4" x14ac:dyDescent="0.2">
      <c r="A7069" s="140" t="s">
        <v>8918</v>
      </c>
      <c r="B7069" s="141">
        <v>1.3559341981347E-4</v>
      </c>
      <c r="D7069" s="141"/>
    </row>
    <row r="7070" spans="1:4" x14ac:dyDescent="0.2">
      <c r="A7070" s="140" t="s">
        <v>5492</v>
      </c>
      <c r="B7070" s="141">
        <v>1.3548852943184999E-4</v>
      </c>
      <c r="D7070" s="141"/>
    </row>
    <row r="7071" spans="1:4" x14ac:dyDescent="0.2">
      <c r="A7071" s="140" t="s">
        <v>8919</v>
      </c>
      <c r="B7071" s="141">
        <v>1.3526288213824001E-4</v>
      </c>
      <c r="D7071" s="141"/>
    </row>
    <row r="7072" spans="1:4" x14ac:dyDescent="0.2">
      <c r="A7072" s="140" t="s">
        <v>5118</v>
      </c>
      <c r="B7072" s="141">
        <v>1.3519636349156001E-4</v>
      </c>
      <c r="D7072" s="141"/>
    </row>
    <row r="7073" spans="1:4" x14ac:dyDescent="0.2">
      <c r="A7073" s="140" t="s">
        <v>3614</v>
      </c>
      <c r="B7073" s="141">
        <v>1.3515634855414E-4</v>
      </c>
      <c r="D7073" s="141"/>
    </row>
    <row r="7074" spans="1:4" x14ac:dyDescent="0.2">
      <c r="A7074" s="140" t="s">
        <v>1947</v>
      </c>
      <c r="B7074" s="141">
        <v>1.3497623246647999E-4</v>
      </c>
      <c r="D7074" s="141"/>
    </row>
    <row r="7075" spans="1:4" x14ac:dyDescent="0.2">
      <c r="A7075" s="140" t="s">
        <v>2069</v>
      </c>
      <c r="B7075" s="141">
        <v>1.3497161749122E-4</v>
      </c>
      <c r="D7075" s="141"/>
    </row>
    <row r="7076" spans="1:4" x14ac:dyDescent="0.2">
      <c r="A7076" s="140" t="s">
        <v>8920</v>
      </c>
      <c r="B7076" s="141">
        <v>1.3473183050305001E-4</v>
      </c>
      <c r="D7076" s="141"/>
    </row>
    <row r="7077" spans="1:4" x14ac:dyDescent="0.2">
      <c r="A7077" s="140" t="s">
        <v>4859</v>
      </c>
      <c r="B7077" s="141">
        <v>1.3456711862829001E-4</v>
      </c>
      <c r="D7077" s="141"/>
    </row>
    <row r="7078" spans="1:4" x14ac:dyDescent="0.2">
      <c r="A7078" s="140" t="s">
        <v>513</v>
      </c>
      <c r="B7078" s="141">
        <v>1.3431038577701001E-4</v>
      </c>
      <c r="D7078" s="141"/>
    </row>
    <row r="7079" spans="1:4" x14ac:dyDescent="0.2">
      <c r="A7079" s="140" t="s">
        <v>2358</v>
      </c>
      <c r="B7079" s="141">
        <v>1.3388157877886999E-4</v>
      </c>
      <c r="D7079" s="141"/>
    </row>
    <row r="7080" spans="1:4" x14ac:dyDescent="0.2">
      <c r="A7080" s="140" t="s">
        <v>8921</v>
      </c>
      <c r="B7080" s="141">
        <v>1.3384632196760001E-4</v>
      </c>
      <c r="D7080" s="141"/>
    </row>
    <row r="7081" spans="1:4" x14ac:dyDescent="0.2">
      <c r="A7081" s="140" t="s">
        <v>2861</v>
      </c>
      <c r="B7081" s="141">
        <v>1.3358630026547E-4</v>
      </c>
      <c r="D7081" s="141"/>
    </row>
    <row r="7082" spans="1:4" x14ac:dyDescent="0.2">
      <c r="A7082" s="140" t="s">
        <v>3535</v>
      </c>
      <c r="B7082" s="141">
        <v>1.3355720541246999E-4</v>
      </c>
      <c r="D7082" s="141"/>
    </row>
    <row r="7083" spans="1:4" x14ac:dyDescent="0.2">
      <c r="A7083" s="140" t="s">
        <v>435</v>
      </c>
      <c r="B7083" s="141">
        <v>1.3349343188394001E-4</v>
      </c>
      <c r="D7083" s="141"/>
    </row>
    <row r="7084" spans="1:4" x14ac:dyDescent="0.2">
      <c r="A7084" s="140" t="s">
        <v>6100</v>
      </c>
      <c r="B7084" s="141">
        <v>1.3347892868987999E-4</v>
      </c>
      <c r="D7084" s="141"/>
    </row>
    <row r="7085" spans="1:4" x14ac:dyDescent="0.2">
      <c r="A7085" s="140" t="s">
        <v>8922</v>
      </c>
      <c r="B7085" s="141">
        <v>1.3347892868987999E-4</v>
      </c>
      <c r="D7085" s="141"/>
    </row>
    <row r="7086" spans="1:4" x14ac:dyDescent="0.2">
      <c r="A7086" s="140" t="s">
        <v>3513</v>
      </c>
      <c r="B7086" s="141">
        <v>1.3347892868987999E-4</v>
      </c>
      <c r="D7086" s="141"/>
    </row>
    <row r="7087" spans="1:4" x14ac:dyDescent="0.2">
      <c r="A7087" s="140" t="s">
        <v>2848</v>
      </c>
      <c r="B7087" s="141">
        <v>1.328700427668E-4</v>
      </c>
      <c r="D7087" s="141"/>
    </row>
    <row r="7088" spans="1:4" x14ac:dyDescent="0.2">
      <c r="A7088" s="140" t="s">
        <v>1035</v>
      </c>
      <c r="B7088" s="141">
        <v>1.3266229751789999E-4</v>
      </c>
      <c r="D7088" s="141"/>
    </row>
    <row r="7089" spans="1:4" x14ac:dyDescent="0.2">
      <c r="A7089" s="140" t="s">
        <v>8923</v>
      </c>
      <c r="B7089" s="141">
        <v>1.3263730156431999E-4</v>
      </c>
      <c r="D7089" s="141"/>
    </row>
    <row r="7090" spans="1:4" x14ac:dyDescent="0.2">
      <c r="A7090" s="140" t="s">
        <v>885</v>
      </c>
      <c r="B7090" s="141">
        <v>1.3244207651402E-4</v>
      </c>
      <c r="D7090" s="141"/>
    </row>
    <row r="7091" spans="1:4" x14ac:dyDescent="0.2">
      <c r="A7091" s="140" t="s">
        <v>8924</v>
      </c>
      <c r="B7091" s="141">
        <v>1.3233088120571999E-4</v>
      </c>
      <c r="D7091" s="141"/>
    </row>
    <row r="7092" spans="1:4" x14ac:dyDescent="0.2">
      <c r="A7092" s="140" t="s">
        <v>4617</v>
      </c>
      <c r="B7092" s="141">
        <v>1.3223945111437999E-4</v>
      </c>
      <c r="D7092" s="141"/>
    </row>
    <row r="7093" spans="1:4" x14ac:dyDescent="0.2">
      <c r="A7093" s="140" t="s">
        <v>3908</v>
      </c>
      <c r="B7093" s="141">
        <v>1.3215651805074E-4</v>
      </c>
      <c r="D7093" s="141"/>
    </row>
    <row r="7094" spans="1:4" x14ac:dyDescent="0.2">
      <c r="A7094" s="140" t="s">
        <v>8925</v>
      </c>
      <c r="B7094" s="141">
        <v>1.3209494583678999E-4</v>
      </c>
      <c r="D7094" s="141"/>
    </row>
    <row r="7095" spans="1:4" x14ac:dyDescent="0.2">
      <c r="A7095" s="140" t="s">
        <v>2903</v>
      </c>
      <c r="B7095" s="141">
        <v>1.3202214895732001E-4</v>
      </c>
      <c r="D7095" s="141"/>
    </row>
    <row r="7096" spans="1:4" x14ac:dyDescent="0.2">
      <c r="A7096" s="140" t="s">
        <v>4050</v>
      </c>
      <c r="B7096" s="141">
        <v>1.3165526425943001E-4</v>
      </c>
      <c r="D7096" s="141"/>
    </row>
    <row r="7097" spans="1:4" x14ac:dyDescent="0.2">
      <c r="A7097" s="140" t="s">
        <v>8926</v>
      </c>
      <c r="B7097" s="141">
        <v>1.316380439666E-4</v>
      </c>
      <c r="D7097" s="141"/>
    </row>
    <row r="7098" spans="1:4" x14ac:dyDescent="0.2">
      <c r="A7098" s="140" t="s">
        <v>4327</v>
      </c>
      <c r="B7098" s="141">
        <v>1.3155138511694001E-4</v>
      </c>
      <c r="D7098" s="141"/>
    </row>
    <row r="7099" spans="1:4" x14ac:dyDescent="0.2">
      <c r="A7099" s="140" t="s">
        <v>5939</v>
      </c>
      <c r="B7099" s="141">
        <v>1.3136349246310001E-4</v>
      </c>
      <c r="D7099" s="141"/>
    </row>
    <row r="7100" spans="1:4" x14ac:dyDescent="0.2">
      <c r="A7100" s="140" t="s">
        <v>8927</v>
      </c>
      <c r="B7100" s="141">
        <v>1.3125594270081001E-4</v>
      </c>
      <c r="D7100" s="141"/>
    </row>
    <row r="7101" spans="1:4" x14ac:dyDescent="0.2">
      <c r="A7101" s="140" t="s">
        <v>8928</v>
      </c>
      <c r="B7101" s="141">
        <v>1.3124925448355999E-4</v>
      </c>
      <c r="D7101" s="141"/>
    </row>
    <row r="7102" spans="1:4" x14ac:dyDescent="0.2">
      <c r="A7102" s="140" t="s">
        <v>4934</v>
      </c>
      <c r="B7102" s="141">
        <v>1.3115510482392001E-4</v>
      </c>
      <c r="D7102" s="141"/>
    </row>
    <row r="7103" spans="1:4" x14ac:dyDescent="0.2">
      <c r="A7103" s="140" t="s">
        <v>8929</v>
      </c>
      <c r="B7103" s="141">
        <v>1.3108382139592E-4</v>
      </c>
      <c r="D7103" s="141"/>
    </row>
    <row r="7104" spans="1:4" x14ac:dyDescent="0.2">
      <c r="A7104" s="140" t="s">
        <v>1677</v>
      </c>
      <c r="B7104" s="141">
        <v>1.3108382139592E-4</v>
      </c>
      <c r="D7104" s="141"/>
    </row>
    <row r="7105" spans="1:4" x14ac:dyDescent="0.2">
      <c r="A7105" s="140" t="s">
        <v>8930</v>
      </c>
      <c r="B7105" s="141">
        <v>1.3101905677600999E-4</v>
      </c>
      <c r="D7105" s="141"/>
    </row>
    <row r="7106" spans="1:4" x14ac:dyDescent="0.2">
      <c r="A7106" s="140" t="s">
        <v>8931</v>
      </c>
      <c r="B7106" s="141">
        <v>1.3075014356888999E-4</v>
      </c>
      <c r="D7106" s="141"/>
    </row>
    <row r="7107" spans="1:4" x14ac:dyDescent="0.2">
      <c r="A7107" s="140" t="s">
        <v>1448</v>
      </c>
      <c r="B7107" s="141">
        <v>1.3066615131974001E-4</v>
      </c>
      <c r="D7107" s="141"/>
    </row>
    <row r="7108" spans="1:4" x14ac:dyDescent="0.2">
      <c r="A7108" s="140" t="s">
        <v>5207</v>
      </c>
      <c r="B7108" s="141">
        <v>1.3065534510766001E-4</v>
      </c>
      <c r="D7108" s="141"/>
    </row>
    <row r="7109" spans="1:4" x14ac:dyDescent="0.2">
      <c r="A7109" s="140" t="s">
        <v>2709</v>
      </c>
      <c r="B7109" s="141">
        <v>1.3052880886441E-4</v>
      </c>
      <c r="D7109" s="141"/>
    </row>
    <row r="7110" spans="1:4" x14ac:dyDescent="0.2">
      <c r="A7110" s="140" t="s">
        <v>8932</v>
      </c>
      <c r="B7110" s="141">
        <v>1.3047050947389001E-4</v>
      </c>
      <c r="D7110" s="141"/>
    </row>
    <row r="7111" spans="1:4" x14ac:dyDescent="0.2">
      <c r="A7111" s="140" t="s">
        <v>8933</v>
      </c>
      <c r="B7111" s="141">
        <v>1.3029310520229999E-4</v>
      </c>
      <c r="D7111" s="141"/>
    </row>
    <row r="7112" spans="1:4" x14ac:dyDescent="0.2">
      <c r="A7112" s="140" t="s">
        <v>2473</v>
      </c>
      <c r="B7112" s="141">
        <v>1.3025443290544999E-4</v>
      </c>
      <c r="D7112" s="141"/>
    </row>
    <row r="7113" spans="1:4" x14ac:dyDescent="0.2">
      <c r="A7113" s="140" t="s">
        <v>1733</v>
      </c>
      <c r="B7113" s="141">
        <v>1.3019624344617E-4</v>
      </c>
      <c r="D7113" s="141"/>
    </row>
    <row r="7114" spans="1:4" x14ac:dyDescent="0.2">
      <c r="A7114" s="140" t="s">
        <v>4491</v>
      </c>
      <c r="B7114" s="141">
        <v>1.2978794232703999E-4</v>
      </c>
      <c r="D7114" s="141"/>
    </row>
    <row r="7115" spans="1:4" x14ac:dyDescent="0.2">
      <c r="A7115" s="140" t="s">
        <v>1284</v>
      </c>
      <c r="B7115" s="141">
        <v>1.2959471946633001E-4</v>
      </c>
      <c r="D7115" s="141"/>
    </row>
    <row r="7116" spans="1:4" x14ac:dyDescent="0.2">
      <c r="A7116" s="140" t="s">
        <v>8934</v>
      </c>
      <c r="B7116" s="141">
        <v>1.2956878475303999E-4</v>
      </c>
      <c r="D7116" s="141"/>
    </row>
    <row r="7117" spans="1:4" x14ac:dyDescent="0.2">
      <c r="A7117" s="140" t="s">
        <v>8935</v>
      </c>
      <c r="B7117" s="141">
        <v>1.2952643633173E-4</v>
      </c>
      <c r="D7117" s="141"/>
    </row>
    <row r="7118" spans="1:4" x14ac:dyDescent="0.2">
      <c r="A7118" s="140" t="s">
        <v>8936</v>
      </c>
      <c r="B7118" s="141">
        <v>1.2943909330584999E-4</v>
      </c>
      <c r="D7118" s="141"/>
    </row>
    <row r="7119" spans="1:4" x14ac:dyDescent="0.2">
      <c r="A7119" s="140" t="s">
        <v>1288</v>
      </c>
      <c r="B7119" s="141">
        <v>1.2926096897856001E-4</v>
      </c>
      <c r="D7119" s="141"/>
    </row>
    <row r="7120" spans="1:4" x14ac:dyDescent="0.2">
      <c r="A7120" s="140" t="s">
        <v>6054</v>
      </c>
      <c r="B7120" s="141">
        <v>1.2921740830124001E-4</v>
      </c>
      <c r="D7120" s="141"/>
    </row>
    <row r="7121" spans="1:4" x14ac:dyDescent="0.2">
      <c r="A7121" s="140" t="s">
        <v>8937</v>
      </c>
      <c r="B7121" s="141">
        <v>1.2915968579439E-4</v>
      </c>
      <c r="D7121" s="141"/>
    </row>
    <row r="7122" spans="1:4" x14ac:dyDescent="0.2">
      <c r="A7122" s="140" t="s">
        <v>5192</v>
      </c>
      <c r="B7122" s="141">
        <v>1.2892798781415001E-4</v>
      </c>
      <c r="D7122" s="141"/>
    </row>
    <row r="7123" spans="1:4" x14ac:dyDescent="0.2">
      <c r="A7123" s="140" t="s">
        <v>2068</v>
      </c>
      <c r="B7123" s="141">
        <v>1.2880257734396001E-4</v>
      </c>
      <c r="D7123" s="141"/>
    </row>
    <row r="7124" spans="1:4" x14ac:dyDescent="0.2">
      <c r="A7124" s="140" t="s">
        <v>8938</v>
      </c>
      <c r="B7124" s="141">
        <v>1.2880257734396001E-4</v>
      </c>
      <c r="D7124" s="141"/>
    </row>
    <row r="7125" spans="1:4" x14ac:dyDescent="0.2">
      <c r="A7125" s="140" t="s">
        <v>8939</v>
      </c>
      <c r="B7125" s="141">
        <v>1.2856411889008E-4</v>
      </c>
      <c r="D7125" s="141"/>
    </row>
    <row r="7126" spans="1:4" x14ac:dyDescent="0.2">
      <c r="A7126" s="140" t="s">
        <v>2744</v>
      </c>
      <c r="B7126" s="141">
        <v>1.2841172071333001E-4</v>
      </c>
      <c r="D7126" s="141"/>
    </row>
    <row r="7127" spans="1:4" x14ac:dyDescent="0.2">
      <c r="A7127" s="140" t="s">
        <v>4393</v>
      </c>
      <c r="B7127" s="141">
        <v>1.2839531529251999E-4</v>
      </c>
      <c r="D7127" s="141"/>
    </row>
    <row r="7128" spans="1:4" x14ac:dyDescent="0.2">
      <c r="A7128" s="140" t="s">
        <v>4127</v>
      </c>
      <c r="B7128" s="141">
        <v>1.2800742878693E-4</v>
      </c>
      <c r="D7128" s="141"/>
    </row>
    <row r="7129" spans="1:4" x14ac:dyDescent="0.2">
      <c r="A7129" s="140" t="s">
        <v>8940</v>
      </c>
      <c r="B7129" s="141">
        <v>1.2789407921768E-4</v>
      </c>
      <c r="D7129" s="141"/>
    </row>
    <row r="7130" spans="1:4" x14ac:dyDescent="0.2">
      <c r="A7130" s="140" t="s">
        <v>4464</v>
      </c>
      <c r="B7130" s="141">
        <v>1.2765377848665999E-4</v>
      </c>
      <c r="D7130" s="141"/>
    </row>
    <row r="7131" spans="1:4" x14ac:dyDescent="0.2">
      <c r="A7131" s="140" t="s">
        <v>8941</v>
      </c>
      <c r="B7131" s="141">
        <v>1.2762867745477001E-4</v>
      </c>
      <c r="D7131" s="141"/>
    </row>
    <row r="7132" spans="1:4" x14ac:dyDescent="0.2">
      <c r="A7132" s="140" t="s">
        <v>5256</v>
      </c>
      <c r="B7132" s="141">
        <v>1.2748026401036001E-4</v>
      </c>
      <c r="D7132" s="141"/>
    </row>
    <row r="7133" spans="1:4" x14ac:dyDescent="0.2">
      <c r="A7133" s="140" t="s">
        <v>5050</v>
      </c>
      <c r="B7133" s="141">
        <v>1.2730657959413E-4</v>
      </c>
      <c r="D7133" s="141"/>
    </row>
    <row r="7134" spans="1:4" x14ac:dyDescent="0.2">
      <c r="A7134" s="140" t="s">
        <v>914</v>
      </c>
      <c r="B7134" s="141">
        <v>1.2673765677254E-4</v>
      </c>
      <c r="D7134" s="141"/>
    </row>
    <row r="7135" spans="1:4" x14ac:dyDescent="0.2">
      <c r="A7135" s="140" t="s">
        <v>8942</v>
      </c>
      <c r="B7135" s="141">
        <v>1.2667614009842E-4</v>
      </c>
      <c r="D7135" s="141"/>
    </row>
    <row r="7136" spans="1:4" x14ac:dyDescent="0.2">
      <c r="A7136" s="140" t="s">
        <v>5741</v>
      </c>
      <c r="B7136" s="141">
        <v>1.2651522584369E-4</v>
      </c>
      <c r="D7136" s="141"/>
    </row>
    <row r="7137" spans="1:4" x14ac:dyDescent="0.2">
      <c r="A7137" s="140" t="s">
        <v>3028</v>
      </c>
      <c r="B7137" s="141">
        <v>1.2651522584369E-4</v>
      </c>
      <c r="D7137" s="141"/>
    </row>
    <row r="7138" spans="1:4" x14ac:dyDescent="0.2">
      <c r="A7138" s="140" t="s">
        <v>8943</v>
      </c>
      <c r="B7138" s="141">
        <v>1.2651522584369E-4</v>
      </c>
      <c r="D7138" s="141"/>
    </row>
    <row r="7139" spans="1:4" x14ac:dyDescent="0.2">
      <c r="A7139" s="140" t="s">
        <v>1349</v>
      </c>
      <c r="B7139" s="141">
        <v>1.2651522584369E-4</v>
      </c>
      <c r="D7139" s="141"/>
    </row>
    <row r="7140" spans="1:4" x14ac:dyDescent="0.2">
      <c r="A7140" s="140" t="s">
        <v>8944</v>
      </c>
      <c r="B7140" s="141">
        <v>1.2651522584369E-4</v>
      </c>
      <c r="D7140" s="141"/>
    </row>
    <row r="7141" spans="1:4" x14ac:dyDescent="0.2">
      <c r="A7141" s="140" t="s">
        <v>3304</v>
      </c>
      <c r="B7141" s="141">
        <v>1.2649932782715E-4</v>
      </c>
      <c r="D7141" s="141"/>
    </row>
    <row r="7142" spans="1:4" x14ac:dyDescent="0.2">
      <c r="A7142" s="140" t="s">
        <v>1532</v>
      </c>
      <c r="B7142" s="141">
        <v>1.2644942063318E-4</v>
      </c>
      <c r="D7142" s="141"/>
    </row>
    <row r="7143" spans="1:4" x14ac:dyDescent="0.2">
      <c r="A7143" s="140" t="s">
        <v>1317</v>
      </c>
      <c r="B7143" s="141">
        <v>1.2618183068255999E-4</v>
      </c>
      <c r="D7143" s="141"/>
    </row>
    <row r="7144" spans="1:4" x14ac:dyDescent="0.2">
      <c r="A7144" s="140" t="s">
        <v>870</v>
      </c>
      <c r="B7144" s="141">
        <v>1.2608081599537E-4</v>
      </c>
      <c r="D7144" s="141"/>
    </row>
    <row r="7145" spans="1:4" x14ac:dyDescent="0.2">
      <c r="A7145" s="140" t="s">
        <v>575</v>
      </c>
      <c r="B7145" s="141">
        <v>1.2607473155466E-4</v>
      </c>
      <c r="D7145" s="141"/>
    </row>
    <row r="7146" spans="1:4" x14ac:dyDescent="0.2">
      <c r="A7146" s="140" t="s">
        <v>8945</v>
      </c>
      <c r="B7146" s="141">
        <v>1.2601729376114E-4</v>
      </c>
      <c r="D7146" s="141"/>
    </row>
    <row r="7147" spans="1:4" x14ac:dyDescent="0.2">
      <c r="A7147" s="140" t="s">
        <v>8946</v>
      </c>
      <c r="B7147" s="141">
        <v>1.2598682276129E-4</v>
      </c>
      <c r="D7147" s="141"/>
    </row>
    <row r="7148" spans="1:4" x14ac:dyDescent="0.2">
      <c r="A7148" s="140" t="s">
        <v>8947</v>
      </c>
      <c r="B7148" s="141">
        <v>1.2592860991677001E-4</v>
      </c>
      <c r="D7148" s="141"/>
    </row>
    <row r="7149" spans="1:4" x14ac:dyDescent="0.2">
      <c r="A7149" s="140" t="s">
        <v>5421</v>
      </c>
      <c r="B7149" s="141">
        <v>1.2547180097848999E-4</v>
      </c>
      <c r="D7149" s="141"/>
    </row>
    <row r="7150" spans="1:4" x14ac:dyDescent="0.2">
      <c r="A7150" s="140" t="s">
        <v>4133</v>
      </c>
      <c r="B7150" s="141">
        <v>1.2515414376934001E-4</v>
      </c>
      <c r="D7150" s="141"/>
    </row>
    <row r="7151" spans="1:4" x14ac:dyDescent="0.2">
      <c r="A7151" s="140" t="s">
        <v>8948</v>
      </c>
      <c r="B7151" s="141">
        <v>1.2512918733465999E-4</v>
      </c>
      <c r="D7151" s="141"/>
    </row>
    <row r="7152" spans="1:4" x14ac:dyDescent="0.2">
      <c r="A7152" s="140" t="s">
        <v>4928</v>
      </c>
      <c r="B7152" s="141">
        <v>1.2487907022586001E-4</v>
      </c>
      <c r="D7152" s="141"/>
    </row>
    <row r="7153" spans="1:4" x14ac:dyDescent="0.2">
      <c r="A7153" s="140" t="s">
        <v>5195</v>
      </c>
      <c r="B7153" s="141">
        <v>1.2475135080762E-4</v>
      </c>
      <c r="D7153" s="141"/>
    </row>
    <row r="7154" spans="1:4" x14ac:dyDescent="0.2">
      <c r="A7154" s="140" t="s">
        <v>1993</v>
      </c>
      <c r="B7154" s="141">
        <v>1.2468544771200999E-4</v>
      </c>
      <c r="D7154" s="141"/>
    </row>
    <row r="7155" spans="1:4" x14ac:dyDescent="0.2">
      <c r="A7155" s="140" t="s">
        <v>8949</v>
      </c>
      <c r="B7155" s="141">
        <v>1.2441561059067999E-4</v>
      </c>
      <c r="D7155" s="141"/>
    </row>
    <row r="7156" spans="1:4" x14ac:dyDescent="0.2">
      <c r="A7156" s="140" t="s">
        <v>2623</v>
      </c>
      <c r="B7156" s="141">
        <v>1.2419970158642E-4</v>
      </c>
      <c r="D7156" s="141"/>
    </row>
    <row r="7157" spans="1:4" x14ac:dyDescent="0.2">
      <c r="A7157" s="140" t="s">
        <v>3510</v>
      </c>
      <c r="B7157" s="141">
        <v>1.2416749467940999E-4</v>
      </c>
      <c r="D7157" s="141"/>
    </row>
    <row r="7158" spans="1:4" x14ac:dyDescent="0.2">
      <c r="A7158" s="140" t="s">
        <v>8950</v>
      </c>
      <c r="B7158" s="141">
        <v>1.2408653217101001E-4</v>
      </c>
      <c r="D7158" s="141"/>
    </row>
    <row r="7159" spans="1:4" x14ac:dyDescent="0.2">
      <c r="A7159" s="140" t="s">
        <v>8951</v>
      </c>
      <c r="B7159" s="141">
        <v>1.2401997116929001E-4</v>
      </c>
      <c r="D7159" s="141"/>
    </row>
    <row r="7160" spans="1:4" x14ac:dyDescent="0.2">
      <c r="A7160" s="140" t="s">
        <v>8952</v>
      </c>
      <c r="B7160" s="141">
        <v>1.2401997116929001E-4</v>
      </c>
      <c r="D7160" s="141"/>
    </row>
    <row r="7161" spans="1:4" x14ac:dyDescent="0.2">
      <c r="A7161" s="140" t="s">
        <v>8953</v>
      </c>
      <c r="B7161" s="141">
        <v>1.2401997116929001E-4</v>
      </c>
      <c r="D7161" s="141"/>
    </row>
    <row r="7162" spans="1:4" x14ac:dyDescent="0.2">
      <c r="A7162" s="140" t="s">
        <v>8954</v>
      </c>
      <c r="B7162" s="141">
        <v>1.2401997116929001E-4</v>
      </c>
      <c r="D7162" s="141"/>
    </row>
    <row r="7163" spans="1:4" x14ac:dyDescent="0.2">
      <c r="A7163" s="140" t="s">
        <v>6351</v>
      </c>
      <c r="B7163" s="141">
        <v>1.2371329805446001E-4</v>
      </c>
      <c r="D7163" s="141"/>
    </row>
    <row r="7164" spans="1:4" x14ac:dyDescent="0.2">
      <c r="A7164" s="140" t="s">
        <v>4066</v>
      </c>
      <c r="B7164" s="141">
        <v>1.2348696844719E-4</v>
      </c>
      <c r="D7164" s="141"/>
    </row>
    <row r="7165" spans="1:4" x14ac:dyDescent="0.2">
      <c r="A7165" s="140" t="s">
        <v>4834</v>
      </c>
      <c r="B7165" s="141">
        <v>1.2346800249249E-4</v>
      </c>
      <c r="D7165" s="141"/>
    </row>
    <row r="7166" spans="1:4" x14ac:dyDescent="0.2">
      <c r="A7166" s="140" t="s">
        <v>5088</v>
      </c>
      <c r="B7166" s="141">
        <v>1.2342884670587999E-4</v>
      </c>
      <c r="D7166" s="141"/>
    </row>
    <row r="7167" spans="1:4" x14ac:dyDescent="0.2">
      <c r="A7167" s="140" t="s">
        <v>2174</v>
      </c>
      <c r="B7167" s="141">
        <v>1.2341230613792999E-4</v>
      </c>
      <c r="D7167" s="141"/>
    </row>
    <row r="7168" spans="1:4" x14ac:dyDescent="0.2">
      <c r="A7168" s="140" t="s">
        <v>906</v>
      </c>
      <c r="B7168" s="141">
        <v>1.2307517478690001E-4</v>
      </c>
      <c r="D7168" s="141"/>
    </row>
    <row r="7169" spans="1:4" x14ac:dyDescent="0.2">
      <c r="A7169" s="140" t="s">
        <v>581</v>
      </c>
      <c r="B7169" s="141">
        <v>1.2300586635453001E-4</v>
      </c>
      <c r="D7169" s="141"/>
    </row>
    <row r="7170" spans="1:4" x14ac:dyDescent="0.2">
      <c r="A7170" s="140" t="s">
        <v>8955</v>
      </c>
      <c r="B7170" s="141">
        <v>1.2300506106980999E-4</v>
      </c>
      <c r="D7170" s="141"/>
    </row>
    <row r="7171" spans="1:4" x14ac:dyDescent="0.2">
      <c r="A7171" s="140" t="s">
        <v>8956</v>
      </c>
      <c r="B7171" s="141">
        <v>1.2292290328981E-4</v>
      </c>
      <c r="D7171" s="141"/>
    </row>
    <row r="7172" spans="1:4" x14ac:dyDescent="0.2">
      <c r="A7172" s="140" t="s">
        <v>1424</v>
      </c>
      <c r="B7172" s="141">
        <v>1.2280801357647999E-4</v>
      </c>
      <c r="D7172" s="141"/>
    </row>
    <row r="7173" spans="1:4" x14ac:dyDescent="0.2">
      <c r="A7173" s="140" t="s">
        <v>8957</v>
      </c>
      <c r="B7173" s="141">
        <v>1.2278875724509999E-4</v>
      </c>
      <c r="D7173" s="141"/>
    </row>
    <row r="7174" spans="1:4" x14ac:dyDescent="0.2">
      <c r="A7174" s="140" t="s">
        <v>4874</v>
      </c>
      <c r="B7174" s="141">
        <v>1.2248265732152001E-4</v>
      </c>
      <c r="D7174" s="141"/>
    </row>
    <row r="7175" spans="1:4" x14ac:dyDescent="0.2">
      <c r="A7175" s="140" t="s">
        <v>1488</v>
      </c>
      <c r="B7175" s="141">
        <v>1.2247068741360999E-4</v>
      </c>
      <c r="D7175" s="141"/>
    </row>
    <row r="7176" spans="1:4" x14ac:dyDescent="0.2">
      <c r="A7176" s="140" t="s">
        <v>3463</v>
      </c>
      <c r="B7176" s="141">
        <v>1.2232501462674001E-4</v>
      </c>
      <c r="D7176" s="141"/>
    </row>
    <row r="7177" spans="1:4" x14ac:dyDescent="0.2">
      <c r="A7177" s="140" t="s">
        <v>8958</v>
      </c>
      <c r="B7177" s="141">
        <v>1.2230945171646E-4</v>
      </c>
      <c r="D7177" s="141"/>
    </row>
    <row r="7178" spans="1:4" x14ac:dyDescent="0.2">
      <c r="A7178" s="140" t="s">
        <v>8959</v>
      </c>
      <c r="B7178" s="141">
        <v>1.2221756919108E-4</v>
      </c>
      <c r="D7178" s="141"/>
    </row>
    <row r="7179" spans="1:4" x14ac:dyDescent="0.2">
      <c r="A7179" s="140" t="s">
        <v>3017</v>
      </c>
      <c r="B7179" s="141">
        <v>1.2199427397519E-4</v>
      </c>
      <c r="D7179" s="141"/>
    </row>
    <row r="7180" spans="1:4" x14ac:dyDescent="0.2">
      <c r="A7180" s="140" t="s">
        <v>5986</v>
      </c>
      <c r="B7180" s="141">
        <v>1.2192161745717E-4</v>
      </c>
      <c r="D7180" s="141"/>
    </row>
    <row r="7181" spans="1:4" x14ac:dyDescent="0.2">
      <c r="A7181" s="140" t="s">
        <v>3977</v>
      </c>
      <c r="B7181" s="141">
        <v>1.2164793296776E-4</v>
      </c>
      <c r="D7181" s="141"/>
    </row>
    <row r="7182" spans="1:4" x14ac:dyDescent="0.2">
      <c r="A7182" s="140" t="s">
        <v>8960</v>
      </c>
      <c r="B7182" s="141">
        <v>1.215201909763E-4</v>
      </c>
      <c r="D7182" s="141"/>
    </row>
    <row r="7183" spans="1:4" x14ac:dyDescent="0.2">
      <c r="A7183" s="140" t="s">
        <v>3389</v>
      </c>
      <c r="B7183" s="141">
        <v>1.2137100769930999E-4</v>
      </c>
      <c r="D7183" s="141"/>
    </row>
    <row r="7184" spans="1:4" x14ac:dyDescent="0.2">
      <c r="A7184" s="140" t="s">
        <v>1904</v>
      </c>
      <c r="B7184" s="141">
        <v>1.213384324316E-4</v>
      </c>
      <c r="D7184" s="141"/>
    </row>
    <row r="7185" spans="1:4" x14ac:dyDescent="0.2">
      <c r="A7185" s="140" t="s">
        <v>3371</v>
      </c>
      <c r="B7185" s="141">
        <v>1.2122205429634001E-4</v>
      </c>
      <c r="D7185" s="141"/>
    </row>
    <row r="7186" spans="1:4" x14ac:dyDescent="0.2">
      <c r="A7186" s="140" t="s">
        <v>3925</v>
      </c>
      <c r="B7186" s="141">
        <v>1.2047318346676E-4</v>
      </c>
      <c r="D7186" s="141"/>
    </row>
    <row r="7187" spans="1:4" x14ac:dyDescent="0.2">
      <c r="A7187" s="140" t="s">
        <v>8961</v>
      </c>
      <c r="B7187" s="141">
        <v>1.2037063133288001E-4</v>
      </c>
      <c r="D7187" s="141"/>
    </row>
    <row r="7188" spans="1:4" x14ac:dyDescent="0.2">
      <c r="A7188" s="140" t="s">
        <v>8962</v>
      </c>
      <c r="B7188" s="141">
        <v>1.2024577750105E-4</v>
      </c>
      <c r="D7188" s="141"/>
    </row>
    <row r="7189" spans="1:4" x14ac:dyDescent="0.2">
      <c r="A7189" s="140" t="s">
        <v>3976</v>
      </c>
      <c r="B7189" s="141">
        <v>1.2021308796458999E-4</v>
      </c>
      <c r="D7189" s="141"/>
    </row>
    <row r="7190" spans="1:4" x14ac:dyDescent="0.2">
      <c r="A7190" s="140" t="s">
        <v>8963</v>
      </c>
      <c r="B7190" s="141">
        <v>1.2020198056601E-4</v>
      </c>
      <c r="D7190" s="141"/>
    </row>
    <row r="7191" spans="1:4" x14ac:dyDescent="0.2">
      <c r="A7191" s="140" t="s">
        <v>1909</v>
      </c>
      <c r="B7191" s="141">
        <v>1.2008729345421001E-4</v>
      </c>
      <c r="D7191" s="141"/>
    </row>
    <row r="7192" spans="1:4" x14ac:dyDescent="0.2">
      <c r="A7192" s="140" t="s">
        <v>8964</v>
      </c>
      <c r="B7192" s="141">
        <v>1.2001663145728E-4</v>
      </c>
      <c r="D7192" s="141"/>
    </row>
    <row r="7193" spans="1:4" x14ac:dyDescent="0.2">
      <c r="A7193" s="140" t="s">
        <v>8965</v>
      </c>
      <c r="B7193" s="141">
        <v>1.2001663145728E-4</v>
      </c>
      <c r="D7193" s="141"/>
    </row>
    <row r="7194" spans="1:4" x14ac:dyDescent="0.2">
      <c r="A7194" s="140" t="s">
        <v>8966</v>
      </c>
      <c r="B7194" s="141">
        <v>1.1995695331823E-4</v>
      </c>
      <c r="D7194" s="141"/>
    </row>
    <row r="7195" spans="1:4" x14ac:dyDescent="0.2">
      <c r="A7195" s="140" t="s">
        <v>5029</v>
      </c>
      <c r="B7195" s="141">
        <v>1.1966241894159E-4</v>
      </c>
      <c r="D7195" s="141"/>
    </row>
    <row r="7196" spans="1:4" x14ac:dyDescent="0.2">
      <c r="A7196" s="140" t="s">
        <v>966</v>
      </c>
      <c r="B7196" s="141">
        <v>1.1958127120542E-4</v>
      </c>
      <c r="D7196" s="141"/>
    </row>
    <row r="7197" spans="1:4" x14ac:dyDescent="0.2">
      <c r="A7197" s="140" t="s">
        <v>702</v>
      </c>
      <c r="B7197" s="141">
        <v>1.1930599515467E-4</v>
      </c>
      <c r="D7197" s="141"/>
    </row>
    <row r="7198" spans="1:4" x14ac:dyDescent="0.2">
      <c r="A7198" s="140" t="s">
        <v>2454</v>
      </c>
      <c r="B7198" s="141">
        <v>1.1921820754233E-4</v>
      </c>
      <c r="D7198" s="141"/>
    </row>
    <row r="7199" spans="1:4" x14ac:dyDescent="0.2">
      <c r="A7199" s="140" t="s">
        <v>1618</v>
      </c>
      <c r="B7199" s="141">
        <v>1.1921699653553E-4</v>
      </c>
      <c r="D7199" s="141"/>
    </row>
    <row r="7200" spans="1:4" x14ac:dyDescent="0.2">
      <c r="A7200" s="140" t="s">
        <v>4720</v>
      </c>
      <c r="B7200" s="141">
        <v>1.1918722893274E-4</v>
      </c>
      <c r="D7200" s="141"/>
    </row>
    <row r="7201" spans="1:4" x14ac:dyDescent="0.2">
      <c r="A7201" s="140" t="s">
        <v>1518</v>
      </c>
      <c r="B7201" s="141">
        <v>1.1894804010283001E-4</v>
      </c>
      <c r="D7201" s="141"/>
    </row>
    <row r="7202" spans="1:4" x14ac:dyDescent="0.2">
      <c r="A7202" s="140" t="s">
        <v>6087</v>
      </c>
      <c r="B7202" s="141">
        <v>1.1870384352629E-4</v>
      </c>
      <c r="D7202" s="141"/>
    </row>
    <row r="7203" spans="1:4" x14ac:dyDescent="0.2">
      <c r="A7203" s="140" t="s">
        <v>5753</v>
      </c>
      <c r="B7203" s="141">
        <v>1.1867286408202E-4</v>
      </c>
      <c r="D7203" s="141"/>
    </row>
    <row r="7204" spans="1:4" x14ac:dyDescent="0.2">
      <c r="A7204" s="140" t="s">
        <v>8967</v>
      </c>
      <c r="B7204" s="141">
        <v>1.1831369993247999E-4</v>
      </c>
      <c r="D7204" s="141"/>
    </row>
    <row r="7205" spans="1:4" x14ac:dyDescent="0.2">
      <c r="A7205" s="140" t="s">
        <v>4940</v>
      </c>
      <c r="B7205" s="141">
        <v>1.1819638702769E-4</v>
      </c>
      <c r="D7205" s="141"/>
    </row>
    <row r="7206" spans="1:4" x14ac:dyDescent="0.2">
      <c r="A7206" s="140" t="s">
        <v>1247</v>
      </c>
      <c r="B7206" s="141">
        <v>1.17977587481E-4</v>
      </c>
      <c r="D7206" s="141"/>
    </row>
    <row r="7207" spans="1:4" x14ac:dyDescent="0.2">
      <c r="A7207" s="140" t="s">
        <v>5644</v>
      </c>
      <c r="B7207" s="141">
        <v>1.1795753116805E-4</v>
      </c>
      <c r="D7207" s="141"/>
    </row>
    <row r="7208" spans="1:4" x14ac:dyDescent="0.2">
      <c r="A7208" s="140" t="s">
        <v>4753</v>
      </c>
      <c r="B7208" s="141">
        <v>1.1759248745967E-4</v>
      </c>
      <c r="D7208" s="141"/>
    </row>
    <row r="7209" spans="1:4" x14ac:dyDescent="0.2">
      <c r="A7209" s="140" t="s">
        <v>1746</v>
      </c>
      <c r="B7209" s="141">
        <v>1.1753125654279001E-4</v>
      </c>
      <c r="D7209" s="141"/>
    </row>
    <row r="7210" spans="1:4" x14ac:dyDescent="0.2">
      <c r="A7210" s="140" t="s">
        <v>8968</v>
      </c>
      <c r="B7210" s="141">
        <v>1.1750923001997001E-4</v>
      </c>
      <c r="D7210" s="141"/>
    </row>
    <row r="7211" spans="1:4" x14ac:dyDescent="0.2">
      <c r="A7211" s="140" t="s">
        <v>5236</v>
      </c>
      <c r="B7211" s="141">
        <v>1.1750323253194E-4</v>
      </c>
      <c r="D7211" s="141"/>
    </row>
    <row r="7212" spans="1:4" x14ac:dyDescent="0.2">
      <c r="A7212" s="140" t="s">
        <v>5004</v>
      </c>
      <c r="B7212" s="141">
        <v>1.1746573395119E-4</v>
      </c>
      <c r="D7212" s="141"/>
    </row>
    <row r="7213" spans="1:4" x14ac:dyDescent="0.2">
      <c r="A7213" s="140" t="s">
        <v>8969</v>
      </c>
      <c r="B7213" s="141">
        <v>1.1730176198379E-4</v>
      </c>
      <c r="D7213" s="141"/>
    </row>
    <row r="7214" spans="1:4" x14ac:dyDescent="0.2">
      <c r="A7214" s="140" t="s">
        <v>2451</v>
      </c>
      <c r="B7214" s="141">
        <v>1.1730176198379E-4</v>
      </c>
      <c r="D7214" s="141"/>
    </row>
    <row r="7215" spans="1:4" x14ac:dyDescent="0.2">
      <c r="A7215" s="140" t="s">
        <v>8970</v>
      </c>
      <c r="B7215" s="141">
        <v>1.1717290648968E-4</v>
      </c>
      <c r="D7215" s="141"/>
    </row>
    <row r="7216" spans="1:4" x14ac:dyDescent="0.2">
      <c r="A7216" s="140" t="s">
        <v>893</v>
      </c>
      <c r="B7216" s="141">
        <v>1.1716177039885001E-4</v>
      </c>
      <c r="D7216" s="141"/>
    </row>
    <row r="7217" spans="1:4" x14ac:dyDescent="0.2">
      <c r="A7217" s="140" t="s">
        <v>831</v>
      </c>
      <c r="B7217" s="141">
        <v>1.1716177039885001E-4</v>
      </c>
      <c r="D7217" s="141"/>
    </row>
    <row r="7218" spans="1:4" x14ac:dyDescent="0.2">
      <c r="A7218" s="140" t="s">
        <v>3223</v>
      </c>
      <c r="B7218" s="141">
        <v>1.170757248713E-4</v>
      </c>
      <c r="D7218" s="141"/>
    </row>
    <row r="7219" spans="1:4" x14ac:dyDescent="0.2">
      <c r="A7219" s="140" t="s">
        <v>450</v>
      </c>
      <c r="B7219" s="141">
        <v>1.1698400801735E-4</v>
      </c>
      <c r="D7219" s="141"/>
    </row>
    <row r="7220" spans="1:4" x14ac:dyDescent="0.2">
      <c r="A7220" s="140" t="s">
        <v>8971</v>
      </c>
      <c r="B7220" s="141">
        <v>1.1697261533082001E-4</v>
      </c>
      <c r="D7220" s="141"/>
    </row>
    <row r="7221" spans="1:4" x14ac:dyDescent="0.2">
      <c r="A7221" s="140" t="s">
        <v>4390</v>
      </c>
      <c r="B7221" s="141">
        <v>1.1697261533082001E-4</v>
      </c>
      <c r="D7221" s="141"/>
    </row>
    <row r="7222" spans="1:4" x14ac:dyDescent="0.2">
      <c r="A7222" s="140" t="s">
        <v>8972</v>
      </c>
      <c r="B7222" s="141">
        <v>1.1697261533082001E-4</v>
      </c>
      <c r="D7222" s="141"/>
    </row>
    <row r="7223" spans="1:4" x14ac:dyDescent="0.2">
      <c r="A7223" s="140" t="s">
        <v>5026</v>
      </c>
      <c r="B7223" s="141">
        <v>1.1690108868372001E-4</v>
      </c>
      <c r="D7223" s="141"/>
    </row>
    <row r="7224" spans="1:4" x14ac:dyDescent="0.2">
      <c r="A7224" s="140" t="s">
        <v>3127</v>
      </c>
      <c r="B7224" s="141">
        <v>1.1627796985144E-4</v>
      </c>
      <c r="D7224" s="141"/>
    </row>
    <row r="7225" spans="1:4" x14ac:dyDescent="0.2">
      <c r="A7225" s="140" t="s">
        <v>1196</v>
      </c>
      <c r="B7225" s="141">
        <v>1.1614054692954E-4</v>
      </c>
      <c r="D7225" s="141"/>
    </row>
    <row r="7226" spans="1:4" x14ac:dyDescent="0.2">
      <c r="A7226" s="140" t="s">
        <v>8973</v>
      </c>
      <c r="B7226" s="141">
        <v>1.1611564547874001E-4</v>
      </c>
      <c r="D7226" s="141"/>
    </row>
    <row r="7227" spans="1:4" x14ac:dyDescent="0.2">
      <c r="A7227" s="140" t="s">
        <v>452</v>
      </c>
      <c r="B7227" s="141">
        <v>1.1611035181943999E-4</v>
      </c>
      <c r="D7227" s="141"/>
    </row>
    <row r="7228" spans="1:4" x14ac:dyDescent="0.2">
      <c r="A7228" s="140" t="s">
        <v>6240</v>
      </c>
      <c r="B7228" s="141">
        <v>1.1580744910771E-4</v>
      </c>
      <c r="D7228" s="141"/>
    </row>
    <row r="7229" spans="1:4" x14ac:dyDescent="0.2">
      <c r="A7229" s="140" t="s">
        <v>4275</v>
      </c>
      <c r="B7229" s="141">
        <v>1.1548510480379001E-4</v>
      </c>
      <c r="D7229" s="141"/>
    </row>
    <row r="7230" spans="1:4" x14ac:dyDescent="0.2">
      <c r="A7230" s="140" t="s">
        <v>4101</v>
      </c>
      <c r="B7230" s="141">
        <v>1.1532109825105E-4</v>
      </c>
      <c r="D7230" s="141"/>
    </row>
    <row r="7231" spans="1:4" x14ac:dyDescent="0.2">
      <c r="A7231" s="140" t="s">
        <v>389</v>
      </c>
      <c r="B7231" s="141">
        <v>1.1518316950813E-4</v>
      </c>
      <c r="D7231" s="141"/>
    </row>
    <row r="7232" spans="1:4" x14ac:dyDescent="0.2">
      <c r="A7232" s="140" t="s">
        <v>8974</v>
      </c>
      <c r="B7232" s="141">
        <v>1.1517050963004E-4</v>
      </c>
      <c r="D7232" s="141"/>
    </row>
    <row r="7233" spans="1:4" x14ac:dyDescent="0.2">
      <c r="A7233" s="140" t="s">
        <v>4738</v>
      </c>
      <c r="B7233" s="141">
        <v>1.1514969961115E-4</v>
      </c>
      <c r="D7233" s="141"/>
    </row>
    <row r="7234" spans="1:4" x14ac:dyDescent="0.2">
      <c r="A7234" s="140" t="s">
        <v>8975</v>
      </c>
      <c r="B7234" s="141">
        <v>1.1473807788717001E-4</v>
      </c>
      <c r="D7234" s="141"/>
    </row>
    <row r="7235" spans="1:4" x14ac:dyDescent="0.2">
      <c r="A7235" s="140" t="s">
        <v>8976</v>
      </c>
      <c r="B7235" s="141">
        <v>1.1457879400841999E-4</v>
      </c>
      <c r="D7235" s="141"/>
    </row>
    <row r="7236" spans="1:4" x14ac:dyDescent="0.2">
      <c r="A7236" s="140" t="s">
        <v>8977</v>
      </c>
      <c r="B7236" s="141">
        <v>1.1457879400841999E-4</v>
      </c>
      <c r="D7236" s="141"/>
    </row>
    <row r="7237" spans="1:4" x14ac:dyDescent="0.2">
      <c r="A7237" s="140" t="s">
        <v>1429</v>
      </c>
      <c r="B7237" s="141">
        <v>1.1454404204132E-4</v>
      </c>
      <c r="D7237" s="141"/>
    </row>
    <row r="7238" spans="1:4" x14ac:dyDescent="0.2">
      <c r="A7238" s="140" t="s">
        <v>1137</v>
      </c>
      <c r="B7238" s="141">
        <v>1.1434564730966001E-4</v>
      </c>
      <c r="D7238" s="141"/>
    </row>
    <row r="7239" spans="1:4" x14ac:dyDescent="0.2">
      <c r="A7239" s="140" t="s">
        <v>8978</v>
      </c>
      <c r="B7239" s="141">
        <v>1.1414940559053E-4</v>
      </c>
      <c r="D7239" s="141"/>
    </row>
    <row r="7240" spans="1:4" x14ac:dyDescent="0.2">
      <c r="A7240" s="140" t="s">
        <v>5843</v>
      </c>
      <c r="B7240" s="141">
        <v>1.1389434901305999E-4</v>
      </c>
      <c r="D7240" s="141"/>
    </row>
    <row r="7241" spans="1:4" x14ac:dyDescent="0.2">
      <c r="A7241" s="140" t="s">
        <v>8979</v>
      </c>
      <c r="B7241" s="141">
        <v>1.1362344506751001E-4</v>
      </c>
      <c r="D7241" s="141"/>
    </row>
    <row r="7242" spans="1:4" x14ac:dyDescent="0.2">
      <c r="A7242" s="140" t="s">
        <v>4883</v>
      </c>
      <c r="B7242" s="141">
        <v>1.1341251916661E-4</v>
      </c>
      <c r="D7242" s="141"/>
    </row>
    <row r="7243" spans="1:4" x14ac:dyDescent="0.2">
      <c r="A7243" s="140" t="s">
        <v>6275</v>
      </c>
      <c r="B7243" s="141">
        <v>1.133451789385E-4</v>
      </c>
      <c r="D7243" s="141"/>
    </row>
    <row r="7244" spans="1:4" x14ac:dyDescent="0.2">
      <c r="A7244" s="140" t="s">
        <v>3436</v>
      </c>
      <c r="B7244" s="141">
        <v>1.1326339850894E-4</v>
      </c>
      <c r="D7244" s="141"/>
    </row>
    <row r="7245" spans="1:4" x14ac:dyDescent="0.2">
      <c r="A7245" s="140" t="s">
        <v>4797</v>
      </c>
      <c r="B7245" s="141">
        <v>1.1326112547900999E-4</v>
      </c>
      <c r="D7245" s="141"/>
    </row>
    <row r="7246" spans="1:4" x14ac:dyDescent="0.2">
      <c r="A7246" s="140" t="s">
        <v>2471</v>
      </c>
      <c r="B7246" s="141">
        <v>1.1325773564889999E-4</v>
      </c>
      <c r="D7246" s="141"/>
    </row>
    <row r="7247" spans="1:4" x14ac:dyDescent="0.2">
      <c r="A7247" s="140" t="s">
        <v>1458</v>
      </c>
      <c r="B7247" s="141">
        <v>1.1308946768005E-4</v>
      </c>
      <c r="D7247" s="141"/>
    </row>
    <row r="7248" spans="1:4" x14ac:dyDescent="0.2">
      <c r="A7248" s="140" t="s">
        <v>6307</v>
      </c>
      <c r="B7248" s="141">
        <v>1.1303419854569E-4</v>
      </c>
      <c r="D7248" s="141"/>
    </row>
    <row r="7249" spans="1:4" x14ac:dyDescent="0.2">
      <c r="A7249" s="140" t="s">
        <v>8980</v>
      </c>
      <c r="B7249" s="141">
        <v>1.1303419854569E-4</v>
      </c>
      <c r="D7249" s="141"/>
    </row>
    <row r="7250" spans="1:4" x14ac:dyDescent="0.2">
      <c r="A7250" s="140" t="s">
        <v>8981</v>
      </c>
      <c r="B7250" s="141">
        <v>1.1303419854569E-4</v>
      </c>
      <c r="D7250" s="141"/>
    </row>
    <row r="7251" spans="1:4" x14ac:dyDescent="0.2">
      <c r="A7251" s="140" t="s">
        <v>6332</v>
      </c>
      <c r="B7251" s="141">
        <v>1.1303419854569E-4</v>
      </c>
      <c r="D7251" s="141"/>
    </row>
    <row r="7252" spans="1:4" x14ac:dyDescent="0.2">
      <c r="A7252" s="140" t="s">
        <v>8982</v>
      </c>
      <c r="B7252" s="141">
        <v>1.1303419854569E-4</v>
      </c>
      <c r="D7252" s="141"/>
    </row>
    <row r="7253" spans="1:4" x14ac:dyDescent="0.2">
      <c r="A7253" s="140" t="s">
        <v>8983</v>
      </c>
      <c r="B7253" s="141">
        <v>1.1303419854569E-4</v>
      </c>
      <c r="D7253" s="141"/>
    </row>
    <row r="7254" spans="1:4" x14ac:dyDescent="0.2">
      <c r="A7254" s="140" t="s">
        <v>8984</v>
      </c>
      <c r="B7254" s="141">
        <v>1.1303419854569E-4</v>
      </c>
      <c r="D7254" s="141"/>
    </row>
    <row r="7255" spans="1:4" x14ac:dyDescent="0.2">
      <c r="A7255" s="140" t="s">
        <v>8985</v>
      </c>
      <c r="B7255" s="141">
        <v>1.1303419854569E-4</v>
      </c>
      <c r="D7255" s="141"/>
    </row>
    <row r="7256" spans="1:4" x14ac:dyDescent="0.2">
      <c r="A7256" s="140" t="s">
        <v>8986</v>
      </c>
      <c r="B7256" s="141">
        <v>1.1303419854569E-4</v>
      </c>
      <c r="D7256" s="141"/>
    </row>
    <row r="7257" spans="1:4" x14ac:dyDescent="0.2">
      <c r="A7257" s="140" t="s">
        <v>8987</v>
      </c>
      <c r="B7257" s="141">
        <v>1.1303419854569E-4</v>
      </c>
      <c r="D7257" s="141"/>
    </row>
    <row r="7258" spans="1:4" x14ac:dyDescent="0.2">
      <c r="A7258" s="140" t="s">
        <v>8988</v>
      </c>
      <c r="B7258" s="141">
        <v>1.1303419854569E-4</v>
      </c>
      <c r="D7258" s="141"/>
    </row>
    <row r="7259" spans="1:4" x14ac:dyDescent="0.2">
      <c r="A7259" s="140" t="s">
        <v>8989</v>
      </c>
      <c r="B7259" s="141">
        <v>1.1303419854569E-4</v>
      </c>
      <c r="D7259" s="141"/>
    </row>
    <row r="7260" spans="1:4" x14ac:dyDescent="0.2">
      <c r="A7260" s="140" t="s">
        <v>754</v>
      </c>
      <c r="B7260" s="141">
        <v>1.12848724093E-4</v>
      </c>
      <c r="D7260" s="141"/>
    </row>
    <row r="7261" spans="1:4" x14ac:dyDescent="0.2">
      <c r="A7261" s="140" t="s">
        <v>5318</v>
      </c>
      <c r="B7261" s="141">
        <v>1.1281448589996001E-4</v>
      </c>
      <c r="D7261" s="141"/>
    </row>
    <row r="7262" spans="1:4" x14ac:dyDescent="0.2">
      <c r="A7262" s="140" t="s">
        <v>892</v>
      </c>
      <c r="B7262" s="141">
        <v>1.1278125854838E-4</v>
      </c>
      <c r="D7262" s="141"/>
    </row>
    <row r="7263" spans="1:4" x14ac:dyDescent="0.2">
      <c r="A7263" s="140" t="s">
        <v>8990</v>
      </c>
      <c r="B7263" s="141">
        <v>1.1275207561291E-4</v>
      </c>
      <c r="D7263" s="141"/>
    </row>
    <row r="7264" spans="1:4" x14ac:dyDescent="0.2">
      <c r="A7264" s="140" t="s">
        <v>1669</v>
      </c>
      <c r="B7264" s="141">
        <v>1.126947558669E-4</v>
      </c>
      <c r="D7264" s="141"/>
    </row>
    <row r="7265" spans="1:4" x14ac:dyDescent="0.2">
      <c r="A7265" s="140" t="s">
        <v>8991</v>
      </c>
      <c r="B7265" s="141">
        <v>1.1265430514354E-4</v>
      </c>
      <c r="D7265" s="141"/>
    </row>
    <row r="7266" spans="1:4" x14ac:dyDescent="0.2">
      <c r="A7266" s="140" t="s">
        <v>4483</v>
      </c>
      <c r="B7266" s="141">
        <v>1.125963352063E-4</v>
      </c>
      <c r="D7266" s="141"/>
    </row>
    <row r="7267" spans="1:4" x14ac:dyDescent="0.2">
      <c r="A7267" s="140" t="s">
        <v>8992</v>
      </c>
      <c r="B7267" s="141">
        <v>1.1251735176197E-4</v>
      </c>
      <c r="D7267" s="141"/>
    </row>
    <row r="7268" spans="1:4" x14ac:dyDescent="0.2">
      <c r="A7268" s="140" t="s">
        <v>2380</v>
      </c>
      <c r="B7268" s="141">
        <v>1.1250601513672E-4</v>
      </c>
      <c r="D7268" s="141"/>
    </row>
    <row r="7269" spans="1:4" x14ac:dyDescent="0.2">
      <c r="A7269" s="140" t="s">
        <v>911</v>
      </c>
      <c r="B7269" s="141">
        <v>1.1245790302765E-4</v>
      </c>
      <c r="D7269" s="141"/>
    </row>
    <row r="7270" spans="1:4" x14ac:dyDescent="0.2">
      <c r="A7270" s="140" t="s">
        <v>5839</v>
      </c>
      <c r="B7270" s="141">
        <v>1.1214827683596E-4</v>
      </c>
      <c r="D7270" s="141"/>
    </row>
    <row r="7271" spans="1:4" x14ac:dyDescent="0.2">
      <c r="A7271" s="140" t="s">
        <v>4322</v>
      </c>
      <c r="B7271" s="141">
        <v>1.1213141418173E-4</v>
      </c>
      <c r="D7271" s="141"/>
    </row>
    <row r="7272" spans="1:4" x14ac:dyDescent="0.2">
      <c r="A7272" s="140" t="s">
        <v>3499</v>
      </c>
      <c r="B7272" s="141">
        <v>1.1211554226332E-4</v>
      </c>
      <c r="D7272" s="141"/>
    </row>
    <row r="7273" spans="1:4" x14ac:dyDescent="0.2">
      <c r="A7273" s="140" t="s">
        <v>4382</v>
      </c>
      <c r="B7273" s="141">
        <v>1.1196541719993E-4</v>
      </c>
      <c r="D7273" s="141"/>
    </row>
    <row r="7274" spans="1:4" x14ac:dyDescent="0.2">
      <c r="A7274" s="140" t="s">
        <v>5497</v>
      </c>
      <c r="B7274" s="141">
        <v>1.1192559942245E-4</v>
      </c>
      <c r="D7274" s="141"/>
    </row>
    <row r="7275" spans="1:4" x14ac:dyDescent="0.2">
      <c r="A7275" s="140" t="s">
        <v>8993</v>
      </c>
      <c r="B7275" s="141">
        <v>1.1173906850545001E-4</v>
      </c>
      <c r="D7275" s="141"/>
    </row>
    <row r="7276" spans="1:4" x14ac:dyDescent="0.2">
      <c r="A7276" s="140" t="s">
        <v>5208</v>
      </c>
      <c r="B7276" s="141">
        <v>1.1154975330223E-4</v>
      </c>
      <c r="D7276" s="141"/>
    </row>
    <row r="7277" spans="1:4" x14ac:dyDescent="0.2">
      <c r="A7277" s="140" t="s">
        <v>4984</v>
      </c>
      <c r="B7277" s="141">
        <v>1.1152948196754E-4</v>
      </c>
      <c r="D7277" s="141"/>
    </row>
    <row r="7278" spans="1:4" x14ac:dyDescent="0.2">
      <c r="A7278" s="140" t="s">
        <v>8994</v>
      </c>
      <c r="B7278" s="141">
        <v>1.1148010531446E-4</v>
      </c>
      <c r="D7278" s="141"/>
    </row>
    <row r="7279" spans="1:4" x14ac:dyDescent="0.2">
      <c r="A7279" s="140" t="s">
        <v>1751</v>
      </c>
      <c r="B7279" s="141">
        <v>1.1138996470919E-4</v>
      </c>
      <c r="D7279" s="141"/>
    </row>
    <row r="7280" spans="1:4" x14ac:dyDescent="0.2">
      <c r="A7280" s="140" t="s">
        <v>1098</v>
      </c>
      <c r="B7280" s="141">
        <v>1.1117476266375E-4</v>
      </c>
      <c r="D7280" s="141"/>
    </row>
    <row r="7281" spans="1:4" x14ac:dyDescent="0.2">
      <c r="A7281" s="140" t="s">
        <v>1262</v>
      </c>
      <c r="B7281" s="141">
        <v>1.1106481697463E-4</v>
      </c>
      <c r="D7281" s="141"/>
    </row>
    <row r="7282" spans="1:4" x14ac:dyDescent="0.2">
      <c r="A7282" s="140" t="s">
        <v>8995</v>
      </c>
      <c r="B7282" s="141">
        <v>1.1093343517364999E-4</v>
      </c>
      <c r="D7282" s="141"/>
    </row>
    <row r="7283" spans="1:4" x14ac:dyDescent="0.2">
      <c r="A7283" s="140" t="s">
        <v>8996</v>
      </c>
      <c r="B7283" s="141">
        <v>1.1087477894732E-4</v>
      </c>
      <c r="D7283" s="141"/>
    </row>
    <row r="7284" spans="1:4" x14ac:dyDescent="0.2">
      <c r="A7284" s="140" t="s">
        <v>433</v>
      </c>
      <c r="B7284" s="141">
        <v>1.1043166054136E-4</v>
      </c>
      <c r="D7284" s="141"/>
    </row>
    <row r="7285" spans="1:4" x14ac:dyDescent="0.2">
      <c r="A7285" s="140" t="s">
        <v>8997</v>
      </c>
      <c r="B7285" s="141">
        <v>1.1034149514974E-4</v>
      </c>
      <c r="D7285" s="141"/>
    </row>
    <row r="7286" spans="1:4" x14ac:dyDescent="0.2">
      <c r="A7286" s="140" t="s">
        <v>8998</v>
      </c>
      <c r="B7286" s="141">
        <v>1.10319765827E-4</v>
      </c>
      <c r="D7286" s="141"/>
    </row>
    <row r="7287" spans="1:4" x14ac:dyDescent="0.2">
      <c r="A7287" s="140" t="s">
        <v>8999</v>
      </c>
      <c r="B7287" s="141">
        <v>1.1029884238445E-4</v>
      </c>
      <c r="D7287" s="141"/>
    </row>
    <row r="7288" spans="1:4" x14ac:dyDescent="0.2">
      <c r="A7288" s="140" t="s">
        <v>3826</v>
      </c>
      <c r="B7288" s="141">
        <v>1.1025572556063E-4</v>
      </c>
      <c r="D7288" s="141"/>
    </row>
    <row r="7289" spans="1:4" x14ac:dyDescent="0.2">
      <c r="A7289" s="140" t="s">
        <v>2845</v>
      </c>
      <c r="B7289" s="141">
        <v>1.1008509744273999E-4</v>
      </c>
      <c r="D7289" s="141"/>
    </row>
    <row r="7290" spans="1:4" x14ac:dyDescent="0.2">
      <c r="A7290" s="140" t="s">
        <v>9000</v>
      </c>
      <c r="B7290" s="141">
        <v>1.0975683042711E-4</v>
      </c>
      <c r="D7290" s="141"/>
    </row>
    <row r="7291" spans="1:4" x14ac:dyDescent="0.2">
      <c r="A7291" s="140" t="s">
        <v>9001</v>
      </c>
      <c r="B7291" s="141">
        <v>1.0967384912122E-4</v>
      </c>
      <c r="D7291" s="141"/>
    </row>
    <row r="7292" spans="1:4" x14ac:dyDescent="0.2">
      <c r="A7292" s="140" t="s">
        <v>2311</v>
      </c>
      <c r="B7292" s="141">
        <v>1.0956058074221999E-4</v>
      </c>
      <c r="D7292" s="141"/>
    </row>
    <row r="7293" spans="1:4" x14ac:dyDescent="0.2">
      <c r="A7293" s="140" t="s">
        <v>9002</v>
      </c>
      <c r="B7293" s="141">
        <v>1.0947689209282001E-4</v>
      </c>
      <c r="D7293" s="141"/>
    </row>
    <row r="7294" spans="1:4" x14ac:dyDescent="0.2">
      <c r="A7294" s="140" t="s">
        <v>9003</v>
      </c>
      <c r="B7294" s="141">
        <v>1.0947689209282001E-4</v>
      </c>
      <c r="D7294" s="141"/>
    </row>
    <row r="7295" spans="1:4" x14ac:dyDescent="0.2">
      <c r="A7295" s="140" t="s">
        <v>9004</v>
      </c>
      <c r="B7295" s="141">
        <v>1.0947689209282001E-4</v>
      </c>
      <c r="D7295" s="141"/>
    </row>
    <row r="7296" spans="1:4" x14ac:dyDescent="0.2">
      <c r="A7296" s="140" t="s">
        <v>9005</v>
      </c>
      <c r="B7296" s="141">
        <v>1.0947689209282001E-4</v>
      </c>
      <c r="D7296" s="141"/>
    </row>
    <row r="7297" spans="1:4" x14ac:dyDescent="0.2">
      <c r="A7297" s="140" t="s">
        <v>9006</v>
      </c>
      <c r="B7297" s="141">
        <v>1.0947689209282001E-4</v>
      </c>
      <c r="D7297" s="141"/>
    </row>
    <row r="7298" spans="1:4" x14ac:dyDescent="0.2">
      <c r="A7298" s="140" t="s">
        <v>9007</v>
      </c>
      <c r="B7298" s="141">
        <v>1.0947689209282001E-4</v>
      </c>
      <c r="D7298" s="141"/>
    </row>
    <row r="7299" spans="1:4" x14ac:dyDescent="0.2">
      <c r="A7299" s="140" t="s">
        <v>5635</v>
      </c>
      <c r="B7299" s="141">
        <v>1.0930305053003E-4</v>
      </c>
      <c r="D7299" s="141"/>
    </row>
    <row r="7300" spans="1:4" x14ac:dyDescent="0.2">
      <c r="A7300" s="140" t="s">
        <v>2392</v>
      </c>
      <c r="B7300" s="141">
        <v>1.0924525553751E-4</v>
      </c>
      <c r="D7300" s="141"/>
    </row>
    <row r="7301" spans="1:4" x14ac:dyDescent="0.2">
      <c r="A7301" s="140" t="s">
        <v>724</v>
      </c>
      <c r="B7301" s="141">
        <v>1.0908420972941E-4</v>
      </c>
      <c r="D7301" s="141"/>
    </row>
    <row r="7302" spans="1:4" x14ac:dyDescent="0.2">
      <c r="A7302" s="140" t="s">
        <v>604</v>
      </c>
      <c r="B7302" s="141">
        <v>1.0905780959323E-4</v>
      </c>
      <c r="D7302" s="141"/>
    </row>
    <row r="7303" spans="1:4" x14ac:dyDescent="0.2">
      <c r="A7303" s="140" t="s">
        <v>5564</v>
      </c>
      <c r="B7303" s="141">
        <v>1.0888759432189E-4</v>
      </c>
      <c r="D7303" s="141"/>
    </row>
    <row r="7304" spans="1:4" x14ac:dyDescent="0.2">
      <c r="A7304" s="140" t="s">
        <v>3320</v>
      </c>
      <c r="B7304" s="141">
        <v>1.0880236600358E-4</v>
      </c>
      <c r="D7304" s="141"/>
    </row>
    <row r="7305" spans="1:4" x14ac:dyDescent="0.2">
      <c r="A7305" s="140" t="s">
        <v>725</v>
      </c>
      <c r="B7305" s="141">
        <v>1.0873410432374E-4</v>
      </c>
      <c r="D7305" s="141"/>
    </row>
    <row r="7306" spans="1:4" x14ac:dyDescent="0.2">
      <c r="A7306" s="140" t="s">
        <v>477</v>
      </c>
      <c r="B7306" s="141">
        <v>1.0861696592971E-4</v>
      </c>
      <c r="D7306" s="141"/>
    </row>
    <row r="7307" spans="1:4" x14ac:dyDescent="0.2">
      <c r="A7307" s="140" t="s">
        <v>9008</v>
      </c>
      <c r="B7307" s="141">
        <v>1.0834823515837E-4</v>
      </c>
      <c r="D7307" s="141"/>
    </row>
    <row r="7308" spans="1:4" x14ac:dyDescent="0.2">
      <c r="A7308" s="140" t="s">
        <v>9009</v>
      </c>
      <c r="B7308" s="141">
        <v>1.0812963948712E-4</v>
      </c>
      <c r="D7308" s="141"/>
    </row>
    <row r="7309" spans="1:4" x14ac:dyDescent="0.2">
      <c r="A7309" s="140" t="s">
        <v>9010</v>
      </c>
      <c r="B7309" s="141">
        <v>1.0812963948712E-4</v>
      </c>
      <c r="D7309" s="141"/>
    </row>
    <row r="7310" spans="1:4" x14ac:dyDescent="0.2">
      <c r="A7310" s="140" t="s">
        <v>9011</v>
      </c>
      <c r="B7310" s="141">
        <v>1.0797775465279999E-4</v>
      </c>
      <c r="D7310" s="141"/>
    </row>
    <row r="7311" spans="1:4" x14ac:dyDescent="0.2">
      <c r="A7311" s="140" t="s">
        <v>9012</v>
      </c>
      <c r="B7311" s="141">
        <v>1.0797775465279999E-4</v>
      </c>
      <c r="D7311" s="141"/>
    </row>
    <row r="7312" spans="1:4" x14ac:dyDescent="0.2">
      <c r="A7312" s="140" t="s">
        <v>5836</v>
      </c>
      <c r="B7312" s="141">
        <v>1.0795228239717001E-4</v>
      </c>
      <c r="D7312" s="141"/>
    </row>
    <row r="7313" spans="1:4" x14ac:dyDescent="0.2">
      <c r="A7313" s="140" t="s">
        <v>2201</v>
      </c>
      <c r="B7313" s="141">
        <v>1.0781053724249E-4</v>
      </c>
      <c r="D7313" s="141"/>
    </row>
    <row r="7314" spans="1:4" x14ac:dyDescent="0.2">
      <c r="A7314" s="140" t="s">
        <v>1584</v>
      </c>
      <c r="B7314" s="141">
        <v>1.0741601438985001E-4</v>
      </c>
      <c r="D7314" s="141"/>
    </row>
    <row r="7315" spans="1:4" x14ac:dyDescent="0.2">
      <c r="A7315" s="140" t="s">
        <v>9013</v>
      </c>
      <c r="B7315" s="141">
        <v>1.070801381329E-4</v>
      </c>
      <c r="D7315" s="141"/>
    </row>
    <row r="7316" spans="1:4" x14ac:dyDescent="0.2">
      <c r="A7316" s="140" t="s">
        <v>2477</v>
      </c>
      <c r="B7316" s="141">
        <v>1.0706254038502E-4</v>
      </c>
      <c r="D7316" s="141"/>
    </row>
    <row r="7317" spans="1:4" x14ac:dyDescent="0.2">
      <c r="A7317" s="140" t="s">
        <v>1472</v>
      </c>
      <c r="B7317" s="141">
        <v>1.0694015933976E-4</v>
      </c>
      <c r="D7317" s="141"/>
    </row>
    <row r="7318" spans="1:4" x14ac:dyDescent="0.2">
      <c r="A7318" s="140" t="s">
        <v>2079</v>
      </c>
      <c r="B7318" s="141">
        <v>1.0691890496622E-4</v>
      </c>
      <c r="D7318" s="141"/>
    </row>
    <row r="7319" spans="1:4" x14ac:dyDescent="0.2">
      <c r="A7319" s="140" t="s">
        <v>957</v>
      </c>
      <c r="B7319" s="141">
        <v>1.0687265123998E-4</v>
      </c>
      <c r="D7319" s="141"/>
    </row>
    <row r="7320" spans="1:4" x14ac:dyDescent="0.2">
      <c r="A7320" s="140" t="s">
        <v>2402</v>
      </c>
      <c r="B7320" s="141">
        <v>1.068390874374E-4</v>
      </c>
      <c r="D7320" s="141"/>
    </row>
    <row r="7321" spans="1:4" x14ac:dyDescent="0.2">
      <c r="A7321" s="140" t="s">
        <v>5194</v>
      </c>
      <c r="B7321" s="141">
        <v>1.0670317263281E-4</v>
      </c>
      <c r="D7321" s="141"/>
    </row>
    <row r="7322" spans="1:4" x14ac:dyDescent="0.2">
      <c r="A7322" s="140" t="s">
        <v>3178</v>
      </c>
      <c r="B7322" s="141">
        <v>1.0662791931821E-4</v>
      </c>
      <c r="D7322" s="141"/>
    </row>
    <row r="7323" spans="1:4" x14ac:dyDescent="0.2">
      <c r="A7323" s="140" t="s">
        <v>6090</v>
      </c>
      <c r="B7323" s="141">
        <v>1.0633176605559E-4</v>
      </c>
      <c r="D7323" s="141"/>
    </row>
    <row r="7324" spans="1:4" x14ac:dyDescent="0.2">
      <c r="A7324" s="140" t="s">
        <v>523</v>
      </c>
      <c r="B7324" s="141">
        <v>1.0628465978483E-4</v>
      </c>
      <c r="D7324" s="141"/>
    </row>
    <row r="7325" spans="1:4" x14ac:dyDescent="0.2">
      <c r="A7325" s="140" t="s">
        <v>1021</v>
      </c>
      <c r="B7325" s="141">
        <v>1.0618359491281E-4</v>
      </c>
      <c r="D7325" s="141"/>
    </row>
    <row r="7326" spans="1:4" x14ac:dyDescent="0.2">
      <c r="A7326" s="140" t="s">
        <v>9014</v>
      </c>
      <c r="B7326" s="141">
        <v>1.0588013992890001E-4</v>
      </c>
      <c r="D7326" s="141"/>
    </row>
    <row r="7327" spans="1:4" x14ac:dyDescent="0.2">
      <c r="A7327" s="140" t="s">
        <v>1977</v>
      </c>
      <c r="B7327" s="141">
        <v>1.0581756176509999E-4</v>
      </c>
      <c r="D7327" s="141"/>
    </row>
    <row r="7328" spans="1:4" x14ac:dyDescent="0.2">
      <c r="A7328" s="140" t="s">
        <v>9015</v>
      </c>
      <c r="B7328" s="141">
        <v>1.056280599642E-4</v>
      </c>
      <c r="D7328" s="141"/>
    </row>
    <row r="7329" spans="1:4" x14ac:dyDescent="0.2">
      <c r="A7329" s="140" t="s">
        <v>9016</v>
      </c>
      <c r="B7329" s="141">
        <v>1.056280599642E-4</v>
      </c>
      <c r="D7329" s="141"/>
    </row>
    <row r="7330" spans="1:4" x14ac:dyDescent="0.2">
      <c r="A7330" s="140" t="s">
        <v>9017</v>
      </c>
      <c r="B7330" s="141">
        <v>1.0555108531698E-4</v>
      </c>
      <c r="D7330" s="141"/>
    </row>
    <row r="7331" spans="1:4" x14ac:dyDescent="0.2">
      <c r="A7331" s="140" t="s">
        <v>715</v>
      </c>
      <c r="B7331" s="141">
        <v>1.0551471787955E-4</v>
      </c>
      <c r="D7331" s="141"/>
    </row>
    <row r="7332" spans="1:4" x14ac:dyDescent="0.2">
      <c r="A7332" s="140" t="s">
        <v>9018</v>
      </c>
      <c r="B7332" s="141">
        <v>1.0548425075236999E-4</v>
      </c>
      <c r="D7332" s="141"/>
    </row>
    <row r="7333" spans="1:4" x14ac:dyDescent="0.2">
      <c r="A7333" s="140" t="s">
        <v>2258</v>
      </c>
      <c r="B7333" s="141">
        <v>1.0531046928522E-4</v>
      </c>
      <c r="D7333" s="141"/>
    </row>
    <row r="7334" spans="1:4" x14ac:dyDescent="0.2">
      <c r="A7334" s="140" t="s">
        <v>1158</v>
      </c>
      <c r="B7334" s="141">
        <v>1.0525834980866E-4</v>
      </c>
      <c r="D7334" s="141"/>
    </row>
    <row r="7335" spans="1:4" x14ac:dyDescent="0.2">
      <c r="A7335" s="140" t="s">
        <v>3618</v>
      </c>
      <c r="B7335" s="141">
        <v>1.0511346308685E-4</v>
      </c>
      <c r="D7335" s="141"/>
    </row>
    <row r="7336" spans="1:4" x14ac:dyDescent="0.2">
      <c r="A7336" s="140" t="s">
        <v>1800</v>
      </c>
      <c r="B7336" s="141">
        <v>1.05019815428E-4</v>
      </c>
      <c r="D7336" s="141"/>
    </row>
    <row r="7337" spans="1:4" x14ac:dyDescent="0.2">
      <c r="A7337" s="140" t="s">
        <v>5389</v>
      </c>
      <c r="B7337" s="141">
        <v>1.0485770566986999E-4</v>
      </c>
      <c r="D7337" s="141"/>
    </row>
    <row r="7338" spans="1:4" x14ac:dyDescent="0.2">
      <c r="A7338" s="140" t="s">
        <v>5127</v>
      </c>
      <c r="B7338" s="141">
        <v>1.0479111582134001E-4</v>
      </c>
      <c r="D7338" s="141"/>
    </row>
    <row r="7339" spans="1:4" x14ac:dyDescent="0.2">
      <c r="A7339" s="140" t="s">
        <v>9019</v>
      </c>
      <c r="B7339" s="141">
        <v>1.0477284475388E-4</v>
      </c>
      <c r="D7339" s="141"/>
    </row>
    <row r="7340" spans="1:4" x14ac:dyDescent="0.2">
      <c r="A7340" s="140" t="s">
        <v>9020</v>
      </c>
      <c r="B7340" s="141">
        <v>1.0476683742756E-4</v>
      </c>
      <c r="D7340" s="141"/>
    </row>
    <row r="7341" spans="1:4" x14ac:dyDescent="0.2">
      <c r="A7341" s="140" t="s">
        <v>9021</v>
      </c>
      <c r="B7341" s="141">
        <v>1.0458642867001E-4</v>
      </c>
      <c r="D7341" s="141"/>
    </row>
    <row r="7342" spans="1:4" x14ac:dyDescent="0.2">
      <c r="A7342" s="140" t="s">
        <v>5578</v>
      </c>
      <c r="B7342" s="141">
        <v>1.0443848648197E-4</v>
      </c>
      <c r="D7342" s="141"/>
    </row>
    <row r="7343" spans="1:4" x14ac:dyDescent="0.2">
      <c r="A7343" s="140" t="s">
        <v>9022</v>
      </c>
      <c r="B7343" s="141">
        <v>1.0396703678827E-4</v>
      </c>
      <c r="D7343" s="141"/>
    </row>
    <row r="7344" spans="1:4" x14ac:dyDescent="0.2">
      <c r="A7344" s="140" t="s">
        <v>6105</v>
      </c>
      <c r="B7344" s="141">
        <v>1.0384570924776E-4</v>
      </c>
      <c r="D7344" s="141"/>
    </row>
    <row r="7345" spans="1:4" x14ac:dyDescent="0.2">
      <c r="A7345" s="140" t="s">
        <v>1383</v>
      </c>
      <c r="B7345" s="141">
        <v>1.0374262247560999E-4</v>
      </c>
      <c r="D7345" s="141"/>
    </row>
    <row r="7346" spans="1:4" x14ac:dyDescent="0.2">
      <c r="A7346" s="140" t="s">
        <v>9023</v>
      </c>
      <c r="B7346" s="141">
        <v>1.0362120395086E-4</v>
      </c>
      <c r="D7346" s="141"/>
    </row>
    <row r="7347" spans="1:4" x14ac:dyDescent="0.2">
      <c r="A7347" s="140" t="s">
        <v>6249</v>
      </c>
      <c r="B7347" s="141">
        <v>1.0350272207184E-4</v>
      </c>
      <c r="D7347" s="141"/>
    </row>
    <row r="7348" spans="1:4" x14ac:dyDescent="0.2">
      <c r="A7348" s="140" t="s">
        <v>5863</v>
      </c>
      <c r="B7348" s="141">
        <v>1.0349664033241999E-4</v>
      </c>
      <c r="D7348" s="141"/>
    </row>
    <row r="7349" spans="1:4" x14ac:dyDescent="0.2">
      <c r="A7349" s="140" t="s">
        <v>9024</v>
      </c>
      <c r="B7349" s="141">
        <v>1.0349206247106E-4</v>
      </c>
      <c r="D7349" s="141"/>
    </row>
    <row r="7350" spans="1:4" x14ac:dyDescent="0.2">
      <c r="A7350" s="140" t="s">
        <v>4799</v>
      </c>
      <c r="B7350" s="141">
        <v>1.0338323625851E-4</v>
      </c>
      <c r="D7350" s="141"/>
    </row>
    <row r="7351" spans="1:4" x14ac:dyDescent="0.2">
      <c r="A7351" s="140" t="s">
        <v>1200</v>
      </c>
      <c r="B7351" s="141">
        <v>1.0335653575206E-4</v>
      </c>
      <c r="D7351" s="141"/>
    </row>
    <row r="7352" spans="1:4" x14ac:dyDescent="0.2">
      <c r="A7352" s="140" t="s">
        <v>9025</v>
      </c>
      <c r="B7352" s="141">
        <v>1.0327045851622999E-4</v>
      </c>
      <c r="D7352" s="141"/>
    </row>
    <row r="7353" spans="1:4" x14ac:dyDescent="0.2">
      <c r="A7353" s="140" t="s">
        <v>9026</v>
      </c>
      <c r="B7353" s="141">
        <v>1.0327045851622999E-4</v>
      </c>
      <c r="D7353" s="141"/>
    </row>
    <row r="7354" spans="1:4" x14ac:dyDescent="0.2">
      <c r="A7354" s="140" t="s">
        <v>9027</v>
      </c>
      <c r="B7354" s="141">
        <v>1.0325284486579001E-4</v>
      </c>
      <c r="D7354" s="141"/>
    </row>
    <row r="7355" spans="1:4" x14ac:dyDescent="0.2">
      <c r="A7355" s="140" t="s">
        <v>573</v>
      </c>
      <c r="B7355" s="141">
        <v>1.0293754526352E-4</v>
      </c>
      <c r="D7355" s="141"/>
    </row>
    <row r="7356" spans="1:4" x14ac:dyDescent="0.2">
      <c r="A7356" s="140" t="s">
        <v>9028</v>
      </c>
      <c r="B7356" s="141">
        <v>1.0283050564482E-4</v>
      </c>
      <c r="D7356" s="141"/>
    </row>
    <row r="7357" spans="1:4" x14ac:dyDescent="0.2">
      <c r="A7357" s="140" t="s">
        <v>9029</v>
      </c>
      <c r="B7357" s="141">
        <v>1.0283050564482E-4</v>
      </c>
      <c r="D7357" s="141"/>
    </row>
    <row r="7358" spans="1:4" x14ac:dyDescent="0.2">
      <c r="A7358" s="140" t="s">
        <v>5061</v>
      </c>
      <c r="B7358" s="141">
        <v>1.0283050564482E-4</v>
      </c>
      <c r="D7358" s="141"/>
    </row>
    <row r="7359" spans="1:4" x14ac:dyDescent="0.2">
      <c r="A7359" s="140" t="s">
        <v>4761</v>
      </c>
      <c r="B7359" s="141">
        <v>1.0283050564482E-4</v>
      </c>
      <c r="D7359" s="141"/>
    </row>
    <row r="7360" spans="1:4" x14ac:dyDescent="0.2">
      <c r="A7360" s="140" t="s">
        <v>9030</v>
      </c>
      <c r="B7360" s="141">
        <v>1.0283050564482E-4</v>
      </c>
      <c r="D7360" s="141"/>
    </row>
    <row r="7361" spans="1:4" x14ac:dyDescent="0.2">
      <c r="A7361" s="140" t="s">
        <v>4574</v>
      </c>
      <c r="B7361" s="141">
        <v>1.0283050564482E-4</v>
      </c>
      <c r="D7361" s="141"/>
    </row>
    <row r="7362" spans="1:4" x14ac:dyDescent="0.2">
      <c r="A7362" s="140" t="s">
        <v>9031</v>
      </c>
      <c r="B7362" s="141">
        <v>1.0283050564482E-4</v>
      </c>
      <c r="D7362" s="141"/>
    </row>
    <row r="7363" spans="1:4" x14ac:dyDescent="0.2">
      <c r="A7363" s="140" t="s">
        <v>5577</v>
      </c>
      <c r="B7363" s="141">
        <v>1.0271390929631E-4</v>
      </c>
      <c r="D7363" s="141"/>
    </row>
    <row r="7364" spans="1:4" x14ac:dyDescent="0.2">
      <c r="A7364" s="140" t="s">
        <v>5343</v>
      </c>
      <c r="B7364" s="141">
        <v>1.026797953818E-4</v>
      </c>
      <c r="D7364" s="141"/>
    </row>
    <row r="7365" spans="1:4" x14ac:dyDescent="0.2">
      <c r="A7365" s="140" t="s">
        <v>4373</v>
      </c>
      <c r="B7365" s="141">
        <v>1.0241045316646E-4</v>
      </c>
      <c r="D7365" s="141"/>
    </row>
    <row r="7366" spans="1:4" x14ac:dyDescent="0.2">
      <c r="A7366" s="140" t="s">
        <v>9032</v>
      </c>
      <c r="B7366" s="141">
        <v>1.022777618608E-4</v>
      </c>
      <c r="D7366" s="141"/>
    </row>
    <row r="7367" spans="1:4" x14ac:dyDescent="0.2">
      <c r="A7367" s="140" t="s">
        <v>9033</v>
      </c>
      <c r="B7367" s="141">
        <v>1.0212709401025E-4</v>
      </c>
      <c r="D7367" s="141"/>
    </row>
    <row r="7368" spans="1:4" x14ac:dyDescent="0.2">
      <c r="A7368" s="140" t="s">
        <v>5280</v>
      </c>
      <c r="B7368" s="141">
        <v>1.0186010021865999E-4</v>
      </c>
      <c r="D7368" s="141"/>
    </row>
    <row r="7369" spans="1:4" x14ac:dyDescent="0.2">
      <c r="A7369" s="140" t="s">
        <v>9034</v>
      </c>
      <c r="B7369" s="141">
        <v>1.0160574840871999E-4</v>
      </c>
      <c r="D7369" s="141"/>
    </row>
    <row r="7370" spans="1:4" x14ac:dyDescent="0.2">
      <c r="A7370" s="140" t="s">
        <v>1961</v>
      </c>
      <c r="B7370" s="141">
        <v>1.0129735037422E-4</v>
      </c>
      <c r="D7370" s="141"/>
    </row>
    <row r="7371" spans="1:4" x14ac:dyDescent="0.2">
      <c r="A7371" s="140" t="s">
        <v>4361</v>
      </c>
      <c r="B7371" s="141">
        <v>1.0105335767926E-4</v>
      </c>
      <c r="D7371" s="141"/>
    </row>
    <row r="7372" spans="1:4" x14ac:dyDescent="0.2">
      <c r="A7372" s="140" t="s">
        <v>691</v>
      </c>
      <c r="B7372" s="141">
        <v>1.0104985147229E-4</v>
      </c>
      <c r="D7372" s="141"/>
    </row>
    <row r="7373" spans="1:4" x14ac:dyDescent="0.2">
      <c r="A7373" s="140" t="s">
        <v>9035</v>
      </c>
      <c r="B7373" s="141">
        <v>1.0101259782159E-4</v>
      </c>
      <c r="D7373" s="141"/>
    </row>
    <row r="7374" spans="1:4" x14ac:dyDescent="0.2">
      <c r="A7374" s="140" t="s">
        <v>1459</v>
      </c>
      <c r="B7374" s="141">
        <v>1.0093326579692E-4</v>
      </c>
      <c r="D7374" s="141"/>
    </row>
    <row r="7375" spans="1:4" x14ac:dyDescent="0.2">
      <c r="A7375" s="140" t="s">
        <v>6073</v>
      </c>
      <c r="B7375" s="141">
        <v>1.0090471451882E-4</v>
      </c>
      <c r="D7375" s="141"/>
    </row>
    <row r="7376" spans="1:4" x14ac:dyDescent="0.2">
      <c r="A7376" s="140" t="s">
        <v>1700</v>
      </c>
      <c r="B7376" s="141">
        <v>1.0090471451882E-4</v>
      </c>
      <c r="D7376" s="141"/>
    </row>
    <row r="7377" spans="1:4" x14ac:dyDescent="0.2">
      <c r="A7377" s="140" t="s">
        <v>9036</v>
      </c>
      <c r="B7377" s="141">
        <v>1.0071680826398E-4</v>
      </c>
      <c r="D7377" s="141"/>
    </row>
    <row r="7378" spans="1:4" x14ac:dyDescent="0.2">
      <c r="A7378" s="140" t="s">
        <v>9037</v>
      </c>
      <c r="B7378" s="141">
        <v>1.0070837159202E-4</v>
      </c>
      <c r="D7378" s="141"/>
    </row>
    <row r="7379" spans="1:4" x14ac:dyDescent="0.2">
      <c r="A7379" s="140" t="s">
        <v>6060</v>
      </c>
      <c r="B7379" s="141">
        <v>1.0065998402881E-4</v>
      </c>
      <c r="D7379" s="141"/>
    </row>
    <row r="7380" spans="1:4" x14ac:dyDescent="0.2">
      <c r="A7380" s="140" t="s">
        <v>9038</v>
      </c>
      <c r="B7380" s="141">
        <v>1.0065525280353E-4</v>
      </c>
      <c r="D7380" s="141"/>
    </row>
    <row r="7381" spans="1:4" x14ac:dyDescent="0.2">
      <c r="A7381" s="140" t="s">
        <v>9039</v>
      </c>
      <c r="B7381" s="141">
        <v>1.0065525280353E-4</v>
      </c>
      <c r="D7381" s="141"/>
    </row>
    <row r="7382" spans="1:4" x14ac:dyDescent="0.2">
      <c r="A7382" s="140" t="s">
        <v>9040</v>
      </c>
      <c r="B7382" s="141">
        <v>1.0050832627107E-4</v>
      </c>
      <c r="D7382" s="141"/>
    </row>
    <row r="7383" spans="1:4" x14ac:dyDescent="0.2">
      <c r="A7383" s="140" t="s">
        <v>9041</v>
      </c>
      <c r="B7383" s="141">
        <v>1.0040691814288E-4</v>
      </c>
      <c r="D7383" s="141"/>
    </row>
    <row r="7384" spans="1:4" x14ac:dyDescent="0.2">
      <c r="A7384" s="140" t="s">
        <v>5165</v>
      </c>
      <c r="B7384" s="141">
        <v>1.0027768152612001E-4</v>
      </c>
      <c r="D7384" s="141"/>
    </row>
    <row r="7385" spans="1:4" x14ac:dyDescent="0.2">
      <c r="A7385" s="140" t="s">
        <v>1188</v>
      </c>
      <c r="B7385" s="141">
        <v>1.0021885101855E-4</v>
      </c>
      <c r="D7385" s="141"/>
    </row>
    <row r="7386" spans="1:4" x14ac:dyDescent="0.2">
      <c r="A7386" s="140" t="s">
        <v>1359</v>
      </c>
      <c r="B7386" s="141">
        <v>9.9962007309078597E-5</v>
      </c>
      <c r="D7386" s="141"/>
    </row>
    <row r="7387" spans="1:4" x14ac:dyDescent="0.2">
      <c r="A7387" s="140" t="s">
        <v>4196</v>
      </c>
      <c r="B7387" s="141">
        <v>9.9896305422372106E-5</v>
      </c>
      <c r="D7387" s="141"/>
    </row>
    <row r="7388" spans="1:4" x14ac:dyDescent="0.2">
      <c r="A7388" s="140" t="s">
        <v>9042</v>
      </c>
      <c r="B7388" s="141">
        <v>9.9772926962925993E-5</v>
      </c>
      <c r="D7388" s="141"/>
    </row>
    <row r="7389" spans="1:4" x14ac:dyDescent="0.2">
      <c r="A7389" s="140" t="s">
        <v>9043</v>
      </c>
      <c r="B7389" s="141">
        <v>9.9772926962925993E-5</v>
      </c>
      <c r="D7389" s="141"/>
    </row>
    <row r="7390" spans="1:4" x14ac:dyDescent="0.2">
      <c r="A7390" s="140" t="s">
        <v>4506</v>
      </c>
      <c r="B7390" s="141">
        <v>9.9772926962925993E-5</v>
      </c>
      <c r="D7390" s="141"/>
    </row>
    <row r="7391" spans="1:4" x14ac:dyDescent="0.2">
      <c r="A7391" s="140" t="s">
        <v>3779</v>
      </c>
      <c r="B7391" s="141">
        <v>9.9772926962925993E-5</v>
      </c>
      <c r="D7391" s="141"/>
    </row>
    <row r="7392" spans="1:4" x14ac:dyDescent="0.2">
      <c r="A7392" s="140" t="s">
        <v>2153</v>
      </c>
      <c r="B7392" s="141">
        <v>9.9728679383805701E-5</v>
      </c>
      <c r="D7392" s="141"/>
    </row>
    <row r="7393" spans="1:4" x14ac:dyDescent="0.2">
      <c r="A7393" s="140" t="s">
        <v>3279</v>
      </c>
      <c r="B7393" s="141">
        <v>9.9621757051813098E-5</v>
      </c>
      <c r="D7393" s="141"/>
    </row>
    <row r="7394" spans="1:4" x14ac:dyDescent="0.2">
      <c r="A7394" s="140" t="s">
        <v>9044</v>
      </c>
      <c r="B7394" s="141">
        <v>9.9420812674669496E-5</v>
      </c>
      <c r="D7394" s="141"/>
    </row>
    <row r="7395" spans="1:4" x14ac:dyDescent="0.2">
      <c r="A7395" s="140" t="s">
        <v>9045</v>
      </c>
      <c r="B7395" s="141">
        <v>9.9419290639803394E-5</v>
      </c>
      <c r="D7395" s="141"/>
    </row>
    <row r="7396" spans="1:4" x14ac:dyDescent="0.2">
      <c r="A7396" s="140" t="s">
        <v>9046</v>
      </c>
      <c r="B7396" s="141">
        <v>9.9415482667381604E-5</v>
      </c>
      <c r="D7396" s="141"/>
    </row>
    <row r="7397" spans="1:4" x14ac:dyDescent="0.2">
      <c r="A7397" s="140" t="s">
        <v>9047</v>
      </c>
      <c r="B7397" s="141">
        <v>9.9415482667381604E-5</v>
      </c>
      <c r="D7397" s="141"/>
    </row>
    <row r="7398" spans="1:4" x14ac:dyDescent="0.2">
      <c r="A7398" s="140" t="s">
        <v>3633</v>
      </c>
      <c r="B7398" s="141">
        <v>9.9376347274045097E-5</v>
      </c>
      <c r="D7398" s="141"/>
    </row>
    <row r="7399" spans="1:4" x14ac:dyDescent="0.2">
      <c r="A7399" s="140" t="s">
        <v>1450</v>
      </c>
      <c r="B7399" s="141">
        <v>9.9323196236643604E-5</v>
      </c>
      <c r="D7399" s="141"/>
    </row>
    <row r="7400" spans="1:4" x14ac:dyDescent="0.2">
      <c r="A7400" s="140" t="s">
        <v>2950</v>
      </c>
      <c r="B7400" s="141">
        <v>9.9069077063751698E-5</v>
      </c>
      <c r="D7400" s="141"/>
    </row>
    <row r="7401" spans="1:4" x14ac:dyDescent="0.2">
      <c r="A7401" s="140" t="s">
        <v>802</v>
      </c>
      <c r="B7401" s="141">
        <v>9.8958084997244794E-5</v>
      </c>
      <c r="D7401" s="141"/>
    </row>
    <row r="7402" spans="1:4" x14ac:dyDescent="0.2">
      <c r="A7402" s="140" t="s">
        <v>5545</v>
      </c>
      <c r="B7402" s="141">
        <v>9.8726296905645594E-5</v>
      </c>
      <c r="D7402" s="141"/>
    </row>
    <row r="7403" spans="1:4" x14ac:dyDescent="0.2">
      <c r="A7403" s="140" t="s">
        <v>448</v>
      </c>
      <c r="B7403" s="141">
        <v>9.8717497933358103E-5</v>
      </c>
      <c r="D7403" s="141"/>
    </row>
    <row r="7404" spans="1:4" x14ac:dyDescent="0.2">
      <c r="A7404" s="140" t="s">
        <v>9048</v>
      </c>
      <c r="B7404" s="141">
        <v>9.8580588211860101E-5</v>
      </c>
      <c r="D7404" s="141"/>
    </row>
    <row r="7405" spans="1:4" x14ac:dyDescent="0.2">
      <c r="A7405" s="140" t="s">
        <v>1883</v>
      </c>
      <c r="B7405" s="141">
        <v>9.85692904411362E-5</v>
      </c>
      <c r="D7405" s="141"/>
    </row>
    <row r="7406" spans="1:4" x14ac:dyDescent="0.2">
      <c r="A7406" s="140" t="s">
        <v>2038</v>
      </c>
      <c r="B7406" s="141">
        <v>9.8563176271371195E-5</v>
      </c>
      <c r="D7406" s="141"/>
    </row>
    <row r="7407" spans="1:4" x14ac:dyDescent="0.2">
      <c r="A7407" s="140" t="s">
        <v>9049</v>
      </c>
      <c r="B7407" s="141">
        <v>9.8540472307676695E-5</v>
      </c>
      <c r="D7407" s="141"/>
    </row>
    <row r="7408" spans="1:4" x14ac:dyDescent="0.2">
      <c r="A7408" s="140" t="s">
        <v>9050</v>
      </c>
      <c r="B7408" s="141">
        <v>9.8530578572852097E-5</v>
      </c>
      <c r="D7408" s="141"/>
    </row>
    <row r="7409" spans="1:4" x14ac:dyDescent="0.2">
      <c r="A7409" s="140" t="s">
        <v>9051</v>
      </c>
      <c r="B7409" s="141">
        <v>9.8530578572852097E-5</v>
      </c>
      <c r="D7409" s="141"/>
    </row>
    <row r="7410" spans="1:4" x14ac:dyDescent="0.2">
      <c r="A7410" s="140" t="s">
        <v>9052</v>
      </c>
      <c r="B7410" s="141">
        <v>9.7840385774308194E-5</v>
      </c>
      <c r="D7410" s="141"/>
    </row>
    <row r="7411" spans="1:4" x14ac:dyDescent="0.2">
      <c r="A7411" s="140" t="s">
        <v>9053</v>
      </c>
      <c r="B7411" s="141">
        <v>9.7829938132398304E-5</v>
      </c>
      <c r="D7411" s="141"/>
    </row>
    <row r="7412" spans="1:4" x14ac:dyDescent="0.2">
      <c r="A7412" s="140" t="s">
        <v>458</v>
      </c>
      <c r="B7412" s="141">
        <v>9.7617550103811703E-5</v>
      </c>
      <c r="D7412" s="141"/>
    </row>
    <row r="7413" spans="1:4" x14ac:dyDescent="0.2">
      <c r="A7413" s="140" t="s">
        <v>9054</v>
      </c>
      <c r="B7413" s="141">
        <v>9.7550452504688599E-5</v>
      </c>
      <c r="D7413" s="141"/>
    </row>
    <row r="7414" spans="1:4" x14ac:dyDescent="0.2">
      <c r="A7414" s="140" t="s">
        <v>9055</v>
      </c>
      <c r="B7414" s="141">
        <v>9.7482906003575398E-5</v>
      </c>
      <c r="D7414" s="141"/>
    </row>
    <row r="7415" spans="1:4" x14ac:dyDescent="0.2">
      <c r="A7415" s="140" t="s">
        <v>956</v>
      </c>
      <c r="B7415" s="141">
        <v>9.7316115681249601E-5</v>
      </c>
      <c r="D7415" s="141"/>
    </row>
    <row r="7416" spans="1:4" x14ac:dyDescent="0.2">
      <c r="A7416" s="140" t="s">
        <v>380</v>
      </c>
      <c r="B7416" s="141">
        <v>9.7229125004640997E-5</v>
      </c>
      <c r="D7416" s="141"/>
    </row>
    <row r="7417" spans="1:4" x14ac:dyDescent="0.2">
      <c r="A7417" s="140" t="s">
        <v>740</v>
      </c>
      <c r="B7417" s="141">
        <v>9.7175146637808697E-5</v>
      </c>
      <c r="D7417" s="141"/>
    </row>
    <row r="7418" spans="1:4" x14ac:dyDescent="0.2">
      <c r="A7418" s="140" t="s">
        <v>1634</v>
      </c>
      <c r="B7418" s="141">
        <v>9.6568390303130298E-5</v>
      </c>
      <c r="D7418" s="141"/>
    </row>
    <row r="7419" spans="1:4" x14ac:dyDescent="0.2">
      <c r="A7419" s="140" t="s">
        <v>4305</v>
      </c>
      <c r="B7419" s="141">
        <v>9.6556951683389594E-5</v>
      </c>
      <c r="D7419" s="141"/>
    </row>
    <row r="7420" spans="1:4" x14ac:dyDescent="0.2">
      <c r="A7420" s="140" t="s">
        <v>3500</v>
      </c>
      <c r="B7420" s="141">
        <v>9.6408366366670199E-5</v>
      </c>
      <c r="D7420" s="141"/>
    </row>
    <row r="7421" spans="1:4" x14ac:dyDescent="0.2">
      <c r="A7421" s="140" t="s">
        <v>4712</v>
      </c>
      <c r="B7421" s="141">
        <v>9.64045155688329E-5</v>
      </c>
      <c r="D7421" s="141"/>
    </row>
    <row r="7422" spans="1:4" x14ac:dyDescent="0.2">
      <c r="A7422" s="140" t="s">
        <v>9056</v>
      </c>
      <c r="B7422" s="141">
        <v>9.6355894003077806E-5</v>
      </c>
      <c r="D7422" s="141"/>
    </row>
    <row r="7423" spans="1:4" x14ac:dyDescent="0.2">
      <c r="A7423" s="140" t="s">
        <v>9057</v>
      </c>
      <c r="B7423" s="141">
        <v>9.6355894003077806E-5</v>
      </c>
      <c r="D7423" s="141"/>
    </row>
    <row r="7424" spans="1:4" x14ac:dyDescent="0.2">
      <c r="A7424" s="140" t="s">
        <v>9058</v>
      </c>
      <c r="B7424" s="141">
        <v>9.6355894003077806E-5</v>
      </c>
      <c r="D7424" s="141"/>
    </row>
    <row r="7425" spans="1:4" x14ac:dyDescent="0.2">
      <c r="A7425" s="140" t="s">
        <v>3956</v>
      </c>
      <c r="B7425" s="141">
        <v>9.6215716772156602E-5</v>
      </c>
      <c r="D7425" s="141"/>
    </row>
    <row r="7426" spans="1:4" x14ac:dyDescent="0.2">
      <c r="A7426" s="140" t="s">
        <v>3391</v>
      </c>
      <c r="B7426" s="141">
        <v>9.6196777130018999E-5</v>
      </c>
      <c r="D7426" s="141"/>
    </row>
    <row r="7427" spans="1:4" x14ac:dyDescent="0.2">
      <c r="A7427" s="140" t="s">
        <v>9059</v>
      </c>
      <c r="B7427" s="141">
        <v>9.6147786483824206E-5</v>
      </c>
      <c r="D7427" s="141"/>
    </row>
    <row r="7428" spans="1:4" x14ac:dyDescent="0.2">
      <c r="A7428" s="140" t="s">
        <v>3176</v>
      </c>
      <c r="B7428" s="141">
        <v>9.5936899636486805E-5</v>
      </c>
      <c r="D7428" s="141"/>
    </row>
    <row r="7429" spans="1:4" x14ac:dyDescent="0.2">
      <c r="A7429" s="140" t="s">
        <v>9060</v>
      </c>
      <c r="B7429" s="141">
        <v>9.5834937811581705E-5</v>
      </c>
      <c r="D7429" s="141"/>
    </row>
    <row r="7430" spans="1:4" x14ac:dyDescent="0.2">
      <c r="A7430" s="140" t="s">
        <v>9061</v>
      </c>
      <c r="B7430" s="141">
        <v>9.5784025384394297E-5</v>
      </c>
      <c r="D7430" s="141"/>
    </row>
    <row r="7431" spans="1:4" x14ac:dyDescent="0.2">
      <c r="A7431" s="140" t="s">
        <v>9062</v>
      </c>
      <c r="B7431" s="141">
        <v>9.5784025384394297E-5</v>
      </c>
      <c r="D7431" s="141"/>
    </row>
    <row r="7432" spans="1:4" x14ac:dyDescent="0.2">
      <c r="A7432" s="140" t="s">
        <v>9063</v>
      </c>
      <c r="B7432" s="141">
        <v>9.5784025384394297E-5</v>
      </c>
      <c r="D7432" s="141"/>
    </row>
    <row r="7433" spans="1:4" x14ac:dyDescent="0.2">
      <c r="A7433" s="140" t="s">
        <v>9064</v>
      </c>
      <c r="B7433" s="141">
        <v>9.5784025384394297E-5</v>
      </c>
      <c r="D7433" s="141"/>
    </row>
    <row r="7434" spans="1:4" x14ac:dyDescent="0.2">
      <c r="A7434" s="140" t="s">
        <v>1301</v>
      </c>
      <c r="B7434" s="141">
        <v>9.5555541704420702E-5</v>
      </c>
      <c r="D7434" s="141"/>
    </row>
    <row r="7435" spans="1:4" x14ac:dyDescent="0.2">
      <c r="A7435" s="140" t="s">
        <v>1258</v>
      </c>
      <c r="B7435" s="141">
        <v>9.5236891557027594E-5</v>
      </c>
      <c r="D7435" s="141"/>
    </row>
    <row r="7436" spans="1:4" x14ac:dyDescent="0.2">
      <c r="A7436" s="140" t="s">
        <v>9065</v>
      </c>
      <c r="B7436" s="141">
        <v>9.52026109955022E-5</v>
      </c>
      <c r="D7436" s="141"/>
    </row>
    <row r="7437" spans="1:4" x14ac:dyDescent="0.2">
      <c r="A7437" s="140" t="s">
        <v>9066</v>
      </c>
      <c r="B7437" s="141">
        <v>9.5189065132517597E-5</v>
      </c>
      <c r="D7437" s="141"/>
    </row>
    <row r="7438" spans="1:4" x14ac:dyDescent="0.2">
      <c r="A7438" s="140" t="s">
        <v>6222</v>
      </c>
      <c r="B7438" s="141">
        <v>9.4887143797997098E-5</v>
      </c>
      <c r="D7438" s="141"/>
    </row>
    <row r="7439" spans="1:4" x14ac:dyDescent="0.2">
      <c r="A7439" s="140" t="s">
        <v>6292</v>
      </c>
      <c r="B7439" s="141">
        <v>9.4789245418236694E-5</v>
      </c>
      <c r="D7439" s="141"/>
    </row>
    <row r="7440" spans="1:4" x14ac:dyDescent="0.2">
      <c r="A7440" s="140" t="s">
        <v>2325</v>
      </c>
      <c r="B7440" s="141">
        <v>9.4685795269551295E-5</v>
      </c>
      <c r="D7440" s="141"/>
    </row>
    <row r="7441" spans="1:4" x14ac:dyDescent="0.2">
      <c r="A7441" s="140" t="s">
        <v>9067</v>
      </c>
      <c r="B7441" s="141">
        <v>9.4311800850293306E-5</v>
      </c>
      <c r="D7441" s="141"/>
    </row>
    <row r="7442" spans="1:4" x14ac:dyDescent="0.2">
      <c r="A7442" s="140" t="s">
        <v>3837</v>
      </c>
      <c r="B7442" s="141">
        <v>9.4310386414188201E-5</v>
      </c>
      <c r="D7442" s="141"/>
    </row>
    <row r="7443" spans="1:4" x14ac:dyDescent="0.2">
      <c r="A7443" s="140" t="s">
        <v>4047</v>
      </c>
      <c r="B7443" s="141">
        <v>9.4305796137104497E-5</v>
      </c>
      <c r="D7443" s="141"/>
    </row>
    <row r="7444" spans="1:4" x14ac:dyDescent="0.2">
      <c r="A7444" s="140" t="s">
        <v>2425</v>
      </c>
      <c r="B7444" s="141">
        <v>9.4242322525587194E-5</v>
      </c>
      <c r="D7444" s="141"/>
    </row>
    <row r="7445" spans="1:4" x14ac:dyDescent="0.2">
      <c r="A7445" s="140" t="s">
        <v>3076</v>
      </c>
      <c r="B7445" s="141">
        <v>9.4160421162124103E-5</v>
      </c>
      <c r="D7445" s="141"/>
    </row>
    <row r="7446" spans="1:4" x14ac:dyDescent="0.2">
      <c r="A7446" s="140" t="s">
        <v>9068</v>
      </c>
      <c r="B7446" s="141">
        <v>9.41257849518094E-5</v>
      </c>
      <c r="D7446" s="141"/>
    </row>
    <row r="7447" spans="1:4" x14ac:dyDescent="0.2">
      <c r="A7447" s="140" t="s">
        <v>9069</v>
      </c>
      <c r="B7447" s="141">
        <v>9.41257849518094E-5</v>
      </c>
      <c r="D7447" s="141"/>
    </row>
    <row r="7448" spans="1:4" x14ac:dyDescent="0.2">
      <c r="A7448" s="140" t="s">
        <v>9070</v>
      </c>
      <c r="B7448" s="141">
        <v>9.41257849518094E-5</v>
      </c>
      <c r="D7448" s="141"/>
    </row>
    <row r="7449" spans="1:4" x14ac:dyDescent="0.2">
      <c r="A7449" s="140" t="s">
        <v>9071</v>
      </c>
      <c r="B7449" s="141">
        <v>9.41257849518094E-5</v>
      </c>
      <c r="D7449" s="141"/>
    </row>
    <row r="7450" spans="1:4" x14ac:dyDescent="0.2">
      <c r="A7450" s="140" t="s">
        <v>9072</v>
      </c>
      <c r="B7450" s="141">
        <v>9.41257849518094E-5</v>
      </c>
      <c r="D7450" s="141"/>
    </row>
    <row r="7451" spans="1:4" x14ac:dyDescent="0.2">
      <c r="A7451" s="140" t="s">
        <v>2872</v>
      </c>
      <c r="B7451" s="141">
        <v>9.4034761140753196E-5</v>
      </c>
      <c r="D7451" s="141"/>
    </row>
    <row r="7452" spans="1:4" x14ac:dyDescent="0.2">
      <c r="A7452" s="140" t="s">
        <v>5218</v>
      </c>
      <c r="B7452" s="141">
        <v>9.3925574242831203E-5</v>
      </c>
      <c r="D7452" s="141"/>
    </row>
    <row r="7453" spans="1:4" x14ac:dyDescent="0.2">
      <c r="A7453" s="140" t="s">
        <v>5576</v>
      </c>
      <c r="B7453" s="141">
        <v>9.3918254254037398E-5</v>
      </c>
      <c r="D7453" s="141"/>
    </row>
    <row r="7454" spans="1:4" x14ac:dyDescent="0.2">
      <c r="A7454" s="140" t="s">
        <v>5426</v>
      </c>
      <c r="B7454" s="141">
        <v>9.3918254254037398E-5</v>
      </c>
      <c r="D7454" s="141"/>
    </row>
    <row r="7455" spans="1:4" x14ac:dyDescent="0.2">
      <c r="A7455" s="140" t="s">
        <v>9073</v>
      </c>
      <c r="B7455" s="141">
        <v>9.3896878775856998E-5</v>
      </c>
      <c r="D7455" s="141"/>
    </row>
    <row r="7456" spans="1:4" x14ac:dyDescent="0.2">
      <c r="A7456" s="140" t="s">
        <v>9074</v>
      </c>
      <c r="B7456" s="141">
        <v>9.3851728862097297E-5</v>
      </c>
      <c r="D7456" s="141"/>
    </row>
    <row r="7457" spans="1:4" x14ac:dyDescent="0.2">
      <c r="A7457" s="140" t="s">
        <v>5357</v>
      </c>
      <c r="B7457" s="141">
        <v>9.3832573111304201E-5</v>
      </c>
      <c r="D7457" s="141"/>
    </row>
    <row r="7458" spans="1:4" x14ac:dyDescent="0.2">
      <c r="A7458" s="140" t="s">
        <v>4245</v>
      </c>
      <c r="B7458" s="141">
        <v>9.3720809686298495E-5</v>
      </c>
      <c r="D7458" s="141"/>
    </row>
    <row r="7459" spans="1:4" x14ac:dyDescent="0.2">
      <c r="A7459" s="140" t="s">
        <v>5188</v>
      </c>
      <c r="B7459" s="141">
        <v>9.3712759856084195E-5</v>
      </c>
      <c r="D7459" s="141"/>
    </row>
    <row r="7460" spans="1:4" x14ac:dyDescent="0.2">
      <c r="A7460" s="140" t="s">
        <v>1625</v>
      </c>
      <c r="B7460" s="141">
        <v>9.3670682072657797E-5</v>
      </c>
      <c r="D7460" s="141"/>
    </row>
    <row r="7461" spans="1:4" x14ac:dyDescent="0.2">
      <c r="A7461" s="140" t="s">
        <v>2034</v>
      </c>
      <c r="B7461" s="141">
        <v>9.3365768518800395E-5</v>
      </c>
      <c r="D7461" s="141"/>
    </row>
    <row r="7462" spans="1:4" x14ac:dyDescent="0.2">
      <c r="A7462" s="140" t="s">
        <v>4691</v>
      </c>
      <c r="B7462" s="141">
        <v>9.3363213947203697E-5</v>
      </c>
      <c r="D7462" s="141"/>
    </row>
    <row r="7463" spans="1:4" x14ac:dyDescent="0.2">
      <c r="A7463" s="140" t="s">
        <v>4660</v>
      </c>
      <c r="B7463" s="141">
        <v>9.3281990485683398E-5</v>
      </c>
      <c r="D7463" s="141"/>
    </row>
    <row r="7464" spans="1:4" x14ac:dyDescent="0.2">
      <c r="A7464" s="140" t="s">
        <v>6264</v>
      </c>
      <c r="B7464" s="141">
        <v>9.3106676078062497E-5</v>
      </c>
      <c r="D7464" s="141"/>
    </row>
    <row r="7465" spans="1:4" x14ac:dyDescent="0.2">
      <c r="A7465" s="140" t="s">
        <v>9075</v>
      </c>
      <c r="B7465" s="141">
        <v>9.2952119988653806E-5</v>
      </c>
      <c r="D7465" s="141"/>
    </row>
    <row r="7466" spans="1:4" x14ac:dyDescent="0.2">
      <c r="A7466" s="140" t="s">
        <v>2987</v>
      </c>
      <c r="B7466" s="141">
        <v>9.2923207445313305E-5</v>
      </c>
      <c r="D7466" s="141"/>
    </row>
    <row r="7467" spans="1:4" x14ac:dyDescent="0.2">
      <c r="A7467" s="140" t="s">
        <v>1990</v>
      </c>
      <c r="B7467" s="141">
        <v>9.2605862721410002E-5</v>
      </c>
      <c r="D7467" s="141"/>
    </row>
    <row r="7468" spans="1:4" x14ac:dyDescent="0.2">
      <c r="A7468" s="140" t="s">
        <v>9076</v>
      </c>
      <c r="B7468" s="141">
        <v>9.2551528559481206E-5</v>
      </c>
      <c r="D7468" s="141"/>
    </row>
    <row r="7469" spans="1:4" x14ac:dyDescent="0.2">
      <c r="A7469" s="140" t="s">
        <v>4600</v>
      </c>
      <c r="B7469" s="141">
        <v>9.2410588303861699E-5</v>
      </c>
      <c r="D7469" s="141"/>
    </row>
    <row r="7470" spans="1:4" x14ac:dyDescent="0.2">
      <c r="A7470" s="140" t="s">
        <v>1187</v>
      </c>
      <c r="B7470" s="141">
        <v>9.2397152432223693E-5</v>
      </c>
      <c r="D7470" s="141"/>
    </row>
    <row r="7471" spans="1:4" x14ac:dyDescent="0.2">
      <c r="A7471" s="140" t="s">
        <v>9077</v>
      </c>
      <c r="B7471" s="141">
        <v>9.2293282292569398E-5</v>
      </c>
      <c r="D7471" s="141"/>
    </row>
    <row r="7472" spans="1:4" x14ac:dyDescent="0.2">
      <c r="A7472" s="140" t="s">
        <v>3400</v>
      </c>
      <c r="B7472" s="141">
        <v>9.21948204090059E-5</v>
      </c>
      <c r="D7472" s="141"/>
    </row>
    <row r="7473" spans="1:4" x14ac:dyDescent="0.2">
      <c r="A7473" s="140" t="s">
        <v>5609</v>
      </c>
      <c r="B7473" s="141">
        <v>9.2177851116071103E-5</v>
      </c>
      <c r="D7473" s="141"/>
    </row>
    <row r="7474" spans="1:4" x14ac:dyDescent="0.2">
      <c r="A7474" s="140" t="s">
        <v>1536</v>
      </c>
      <c r="B7474" s="141">
        <v>9.2055766853518605E-5</v>
      </c>
      <c r="D7474" s="141"/>
    </row>
    <row r="7475" spans="1:4" x14ac:dyDescent="0.2">
      <c r="A7475" s="140" t="s">
        <v>838</v>
      </c>
      <c r="B7475" s="141">
        <v>9.1910630408104807E-5</v>
      </c>
      <c r="D7475" s="141"/>
    </row>
    <row r="7476" spans="1:4" x14ac:dyDescent="0.2">
      <c r="A7476" s="140" t="s">
        <v>6023</v>
      </c>
      <c r="B7476" s="141">
        <v>9.1828345866323905E-5</v>
      </c>
      <c r="D7476" s="141"/>
    </row>
    <row r="7477" spans="1:4" x14ac:dyDescent="0.2">
      <c r="A7477" s="140" t="s">
        <v>6042</v>
      </c>
      <c r="B7477" s="141">
        <v>9.1624322766711201E-5</v>
      </c>
      <c r="D7477" s="141"/>
    </row>
    <row r="7478" spans="1:4" x14ac:dyDescent="0.2">
      <c r="A7478" s="140" t="s">
        <v>5979</v>
      </c>
      <c r="B7478" s="141">
        <v>9.1154392693401995E-5</v>
      </c>
      <c r="D7478" s="141"/>
    </row>
    <row r="7479" spans="1:4" x14ac:dyDescent="0.2">
      <c r="A7479" s="140" t="s">
        <v>3430</v>
      </c>
      <c r="B7479" s="141">
        <v>9.0960074309520095E-5</v>
      </c>
      <c r="D7479" s="141"/>
    </row>
    <row r="7480" spans="1:4" x14ac:dyDescent="0.2">
      <c r="A7480" s="140" t="s">
        <v>528</v>
      </c>
      <c r="B7480" s="141">
        <v>9.0782750998714103E-5</v>
      </c>
      <c r="D7480" s="141"/>
    </row>
    <row r="7481" spans="1:4" x14ac:dyDescent="0.2">
      <c r="A7481" s="140" t="s">
        <v>9078</v>
      </c>
      <c r="B7481" s="141">
        <v>9.0640347956377496E-5</v>
      </c>
      <c r="D7481" s="141"/>
    </row>
    <row r="7482" spans="1:4" x14ac:dyDescent="0.2">
      <c r="A7482" s="140" t="s">
        <v>9079</v>
      </c>
      <c r="B7482" s="141">
        <v>9.0587909880712405E-5</v>
      </c>
      <c r="D7482" s="141"/>
    </row>
    <row r="7483" spans="1:4" x14ac:dyDescent="0.2">
      <c r="A7483" s="140" t="s">
        <v>3829</v>
      </c>
      <c r="B7483" s="141">
        <v>9.0518622075939998E-5</v>
      </c>
      <c r="D7483" s="141"/>
    </row>
    <row r="7484" spans="1:4" x14ac:dyDescent="0.2">
      <c r="A7484" s="140" t="s">
        <v>9080</v>
      </c>
      <c r="B7484" s="141">
        <v>9.0497430632732094E-5</v>
      </c>
      <c r="D7484" s="141"/>
    </row>
    <row r="7485" spans="1:4" x14ac:dyDescent="0.2">
      <c r="A7485" s="140" t="s">
        <v>1965</v>
      </c>
      <c r="B7485" s="141">
        <v>9.0065788649147993E-5</v>
      </c>
      <c r="D7485" s="141"/>
    </row>
    <row r="7486" spans="1:4" x14ac:dyDescent="0.2">
      <c r="A7486" s="140" t="s">
        <v>3960</v>
      </c>
      <c r="B7486" s="141">
        <v>8.9909953629957101E-5</v>
      </c>
      <c r="D7486" s="141"/>
    </row>
    <row r="7487" spans="1:4" x14ac:dyDescent="0.2">
      <c r="A7487" s="140" t="s">
        <v>9081</v>
      </c>
      <c r="B7487" s="141">
        <v>8.9758157564075397E-5</v>
      </c>
      <c r="D7487" s="141"/>
    </row>
    <row r="7488" spans="1:4" x14ac:dyDescent="0.2">
      <c r="A7488" s="140" t="s">
        <v>2859</v>
      </c>
      <c r="B7488" s="141">
        <v>8.9668757447035197E-5</v>
      </c>
      <c r="D7488" s="141"/>
    </row>
    <row r="7489" spans="1:4" x14ac:dyDescent="0.2">
      <c r="A7489" s="140" t="s">
        <v>9082</v>
      </c>
      <c r="B7489" s="141">
        <v>8.9588176901958695E-5</v>
      </c>
      <c r="D7489" s="141"/>
    </row>
    <row r="7490" spans="1:4" x14ac:dyDescent="0.2">
      <c r="A7490" s="140" t="s">
        <v>9083</v>
      </c>
      <c r="B7490" s="141">
        <v>8.9588176901958695E-5</v>
      </c>
      <c r="D7490" s="141"/>
    </row>
    <row r="7491" spans="1:4" x14ac:dyDescent="0.2">
      <c r="A7491" s="140" t="s">
        <v>5257</v>
      </c>
      <c r="B7491" s="141">
        <v>8.9356939642894895E-5</v>
      </c>
      <c r="D7491" s="141"/>
    </row>
    <row r="7492" spans="1:4" x14ac:dyDescent="0.2">
      <c r="A7492" s="140" t="s">
        <v>9084</v>
      </c>
      <c r="B7492" s="141">
        <v>8.932023028298E-5</v>
      </c>
      <c r="D7492" s="141"/>
    </row>
    <row r="7493" spans="1:4" x14ac:dyDescent="0.2">
      <c r="A7493" s="140" t="s">
        <v>9085</v>
      </c>
      <c r="B7493" s="141">
        <v>8.932023028298E-5</v>
      </c>
      <c r="D7493" s="141"/>
    </row>
    <row r="7494" spans="1:4" x14ac:dyDescent="0.2">
      <c r="A7494" s="140" t="s">
        <v>9086</v>
      </c>
      <c r="B7494" s="141">
        <v>8.932023028298E-5</v>
      </c>
      <c r="D7494" s="141"/>
    </row>
    <row r="7495" spans="1:4" x14ac:dyDescent="0.2">
      <c r="A7495" s="140" t="s">
        <v>9087</v>
      </c>
      <c r="B7495" s="141">
        <v>8.932023028298E-5</v>
      </c>
      <c r="D7495" s="141"/>
    </row>
    <row r="7496" spans="1:4" x14ac:dyDescent="0.2">
      <c r="A7496" s="140" t="s">
        <v>9088</v>
      </c>
      <c r="B7496" s="141">
        <v>8.932023028298E-5</v>
      </c>
      <c r="D7496" s="141"/>
    </row>
    <row r="7497" spans="1:4" x14ac:dyDescent="0.2">
      <c r="A7497" s="140" t="s">
        <v>9089</v>
      </c>
      <c r="B7497" s="141">
        <v>8.932023028298E-5</v>
      </c>
      <c r="D7497" s="141"/>
    </row>
    <row r="7498" spans="1:4" x14ac:dyDescent="0.2">
      <c r="A7498" s="140" t="s">
        <v>6295</v>
      </c>
      <c r="B7498" s="141">
        <v>8.93044496552387E-5</v>
      </c>
      <c r="D7498" s="141"/>
    </row>
    <row r="7499" spans="1:4" x14ac:dyDescent="0.2">
      <c r="A7499" s="140" t="s">
        <v>2740</v>
      </c>
      <c r="B7499" s="141">
        <v>8.8944580465403006E-5</v>
      </c>
      <c r="D7499" s="141"/>
    </row>
    <row r="7500" spans="1:4" x14ac:dyDescent="0.2">
      <c r="A7500" s="140" t="s">
        <v>9090</v>
      </c>
      <c r="B7500" s="141">
        <v>8.8937938899206801E-5</v>
      </c>
      <c r="D7500" s="141"/>
    </row>
    <row r="7501" spans="1:4" x14ac:dyDescent="0.2">
      <c r="A7501" s="140" t="s">
        <v>5618</v>
      </c>
      <c r="B7501" s="141">
        <v>8.8902295908083705E-5</v>
      </c>
      <c r="D7501" s="141"/>
    </row>
    <row r="7502" spans="1:4" x14ac:dyDescent="0.2">
      <c r="A7502" s="140" t="s">
        <v>9091</v>
      </c>
      <c r="B7502" s="141">
        <v>8.8792847382394003E-5</v>
      </c>
      <c r="D7502" s="141"/>
    </row>
    <row r="7503" spans="1:4" x14ac:dyDescent="0.2">
      <c r="A7503" s="140" t="s">
        <v>9092</v>
      </c>
      <c r="B7503" s="141">
        <v>8.8617260329644095E-5</v>
      </c>
      <c r="D7503" s="141"/>
    </row>
    <row r="7504" spans="1:4" x14ac:dyDescent="0.2">
      <c r="A7504" s="140" t="s">
        <v>4505</v>
      </c>
      <c r="B7504" s="141">
        <v>8.85506841469772E-5</v>
      </c>
      <c r="D7504" s="141"/>
    </row>
    <row r="7505" spans="1:4" x14ac:dyDescent="0.2">
      <c r="A7505" s="140" t="s">
        <v>9093</v>
      </c>
      <c r="B7505" s="141">
        <v>8.8361770352775795E-5</v>
      </c>
      <c r="D7505" s="141"/>
    </row>
    <row r="7506" spans="1:4" x14ac:dyDescent="0.2">
      <c r="A7506" s="140" t="s">
        <v>9094</v>
      </c>
      <c r="B7506" s="141">
        <v>8.82390176883324E-5</v>
      </c>
      <c r="D7506" s="141"/>
    </row>
    <row r="7507" spans="1:4" x14ac:dyDescent="0.2">
      <c r="A7507" s="140" t="s">
        <v>1685</v>
      </c>
      <c r="B7507" s="141">
        <v>8.8213245369516606E-5</v>
      </c>
      <c r="D7507" s="141"/>
    </row>
    <row r="7508" spans="1:4" x14ac:dyDescent="0.2">
      <c r="A7508" s="140" t="s">
        <v>5867</v>
      </c>
      <c r="B7508" s="141">
        <v>8.8032727923945798E-5</v>
      </c>
      <c r="D7508" s="141"/>
    </row>
    <row r="7509" spans="1:4" x14ac:dyDescent="0.2">
      <c r="A7509" s="140" t="s">
        <v>9095</v>
      </c>
      <c r="B7509" s="141">
        <v>8.8032727923945798E-5</v>
      </c>
      <c r="D7509" s="141"/>
    </row>
    <row r="7510" spans="1:4" x14ac:dyDescent="0.2">
      <c r="A7510" s="140" t="s">
        <v>1705</v>
      </c>
      <c r="B7510" s="141">
        <v>8.8032727923945798E-5</v>
      </c>
      <c r="D7510" s="141"/>
    </row>
    <row r="7511" spans="1:4" x14ac:dyDescent="0.2">
      <c r="A7511" s="140" t="s">
        <v>9096</v>
      </c>
      <c r="B7511" s="141">
        <v>8.8032727923945798E-5</v>
      </c>
      <c r="D7511" s="141"/>
    </row>
    <row r="7512" spans="1:4" x14ac:dyDescent="0.2">
      <c r="A7512" s="140" t="s">
        <v>1717</v>
      </c>
      <c r="B7512" s="141">
        <v>8.8032727923945798E-5</v>
      </c>
      <c r="D7512" s="141"/>
    </row>
    <row r="7513" spans="1:4" x14ac:dyDescent="0.2">
      <c r="A7513" s="140" t="s">
        <v>1713</v>
      </c>
      <c r="B7513" s="141">
        <v>8.8032727923945798E-5</v>
      </c>
      <c r="D7513" s="141"/>
    </row>
    <row r="7514" spans="1:4" x14ac:dyDescent="0.2">
      <c r="A7514" s="140" t="s">
        <v>9097</v>
      </c>
      <c r="B7514" s="141">
        <v>8.8032727923945798E-5</v>
      </c>
      <c r="D7514" s="141"/>
    </row>
    <row r="7515" spans="1:4" x14ac:dyDescent="0.2">
      <c r="A7515" s="140" t="s">
        <v>5108</v>
      </c>
      <c r="B7515" s="141">
        <v>8.7980035450674902E-5</v>
      </c>
      <c r="D7515" s="141"/>
    </row>
    <row r="7516" spans="1:4" x14ac:dyDescent="0.2">
      <c r="A7516" s="140" t="s">
        <v>4734</v>
      </c>
      <c r="B7516" s="141">
        <v>8.7980035450674902E-5</v>
      </c>
      <c r="D7516" s="141"/>
    </row>
    <row r="7517" spans="1:4" x14ac:dyDescent="0.2">
      <c r="A7517" s="140" t="s">
        <v>9098</v>
      </c>
      <c r="B7517" s="141">
        <v>8.7980035450674902E-5</v>
      </c>
      <c r="D7517" s="141"/>
    </row>
    <row r="7518" spans="1:4" x14ac:dyDescent="0.2">
      <c r="A7518" s="140" t="s">
        <v>9099</v>
      </c>
      <c r="B7518" s="141">
        <v>8.7938344258870797E-5</v>
      </c>
      <c r="D7518" s="141"/>
    </row>
    <row r="7519" spans="1:4" x14ac:dyDescent="0.2">
      <c r="A7519" s="140" t="s">
        <v>9100</v>
      </c>
      <c r="B7519" s="141">
        <v>8.7934695186145997E-5</v>
      </c>
      <c r="D7519" s="141"/>
    </row>
    <row r="7520" spans="1:4" x14ac:dyDescent="0.2">
      <c r="A7520" s="140" t="s">
        <v>9101</v>
      </c>
      <c r="B7520" s="141">
        <v>8.7780526926390206E-5</v>
      </c>
      <c r="D7520" s="141"/>
    </row>
    <row r="7521" spans="1:4" x14ac:dyDescent="0.2">
      <c r="A7521" s="140" t="s">
        <v>824</v>
      </c>
      <c r="B7521" s="141">
        <v>8.7607571721906501E-5</v>
      </c>
      <c r="D7521" s="141"/>
    </row>
    <row r="7522" spans="1:4" x14ac:dyDescent="0.2">
      <c r="A7522" s="140" t="s">
        <v>9102</v>
      </c>
      <c r="B7522" s="141">
        <v>8.7570739197192894E-5</v>
      </c>
      <c r="D7522" s="141"/>
    </row>
    <row r="7523" spans="1:4" x14ac:dyDescent="0.2">
      <c r="A7523" s="140" t="s">
        <v>1441</v>
      </c>
      <c r="B7523" s="141">
        <v>8.7549861381628499E-5</v>
      </c>
      <c r="D7523" s="141"/>
    </row>
    <row r="7524" spans="1:4" x14ac:dyDescent="0.2">
      <c r="A7524" s="140" t="s">
        <v>6027</v>
      </c>
      <c r="B7524" s="141">
        <v>8.7545777762454798E-5</v>
      </c>
      <c r="D7524" s="141"/>
    </row>
    <row r="7525" spans="1:4" x14ac:dyDescent="0.2">
      <c r="A7525" s="140" t="s">
        <v>2854</v>
      </c>
      <c r="B7525" s="141">
        <v>8.7263151991515004E-5</v>
      </c>
      <c r="D7525" s="141"/>
    </row>
    <row r="7526" spans="1:4" x14ac:dyDescent="0.2">
      <c r="A7526" s="140" t="s">
        <v>3192</v>
      </c>
      <c r="B7526" s="141">
        <v>8.7112772303764603E-5</v>
      </c>
      <c r="D7526" s="141"/>
    </row>
    <row r="7527" spans="1:4" x14ac:dyDescent="0.2">
      <c r="A7527" s="140" t="s">
        <v>9103</v>
      </c>
      <c r="B7527" s="141">
        <v>8.6953116438116601E-5</v>
      </c>
      <c r="D7527" s="141"/>
    </row>
    <row r="7528" spans="1:4" x14ac:dyDescent="0.2">
      <c r="A7528" s="140" t="s">
        <v>9104</v>
      </c>
      <c r="B7528" s="141">
        <v>8.6930125256124804E-5</v>
      </c>
      <c r="D7528" s="141"/>
    </row>
    <row r="7529" spans="1:4" x14ac:dyDescent="0.2">
      <c r="A7529" s="140" t="s">
        <v>2715</v>
      </c>
      <c r="B7529" s="141">
        <v>8.6826112256002994E-5</v>
      </c>
      <c r="D7529" s="141"/>
    </row>
    <row r="7530" spans="1:4" x14ac:dyDescent="0.2">
      <c r="A7530" s="140" t="s">
        <v>9105</v>
      </c>
      <c r="B7530" s="141">
        <v>8.6524175941778494E-5</v>
      </c>
      <c r="D7530" s="141"/>
    </row>
    <row r="7531" spans="1:4" x14ac:dyDescent="0.2">
      <c r="A7531" s="140" t="s">
        <v>9106</v>
      </c>
      <c r="B7531" s="141">
        <v>8.6524175941778494E-5</v>
      </c>
      <c r="D7531" s="141"/>
    </row>
    <row r="7532" spans="1:4" x14ac:dyDescent="0.2">
      <c r="A7532" s="140" t="s">
        <v>9107</v>
      </c>
      <c r="B7532" s="141">
        <v>8.6524175941778494E-5</v>
      </c>
      <c r="D7532" s="141"/>
    </row>
    <row r="7533" spans="1:4" x14ac:dyDescent="0.2">
      <c r="A7533" s="140" t="s">
        <v>2097</v>
      </c>
      <c r="B7533" s="141">
        <v>8.6371404324730804E-5</v>
      </c>
      <c r="D7533" s="141"/>
    </row>
    <row r="7534" spans="1:4" x14ac:dyDescent="0.2">
      <c r="A7534" s="140" t="s">
        <v>502</v>
      </c>
      <c r="B7534" s="141">
        <v>8.6235760717622904E-5</v>
      </c>
      <c r="D7534" s="141"/>
    </row>
    <row r="7535" spans="1:4" x14ac:dyDescent="0.2">
      <c r="A7535" s="140" t="s">
        <v>3052</v>
      </c>
      <c r="B7535" s="141">
        <v>8.6196999328592993E-5</v>
      </c>
      <c r="D7535" s="141"/>
    </row>
    <row r="7536" spans="1:4" x14ac:dyDescent="0.2">
      <c r="A7536" s="140" t="s">
        <v>9108</v>
      </c>
      <c r="B7536" s="141">
        <v>8.5838789880805498E-5</v>
      </c>
      <c r="D7536" s="141"/>
    </row>
    <row r="7537" spans="1:4" x14ac:dyDescent="0.2">
      <c r="A7537" s="140" t="s">
        <v>5293</v>
      </c>
      <c r="B7537" s="141">
        <v>8.5379923846958796E-5</v>
      </c>
      <c r="D7537" s="141"/>
    </row>
    <row r="7538" spans="1:4" x14ac:dyDescent="0.2">
      <c r="A7538" s="140" t="s">
        <v>3823</v>
      </c>
      <c r="B7538" s="141">
        <v>8.51778317504663E-5</v>
      </c>
      <c r="D7538" s="141"/>
    </row>
    <row r="7539" spans="1:4" x14ac:dyDescent="0.2">
      <c r="A7539" s="140" t="s">
        <v>9109</v>
      </c>
      <c r="B7539" s="141">
        <v>8.5167025469614502E-5</v>
      </c>
      <c r="D7539" s="141"/>
    </row>
    <row r="7540" spans="1:4" x14ac:dyDescent="0.2">
      <c r="A7540" s="140" t="s">
        <v>2427</v>
      </c>
      <c r="B7540" s="141">
        <v>8.5157033459469704E-5</v>
      </c>
      <c r="D7540" s="141"/>
    </row>
    <row r="7541" spans="1:4" x14ac:dyDescent="0.2">
      <c r="A7541" s="140" t="s">
        <v>9110</v>
      </c>
      <c r="B7541" s="141">
        <v>8.5138248828971097E-5</v>
      </c>
      <c r="D7541" s="141"/>
    </row>
    <row r="7542" spans="1:4" x14ac:dyDescent="0.2">
      <c r="A7542" s="140" t="s">
        <v>5542</v>
      </c>
      <c r="B7542" s="141">
        <v>8.4977054542971603E-5</v>
      </c>
      <c r="D7542" s="141"/>
    </row>
    <row r="7543" spans="1:4" x14ac:dyDescent="0.2">
      <c r="A7543" s="140" t="s">
        <v>4666</v>
      </c>
      <c r="B7543" s="141">
        <v>8.4952461839077895E-5</v>
      </c>
      <c r="D7543" s="141"/>
    </row>
    <row r="7544" spans="1:4" x14ac:dyDescent="0.2">
      <c r="A7544" s="140" t="s">
        <v>1446</v>
      </c>
      <c r="B7544" s="141">
        <v>8.4794875707577106E-5</v>
      </c>
      <c r="D7544" s="141"/>
    </row>
    <row r="7545" spans="1:4" x14ac:dyDescent="0.2">
      <c r="A7545" s="140" t="s">
        <v>4138</v>
      </c>
      <c r="B7545" s="141">
        <v>8.4688846310034002E-5</v>
      </c>
      <c r="D7545" s="141"/>
    </row>
    <row r="7546" spans="1:4" x14ac:dyDescent="0.2">
      <c r="A7546" s="140" t="s">
        <v>368</v>
      </c>
      <c r="B7546" s="141">
        <v>8.4652443124895896E-5</v>
      </c>
      <c r="D7546" s="141"/>
    </row>
    <row r="7547" spans="1:4" x14ac:dyDescent="0.2">
      <c r="A7547" s="140" t="s">
        <v>9111</v>
      </c>
      <c r="B7547" s="141">
        <v>8.4497674328827194E-5</v>
      </c>
      <c r="D7547" s="141"/>
    </row>
    <row r="7548" spans="1:4" x14ac:dyDescent="0.2">
      <c r="A7548" s="140" t="s">
        <v>4090</v>
      </c>
      <c r="B7548" s="141">
        <v>8.4470571906022996E-5</v>
      </c>
      <c r="D7548" s="141"/>
    </row>
    <row r="7549" spans="1:4" x14ac:dyDescent="0.2">
      <c r="A7549" s="140" t="s">
        <v>9112</v>
      </c>
      <c r="B7549" s="141">
        <v>8.4347165430226901E-5</v>
      </c>
      <c r="D7549" s="141"/>
    </row>
    <row r="7550" spans="1:4" x14ac:dyDescent="0.2">
      <c r="A7550" s="140" t="s">
        <v>401</v>
      </c>
      <c r="B7550" s="141">
        <v>8.4105948878340005E-5</v>
      </c>
      <c r="D7550" s="141"/>
    </row>
    <row r="7551" spans="1:4" x14ac:dyDescent="0.2">
      <c r="A7551" s="140" t="s">
        <v>5893</v>
      </c>
      <c r="B7551" s="141">
        <v>8.4094807246035694E-5</v>
      </c>
      <c r="D7551" s="141"/>
    </row>
    <row r="7552" spans="1:4" x14ac:dyDescent="0.2">
      <c r="A7552" s="140" t="s">
        <v>4684</v>
      </c>
      <c r="B7552" s="141">
        <v>8.4093519716614304E-5</v>
      </c>
      <c r="D7552" s="141"/>
    </row>
    <row r="7553" spans="1:4" x14ac:dyDescent="0.2">
      <c r="A7553" s="140" t="s">
        <v>9113</v>
      </c>
      <c r="B7553" s="141">
        <v>8.4093519716614304E-5</v>
      </c>
      <c r="D7553" s="141"/>
    </row>
    <row r="7554" spans="1:4" x14ac:dyDescent="0.2">
      <c r="A7554" s="140" t="s">
        <v>9114</v>
      </c>
      <c r="B7554" s="141">
        <v>8.4033324113937105E-5</v>
      </c>
      <c r="D7554" s="141"/>
    </row>
    <row r="7555" spans="1:4" x14ac:dyDescent="0.2">
      <c r="A7555" s="140" t="s">
        <v>3871</v>
      </c>
      <c r="B7555" s="141">
        <v>8.3769176432198296E-5</v>
      </c>
      <c r="D7555" s="141"/>
    </row>
    <row r="7556" spans="1:4" x14ac:dyDescent="0.2">
      <c r="A7556" s="140" t="s">
        <v>9115</v>
      </c>
      <c r="B7556" s="141">
        <v>8.3730729287153805E-5</v>
      </c>
      <c r="D7556" s="141"/>
    </row>
    <row r="7557" spans="1:4" x14ac:dyDescent="0.2">
      <c r="A7557" s="140" t="s">
        <v>9116</v>
      </c>
      <c r="B7557" s="141">
        <v>8.35002695354154E-5</v>
      </c>
      <c r="D7557" s="141"/>
    </row>
    <row r="7558" spans="1:4" x14ac:dyDescent="0.2">
      <c r="A7558" s="140" t="s">
        <v>9117</v>
      </c>
      <c r="B7558" s="141">
        <v>8.3443732620927093E-5</v>
      </c>
      <c r="D7558" s="141"/>
    </row>
    <row r="7559" spans="1:4" x14ac:dyDescent="0.2">
      <c r="A7559" s="140" t="s">
        <v>2882</v>
      </c>
      <c r="B7559" s="141">
        <v>8.3193170141896206E-5</v>
      </c>
      <c r="D7559" s="141"/>
    </row>
    <row r="7560" spans="1:4" x14ac:dyDescent="0.2">
      <c r="A7560" s="140" t="s">
        <v>9118</v>
      </c>
      <c r="B7560" s="141">
        <v>8.3063778577199295E-5</v>
      </c>
      <c r="D7560" s="141"/>
    </row>
    <row r="7561" spans="1:4" x14ac:dyDescent="0.2">
      <c r="A7561" s="140" t="s">
        <v>9119</v>
      </c>
      <c r="B7561" s="141">
        <v>8.3026959711721796E-5</v>
      </c>
      <c r="D7561" s="141"/>
    </row>
    <row r="7562" spans="1:4" x14ac:dyDescent="0.2">
      <c r="A7562" s="140" t="s">
        <v>3927</v>
      </c>
      <c r="B7562" s="141">
        <v>8.30053751318654E-5</v>
      </c>
      <c r="D7562" s="141"/>
    </row>
    <row r="7563" spans="1:4" x14ac:dyDescent="0.2">
      <c r="A7563" s="140" t="s">
        <v>1291</v>
      </c>
      <c r="B7563" s="141">
        <v>8.2701663257215094E-5</v>
      </c>
      <c r="D7563" s="141"/>
    </row>
    <row r="7564" spans="1:4" x14ac:dyDescent="0.2">
      <c r="A7564" s="140" t="s">
        <v>3699</v>
      </c>
      <c r="B7564" s="141">
        <v>8.2691478730488504E-5</v>
      </c>
      <c r="D7564" s="141"/>
    </row>
    <row r="7565" spans="1:4" x14ac:dyDescent="0.2">
      <c r="A7565" s="140" t="s">
        <v>1881</v>
      </c>
      <c r="B7565" s="141">
        <v>8.2418415062260599E-5</v>
      </c>
      <c r="D7565" s="141"/>
    </row>
    <row r="7566" spans="1:4" x14ac:dyDescent="0.2">
      <c r="A7566" s="140" t="s">
        <v>9120</v>
      </c>
      <c r="B7566" s="141">
        <v>8.2416679812000995E-5</v>
      </c>
      <c r="D7566" s="141"/>
    </row>
    <row r="7567" spans="1:4" x14ac:dyDescent="0.2">
      <c r="A7567" s="140" t="s">
        <v>9121</v>
      </c>
      <c r="B7567" s="141">
        <v>8.23801273003296E-5</v>
      </c>
      <c r="D7567" s="141"/>
    </row>
    <row r="7568" spans="1:4" x14ac:dyDescent="0.2">
      <c r="A7568" s="140" t="s">
        <v>9122</v>
      </c>
      <c r="B7568" s="141">
        <v>8.23156963558345E-5</v>
      </c>
      <c r="D7568" s="141"/>
    </row>
    <row r="7569" spans="1:4" x14ac:dyDescent="0.2">
      <c r="A7569" s="140" t="s">
        <v>9123</v>
      </c>
      <c r="B7569" s="141">
        <v>8.2265924819888394E-5</v>
      </c>
      <c r="D7569" s="141"/>
    </row>
    <row r="7570" spans="1:4" x14ac:dyDescent="0.2">
      <c r="A7570" s="140" t="s">
        <v>9124</v>
      </c>
      <c r="B7570" s="141">
        <v>8.2265924819888394E-5</v>
      </c>
      <c r="D7570" s="141"/>
    </row>
    <row r="7571" spans="1:4" x14ac:dyDescent="0.2">
      <c r="A7571" s="140" t="s">
        <v>9125</v>
      </c>
      <c r="B7571" s="141">
        <v>8.2265924819888394E-5</v>
      </c>
      <c r="D7571" s="141"/>
    </row>
    <row r="7572" spans="1:4" x14ac:dyDescent="0.2">
      <c r="A7572" s="140" t="s">
        <v>9126</v>
      </c>
      <c r="B7572" s="141">
        <v>8.2265924819888394E-5</v>
      </c>
      <c r="D7572" s="141"/>
    </row>
    <row r="7573" spans="1:4" x14ac:dyDescent="0.2">
      <c r="A7573" s="140" t="s">
        <v>9127</v>
      </c>
      <c r="B7573" s="141">
        <v>8.2265924819888394E-5</v>
      </c>
      <c r="D7573" s="141"/>
    </row>
    <row r="7574" spans="1:4" x14ac:dyDescent="0.2">
      <c r="A7574" s="140" t="s">
        <v>2820</v>
      </c>
      <c r="B7574" s="141">
        <v>8.2257780370255403E-5</v>
      </c>
      <c r="D7574" s="141"/>
    </row>
    <row r="7575" spans="1:4" x14ac:dyDescent="0.2">
      <c r="A7575" s="140" t="s">
        <v>1215</v>
      </c>
      <c r="B7575" s="141">
        <v>8.2215193927830999E-5</v>
      </c>
      <c r="D7575" s="141"/>
    </row>
    <row r="7576" spans="1:4" x14ac:dyDescent="0.2">
      <c r="A7576" s="140" t="s">
        <v>9128</v>
      </c>
      <c r="B7576" s="141">
        <v>8.2152329875733306E-5</v>
      </c>
      <c r="D7576" s="141"/>
    </row>
    <row r="7577" spans="1:4" x14ac:dyDescent="0.2">
      <c r="A7577" s="140" t="s">
        <v>4575</v>
      </c>
      <c r="B7577" s="141">
        <v>8.2082300101604406E-5</v>
      </c>
      <c r="D7577" s="141"/>
    </row>
    <row r="7578" spans="1:4" x14ac:dyDescent="0.2">
      <c r="A7578" s="140" t="s">
        <v>5994</v>
      </c>
      <c r="B7578" s="141">
        <v>8.2058128692627606E-5</v>
      </c>
      <c r="D7578" s="141"/>
    </row>
    <row r="7579" spans="1:4" x14ac:dyDescent="0.2">
      <c r="A7579" s="140" t="s">
        <v>5251</v>
      </c>
      <c r="B7579" s="141">
        <v>8.1949945097392407E-5</v>
      </c>
      <c r="D7579" s="141"/>
    </row>
    <row r="7580" spans="1:4" x14ac:dyDescent="0.2">
      <c r="A7580" s="140" t="s">
        <v>2263</v>
      </c>
      <c r="B7580" s="141">
        <v>8.1933293485811394E-5</v>
      </c>
      <c r="D7580" s="141"/>
    </row>
    <row r="7581" spans="1:4" x14ac:dyDescent="0.2">
      <c r="A7581" s="140" t="s">
        <v>4284</v>
      </c>
      <c r="B7581" s="141">
        <v>8.16729390555169E-5</v>
      </c>
      <c r="D7581" s="141"/>
    </row>
    <row r="7582" spans="1:4" x14ac:dyDescent="0.2">
      <c r="A7582" s="140" t="s">
        <v>2368</v>
      </c>
      <c r="B7582" s="141">
        <v>8.1664831099449199E-5</v>
      </c>
      <c r="D7582" s="141"/>
    </row>
    <row r="7583" spans="1:4" x14ac:dyDescent="0.2">
      <c r="A7583" s="140" t="s">
        <v>9129</v>
      </c>
      <c r="B7583" s="141">
        <v>8.1480250985762405E-5</v>
      </c>
      <c r="D7583" s="141"/>
    </row>
    <row r="7584" spans="1:4" x14ac:dyDescent="0.2">
      <c r="A7584" s="140" t="s">
        <v>1321</v>
      </c>
      <c r="B7584" s="141">
        <v>8.1383190981955595E-5</v>
      </c>
      <c r="D7584" s="141"/>
    </row>
    <row r="7585" spans="1:4" x14ac:dyDescent="0.2">
      <c r="A7585" s="140" t="s">
        <v>1891</v>
      </c>
      <c r="B7585" s="141">
        <v>8.1288395045930306E-5</v>
      </c>
      <c r="D7585" s="141"/>
    </row>
    <row r="7586" spans="1:4" x14ac:dyDescent="0.2">
      <c r="A7586" s="140" t="s">
        <v>9130</v>
      </c>
      <c r="B7586" s="141">
        <v>8.1271400750754699E-5</v>
      </c>
      <c r="D7586" s="141"/>
    </row>
    <row r="7587" spans="1:4" x14ac:dyDescent="0.2">
      <c r="A7587" s="140" t="s">
        <v>9131</v>
      </c>
      <c r="B7587" s="141">
        <v>8.1188501326848303E-5</v>
      </c>
      <c r="D7587" s="141"/>
    </row>
    <row r="7588" spans="1:4" x14ac:dyDescent="0.2">
      <c r="A7588" s="140" t="s">
        <v>9132</v>
      </c>
      <c r="B7588" s="141">
        <v>8.10965096461595E-5</v>
      </c>
      <c r="D7588" s="141"/>
    </row>
    <row r="7589" spans="1:4" x14ac:dyDescent="0.2">
      <c r="A7589" s="140" t="s">
        <v>9133</v>
      </c>
      <c r="B7589" s="141">
        <v>8.0967240351404495E-5</v>
      </c>
      <c r="D7589" s="141"/>
    </row>
    <row r="7590" spans="1:4" x14ac:dyDescent="0.2">
      <c r="A7590" s="140" t="s">
        <v>2864</v>
      </c>
      <c r="B7590" s="141">
        <v>8.0855644075107305E-5</v>
      </c>
      <c r="D7590" s="141"/>
    </row>
    <row r="7591" spans="1:4" x14ac:dyDescent="0.2">
      <c r="A7591" s="140" t="s">
        <v>5633</v>
      </c>
      <c r="B7591" s="141">
        <v>8.0799601610532398E-5</v>
      </c>
      <c r="D7591" s="141"/>
    </row>
    <row r="7592" spans="1:4" x14ac:dyDescent="0.2">
      <c r="A7592" s="140" t="s">
        <v>5664</v>
      </c>
      <c r="B7592" s="141">
        <v>8.0708035842782505E-5</v>
      </c>
      <c r="D7592" s="141"/>
    </row>
    <row r="7593" spans="1:4" x14ac:dyDescent="0.2">
      <c r="A7593" s="140" t="s">
        <v>4885</v>
      </c>
      <c r="B7593" s="141">
        <v>8.0678026586238394E-5</v>
      </c>
      <c r="D7593" s="141"/>
    </row>
    <row r="7594" spans="1:4" x14ac:dyDescent="0.2">
      <c r="A7594" s="140" t="s">
        <v>647</v>
      </c>
      <c r="B7594" s="141">
        <v>8.0526312631454193E-5</v>
      </c>
      <c r="D7594" s="141"/>
    </row>
    <row r="7595" spans="1:4" x14ac:dyDescent="0.2">
      <c r="A7595" s="140" t="s">
        <v>5833</v>
      </c>
      <c r="B7595" s="141">
        <v>8.0489879431170405E-5</v>
      </c>
      <c r="D7595" s="141"/>
    </row>
    <row r="7596" spans="1:4" x14ac:dyDescent="0.2">
      <c r="A7596" s="140" t="s">
        <v>1452</v>
      </c>
      <c r="B7596" s="141">
        <v>8.0058748246295298E-5</v>
      </c>
      <c r="D7596" s="141"/>
    </row>
    <row r="7597" spans="1:4" x14ac:dyDescent="0.2">
      <c r="A7597" s="140" t="s">
        <v>3749</v>
      </c>
      <c r="B7597" s="141">
        <v>7.98242547135622E-5</v>
      </c>
      <c r="D7597" s="141"/>
    </row>
    <row r="7598" spans="1:4" x14ac:dyDescent="0.2">
      <c r="A7598" s="140" t="s">
        <v>3941</v>
      </c>
      <c r="B7598" s="141">
        <v>7.9659727367956004E-5</v>
      </c>
      <c r="D7598" s="141"/>
    </row>
    <row r="7599" spans="1:4" x14ac:dyDescent="0.2">
      <c r="A7599" s="140" t="s">
        <v>4371</v>
      </c>
      <c r="B7599" s="141">
        <v>7.9596761639448601E-5</v>
      </c>
      <c r="D7599" s="141"/>
    </row>
    <row r="7600" spans="1:4" x14ac:dyDescent="0.2">
      <c r="A7600" s="140" t="s">
        <v>4255</v>
      </c>
      <c r="B7600" s="141">
        <v>7.9529035592826297E-5</v>
      </c>
      <c r="D7600" s="141"/>
    </row>
    <row r="7601" spans="1:4" x14ac:dyDescent="0.2">
      <c r="A7601" s="140" t="s">
        <v>1918</v>
      </c>
      <c r="B7601" s="141">
        <v>7.9233327187091702E-5</v>
      </c>
      <c r="D7601" s="141"/>
    </row>
    <row r="7602" spans="1:4" x14ac:dyDescent="0.2">
      <c r="A7602" s="140" t="s">
        <v>510</v>
      </c>
      <c r="B7602" s="141">
        <v>7.9193088464528494E-5</v>
      </c>
      <c r="D7602" s="141"/>
    </row>
    <row r="7603" spans="1:4" x14ac:dyDescent="0.2">
      <c r="A7603" s="140" t="s">
        <v>1225</v>
      </c>
      <c r="B7603" s="141">
        <v>7.91880673151634E-5</v>
      </c>
      <c r="D7603" s="141"/>
    </row>
    <row r="7604" spans="1:4" x14ac:dyDescent="0.2">
      <c r="A7604" s="140" t="s">
        <v>5363</v>
      </c>
      <c r="B7604" s="141">
        <v>7.9020243945716599E-5</v>
      </c>
      <c r="D7604" s="141"/>
    </row>
    <row r="7605" spans="1:4" x14ac:dyDescent="0.2">
      <c r="A7605" s="140" t="s">
        <v>9134</v>
      </c>
      <c r="B7605" s="141">
        <v>7.8995247596321997E-5</v>
      </c>
      <c r="D7605" s="141"/>
    </row>
    <row r="7606" spans="1:4" x14ac:dyDescent="0.2">
      <c r="A7606" s="140" t="s">
        <v>4278</v>
      </c>
      <c r="B7606" s="141">
        <v>7.8935913377325205E-5</v>
      </c>
      <c r="D7606" s="141"/>
    </row>
    <row r="7607" spans="1:4" x14ac:dyDescent="0.2">
      <c r="A7607" s="140" t="s">
        <v>9135</v>
      </c>
      <c r="B7607" s="141">
        <v>7.8681046552445995E-5</v>
      </c>
      <c r="D7607" s="141"/>
    </row>
    <row r="7608" spans="1:4" x14ac:dyDescent="0.2">
      <c r="A7608" s="140" t="s">
        <v>9136</v>
      </c>
      <c r="B7608" s="141">
        <v>7.8537588047291102E-5</v>
      </c>
      <c r="D7608" s="141"/>
    </row>
    <row r="7609" spans="1:4" x14ac:dyDescent="0.2">
      <c r="A7609" s="140" t="s">
        <v>9137</v>
      </c>
      <c r="B7609" s="141">
        <v>7.8497551941158404E-5</v>
      </c>
      <c r="D7609" s="141"/>
    </row>
    <row r="7610" spans="1:4" x14ac:dyDescent="0.2">
      <c r="A7610" s="140" t="s">
        <v>9138</v>
      </c>
      <c r="B7610" s="141">
        <v>7.8323497742774205E-5</v>
      </c>
      <c r="D7610" s="141"/>
    </row>
    <row r="7611" spans="1:4" x14ac:dyDescent="0.2">
      <c r="A7611" s="140" t="s">
        <v>5465</v>
      </c>
      <c r="B7611" s="141">
        <v>7.8236448577175501E-5</v>
      </c>
      <c r="D7611" s="141"/>
    </row>
    <row r="7612" spans="1:4" x14ac:dyDescent="0.2">
      <c r="A7612" s="140" t="s">
        <v>4747</v>
      </c>
      <c r="B7612" s="141">
        <v>7.8211602071889998E-5</v>
      </c>
      <c r="D7612" s="141"/>
    </row>
    <row r="7613" spans="1:4" x14ac:dyDescent="0.2">
      <c r="A7613" s="140" t="s">
        <v>3407</v>
      </c>
      <c r="B7613" s="141">
        <v>7.8146346747515595E-5</v>
      </c>
      <c r="D7613" s="141"/>
    </row>
    <row r="7614" spans="1:4" x14ac:dyDescent="0.2">
      <c r="A7614" s="140" t="s">
        <v>3974</v>
      </c>
      <c r="B7614" s="141">
        <v>7.8099136531278198E-5</v>
      </c>
      <c r="D7614" s="141"/>
    </row>
    <row r="7615" spans="1:4" x14ac:dyDescent="0.2">
      <c r="A7615" s="140" t="s">
        <v>2212</v>
      </c>
      <c r="B7615" s="141">
        <v>7.7962212031687099E-5</v>
      </c>
      <c r="D7615" s="141"/>
    </row>
    <row r="7616" spans="1:4" x14ac:dyDescent="0.2">
      <c r="A7616" s="140" t="s">
        <v>9139</v>
      </c>
      <c r="B7616" s="141">
        <v>7.7961075845708696E-5</v>
      </c>
      <c r="D7616" s="141"/>
    </row>
    <row r="7617" spans="1:4" x14ac:dyDescent="0.2">
      <c r="A7617" s="140" t="s">
        <v>3015</v>
      </c>
      <c r="B7617" s="141">
        <v>7.7937225758918405E-5</v>
      </c>
      <c r="D7617" s="141"/>
    </row>
    <row r="7618" spans="1:4" x14ac:dyDescent="0.2">
      <c r="A7618" s="140" t="s">
        <v>5249</v>
      </c>
      <c r="B7618" s="141">
        <v>7.7841312535294901E-5</v>
      </c>
      <c r="D7618" s="141"/>
    </row>
    <row r="7619" spans="1:4" x14ac:dyDescent="0.2">
      <c r="A7619" s="140" t="s">
        <v>5829</v>
      </c>
      <c r="B7619" s="141">
        <v>7.7827492627319104E-5</v>
      </c>
      <c r="D7619" s="141"/>
    </row>
    <row r="7620" spans="1:4" x14ac:dyDescent="0.2">
      <c r="A7620" s="140" t="s">
        <v>9140</v>
      </c>
      <c r="B7620" s="141">
        <v>7.7668945925394304E-5</v>
      </c>
      <c r="D7620" s="141"/>
    </row>
    <row r="7621" spans="1:4" x14ac:dyDescent="0.2">
      <c r="A7621" s="140" t="s">
        <v>1747</v>
      </c>
      <c r="B7621" s="141">
        <v>7.7663589543116397E-5</v>
      </c>
      <c r="D7621" s="141"/>
    </row>
    <row r="7622" spans="1:4" x14ac:dyDescent="0.2">
      <c r="A7622" s="140" t="s">
        <v>6316</v>
      </c>
      <c r="B7622" s="141">
        <v>7.7508209631253996E-5</v>
      </c>
      <c r="D7622" s="141"/>
    </row>
    <row r="7623" spans="1:4" x14ac:dyDescent="0.2">
      <c r="A7623" s="140" t="s">
        <v>9141</v>
      </c>
      <c r="B7623" s="141">
        <v>7.7428988302324003E-5</v>
      </c>
      <c r="D7623" s="141"/>
    </row>
    <row r="7624" spans="1:4" x14ac:dyDescent="0.2">
      <c r="A7624" s="140" t="s">
        <v>9142</v>
      </c>
      <c r="B7624" s="141">
        <v>7.7428988302324003E-5</v>
      </c>
      <c r="D7624" s="141"/>
    </row>
    <row r="7625" spans="1:4" x14ac:dyDescent="0.2">
      <c r="A7625" s="140" t="s">
        <v>4881</v>
      </c>
      <c r="B7625" s="141">
        <v>7.7409939436174106E-5</v>
      </c>
      <c r="D7625" s="141"/>
    </row>
    <row r="7626" spans="1:4" x14ac:dyDescent="0.2">
      <c r="A7626" s="140" t="s">
        <v>2155</v>
      </c>
      <c r="B7626" s="141">
        <v>7.7358175471144099E-5</v>
      </c>
      <c r="D7626" s="141"/>
    </row>
    <row r="7627" spans="1:4" x14ac:dyDescent="0.2">
      <c r="A7627" s="140" t="s">
        <v>9143</v>
      </c>
      <c r="B7627" s="141">
        <v>7.7255664035569198E-5</v>
      </c>
      <c r="D7627" s="141"/>
    </row>
    <row r="7628" spans="1:4" x14ac:dyDescent="0.2">
      <c r="A7628" s="140" t="s">
        <v>9144</v>
      </c>
      <c r="B7628" s="141">
        <v>7.7185001966661196E-5</v>
      </c>
      <c r="D7628" s="141"/>
    </row>
    <row r="7629" spans="1:4" x14ac:dyDescent="0.2">
      <c r="A7629" s="140" t="s">
        <v>9145</v>
      </c>
      <c r="B7629" s="141">
        <v>7.7133023717107903E-5</v>
      </c>
      <c r="D7629" s="141"/>
    </row>
    <row r="7630" spans="1:4" x14ac:dyDescent="0.2">
      <c r="A7630" s="140" t="s">
        <v>4516</v>
      </c>
      <c r="B7630" s="141">
        <v>7.6943268686365595E-5</v>
      </c>
      <c r="D7630" s="141"/>
    </row>
    <row r="7631" spans="1:4" x14ac:dyDescent="0.2">
      <c r="A7631" s="140" t="s">
        <v>1133</v>
      </c>
      <c r="B7631" s="141">
        <v>7.6869377603287301E-5</v>
      </c>
      <c r="D7631" s="141"/>
    </row>
    <row r="7632" spans="1:4" x14ac:dyDescent="0.2">
      <c r="A7632" s="140" t="s">
        <v>9146</v>
      </c>
      <c r="B7632" s="141">
        <v>7.6824238390730599E-5</v>
      </c>
      <c r="D7632" s="141"/>
    </row>
    <row r="7633" spans="1:4" x14ac:dyDescent="0.2">
      <c r="A7633" s="140" t="s">
        <v>9147</v>
      </c>
      <c r="B7633" s="141">
        <v>7.6736020104766801E-5</v>
      </c>
      <c r="D7633" s="141"/>
    </row>
    <row r="7634" spans="1:4" x14ac:dyDescent="0.2">
      <c r="A7634" s="140" t="s">
        <v>9148</v>
      </c>
      <c r="B7634" s="141">
        <v>7.6736020104766801E-5</v>
      </c>
      <c r="D7634" s="141"/>
    </row>
    <row r="7635" spans="1:4" x14ac:dyDescent="0.2">
      <c r="A7635" s="140" t="s">
        <v>9149</v>
      </c>
      <c r="B7635" s="141">
        <v>7.6736020104766801E-5</v>
      </c>
      <c r="D7635" s="141"/>
    </row>
    <row r="7636" spans="1:4" x14ac:dyDescent="0.2">
      <c r="A7636" s="140" t="s">
        <v>9150</v>
      </c>
      <c r="B7636" s="141">
        <v>7.6736020104766801E-5</v>
      </c>
      <c r="D7636" s="141"/>
    </row>
    <row r="7637" spans="1:4" x14ac:dyDescent="0.2">
      <c r="A7637" s="140" t="s">
        <v>9151</v>
      </c>
      <c r="B7637" s="141">
        <v>7.6442045289511004E-5</v>
      </c>
      <c r="D7637" s="141"/>
    </row>
    <row r="7638" spans="1:4" x14ac:dyDescent="0.2">
      <c r="A7638" s="140" t="s">
        <v>9152</v>
      </c>
      <c r="B7638" s="141">
        <v>7.6417170041619007E-5</v>
      </c>
      <c r="D7638" s="141"/>
    </row>
    <row r="7639" spans="1:4" x14ac:dyDescent="0.2">
      <c r="A7639" s="140" t="s">
        <v>4605</v>
      </c>
      <c r="B7639" s="141">
        <v>7.6240456210809407E-5</v>
      </c>
      <c r="D7639" s="141"/>
    </row>
    <row r="7640" spans="1:4" x14ac:dyDescent="0.2">
      <c r="A7640" s="140" t="s">
        <v>9153</v>
      </c>
      <c r="B7640" s="141">
        <v>7.6221862540587905E-5</v>
      </c>
      <c r="D7640" s="141"/>
    </row>
    <row r="7641" spans="1:4" x14ac:dyDescent="0.2">
      <c r="A7641" s="140" t="s">
        <v>2130</v>
      </c>
      <c r="B7641" s="141">
        <v>7.6069700260859206E-5</v>
      </c>
      <c r="D7641" s="141"/>
    </row>
    <row r="7642" spans="1:4" x14ac:dyDescent="0.2">
      <c r="A7642" s="140" t="s">
        <v>6161</v>
      </c>
      <c r="B7642" s="141">
        <v>7.5817984612042E-5</v>
      </c>
      <c r="D7642" s="141"/>
    </row>
    <row r="7643" spans="1:4" x14ac:dyDescent="0.2">
      <c r="A7643" s="140" t="s">
        <v>6120</v>
      </c>
      <c r="B7643" s="141">
        <v>7.5817984612042E-5</v>
      </c>
      <c r="D7643" s="141"/>
    </row>
    <row r="7644" spans="1:4" x14ac:dyDescent="0.2">
      <c r="A7644" s="140" t="s">
        <v>5966</v>
      </c>
      <c r="B7644" s="141">
        <v>7.5817984612042E-5</v>
      </c>
      <c r="D7644" s="141"/>
    </row>
    <row r="7645" spans="1:4" x14ac:dyDescent="0.2">
      <c r="A7645" s="140" t="s">
        <v>5773</v>
      </c>
      <c r="B7645" s="141">
        <v>7.5817984612042E-5</v>
      </c>
      <c r="D7645" s="141"/>
    </row>
    <row r="7646" spans="1:4" x14ac:dyDescent="0.2">
      <c r="A7646" s="140" t="s">
        <v>9154</v>
      </c>
      <c r="B7646" s="141">
        <v>7.5817984612042E-5</v>
      </c>
      <c r="D7646" s="141"/>
    </row>
    <row r="7647" spans="1:4" x14ac:dyDescent="0.2">
      <c r="A7647" s="140" t="s">
        <v>9155</v>
      </c>
      <c r="B7647" s="141">
        <v>7.5817984612042E-5</v>
      </c>
      <c r="D7647" s="141"/>
    </row>
    <row r="7648" spans="1:4" x14ac:dyDescent="0.2">
      <c r="A7648" s="140" t="s">
        <v>5407</v>
      </c>
      <c r="B7648" s="141">
        <v>7.5817984612042E-5</v>
      </c>
      <c r="D7648" s="141"/>
    </row>
    <row r="7649" spans="1:4" x14ac:dyDescent="0.2">
      <c r="A7649" s="140" t="s">
        <v>9156</v>
      </c>
      <c r="B7649" s="141">
        <v>7.5817984612042E-5</v>
      </c>
      <c r="D7649" s="141"/>
    </row>
    <row r="7650" spans="1:4" x14ac:dyDescent="0.2">
      <c r="A7650" s="140" t="s">
        <v>5314</v>
      </c>
      <c r="B7650" s="141">
        <v>7.5817984612042E-5</v>
      </c>
      <c r="D7650" s="141"/>
    </row>
    <row r="7651" spans="1:4" x14ac:dyDescent="0.2">
      <c r="A7651" s="140" t="s">
        <v>9157</v>
      </c>
      <c r="B7651" s="141">
        <v>7.5817984612042E-5</v>
      </c>
      <c r="D7651" s="141"/>
    </row>
    <row r="7652" spans="1:4" x14ac:dyDescent="0.2">
      <c r="A7652" s="140" t="s">
        <v>9158</v>
      </c>
      <c r="B7652" s="141">
        <v>7.5817984612042E-5</v>
      </c>
      <c r="D7652" s="141"/>
    </row>
    <row r="7653" spans="1:4" x14ac:dyDescent="0.2">
      <c r="A7653" s="140" t="s">
        <v>5235</v>
      </c>
      <c r="B7653" s="141">
        <v>7.5817984612042E-5</v>
      </c>
      <c r="D7653" s="141"/>
    </row>
    <row r="7654" spans="1:4" x14ac:dyDescent="0.2">
      <c r="A7654" s="140" t="s">
        <v>9159</v>
      </c>
      <c r="B7654" s="141">
        <v>7.5817984612042E-5</v>
      </c>
      <c r="D7654" s="141"/>
    </row>
    <row r="7655" spans="1:4" x14ac:dyDescent="0.2">
      <c r="A7655" s="140" t="s">
        <v>9160</v>
      </c>
      <c r="B7655" s="141">
        <v>7.5817984612042E-5</v>
      </c>
      <c r="D7655" s="141"/>
    </row>
    <row r="7656" spans="1:4" x14ac:dyDescent="0.2">
      <c r="A7656" s="140" t="s">
        <v>4894</v>
      </c>
      <c r="B7656" s="141">
        <v>7.5817984612042E-5</v>
      </c>
      <c r="D7656" s="141"/>
    </row>
    <row r="7657" spans="1:4" x14ac:dyDescent="0.2">
      <c r="A7657" s="140" t="s">
        <v>4884</v>
      </c>
      <c r="B7657" s="141">
        <v>7.5817984612042E-5</v>
      </c>
      <c r="D7657" s="141"/>
    </row>
    <row r="7658" spans="1:4" x14ac:dyDescent="0.2">
      <c r="A7658" s="140" t="s">
        <v>4419</v>
      </c>
      <c r="B7658" s="141">
        <v>7.5817984612042E-5</v>
      </c>
      <c r="D7658" s="141"/>
    </row>
    <row r="7659" spans="1:4" x14ac:dyDescent="0.2">
      <c r="A7659" s="140" t="s">
        <v>9161</v>
      </c>
      <c r="B7659" s="141">
        <v>7.5817984612042E-5</v>
      </c>
      <c r="D7659" s="141"/>
    </row>
    <row r="7660" spans="1:4" x14ac:dyDescent="0.2">
      <c r="A7660" s="140" t="s">
        <v>9162</v>
      </c>
      <c r="B7660" s="141">
        <v>7.5817984612042E-5</v>
      </c>
      <c r="D7660" s="141"/>
    </row>
    <row r="7661" spans="1:4" x14ac:dyDescent="0.2">
      <c r="A7661" s="140" t="s">
        <v>9163</v>
      </c>
      <c r="B7661" s="141">
        <v>7.5817984612042E-5</v>
      </c>
      <c r="D7661" s="141"/>
    </row>
    <row r="7662" spans="1:4" x14ac:dyDescent="0.2">
      <c r="A7662" s="140" t="s">
        <v>9164</v>
      </c>
      <c r="B7662" s="141">
        <v>7.5458453893252703E-5</v>
      </c>
      <c r="D7662" s="141"/>
    </row>
    <row r="7663" spans="1:4" x14ac:dyDescent="0.2">
      <c r="A7663" s="140" t="s">
        <v>9165</v>
      </c>
      <c r="B7663" s="141">
        <v>7.54179112365165E-5</v>
      </c>
      <c r="D7663" s="141"/>
    </row>
    <row r="7664" spans="1:4" x14ac:dyDescent="0.2">
      <c r="A7664" s="140" t="s">
        <v>5339</v>
      </c>
      <c r="B7664" s="141">
        <v>7.5240299284779107E-5</v>
      </c>
      <c r="D7664" s="141"/>
    </row>
    <row r="7665" spans="1:4" x14ac:dyDescent="0.2">
      <c r="A7665" s="140" t="s">
        <v>9166</v>
      </c>
      <c r="B7665" s="141">
        <v>7.5214541981350602E-5</v>
      </c>
      <c r="D7665" s="141"/>
    </row>
    <row r="7666" spans="1:4" x14ac:dyDescent="0.2">
      <c r="A7666" s="140" t="s">
        <v>1901</v>
      </c>
      <c r="B7666" s="141">
        <v>7.5190820423407396E-5</v>
      </c>
      <c r="D7666" s="141"/>
    </row>
    <row r="7667" spans="1:4" x14ac:dyDescent="0.2">
      <c r="A7667" s="140" t="s">
        <v>5871</v>
      </c>
      <c r="B7667" s="141">
        <v>7.51531367390786E-5</v>
      </c>
      <c r="D7667" s="141"/>
    </row>
    <row r="7668" spans="1:4" x14ac:dyDescent="0.2">
      <c r="A7668" s="140" t="s">
        <v>5687</v>
      </c>
      <c r="B7668" s="141">
        <v>7.5109846773724193E-5</v>
      </c>
      <c r="D7668" s="141"/>
    </row>
    <row r="7669" spans="1:4" x14ac:dyDescent="0.2">
      <c r="A7669" s="140" t="s">
        <v>2652</v>
      </c>
      <c r="B7669" s="141">
        <v>7.5076123126219897E-5</v>
      </c>
      <c r="D7669" s="141"/>
    </row>
    <row r="7670" spans="1:4" x14ac:dyDescent="0.2">
      <c r="A7670" s="140" t="s">
        <v>3755</v>
      </c>
      <c r="B7670" s="141">
        <v>7.4920092976636895E-5</v>
      </c>
      <c r="D7670" s="141"/>
    </row>
    <row r="7671" spans="1:4" x14ac:dyDescent="0.2">
      <c r="A7671" s="140" t="s">
        <v>5751</v>
      </c>
      <c r="B7671" s="141">
        <v>7.4737547868131693E-5</v>
      </c>
      <c r="D7671" s="141"/>
    </row>
    <row r="7672" spans="1:4" x14ac:dyDescent="0.2">
      <c r="A7672" s="140" t="s">
        <v>2333</v>
      </c>
      <c r="B7672" s="141">
        <v>7.4684030854607896E-5</v>
      </c>
      <c r="D7672" s="141"/>
    </row>
    <row r="7673" spans="1:4" x14ac:dyDescent="0.2">
      <c r="A7673" s="140" t="s">
        <v>9167</v>
      </c>
      <c r="B7673" s="141">
        <v>7.4609123411995606E-5</v>
      </c>
      <c r="D7673" s="141"/>
    </row>
    <row r="7674" spans="1:4" x14ac:dyDescent="0.2">
      <c r="A7674" s="140" t="s">
        <v>4777</v>
      </c>
      <c r="B7674" s="141">
        <v>7.4595153482454502E-5</v>
      </c>
      <c r="D7674" s="141"/>
    </row>
    <row r="7675" spans="1:4" x14ac:dyDescent="0.2">
      <c r="A7675" s="140" t="s">
        <v>1641</v>
      </c>
      <c r="B7675" s="141">
        <v>7.4585544392064094E-5</v>
      </c>
      <c r="D7675" s="141"/>
    </row>
    <row r="7676" spans="1:4" x14ac:dyDescent="0.2">
      <c r="A7676" s="140" t="s">
        <v>1364</v>
      </c>
      <c r="B7676" s="141">
        <v>7.4576506486679405E-5</v>
      </c>
      <c r="D7676" s="141"/>
    </row>
    <row r="7677" spans="1:4" x14ac:dyDescent="0.2">
      <c r="A7677" s="140" t="s">
        <v>3035</v>
      </c>
      <c r="B7677" s="141">
        <v>7.4487896492759497E-5</v>
      </c>
      <c r="D7677" s="141"/>
    </row>
    <row r="7678" spans="1:4" x14ac:dyDescent="0.2">
      <c r="A7678" s="140" t="s">
        <v>9168</v>
      </c>
      <c r="B7678" s="141">
        <v>7.4320464774424994E-5</v>
      </c>
      <c r="D7678" s="141"/>
    </row>
    <row r="7679" spans="1:4" x14ac:dyDescent="0.2">
      <c r="A7679" s="140" t="s">
        <v>6001</v>
      </c>
      <c r="B7679" s="141">
        <v>7.4294892339378499E-5</v>
      </c>
      <c r="D7679" s="141"/>
    </row>
    <row r="7680" spans="1:4" x14ac:dyDescent="0.2">
      <c r="A7680" s="140" t="s">
        <v>9169</v>
      </c>
      <c r="B7680" s="141">
        <v>7.4294892339378499E-5</v>
      </c>
      <c r="D7680" s="141"/>
    </row>
    <row r="7681" spans="1:4" x14ac:dyDescent="0.2">
      <c r="A7681" s="140" t="s">
        <v>9170</v>
      </c>
      <c r="B7681" s="141">
        <v>7.4260180276626794E-5</v>
      </c>
      <c r="D7681" s="141"/>
    </row>
    <row r="7682" spans="1:4" x14ac:dyDescent="0.2">
      <c r="A7682" s="140" t="s">
        <v>1418</v>
      </c>
      <c r="B7682" s="141">
        <v>7.4215455778229902E-5</v>
      </c>
      <c r="D7682" s="141"/>
    </row>
    <row r="7683" spans="1:4" x14ac:dyDescent="0.2">
      <c r="A7683" s="140" t="s">
        <v>1872</v>
      </c>
      <c r="B7683" s="141">
        <v>7.3932984810318699E-5</v>
      </c>
      <c r="D7683" s="141"/>
    </row>
    <row r="7684" spans="1:4" x14ac:dyDescent="0.2">
      <c r="A7684" s="140" t="s">
        <v>4933</v>
      </c>
      <c r="B7684" s="141">
        <v>7.3767171542061806E-5</v>
      </c>
      <c r="D7684" s="141"/>
    </row>
    <row r="7685" spans="1:4" x14ac:dyDescent="0.2">
      <c r="A7685" s="140" t="s">
        <v>5139</v>
      </c>
      <c r="B7685" s="141">
        <v>7.3619919502303197E-5</v>
      </c>
      <c r="D7685" s="141"/>
    </row>
    <row r="7686" spans="1:4" x14ac:dyDescent="0.2">
      <c r="A7686" s="140" t="s">
        <v>987</v>
      </c>
      <c r="B7686" s="141">
        <v>7.3617413214455596E-5</v>
      </c>
      <c r="D7686" s="141"/>
    </row>
    <row r="7687" spans="1:4" x14ac:dyDescent="0.2">
      <c r="A7687" s="140" t="s">
        <v>9171</v>
      </c>
      <c r="B7687" s="141">
        <v>7.3585570243636295E-5</v>
      </c>
      <c r="D7687" s="141"/>
    </row>
    <row r="7688" spans="1:4" x14ac:dyDescent="0.2">
      <c r="A7688" s="140" t="s">
        <v>9172</v>
      </c>
      <c r="B7688" s="141">
        <v>7.3564304175858305E-5</v>
      </c>
      <c r="D7688" s="141"/>
    </row>
    <row r="7689" spans="1:4" x14ac:dyDescent="0.2">
      <c r="A7689" s="140" t="s">
        <v>5509</v>
      </c>
      <c r="B7689" s="141">
        <v>7.3409450125396905E-5</v>
      </c>
      <c r="D7689" s="141"/>
    </row>
    <row r="7690" spans="1:4" x14ac:dyDescent="0.2">
      <c r="A7690" s="140" t="s">
        <v>5736</v>
      </c>
      <c r="B7690" s="141">
        <v>7.3294362130642401E-5</v>
      </c>
      <c r="D7690" s="141"/>
    </row>
    <row r="7691" spans="1:4" x14ac:dyDescent="0.2">
      <c r="A7691" s="140" t="s">
        <v>9173</v>
      </c>
      <c r="B7691" s="141">
        <v>7.3186171298181003E-5</v>
      </c>
      <c r="D7691" s="141"/>
    </row>
    <row r="7692" spans="1:4" x14ac:dyDescent="0.2">
      <c r="A7692" s="140" t="s">
        <v>3314</v>
      </c>
      <c r="B7692" s="141">
        <v>7.3183261234328705E-5</v>
      </c>
      <c r="D7692" s="141"/>
    </row>
    <row r="7693" spans="1:4" x14ac:dyDescent="0.2">
      <c r="A7693" s="140" t="s">
        <v>9174</v>
      </c>
      <c r="B7693" s="141">
        <v>7.3018599753683103E-5</v>
      </c>
      <c r="D7693" s="141"/>
    </row>
    <row r="7694" spans="1:4" x14ac:dyDescent="0.2">
      <c r="A7694" s="140" t="s">
        <v>1038</v>
      </c>
      <c r="B7694" s="141">
        <v>7.2947930448653405E-5</v>
      </c>
      <c r="D7694" s="141"/>
    </row>
    <row r="7695" spans="1:4" x14ac:dyDescent="0.2">
      <c r="A7695" s="140" t="s">
        <v>897</v>
      </c>
      <c r="B7695" s="141">
        <v>7.2944352011890799E-5</v>
      </c>
      <c r="D7695" s="141"/>
    </row>
    <row r="7696" spans="1:4" x14ac:dyDescent="0.2">
      <c r="A7696" s="140" t="s">
        <v>9175</v>
      </c>
      <c r="B7696" s="141">
        <v>7.2883603719548799E-5</v>
      </c>
      <c r="D7696" s="141"/>
    </row>
    <row r="7697" spans="1:4" x14ac:dyDescent="0.2">
      <c r="A7697" s="140" t="s">
        <v>499</v>
      </c>
      <c r="B7697" s="141">
        <v>7.2828326618792194E-5</v>
      </c>
      <c r="D7697" s="141"/>
    </row>
    <row r="7698" spans="1:4" x14ac:dyDescent="0.2">
      <c r="A7698" s="140" t="s">
        <v>9176</v>
      </c>
      <c r="B7698" s="141">
        <v>7.2803222660920396E-5</v>
      </c>
      <c r="D7698" s="141"/>
    </row>
    <row r="7699" spans="1:4" x14ac:dyDescent="0.2">
      <c r="A7699" s="140" t="s">
        <v>5712</v>
      </c>
      <c r="B7699" s="141">
        <v>7.2710092606028897E-5</v>
      </c>
      <c r="D7699" s="141"/>
    </row>
    <row r="7700" spans="1:4" x14ac:dyDescent="0.2">
      <c r="A7700" s="140" t="s">
        <v>4935</v>
      </c>
      <c r="B7700" s="141">
        <v>7.2710092606028897E-5</v>
      </c>
      <c r="D7700" s="141"/>
    </row>
    <row r="7701" spans="1:4" x14ac:dyDescent="0.2">
      <c r="A7701" s="140" t="s">
        <v>5693</v>
      </c>
      <c r="B7701" s="141">
        <v>7.2666650942574906E-5</v>
      </c>
      <c r="D7701" s="141"/>
    </row>
    <row r="7702" spans="1:4" x14ac:dyDescent="0.2">
      <c r="A7702" s="140" t="s">
        <v>5196</v>
      </c>
      <c r="B7702" s="141">
        <v>7.2620506690587605E-5</v>
      </c>
      <c r="D7702" s="141"/>
    </row>
    <row r="7703" spans="1:4" x14ac:dyDescent="0.2">
      <c r="A7703" s="140" t="s">
        <v>5223</v>
      </c>
      <c r="B7703" s="141">
        <v>7.2503197653858497E-5</v>
      </c>
      <c r="D7703" s="141"/>
    </row>
    <row r="7704" spans="1:4" x14ac:dyDescent="0.2">
      <c r="A7704" s="140" t="s">
        <v>662</v>
      </c>
      <c r="B7704" s="141">
        <v>7.2260920178551102E-5</v>
      </c>
      <c r="D7704" s="141"/>
    </row>
    <row r="7705" spans="1:4" x14ac:dyDescent="0.2">
      <c r="A7705" s="140" t="s">
        <v>5469</v>
      </c>
      <c r="B7705" s="141">
        <v>7.2242943118582E-5</v>
      </c>
      <c r="D7705" s="141"/>
    </row>
    <row r="7706" spans="1:4" x14ac:dyDescent="0.2">
      <c r="A7706" s="140" t="s">
        <v>587</v>
      </c>
      <c r="B7706" s="141">
        <v>7.2216657663927902E-5</v>
      </c>
      <c r="D7706" s="141"/>
    </row>
    <row r="7707" spans="1:4" x14ac:dyDescent="0.2">
      <c r="A7707" s="140" t="s">
        <v>9177</v>
      </c>
      <c r="B7707" s="141">
        <v>7.2084943832756304E-5</v>
      </c>
      <c r="D7707" s="141"/>
    </row>
    <row r="7708" spans="1:4" x14ac:dyDescent="0.2">
      <c r="A7708" s="140" t="s">
        <v>9178</v>
      </c>
      <c r="B7708" s="141">
        <v>7.2028770654835502E-5</v>
      </c>
      <c r="D7708" s="141"/>
    </row>
    <row r="7709" spans="1:4" x14ac:dyDescent="0.2">
      <c r="A7709" s="140" t="s">
        <v>1734</v>
      </c>
      <c r="B7709" s="141">
        <v>7.1933066718565897E-5</v>
      </c>
      <c r="D7709" s="141"/>
    </row>
    <row r="7710" spans="1:4" x14ac:dyDescent="0.2">
      <c r="A7710" s="140" t="s">
        <v>1609</v>
      </c>
      <c r="B7710" s="141">
        <v>7.1848680643252406E-5</v>
      </c>
      <c r="D7710" s="141"/>
    </row>
    <row r="7711" spans="1:4" x14ac:dyDescent="0.2">
      <c r="A7711" s="140" t="s">
        <v>2721</v>
      </c>
      <c r="B7711" s="141">
        <v>7.1810202089186496E-5</v>
      </c>
      <c r="D7711" s="141"/>
    </row>
    <row r="7712" spans="1:4" x14ac:dyDescent="0.2">
      <c r="A7712" s="140" t="s">
        <v>9179</v>
      </c>
      <c r="B7712" s="141">
        <v>7.1771831250334896E-5</v>
      </c>
      <c r="D7712" s="141"/>
    </row>
    <row r="7713" spans="1:4" x14ac:dyDescent="0.2">
      <c r="A7713" s="140" t="s">
        <v>9180</v>
      </c>
      <c r="B7713" s="141">
        <v>7.1696336829144098E-5</v>
      </c>
      <c r="D7713" s="141"/>
    </row>
    <row r="7714" spans="1:4" x14ac:dyDescent="0.2">
      <c r="A7714" s="140" t="s">
        <v>2364</v>
      </c>
      <c r="B7714" s="141">
        <v>7.1558213714985997E-5</v>
      </c>
      <c r="D7714" s="141"/>
    </row>
    <row r="7715" spans="1:4" x14ac:dyDescent="0.2">
      <c r="A7715" s="140" t="s">
        <v>3808</v>
      </c>
      <c r="B7715" s="141">
        <v>7.1400650194027702E-5</v>
      </c>
      <c r="D7715" s="141"/>
    </row>
    <row r="7716" spans="1:4" x14ac:dyDescent="0.2">
      <c r="A7716" s="140" t="s">
        <v>9181</v>
      </c>
      <c r="B7716" s="141">
        <v>7.1328408535956399E-5</v>
      </c>
      <c r="D7716" s="141"/>
    </row>
    <row r="7717" spans="1:4" x14ac:dyDescent="0.2">
      <c r="A7717" s="140" t="s">
        <v>4763</v>
      </c>
      <c r="B7717" s="141">
        <v>7.1148078887734795E-5</v>
      </c>
      <c r="D7717" s="141"/>
    </row>
    <row r="7718" spans="1:4" x14ac:dyDescent="0.2">
      <c r="A7718" s="140" t="s">
        <v>1227</v>
      </c>
      <c r="B7718" s="141">
        <v>7.0812027272465603E-5</v>
      </c>
      <c r="D7718" s="141"/>
    </row>
    <row r="7719" spans="1:4" x14ac:dyDescent="0.2">
      <c r="A7719" s="140" t="s">
        <v>1893</v>
      </c>
      <c r="B7719" s="141">
        <v>7.0633648599507598E-5</v>
      </c>
      <c r="D7719" s="141"/>
    </row>
    <row r="7720" spans="1:4" x14ac:dyDescent="0.2">
      <c r="A7720" s="140" t="s">
        <v>9182</v>
      </c>
      <c r="B7720" s="141">
        <v>7.0575017946019394E-5</v>
      </c>
      <c r="D7720" s="141"/>
    </row>
    <row r="7721" spans="1:4" x14ac:dyDescent="0.2">
      <c r="A7721" s="140" t="s">
        <v>9183</v>
      </c>
      <c r="B7721" s="141">
        <v>7.0512893771718004E-5</v>
      </c>
      <c r="D7721" s="141"/>
    </row>
    <row r="7722" spans="1:4" x14ac:dyDescent="0.2">
      <c r="A7722" s="140" t="s">
        <v>6333</v>
      </c>
      <c r="B7722" s="141">
        <v>7.0404501563454302E-5</v>
      </c>
      <c r="D7722" s="141"/>
    </row>
    <row r="7723" spans="1:4" x14ac:dyDescent="0.2">
      <c r="A7723" s="140" t="s">
        <v>1873</v>
      </c>
      <c r="B7723" s="141">
        <v>7.0355550406473694E-5</v>
      </c>
      <c r="D7723" s="141"/>
    </row>
    <row r="7724" spans="1:4" x14ac:dyDescent="0.2">
      <c r="A7724" s="140" t="s">
        <v>6329</v>
      </c>
      <c r="B7724" s="141">
        <v>7.0188186932312795E-5</v>
      </c>
      <c r="D7724" s="141"/>
    </row>
    <row r="7725" spans="1:4" x14ac:dyDescent="0.2">
      <c r="A7725" s="140" t="s">
        <v>1630</v>
      </c>
      <c r="B7725" s="141">
        <v>7.0043740622706304E-5</v>
      </c>
      <c r="D7725" s="141"/>
    </row>
    <row r="7726" spans="1:4" x14ac:dyDescent="0.2">
      <c r="A7726" s="140" t="s">
        <v>9184</v>
      </c>
      <c r="B7726" s="141">
        <v>7.0022241920215402E-5</v>
      </c>
      <c r="D7726" s="141"/>
    </row>
    <row r="7727" spans="1:4" x14ac:dyDescent="0.2">
      <c r="A7727" s="140" t="s">
        <v>9185</v>
      </c>
      <c r="B7727" s="141">
        <v>6.9895348940091198E-5</v>
      </c>
      <c r="D7727" s="141"/>
    </row>
    <row r="7728" spans="1:4" x14ac:dyDescent="0.2">
      <c r="A7728" s="140" t="s">
        <v>2015</v>
      </c>
      <c r="B7728" s="141">
        <v>6.9750543242586496E-5</v>
      </c>
      <c r="D7728" s="141"/>
    </row>
    <row r="7729" spans="1:4" x14ac:dyDescent="0.2">
      <c r="A7729" s="140" t="s">
        <v>717</v>
      </c>
      <c r="B7729" s="141">
        <v>6.9718972611274802E-5</v>
      </c>
      <c r="D7729" s="141"/>
    </row>
    <row r="7730" spans="1:4" x14ac:dyDescent="0.2">
      <c r="A7730" s="140" t="s">
        <v>9186</v>
      </c>
      <c r="B7730" s="141">
        <v>6.9621134051583598E-5</v>
      </c>
      <c r="D7730" s="141"/>
    </row>
    <row r="7731" spans="1:4" x14ac:dyDescent="0.2">
      <c r="A7731" s="140" t="s">
        <v>9187</v>
      </c>
      <c r="B7731" s="141">
        <v>6.9571941573047804E-5</v>
      </c>
      <c r="D7731" s="141"/>
    </row>
    <row r="7732" spans="1:4" x14ac:dyDescent="0.2">
      <c r="A7732" s="140" t="s">
        <v>4694</v>
      </c>
      <c r="B7732" s="141">
        <v>6.9571941573047804E-5</v>
      </c>
      <c r="D7732" s="141"/>
    </row>
    <row r="7733" spans="1:4" x14ac:dyDescent="0.2">
      <c r="A7733" s="140" t="s">
        <v>607</v>
      </c>
      <c r="B7733" s="141">
        <v>6.9380817596066305E-5</v>
      </c>
      <c r="D7733" s="141"/>
    </row>
    <row r="7734" spans="1:4" x14ac:dyDescent="0.2">
      <c r="A7734" s="140" t="s">
        <v>4672</v>
      </c>
      <c r="B7734" s="141">
        <v>6.9270405326573201E-5</v>
      </c>
      <c r="D7734" s="141"/>
    </row>
    <row r="7735" spans="1:4" x14ac:dyDescent="0.2">
      <c r="A7735" s="140" t="s">
        <v>9188</v>
      </c>
      <c r="B7735" s="141">
        <v>6.9270405326573201E-5</v>
      </c>
      <c r="D7735" s="141"/>
    </row>
    <row r="7736" spans="1:4" x14ac:dyDescent="0.2">
      <c r="A7736" s="140" t="s">
        <v>9189</v>
      </c>
      <c r="B7736" s="141">
        <v>6.9116196542145494E-5</v>
      </c>
      <c r="D7736" s="141"/>
    </row>
    <row r="7737" spans="1:4" x14ac:dyDescent="0.2">
      <c r="A7737" s="140" t="s">
        <v>9190</v>
      </c>
      <c r="B7737" s="141">
        <v>6.9019520174158695E-5</v>
      </c>
      <c r="D7737" s="141"/>
    </row>
    <row r="7738" spans="1:4" x14ac:dyDescent="0.2">
      <c r="A7738" s="140" t="s">
        <v>9191</v>
      </c>
      <c r="B7738" s="141">
        <v>6.8947343063200205E-5</v>
      </c>
      <c r="D7738" s="141"/>
    </row>
    <row r="7739" spans="1:4" x14ac:dyDescent="0.2">
      <c r="A7739" s="140" t="s">
        <v>658</v>
      </c>
      <c r="B7739" s="141">
        <v>6.8880135143165502E-5</v>
      </c>
      <c r="D7739" s="141"/>
    </row>
    <row r="7740" spans="1:4" x14ac:dyDescent="0.2">
      <c r="A7740" s="140" t="s">
        <v>1008</v>
      </c>
      <c r="B7740" s="141">
        <v>6.8844250393844297E-5</v>
      </c>
      <c r="D7740" s="141"/>
    </row>
    <row r="7741" spans="1:4" x14ac:dyDescent="0.2">
      <c r="A7741" s="140" t="s">
        <v>9192</v>
      </c>
      <c r="B7741" s="141">
        <v>6.8593032866549704E-5</v>
      </c>
      <c r="D7741" s="141"/>
    </row>
    <row r="7742" spans="1:4" x14ac:dyDescent="0.2">
      <c r="A7742" s="140" t="s">
        <v>2029</v>
      </c>
      <c r="B7742" s="141">
        <v>6.85315049649261E-5</v>
      </c>
      <c r="D7742" s="141"/>
    </row>
    <row r="7743" spans="1:4" x14ac:dyDescent="0.2">
      <c r="A7743" s="140" t="s">
        <v>9193</v>
      </c>
      <c r="B7743" s="141">
        <v>6.8360261558363499E-5</v>
      </c>
      <c r="D7743" s="141"/>
    </row>
    <row r="7744" spans="1:4" x14ac:dyDescent="0.2">
      <c r="A7744" s="140" t="s">
        <v>1286</v>
      </c>
      <c r="B7744" s="141">
        <v>6.8307894271760195E-5</v>
      </c>
      <c r="D7744" s="141"/>
    </row>
    <row r="7745" spans="1:4" x14ac:dyDescent="0.2">
      <c r="A7745" s="140" t="s">
        <v>9194</v>
      </c>
      <c r="B7745" s="141">
        <v>6.8045028038350602E-5</v>
      </c>
      <c r="D7745" s="141"/>
    </row>
    <row r="7746" spans="1:4" x14ac:dyDescent="0.2">
      <c r="A7746" s="140" t="s">
        <v>5456</v>
      </c>
      <c r="B7746" s="141">
        <v>6.80252471362536E-5</v>
      </c>
      <c r="D7746" s="141"/>
    </row>
    <row r="7747" spans="1:4" x14ac:dyDescent="0.2">
      <c r="A7747" s="140" t="s">
        <v>3924</v>
      </c>
      <c r="B7747" s="141">
        <v>6.7977262849911802E-5</v>
      </c>
      <c r="D7747" s="141"/>
    </row>
    <row r="7748" spans="1:4" x14ac:dyDescent="0.2">
      <c r="A7748" s="140" t="s">
        <v>9195</v>
      </c>
      <c r="B7748" s="141">
        <v>6.7763017957791702E-5</v>
      </c>
      <c r="D7748" s="141"/>
    </row>
    <row r="7749" spans="1:4" x14ac:dyDescent="0.2">
      <c r="A7749" s="140" t="s">
        <v>3694</v>
      </c>
      <c r="B7749" s="141">
        <v>6.7709541120472905E-5</v>
      </c>
      <c r="D7749" s="141"/>
    </row>
    <row r="7750" spans="1:4" x14ac:dyDescent="0.2">
      <c r="A7750" s="140" t="s">
        <v>3695</v>
      </c>
      <c r="B7750" s="141">
        <v>6.7597035098524696E-5</v>
      </c>
      <c r="D7750" s="141"/>
    </row>
    <row r="7751" spans="1:4" x14ac:dyDescent="0.2">
      <c r="A7751" s="140" t="s">
        <v>680</v>
      </c>
      <c r="B7751" s="141">
        <v>6.75258681881153E-5</v>
      </c>
      <c r="D7751" s="141"/>
    </row>
    <row r="7752" spans="1:4" x14ac:dyDescent="0.2">
      <c r="A7752" s="140" t="s">
        <v>9196</v>
      </c>
      <c r="B7752" s="141">
        <v>6.7484816882757895E-5</v>
      </c>
      <c r="D7752" s="141"/>
    </row>
    <row r="7753" spans="1:4" x14ac:dyDescent="0.2">
      <c r="A7753" s="140" t="s">
        <v>2879</v>
      </c>
      <c r="B7753" s="141">
        <v>6.7422820505146796E-5</v>
      </c>
      <c r="D7753" s="141"/>
    </row>
    <row r="7754" spans="1:4" x14ac:dyDescent="0.2">
      <c r="A7754" s="140" t="s">
        <v>1125</v>
      </c>
      <c r="B7754" s="141">
        <v>6.7331098873382595E-5</v>
      </c>
      <c r="D7754" s="141"/>
    </row>
    <row r="7755" spans="1:4" x14ac:dyDescent="0.2">
      <c r="A7755" s="140" t="s">
        <v>2211</v>
      </c>
      <c r="B7755" s="141">
        <v>6.7325326226130999E-5</v>
      </c>
      <c r="D7755" s="141"/>
    </row>
    <row r="7756" spans="1:4" x14ac:dyDescent="0.2">
      <c r="A7756" s="140" t="s">
        <v>2401</v>
      </c>
      <c r="B7756" s="141">
        <v>6.7292963338308001E-5</v>
      </c>
      <c r="D7756" s="141"/>
    </row>
    <row r="7757" spans="1:4" x14ac:dyDescent="0.2">
      <c r="A7757" s="140" t="s">
        <v>1752</v>
      </c>
      <c r="B7757" s="141">
        <v>6.72228859979313E-5</v>
      </c>
      <c r="D7757" s="141"/>
    </row>
    <row r="7758" spans="1:4" x14ac:dyDescent="0.2">
      <c r="A7758" s="140" t="s">
        <v>9197</v>
      </c>
      <c r="B7758" s="141">
        <v>6.7208372232513202E-5</v>
      </c>
      <c r="D7758" s="141"/>
    </row>
    <row r="7759" spans="1:4" x14ac:dyDescent="0.2">
      <c r="A7759" s="140" t="s">
        <v>4927</v>
      </c>
      <c r="B7759" s="141">
        <v>6.7154545941917204E-5</v>
      </c>
      <c r="D7759" s="141"/>
    </row>
    <row r="7760" spans="1:4" x14ac:dyDescent="0.2">
      <c r="A7760" s="140" t="s">
        <v>1541</v>
      </c>
      <c r="B7760" s="141">
        <v>6.7122407086172306E-5</v>
      </c>
      <c r="D7760" s="141"/>
    </row>
    <row r="7761" spans="1:4" x14ac:dyDescent="0.2">
      <c r="A7761" s="140" t="s">
        <v>2389</v>
      </c>
      <c r="B7761" s="141">
        <v>6.7119786381556897E-5</v>
      </c>
      <c r="D7761" s="141"/>
    </row>
    <row r="7762" spans="1:4" x14ac:dyDescent="0.2">
      <c r="A7762" s="140" t="s">
        <v>9198</v>
      </c>
      <c r="B7762" s="141">
        <v>6.7023935782578798E-5</v>
      </c>
      <c r="D7762" s="141"/>
    </row>
    <row r="7763" spans="1:4" x14ac:dyDescent="0.2">
      <c r="A7763" s="140" t="s">
        <v>3922</v>
      </c>
      <c r="B7763" s="141">
        <v>6.6889933427227699E-5</v>
      </c>
      <c r="D7763" s="141"/>
    </row>
    <row r="7764" spans="1:4" x14ac:dyDescent="0.2">
      <c r="A7764" s="140" t="s">
        <v>9199</v>
      </c>
      <c r="B7764" s="141">
        <v>6.6799107704898204E-5</v>
      </c>
      <c r="D7764" s="141"/>
    </row>
    <row r="7765" spans="1:4" x14ac:dyDescent="0.2">
      <c r="A7765" s="140" t="s">
        <v>9200</v>
      </c>
      <c r="B7765" s="141">
        <v>6.6786863081507204E-5</v>
      </c>
      <c r="D7765" s="141"/>
    </row>
    <row r="7766" spans="1:4" x14ac:dyDescent="0.2">
      <c r="A7766" s="140" t="s">
        <v>5538</v>
      </c>
      <c r="B7766" s="141">
        <v>6.6770479239348698E-5</v>
      </c>
      <c r="D7766" s="141"/>
    </row>
    <row r="7767" spans="1:4" x14ac:dyDescent="0.2">
      <c r="A7767" s="140" t="s">
        <v>1668</v>
      </c>
      <c r="B7767" s="141">
        <v>6.6755284219815496E-5</v>
      </c>
      <c r="D7767" s="141"/>
    </row>
    <row r="7768" spans="1:4" x14ac:dyDescent="0.2">
      <c r="A7768" s="140" t="s">
        <v>1538</v>
      </c>
      <c r="B7768" s="141">
        <v>6.6717728044982704E-5</v>
      </c>
      <c r="D7768" s="141"/>
    </row>
    <row r="7769" spans="1:4" x14ac:dyDescent="0.2">
      <c r="A7769" s="140" t="s">
        <v>9201</v>
      </c>
      <c r="B7769" s="141">
        <v>6.6704198236342194E-5</v>
      </c>
      <c r="D7769" s="141"/>
    </row>
    <row r="7770" spans="1:4" x14ac:dyDescent="0.2">
      <c r="A7770" s="140" t="s">
        <v>1162</v>
      </c>
      <c r="B7770" s="141">
        <v>6.6534576272666803E-5</v>
      </c>
      <c r="D7770" s="141"/>
    </row>
    <row r="7771" spans="1:4" x14ac:dyDescent="0.2">
      <c r="A7771" s="140" t="s">
        <v>4772</v>
      </c>
      <c r="B7771" s="141">
        <v>6.6530669999999195E-5</v>
      </c>
      <c r="D7771" s="141"/>
    </row>
    <row r="7772" spans="1:4" x14ac:dyDescent="0.2">
      <c r="A7772" s="140" t="s">
        <v>924</v>
      </c>
      <c r="B7772" s="141">
        <v>6.6476735120361101E-5</v>
      </c>
      <c r="D7772" s="141"/>
    </row>
    <row r="7773" spans="1:4" x14ac:dyDescent="0.2">
      <c r="A7773" s="140" t="s">
        <v>9202</v>
      </c>
      <c r="B7773" s="141">
        <v>6.6448861563505297E-5</v>
      </c>
      <c r="D7773" s="141"/>
    </row>
    <row r="7774" spans="1:4" x14ac:dyDescent="0.2">
      <c r="A7774" s="140" t="s">
        <v>9203</v>
      </c>
      <c r="B7774" s="141">
        <v>6.6448861563505297E-5</v>
      </c>
      <c r="D7774" s="141"/>
    </row>
    <row r="7775" spans="1:4" x14ac:dyDescent="0.2">
      <c r="A7775" s="140" t="s">
        <v>9204</v>
      </c>
      <c r="B7775" s="141">
        <v>6.6448861563505297E-5</v>
      </c>
      <c r="D7775" s="141"/>
    </row>
    <row r="7776" spans="1:4" x14ac:dyDescent="0.2">
      <c r="A7776" s="140" t="s">
        <v>9205</v>
      </c>
      <c r="B7776" s="141">
        <v>6.6448861563505297E-5</v>
      </c>
      <c r="D7776" s="141"/>
    </row>
    <row r="7777" spans="1:4" x14ac:dyDescent="0.2">
      <c r="A7777" s="140" t="s">
        <v>9206</v>
      </c>
      <c r="B7777" s="141">
        <v>6.6448861563505297E-5</v>
      </c>
      <c r="D7777" s="141"/>
    </row>
    <row r="7778" spans="1:4" x14ac:dyDescent="0.2">
      <c r="A7778" s="140" t="s">
        <v>9207</v>
      </c>
      <c r="B7778" s="141">
        <v>6.6448861563505297E-5</v>
      </c>
      <c r="D7778" s="141"/>
    </row>
    <row r="7779" spans="1:4" x14ac:dyDescent="0.2">
      <c r="A7779" s="140" t="s">
        <v>9208</v>
      </c>
      <c r="B7779" s="141">
        <v>6.6448861563505297E-5</v>
      </c>
      <c r="D7779" s="141"/>
    </row>
    <row r="7780" spans="1:4" x14ac:dyDescent="0.2">
      <c r="A7780" s="140" t="s">
        <v>9209</v>
      </c>
      <c r="B7780" s="141">
        <v>6.6448861563505297E-5</v>
      </c>
      <c r="D7780" s="141"/>
    </row>
    <row r="7781" spans="1:4" x14ac:dyDescent="0.2">
      <c r="A7781" s="140" t="s">
        <v>9210</v>
      </c>
      <c r="B7781" s="141">
        <v>6.6448861563505297E-5</v>
      </c>
      <c r="D7781" s="141"/>
    </row>
    <row r="7782" spans="1:4" x14ac:dyDescent="0.2">
      <c r="A7782" s="140" t="s">
        <v>746</v>
      </c>
      <c r="B7782" s="141">
        <v>6.6376773513483601E-5</v>
      </c>
      <c r="D7782" s="141"/>
    </row>
    <row r="7783" spans="1:4" x14ac:dyDescent="0.2">
      <c r="A7783" s="140" t="s">
        <v>2339</v>
      </c>
      <c r="B7783" s="141">
        <v>6.6250558206941402E-5</v>
      </c>
      <c r="D7783" s="141"/>
    </row>
    <row r="7784" spans="1:4" x14ac:dyDescent="0.2">
      <c r="A7784" s="140" t="s">
        <v>444</v>
      </c>
      <c r="B7784" s="141">
        <v>6.6086634668751206E-5</v>
      </c>
      <c r="D7784" s="141"/>
    </row>
    <row r="7785" spans="1:4" x14ac:dyDescent="0.2">
      <c r="A7785" s="140" t="s">
        <v>1878</v>
      </c>
      <c r="B7785" s="141">
        <v>6.6049523888206299E-5</v>
      </c>
      <c r="D7785" s="141"/>
    </row>
    <row r="7786" spans="1:4" x14ac:dyDescent="0.2">
      <c r="A7786" s="140" t="s">
        <v>1020</v>
      </c>
      <c r="B7786" s="141">
        <v>6.5761976989147403E-5</v>
      </c>
      <c r="D7786" s="141"/>
    </row>
    <row r="7787" spans="1:4" x14ac:dyDescent="0.2">
      <c r="A7787" s="140" t="s">
        <v>5902</v>
      </c>
      <c r="B7787" s="141">
        <v>6.5695284169440502E-5</v>
      </c>
      <c r="D7787" s="141"/>
    </row>
    <row r="7788" spans="1:4" x14ac:dyDescent="0.2">
      <c r="A7788" s="140" t="s">
        <v>4479</v>
      </c>
      <c r="B7788" s="141">
        <v>6.5695284169440502E-5</v>
      </c>
      <c r="D7788" s="141"/>
    </row>
    <row r="7789" spans="1:4" x14ac:dyDescent="0.2">
      <c r="A7789" s="140" t="s">
        <v>9211</v>
      </c>
      <c r="B7789" s="141">
        <v>6.55100099580547E-5</v>
      </c>
      <c r="D7789" s="141"/>
    </row>
    <row r="7790" spans="1:4" x14ac:dyDescent="0.2">
      <c r="A7790" s="140" t="s">
        <v>3425</v>
      </c>
      <c r="B7790" s="141">
        <v>6.5400796152452495E-5</v>
      </c>
      <c r="D7790" s="141"/>
    </row>
    <row r="7791" spans="1:4" x14ac:dyDescent="0.2">
      <c r="A7791" s="140" t="s">
        <v>9212</v>
      </c>
      <c r="B7791" s="141">
        <v>6.5261503312383806E-5</v>
      </c>
      <c r="D7791" s="141"/>
    </row>
    <row r="7792" spans="1:4" x14ac:dyDescent="0.2">
      <c r="A7792" s="140" t="s">
        <v>9213</v>
      </c>
      <c r="B7792" s="141">
        <v>6.5261503312383806E-5</v>
      </c>
      <c r="D7792" s="141"/>
    </row>
    <row r="7793" spans="1:4" x14ac:dyDescent="0.2">
      <c r="A7793" s="140" t="s">
        <v>1704</v>
      </c>
      <c r="B7793" s="141">
        <v>6.5139830881325603E-5</v>
      </c>
      <c r="D7793" s="141"/>
    </row>
    <row r="7794" spans="1:4" x14ac:dyDescent="0.2">
      <c r="A7794" s="140" t="s">
        <v>1703</v>
      </c>
      <c r="B7794" s="141">
        <v>6.5139830881325603E-5</v>
      </c>
      <c r="D7794" s="141"/>
    </row>
    <row r="7795" spans="1:4" x14ac:dyDescent="0.2">
      <c r="A7795" s="140" t="s">
        <v>553</v>
      </c>
      <c r="B7795" s="141">
        <v>6.4936359473232502E-5</v>
      </c>
      <c r="D7795" s="141"/>
    </row>
    <row r="7796" spans="1:4" x14ac:dyDescent="0.2">
      <c r="A7796" s="140" t="s">
        <v>9214</v>
      </c>
      <c r="B7796" s="141">
        <v>6.4742005188750902E-5</v>
      </c>
      <c r="D7796" s="141"/>
    </row>
    <row r="7797" spans="1:4" x14ac:dyDescent="0.2">
      <c r="A7797" s="140" t="s">
        <v>5814</v>
      </c>
      <c r="B7797" s="141">
        <v>6.4660536401093405E-5</v>
      </c>
      <c r="D7797" s="141"/>
    </row>
    <row r="7798" spans="1:4" x14ac:dyDescent="0.2">
      <c r="A7798" s="140" t="s">
        <v>9215</v>
      </c>
      <c r="B7798" s="141">
        <v>6.4595993546991004E-5</v>
      </c>
      <c r="D7798" s="141"/>
    </row>
    <row r="7799" spans="1:4" x14ac:dyDescent="0.2">
      <c r="A7799" s="140" t="s">
        <v>9216</v>
      </c>
      <c r="B7799" s="141">
        <v>6.4555907172165507E-5</v>
      </c>
      <c r="D7799" s="141"/>
    </row>
    <row r="7800" spans="1:4" x14ac:dyDescent="0.2">
      <c r="A7800" s="140" t="s">
        <v>3313</v>
      </c>
      <c r="B7800" s="141">
        <v>6.4482867123079907E-5</v>
      </c>
      <c r="D7800" s="141"/>
    </row>
    <row r="7801" spans="1:4" x14ac:dyDescent="0.2">
      <c r="A7801" s="140" t="s">
        <v>9217</v>
      </c>
      <c r="B7801" s="141">
        <v>6.44818070914713E-5</v>
      </c>
      <c r="D7801" s="141"/>
    </row>
    <row r="7802" spans="1:4" x14ac:dyDescent="0.2">
      <c r="A7802" s="140" t="s">
        <v>455</v>
      </c>
      <c r="B7802" s="141">
        <v>6.4465459308740496E-5</v>
      </c>
      <c r="D7802" s="141"/>
    </row>
    <row r="7803" spans="1:4" x14ac:dyDescent="0.2">
      <c r="A7803" s="140" t="s">
        <v>9218</v>
      </c>
      <c r="B7803" s="141">
        <v>6.4302555910348199E-5</v>
      </c>
      <c r="D7803" s="141"/>
    </row>
    <row r="7804" spans="1:4" x14ac:dyDescent="0.2">
      <c r="A7804" s="140" t="s">
        <v>9219</v>
      </c>
      <c r="B7804" s="141">
        <v>6.4302555910348199E-5</v>
      </c>
      <c r="D7804" s="141"/>
    </row>
    <row r="7805" spans="1:4" x14ac:dyDescent="0.2">
      <c r="A7805" s="140" t="s">
        <v>9220</v>
      </c>
      <c r="B7805" s="141">
        <v>6.4302555910348199E-5</v>
      </c>
      <c r="D7805" s="141"/>
    </row>
    <row r="7806" spans="1:4" x14ac:dyDescent="0.2">
      <c r="A7806" s="140" t="s">
        <v>9221</v>
      </c>
      <c r="B7806" s="141">
        <v>6.4302555910348199E-5</v>
      </c>
      <c r="D7806" s="141"/>
    </row>
    <row r="7807" spans="1:4" x14ac:dyDescent="0.2">
      <c r="A7807" s="140" t="s">
        <v>9222</v>
      </c>
      <c r="B7807" s="141">
        <v>6.4302555910348199E-5</v>
      </c>
      <c r="D7807" s="141"/>
    </row>
    <row r="7808" spans="1:4" x14ac:dyDescent="0.2">
      <c r="A7808" s="140" t="s">
        <v>9223</v>
      </c>
      <c r="B7808" s="141">
        <v>6.4302555910348199E-5</v>
      </c>
      <c r="D7808" s="141"/>
    </row>
    <row r="7809" spans="1:4" x14ac:dyDescent="0.2">
      <c r="A7809" s="140" t="s">
        <v>9224</v>
      </c>
      <c r="B7809" s="141">
        <v>6.4302555910348199E-5</v>
      </c>
      <c r="D7809" s="141"/>
    </row>
    <row r="7810" spans="1:4" x14ac:dyDescent="0.2">
      <c r="A7810" s="140" t="s">
        <v>9225</v>
      </c>
      <c r="B7810" s="141">
        <v>6.4302555910348199E-5</v>
      </c>
      <c r="D7810" s="141"/>
    </row>
    <row r="7811" spans="1:4" x14ac:dyDescent="0.2">
      <c r="A7811" s="140" t="s">
        <v>9226</v>
      </c>
      <c r="B7811" s="141">
        <v>6.4302555910348199E-5</v>
      </c>
      <c r="D7811" s="141"/>
    </row>
    <row r="7812" spans="1:4" x14ac:dyDescent="0.2">
      <c r="A7812" s="140" t="s">
        <v>9227</v>
      </c>
      <c r="B7812" s="141">
        <v>6.4302555910348199E-5</v>
      </c>
      <c r="D7812" s="141"/>
    </row>
    <row r="7813" spans="1:4" x14ac:dyDescent="0.2">
      <c r="A7813" s="140" t="s">
        <v>9228</v>
      </c>
      <c r="B7813" s="141">
        <v>6.4302555910348199E-5</v>
      </c>
      <c r="D7813" s="141"/>
    </row>
    <row r="7814" spans="1:4" x14ac:dyDescent="0.2">
      <c r="A7814" s="140" t="s">
        <v>9229</v>
      </c>
      <c r="B7814" s="141">
        <v>6.4302555910348199E-5</v>
      </c>
      <c r="D7814" s="141"/>
    </row>
    <row r="7815" spans="1:4" x14ac:dyDescent="0.2">
      <c r="A7815" s="140" t="s">
        <v>9230</v>
      </c>
      <c r="B7815" s="141">
        <v>6.4302555910348199E-5</v>
      </c>
      <c r="D7815" s="141"/>
    </row>
    <row r="7816" spans="1:4" x14ac:dyDescent="0.2">
      <c r="A7816" s="140" t="s">
        <v>9231</v>
      </c>
      <c r="B7816" s="141">
        <v>6.4302555910348199E-5</v>
      </c>
      <c r="D7816" s="141"/>
    </row>
    <row r="7817" spans="1:4" x14ac:dyDescent="0.2">
      <c r="A7817" s="140" t="s">
        <v>9232</v>
      </c>
      <c r="B7817" s="141">
        <v>6.4302555910348199E-5</v>
      </c>
      <c r="D7817" s="141"/>
    </row>
    <row r="7818" spans="1:4" x14ac:dyDescent="0.2">
      <c r="A7818" s="140" t="s">
        <v>9233</v>
      </c>
      <c r="B7818" s="141">
        <v>6.4302555910348199E-5</v>
      </c>
      <c r="D7818" s="141"/>
    </row>
    <row r="7819" spans="1:4" x14ac:dyDescent="0.2">
      <c r="A7819" s="140" t="s">
        <v>9234</v>
      </c>
      <c r="B7819" s="141">
        <v>6.4302555910348199E-5</v>
      </c>
      <c r="D7819" s="141"/>
    </row>
    <row r="7820" spans="1:4" x14ac:dyDescent="0.2">
      <c r="A7820" s="140" t="s">
        <v>9235</v>
      </c>
      <c r="B7820" s="141">
        <v>6.4302555910348199E-5</v>
      </c>
      <c r="D7820" s="141"/>
    </row>
    <row r="7821" spans="1:4" x14ac:dyDescent="0.2">
      <c r="A7821" s="140" t="s">
        <v>9236</v>
      </c>
      <c r="B7821" s="141">
        <v>6.4302555910348199E-5</v>
      </c>
      <c r="D7821" s="141"/>
    </row>
    <row r="7822" spans="1:4" x14ac:dyDescent="0.2">
      <c r="A7822" s="140" t="s">
        <v>9237</v>
      </c>
      <c r="B7822" s="141">
        <v>6.4302555910348199E-5</v>
      </c>
      <c r="D7822" s="141"/>
    </row>
    <row r="7823" spans="1:4" x14ac:dyDescent="0.2">
      <c r="A7823" s="140" t="s">
        <v>4194</v>
      </c>
      <c r="B7823" s="141">
        <v>6.4252278622978904E-5</v>
      </c>
      <c r="D7823" s="141"/>
    </row>
    <row r="7824" spans="1:4" x14ac:dyDescent="0.2">
      <c r="A7824" s="140" t="s">
        <v>9238</v>
      </c>
      <c r="B7824" s="141">
        <v>6.4225792144399706E-5</v>
      </c>
      <c r="D7824" s="141"/>
    </row>
    <row r="7825" spans="1:4" x14ac:dyDescent="0.2">
      <c r="A7825" s="140" t="s">
        <v>1857</v>
      </c>
      <c r="B7825" s="141">
        <v>6.3802452451306506E-5</v>
      </c>
      <c r="D7825" s="141"/>
    </row>
    <row r="7826" spans="1:4" x14ac:dyDescent="0.2">
      <c r="A7826" s="140" t="s">
        <v>5250</v>
      </c>
      <c r="B7826" s="141">
        <v>6.3692027070346005E-5</v>
      </c>
      <c r="D7826" s="141"/>
    </row>
    <row r="7827" spans="1:4" x14ac:dyDescent="0.2">
      <c r="A7827" s="140" t="s">
        <v>9239</v>
      </c>
      <c r="B7827" s="141">
        <v>6.3624774858274697E-5</v>
      </c>
      <c r="D7827" s="141"/>
    </row>
    <row r="7828" spans="1:4" x14ac:dyDescent="0.2">
      <c r="A7828" s="140" t="s">
        <v>5581</v>
      </c>
      <c r="B7828" s="141">
        <v>6.3597623210969505E-5</v>
      </c>
      <c r="D7828" s="141"/>
    </row>
    <row r="7829" spans="1:4" x14ac:dyDescent="0.2">
      <c r="A7829" s="140" t="s">
        <v>4266</v>
      </c>
      <c r="B7829" s="141">
        <v>6.3597623210969505E-5</v>
      </c>
      <c r="D7829" s="141"/>
    </row>
    <row r="7830" spans="1:4" x14ac:dyDescent="0.2">
      <c r="A7830" s="140" t="s">
        <v>3848</v>
      </c>
      <c r="B7830" s="141">
        <v>6.3597623210969505E-5</v>
      </c>
      <c r="D7830" s="141"/>
    </row>
    <row r="7831" spans="1:4" x14ac:dyDescent="0.2">
      <c r="A7831" s="140" t="s">
        <v>3477</v>
      </c>
      <c r="B7831" s="141">
        <v>6.3597623210969505E-5</v>
      </c>
      <c r="D7831" s="141"/>
    </row>
    <row r="7832" spans="1:4" x14ac:dyDescent="0.2">
      <c r="A7832" s="140" t="s">
        <v>9240</v>
      </c>
      <c r="B7832" s="141">
        <v>6.3483012901057598E-5</v>
      </c>
      <c r="D7832" s="141"/>
    </row>
    <row r="7833" spans="1:4" x14ac:dyDescent="0.2">
      <c r="A7833" s="140" t="s">
        <v>9241</v>
      </c>
      <c r="B7833" s="141">
        <v>6.3483012901057598E-5</v>
      </c>
      <c r="D7833" s="141"/>
    </row>
    <row r="7834" spans="1:4" x14ac:dyDescent="0.2">
      <c r="A7834" s="140" t="s">
        <v>9242</v>
      </c>
      <c r="B7834" s="141">
        <v>6.3483012901057598E-5</v>
      </c>
      <c r="D7834" s="141"/>
    </row>
    <row r="7835" spans="1:4" x14ac:dyDescent="0.2">
      <c r="A7835" s="140" t="s">
        <v>1039</v>
      </c>
      <c r="B7835" s="141">
        <v>6.3464722807970298E-5</v>
      </c>
      <c r="D7835" s="141"/>
    </row>
    <row r="7836" spans="1:4" x14ac:dyDescent="0.2">
      <c r="A7836" s="140" t="s">
        <v>4607</v>
      </c>
      <c r="B7836" s="141">
        <v>6.3388119903202801E-5</v>
      </c>
      <c r="D7836" s="141"/>
    </row>
    <row r="7837" spans="1:4" x14ac:dyDescent="0.2">
      <c r="A7837" s="140" t="s">
        <v>5585</v>
      </c>
      <c r="B7837" s="141">
        <v>6.3383360358709099E-5</v>
      </c>
      <c r="D7837" s="141"/>
    </row>
    <row r="7838" spans="1:4" x14ac:dyDescent="0.2">
      <c r="A7838" s="140" t="s">
        <v>9243</v>
      </c>
      <c r="B7838" s="141">
        <v>6.3343794070624203E-5</v>
      </c>
      <c r="D7838" s="141"/>
    </row>
    <row r="7839" spans="1:4" x14ac:dyDescent="0.2">
      <c r="A7839" s="140" t="s">
        <v>9244</v>
      </c>
      <c r="B7839" s="141">
        <v>6.3171007600354206E-5</v>
      </c>
      <c r="D7839" s="141"/>
    </row>
    <row r="7840" spans="1:4" x14ac:dyDescent="0.2">
      <c r="A7840" s="140" t="s">
        <v>398</v>
      </c>
      <c r="B7840" s="141">
        <v>6.2974022593356003E-5</v>
      </c>
      <c r="D7840" s="141"/>
    </row>
    <row r="7841" spans="1:4" x14ac:dyDescent="0.2">
      <c r="A7841" s="140" t="s">
        <v>4205</v>
      </c>
      <c r="B7841" s="141">
        <v>6.2931323144809303E-5</v>
      </c>
      <c r="D7841" s="141"/>
    </row>
    <row r="7842" spans="1:4" x14ac:dyDescent="0.2">
      <c r="A7842" s="140" t="s">
        <v>6235</v>
      </c>
      <c r="B7842" s="141">
        <v>6.2735975123407004E-5</v>
      </c>
      <c r="D7842" s="141"/>
    </row>
    <row r="7843" spans="1:4" x14ac:dyDescent="0.2">
      <c r="A7843" s="140" t="s">
        <v>5429</v>
      </c>
      <c r="B7843" s="141">
        <v>6.2575982184991206E-5</v>
      </c>
      <c r="D7843" s="141"/>
    </row>
    <row r="7844" spans="1:4" x14ac:dyDescent="0.2">
      <c r="A7844" s="140" t="s">
        <v>5923</v>
      </c>
      <c r="B7844" s="141">
        <v>6.2533836103999694E-5</v>
      </c>
      <c r="D7844" s="141"/>
    </row>
    <row r="7845" spans="1:4" x14ac:dyDescent="0.2">
      <c r="A7845" s="140" t="s">
        <v>9245</v>
      </c>
      <c r="B7845" s="141">
        <v>6.2376759604324496E-5</v>
      </c>
      <c r="D7845" s="141"/>
    </row>
    <row r="7846" spans="1:4" x14ac:dyDescent="0.2">
      <c r="A7846" s="140" t="s">
        <v>4836</v>
      </c>
      <c r="B7846" s="141">
        <v>6.2306500961270902E-5</v>
      </c>
      <c r="D7846" s="141"/>
    </row>
    <row r="7847" spans="1:4" x14ac:dyDescent="0.2">
      <c r="A7847" s="140" t="s">
        <v>4925</v>
      </c>
      <c r="B7847" s="141">
        <v>6.1960896918050596E-5</v>
      </c>
      <c r="D7847" s="141"/>
    </row>
    <row r="7848" spans="1:4" x14ac:dyDescent="0.2">
      <c r="A7848" s="140" t="s">
        <v>5425</v>
      </c>
      <c r="B7848" s="141">
        <v>6.1904387605126999E-5</v>
      </c>
      <c r="D7848" s="141"/>
    </row>
    <row r="7849" spans="1:4" x14ac:dyDescent="0.2">
      <c r="A7849" s="140" t="s">
        <v>3701</v>
      </c>
      <c r="B7849" s="141">
        <v>6.1904387605126999E-5</v>
      </c>
      <c r="D7849" s="141"/>
    </row>
    <row r="7850" spans="1:4" x14ac:dyDescent="0.2">
      <c r="A7850" s="140" t="s">
        <v>9246</v>
      </c>
      <c r="B7850" s="141">
        <v>6.1812509859000801E-5</v>
      </c>
      <c r="D7850" s="141"/>
    </row>
    <row r="7851" spans="1:4" x14ac:dyDescent="0.2">
      <c r="A7851" s="140" t="s">
        <v>9247</v>
      </c>
      <c r="B7851" s="141">
        <v>6.1812509859000801E-5</v>
      </c>
      <c r="D7851" s="141"/>
    </row>
    <row r="7852" spans="1:4" x14ac:dyDescent="0.2">
      <c r="A7852" s="140" t="s">
        <v>9248</v>
      </c>
      <c r="B7852" s="141">
        <v>6.1812509859000801E-5</v>
      </c>
      <c r="D7852" s="141"/>
    </row>
    <row r="7853" spans="1:4" x14ac:dyDescent="0.2">
      <c r="A7853" s="140" t="s">
        <v>9249</v>
      </c>
      <c r="B7853" s="141">
        <v>6.1812509859000801E-5</v>
      </c>
      <c r="D7853" s="141"/>
    </row>
    <row r="7854" spans="1:4" x14ac:dyDescent="0.2">
      <c r="A7854" s="140" t="s">
        <v>9250</v>
      </c>
      <c r="B7854" s="141">
        <v>6.1812509859000801E-5</v>
      </c>
      <c r="D7854" s="141"/>
    </row>
    <row r="7855" spans="1:4" x14ac:dyDescent="0.2">
      <c r="A7855" s="140" t="s">
        <v>4287</v>
      </c>
      <c r="B7855" s="141">
        <v>6.1649493662668895E-5</v>
      </c>
      <c r="D7855" s="141"/>
    </row>
    <row r="7856" spans="1:4" x14ac:dyDescent="0.2">
      <c r="A7856" s="140" t="s">
        <v>9251</v>
      </c>
      <c r="B7856" s="141">
        <v>6.1644318371823094E-5</v>
      </c>
      <c r="D7856" s="141"/>
    </row>
    <row r="7857" spans="1:4" x14ac:dyDescent="0.2">
      <c r="A7857" s="140" t="s">
        <v>9252</v>
      </c>
      <c r="B7857" s="141">
        <v>6.1635820061223994E-5</v>
      </c>
      <c r="D7857" s="141"/>
    </row>
    <row r="7858" spans="1:4" x14ac:dyDescent="0.2">
      <c r="A7858" s="140" t="s">
        <v>9253</v>
      </c>
      <c r="B7858" s="141">
        <v>6.1596080959616301E-5</v>
      </c>
      <c r="D7858" s="141"/>
    </row>
    <row r="7859" spans="1:4" x14ac:dyDescent="0.2">
      <c r="A7859" s="140" t="s">
        <v>9254</v>
      </c>
      <c r="B7859" s="141">
        <v>6.1342172020908202E-5</v>
      </c>
      <c r="D7859" s="141"/>
    </row>
    <row r="7860" spans="1:4" x14ac:dyDescent="0.2">
      <c r="A7860" s="140" t="s">
        <v>6288</v>
      </c>
      <c r="B7860" s="141">
        <v>6.1316695700410794E-5</v>
      </c>
      <c r="D7860" s="141"/>
    </row>
    <row r="7861" spans="1:4" x14ac:dyDescent="0.2">
      <c r="A7861" s="140" t="s">
        <v>9255</v>
      </c>
      <c r="B7861" s="141">
        <v>6.1138169900755394E-5</v>
      </c>
      <c r="D7861" s="141"/>
    </row>
    <row r="7862" spans="1:4" x14ac:dyDescent="0.2">
      <c r="A7862" s="140" t="s">
        <v>9256</v>
      </c>
      <c r="B7862" s="141">
        <v>6.1032505033346402E-5</v>
      </c>
      <c r="D7862" s="141"/>
    </row>
    <row r="7863" spans="1:4" x14ac:dyDescent="0.2">
      <c r="A7863" s="140" t="s">
        <v>9257</v>
      </c>
      <c r="B7863" s="141">
        <v>6.06060705665792E-5</v>
      </c>
      <c r="D7863" s="141"/>
    </row>
    <row r="7864" spans="1:4" x14ac:dyDescent="0.2">
      <c r="A7864" s="140" t="s">
        <v>6118</v>
      </c>
      <c r="B7864" s="141">
        <v>6.0447458613418203E-5</v>
      </c>
      <c r="D7864" s="141"/>
    </row>
    <row r="7865" spans="1:4" x14ac:dyDescent="0.2">
      <c r="A7865" s="140" t="s">
        <v>9258</v>
      </c>
      <c r="B7865" s="141">
        <v>6.0363017722644198E-5</v>
      </c>
      <c r="D7865" s="141"/>
    </row>
    <row r="7866" spans="1:4" x14ac:dyDescent="0.2">
      <c r="A7866" s="140" t="s">
        <v>989</v>
      </c>
      <c r="B7866" s="141">
        <v>6.03554293535462E-5</v>
      </c>
      <c r="D7866" s="141"/>
    </row>
    <row r="7867" spans="1:4" x14ac:dyDescent="0.2">
      <c r="A7867" s="140" t="s">
        <v>5302</v>
      </c>
      <c r="B7867" s="141">
        <v>6.0245119435966898E-5</v>
      </c>
      <c r="D7867" s="141"/>
    </row>
    <row r="7868" spans="1:4" x14ac:dyDescent="0.2">
      <c r="A7868" s="140" t="s">
        <v>4642</v>
      </c>
      <c r="B7868" s="141">
        <v>6.01957501713816E-5</v>
      </c>
      <c r="D7868" s="141"/>
    </row>
    <row r="7869" spans="1:4" x14ac:dyDescent="0.2">
      <c r="A7869" s="140" t="s">
        <v>1731</v>
      </c>
      <c r="B7869" s="141">
        <v>6.0111452153460399E-5</v>
      </c>
      <c r="D7869" s="141"/>
    </row>
    <row r="7870" spans="1:4" x14ac:dyDescent="0.2">
      <c r="A7870" s="140" t="s">
        <v>3381</v>
      </c>
      <c r="B7870" s="141">
        <v>5.99545609250462E-5</v>
      </c>
      <c r="D7870" s="141"/>
    </row>
    <row r="7871" spans="1:4" x14ac:dyDescent="0.2">
      <c r="A7871" s="140" t="s">
        <v>2463</v>
      </c>
      <c r="B7871" s="141">
        <v>5.9788514521722202E-5</v>
      </c>
      <c r="D7871" s="141"/>
    </row>
    <row r="7872" spans="1:4" x14ac:dyDescent="0.2">
      <c r="A7872" s="140" t="s">
        <v>2045</v>
      </c>
      <c r="B7872" s="141">
        <v>5.9777304523769598E-5</v>
      </c>
      <c r="D7872" s="141"/>
    </row>
    <row r="7873" spans="1:4" x14ac:dyDescent="0.2">
      <c r="A7873" s="140" t="s">
        <v>1788</v>
      </c>
      <c r="B7873" s="141">
        <v>5.9762574949020401E-5</v>
      </c>
      <c r="D7873" s="141"/>
    </row>
    <row r="7874" spans="1:4" x14ac:dyDescent="0.2">
      <c r="A7874" s="140" t="s">
        <v>4048</v>
      </c>
      <c r="B7874" s="141">
        <v>5.9625389421758403E-5</v>
      </c>
      <c r="D7874" s="141"/>
    </row>
    <row r="7875" spans="1:4" x14ac:dyDescent="0.2">
      <c r="A7875" s="140" t="s">
        <v>5952</v>
      </c>
      <c r="B7875" s="141">
        <v>5.9589199464109598E-5</v>
      </c>
      <c r="D7875" s="141"/>
    </row>
    <row r="7876" spans="1:4" x14ac:dyDescent="0.2">
      <c r="A7876" s="140" t="s">
        <v>371</v>
      </c>
      <c r="B7876" s="141">
        <v>5.9577299510937199E-5</v>
      </c>
      <c r="D7876" s="141"/>
    </row>
    <row r="7877" spans="1:4" x14ac:dyDescent="0.2">
      <c r="A7877" s="140" t="s">
        <v>2245</v>
      </c>
      <c r="B7877" s="141">
        <v>5.9377448781367799E-5</v>
      </c>
      <c r="D7877" s="141"/>
    </row>
    <row r="7878" spans="1:4" x14ac:dyDescent="0.2">
      <c r="A7878" s="140" t="s">
        <v>9259</v>
      </c>
      <c r="B7878" s="141">
        <v>5.9313585941427898E-5</v>
      </c>
      <c r="D7878" s="141"/>
    </row>
    <row r="7879" spans="1:4" x14ac:dyDescent="0.2">
      <c r="A7879" s="140" t="s">
        <v>9260</v>
      </c>
      <c r="B7879" s="141">
        <v>5.9295347942190102E-5</v>
      </c>
      <c r="D7879" s="141"/>
    </row>
    <row r="7880" spans="1:4" x14ac:dyDescent="0.2">
      <c r="A7880" s="140" t="s">
        <v>9261</v>
      </c>
      <c r="B7880" s="141">
        <v>5.9295347942190102E-5</v>
      </c>
      <c r="D7880" s="141"/>
    </row>
    <row r="7881" spans="1:4" x14ac:dyDescent="0.2">
      <c r="A7881" s="140" t="s">
        <v>9262</v>
      </c>
      <c r="B7881" s="141">
        <v>5.9295347942190102E-5</v>
      </c>
      <c r="D7881" s="141"/>
    </row>
    <row r="7882" spans="1:4" x14ac:dyDescent="0.2">
      <c r="A7882" s="140" t="s">
        <v>1859</v>
      </c>
      <c r="B7882" s="141">
        <v>5.9220134577859197E-5</v>
      </c>
      <c r="D7882" s="141"/>
    </row>
    <row r="7883" spans="1:4" x14ac:dyDescent="0.2">
      <c r="A7883" s="140" t="s">
        <v>4459</v>
      </c>
      <c r="B7883" s="141">
        <v>5.9123819399844698E-5</v>
      </c>
      <c r="D7883" s="141"/>
    </row>
    <row r="7884" spans="1:4" x14ac:dyDescent="0.2">
      <c r="A7884" s="140" t="s">
        <v>9263</v>
      </c>
      <c r="B7884" s="141">
        <v>5.91206535116506E-5</v>
      </c>
      <c r="D7884" s="141"/>
    </row>
    <row r="7885" spans="1:4" x14ac:dyDescent="0.2">
      <c r="A7885" s="140" t="s">
        <v>1816</v>
      </c>
      <c r="B7885" s="141">
        <v>5.91206535116506E-5</v>
      </c>
      <c r="D7885" s="141"/>
    </row>
    <row r="7886" spans="1:4" x14ac:dyDescent="0.2">
      <c r="A7886" s="140" t="s">
        <v>1887</v>
      </c>
      <c r="B7886" s="141">
        <v>5.9113738845339803E-5</v>
      </c>
      <c r="D7886" s="141"/>
    </row>
    <row r="7887" spans="1:4" x14ac:dyDescent="0.2">
      <c r="A7887" s="140" t="s">
        <v>4643</v>
      </c>
      <c r="B7887" s="141">
        <v>5.9064689441702197E-5</v>
      </c>
      <c r="D7887" s="141"/>
    </row>
    <row r="7888" spans="1:4" x14ac:dyDescent="0.2">
      <c r="A7888" s="140" t="s">
        <v>9264</v>
      </c>
      <c r="B7888" s="141">
        <v>5.8921082320671398E-5</v>
      </c>
      <c r="D7888" s="141"/>
    </row>
    <row r="7889" spans="1:4" x14ac:dyDescent="0.2">
      <c r="A7889" s="140" t="s">
        <v>809</v>
      </c>
      <c r="B7889" s="141">
        <v>5.88870845526794E-5</v>
      </c>
      <c r="D7889" s="141"/>
    </row>
    <row r="7890" spans="1:4" x14ac:dyDescent="0.2">
      <c r="A7890" s="140" t="s">
        <v>2900</v>
      </c>
      <c r="B7890" s="141">
        <v>5.8863689985186698E-5</v>
      </c>
      <c r="D7890" s="141"/>
    </row>
    <row r="7891" spans="1:4" x14ac:dyDescent="0.2">
      <c r="A7891" s="140" t="s">
        <v>919</v>
      </c>
      <c r="B7891" s="141">
        <v>5.8860618255582101E-5</v>
      </c>
      <c r="D7891" s="141"/>
    </row>
    <row r="7892" spans="1:4" x14ac:dyDescent="0.2">
      <c r="A7892" s="140" t="s">
        <v>1234</v>
      </c>
      <c r="B7892" s="141">
        <v>5.88538506592724E-5</v>
      </c>
      <c r="D7892" s="141"/>
    </row>
    <row r="7893" spans="1:4" x14ac:dyDescent="0.2">
      <c r="A7893" s="140" t="s">
        <v>9265</v>
      </c>
      <c r="B7893" s="141">
        <v>5.8821687352559599E-5</v>
      </c>
      <c r="D7893" s="141"/>
    </row>
    <row r="7894" spans="1:4" x14ac:dyDescent="0.2">
      <c r="A7894" s="140" t="s">
        <v>2132</v>
      </c>
      <c r="B7894" s="141">
        <v>5.8756568265515601E-5</v>
      </c>
      <c r="D7894" s="141"/>
    </row>
    <row r="7895" spans="1:4" x14ac:dyDescent="0.2">
      <c r="A7895" s="140" t="s">
        <v>4652</v>
      </c>
      <c r="B7895" s="141">
        <v>5.8741539595065602E-5</v>
      </c>
      <c r="D7895" s="141"/>
    </row>
    <row r="7896" spans="1:4" x14ac:dyDescent="0.2">
      <c r="A7896" s="140" t="s">
        <v>9266</v>
      </c>
      <c r="B7896" s="141">
        <v>5.8728806163541498E-5</v>
      </c>
      <c r="D7896" s="141"/>
    </row>
    <row r="7897" spans="1:4" x14ac:dyDescent="0.2">
      <c r="A7897" s="140" t="s">
        <v>3969</v>
      </c>
      <c r="B7897" s="141">
        <v>5.86686875216839E-5</v>
      </c>
      <c r="D7897" s="141"/>
    </row>
    <row r="7898" spans="1:4" x14ac:dyDescent="0.2">
      <c r="A7898" s="140" t="s">
        <v>1695</v>
      </c>
      <c r="B7898" s="141">
        <v>5.8633821472861698E-5</v>
      </c>
      <c r="D7898" s="141"/>
    </row>
    <row r="7899" spans="1:4" x14ac:dyDescent="0.2">
      <c r="A7899" s="140" t="s">
        <v>9267</v>
      </c>
      <c r="B7899" s="141">
        <v>5.8410092628677899E-5</v>
      </c>
      <c r="D7899" s="141"/>
    </row>
    <row r="7900" spans="1:4" x14ac:dyDescent="0.2">
      <c r="A7900" s="140" t="s">
        <v>9268</v>
      </c>
      <c r="B7900" s="141">
        <v>5.80675461859305E-5</v>
      </c>
      <c r="D7900" s="141"/>
    </row>
    <row r="7901" spans="1:4" x14ac:dyDescent="0.2">
      <c r="A7901" s="140" t="s">
        <v>9269</v>
      </c>
      <c r="B7901" s="141">
        <v>5.8022783522230299E-5</v>
      </c>
      <c r="D7901" s="141"/>
    </row>
    <row r="7902" spans="1:4" x14ac:dyDescent="0.2">
      <c r="A7902" s="140" t="s">
        <v>836</v>
      </c>
      <c r="B7902" s="141">
        <v>5.8014569988107701E-5</v>
      </c>
      <c r="D7902" s="141"/>
    </row>
    <row r="7903" spans="1:4" x14ac:dyDescent="0.2">
      <c r="A7903" s="140" t="s">
        <v>9270</v>
      </c>
      <c r="B7903" s="141">
        <v>5.7924595595086999E-5</v>
      </c>
      <c r="D7903" s="141"/>
    </row>
    <row r="7904" spans="1:4" x14ac:dyDescent="0.2">
      <c r="A7904" s="140" t="s">
        <v>4402</v>
      </c>
      <c r="B7904" s="141">
        <v>5.7835372923824597E-5</v>
      </c>
      <c r="D7904" s="141"/>
    </row>
    <row r="7905" spans="1:4" x14ac:dyDescent="0.2">
      <c r="A7905" s="140" t="s">
        <v>4689</v>
      </c>
      <c r="B7905" s="141">
        <v>5.7819204991086399E-5</v>
      </c>
      <c r="D7905" s="141"/>
    </row>
    <row r="7906" spans="1:4" x14ac:dyDescent="0.2">
      <c r="A7906" s="140" t="s">
        <v>9271</v>
      </c>
      <c r="B7906" s="141">
        <v>5.7685967719756197E-5</v>
      </c>
      <c r="D7906" s="141"/>
    </row>
    <row r="7907" spans="1:4" x14ac:dyDescent="0.2">
      <c r="A7907" s="140" t="s">
        <v>6314</v>
      </c>
      <c r="B7907" s="141">
        <v>5.7397006631329803E-5</v>
      </c>
      <c r="D7907" s="141"/>
    </row>
    <row r="7908" spans="1:4" x14ac:dyDescent="0.2">
      <c r="A7908" s="140" t="s">
        <v>765</v>
      </c>
      <c r="B7908" s="141">
        <v>5.7337550982583597E-5</v>
      </c>
      <c r="D7908" s="141"/>
    </row>
    <row r="7909" spans="1:4" x14ac:dyDescent="0.2">
      <c r="A7909" s="140" t="s">
        <v>9272</v>
      </c>
      <c r="B7909" s="141">
        <v>5.7318321135139703E-5</v>
      </c>
      <c r="D7909" s="141"/>
    </row>
    <row r="7910" spans="1:4" x14ac:dyDescent="0.2">
      <c r="A7910" s="140" t="s">
        <v>9273</v>
      </c>
      <c r="B7910" s="141">
        <v>5.7289268911128201E-5</v>
      </c>
      <c r="D7910" s="141"/>
    </row>
    <row r="7911" spans="1:4" x14ac:dyDescent="0.2">
      <c r="A7911" s="140" t="s">
        <v>9274</v>
      </c>
      <c r="B7911" s="141">
        <v>5.7207255281652299E-5</v>
      </c>
      <c r="D7911" s="141"/>
    </row>
    <row r="7912" spans="1:4" x14ac:dyDescent="0.2">
      <c r="A7912" s="140" t="s">
        <v>4369</v>
      </c>
      <c r="B7912" s="141">
        <v>5.7203073952465897E-5</v>
      </c>
      <c r="D7912" s="141"/>
    </row>
    <row r="7913" spans="1:4" x14ac:dyDescent="0.2">
      <c r="A7913" s="140" t="s">
        <v>9275</v>
      </c>
      <c r="B7913" s="141">
        <v>5.7135256200821498E-5</v>
      </c>
      <c r="D7913" s="141"/>
    </row>
    <row r="7914" spans="1:4" x14ac:dyDescent="0.2">
      <c r="A7914" s="140" t="s">
        <v>4880</v>
      </c>
      <c r="B7914" s="141">
        <v>5.7128539099321701E-5</v>
      </c>
      <c r="D7914" s="141"/>
    </row>
    <row r="7915" spans="1:4" x14ac:dyDescent="0.2">
      <c r="A7915" s="140" t="s">
        <v>3124</v>
      </c>
      <c r="B7915" s="141">
        <v>5.7075338351822402E-5</v>
      </c>
      <c r="D7915" s="141"/>
    </row>
    <row r="7916" spans="1:4" x14ac:dyDescent="0.2">
      <c r="A7916" s="140" t="s">
        <v>9276</v>
      </c>
      <c r="B7916" s="141">
        <v>5.7056146089451602E-5</v>
      </c>
      <c r="D7916" s="141"/>
    </row>
    <row r="7917" spans="1:4" x14ac:dyDescent="0.2">
      <c r="A7917" s="140" t="s">
        <v>653</v>
      </c>
      <c r="B7917" s="141">
        <v>5.6974199513273998E-5</v>
      </c>
      <c r="D7917" s="141"/>
    </row>
    <row r="7918" spans="1:4" x14ac:dyDescent="0.2">
      <c r="A7918" s="140" t="s">
        <v>9277</v>
      </c>
      <c r="B7918" s="141">
        <v>5.6938454916544697E-5</v>
      </c>
      <c r="D7918" s="141"/>
    </row>
    <row r="7919" spans="1:4" x14ac:dyDescent="0.2">
      <c r="A7919" s="140" t="s">
        <v>2470</v>
      </c>
      <c r="B7919" s="141">
        <v>5.6923399126558101E-5</v>
      </c>
      <c r="D7919" s="141"/>
    </row>
    <row r="7920" spans="1:4" x14ac:dyDescent="0.2">
      <c r="A7920" s="140" t="s">
        <v>3980</v>
      </c>
      <c r="B7920" s="141">
        <v>5.6839535359850197E-5</v>
      </c>
      <c r="D7920" s="141"/>
    </row>
    <row r="7921" spans="1:4" x14ac:dyDescent="0.2">
      <c r="A7921" s="140" t="s">
        <v>6337</v>
      </c>
      <c r="B7921" s="141">
        <v>5.6812258601058201E-5</v>
      </c>
      <c r="D7921" s="141"/>
    </row>
    <row r="7922" spans="1:4" x14ac:dyDescent="0.2">
      <c r="A7922" s="140" t="s">
        <v>1786</v>
      </c>
      <c r="B7922" s="141">
        <v>5.6802457803784501E-5</v>
      </c>
      <c r="D7922" s="141"/>
    </row>
    <row r="7923" spans="1:4" x14ac:dyDescent="0.2">
      <c r="A7923" s="140" t="s">
        <v>5368</v>
      </c>
      <c r="B7923" s="141">
        <v>5.6672482431654198E-5</v>
      </c>
      <c r="D7923" s="141"/>
    </row>
    <row r="7924" spans="1:4" x14ac:dyDescent="0.2">
      <c r="A7924" s="140" t="s">
        <v>1203</v>
      </c>
      <c r="B7924" s="141">
        <v>5.6615869862749199E-5</v>
      </c>
      <c r="D7924" s="141"/>
    </row>
    <row r="7925" spans="1:4" x14ac:dyDescent="0.2">
      <c r="A7925" s="140" t="s">
        <v>9278</v>
      </c>
      <c r="B7925" s="141">
        <v>5.6613082876064499E-5</v>
      </c>
      <c r="D7925" s="141"/>
    </row>
    <row r="7926" spans="1:4" x14ac:dyDescent="0.2">
      <c r="A7926" s="140" t="s">
        <v>2031</v>
      </c>
      <c r="B7926" s="141">
        <v>5.65606156925601E-5</v>
      </c>
      <c r="D7926" s="141"/>
    </row>
    <row r="7927" spans="1:4" x14ac:dyDescent="0.2">
      <c r="A7927" s="140" t="s">
        <v>2898</v>
      </c>
      <c r="B7927" s="141">
        <v>5.64778651983411E-5</v>
      </c>
      <c r="D7927" s="141"/>
    </row>
    <row r="7928" spans="1:4" x14ac:dyDescent="0.2">
      <c r="A7928" s="140" t="s">
        <v>3766</v>
      </c>
      <c r="B7928" s="141">
        <v>5.6378648059410898E-5</v>
      </c>
      <c r="D7928" s="141"/>
    </row>
    <row r="7929" spans="1:4" x14ac:dyDescent="0.2">
      <c r="A7929" s="140" t="s">
        <v>9279</v>
      </c>
      <c r="B7929" s="141">
        <v>5.6353174285429202E-5</v>
      </c>
      <c r="D7929" s="141"/>
    </row>
    <row r="7930" spans="1:4" x14ac:dyDescent="0.2">
      <c r="A7930" s="140" t="s">
        <v>1091</v>
      </c>
      <c r="B7930" s="141">
        <v>5.6282065578403602E-5</v>
      </c>
      <c r="D7930" s="141"/>
    </row>
    <row r="7931" spans="1:4" x14ac:dyDescent="0.2">
      <c r="A7931" s="140" t="s">
        <v>1867</v>
      </c>
      <c r="B7931" s="141">
        <v>5.6281520180488499E-5</v>
      </c>
      <c r="D7931" s="141"/>
    </row>
    <row r="7932" spans="1:4" x14ac:dyDescent="0.2">
      <c r="A7932" s="140" t="s">
        <v>9280</v>
      </c>
      <c r="B7932" s="141">
        <v>5.61877388870947E-5</v>
      </c>
      <c r="D7932" s="141"/>
    </row>
    <row r="7933" spans="1:4" x14ac:dyDescent="0.2">
      <c r="A7933" s="140" t="s">
        <v>9281</v>
      </c>
      <c r="B7933" s="141">
        <v>5.6151329432014699E-5</v>
      </c>
      <c r="D7933" s="141"/>
    </row>
    <row r="7934" spans="1:4" x14ac:dyDescent="0.2">
      <c r="A7934" s="140" t="s">
        <v>5831</v>
      </c>
      <c r="B7934" s="141">
        <v>5.6110756449223203E-5</v>
      </c>
      <c r="D7934" s="141"/>
    </row>
    <row r="7935" spans="1:4" x14ac:dyDescent="0.2">
      <c r="A7935" s="140" t="s">
        <v>593</v>
      </c>
      <c r="B7935" s="141">
        <v>5.6071414251893699E-5</v>
      </c>
      <c r="D7935" s="141"/>
    </row>
    <row r="7936" spans="1:4" x14ac:dyDescent="0.2">
      <c r="A7936" s="140" t="s">
        <v>9282</v>
      </c>
      <c r="B7936" s="141">
        <v>5.60335141469013E-5</v>
      </c>
      <c r="D7936" s="141"/>
    </row>
    <row r="7937" spans="1:4" x14ac:dyDescent="0.2">
      <c r="A7937" s="140" t="s">
        <v>668</v>
      </c>
      <c r="B7937" s="141">
        <v>5.5912554733186601E-5</v>
      </c>
      <c r="D7937" s="141"/>
    </row>
    <row r="7938" spans="1:4" x14ac:dyDescent="0.2">
      <c r="A7938" s="140" t="s">
        <v>4583</v>
      </c>
      <c r="B7938" s="141">
        <v>5.5745872130219899E-5</v>
      </c>
      <c r="D7938" s="141"/>
    </row>
    <row r="7939" spans="1:4" x14ac:dyDescent="0.2">
      <c r="A7939" s="140" t="s">
        <v>9283</v>
      </c>
      <c r="B7939" s="141">
        <v>5.5710542565372798E-5</v>
      </c>
      <c r="D7939" s="141"/>
    </row>
    <row r="7940" spans="1:4" x14ac:dyDescent="0.2">
      <c r="A7940" s="140" t="s">
        <v>2812</v>
      </c>
      <c r="B7940" s="141">
        <v>5.5664456132247703E-5</v>
      </c>
      <c r="D7940" s="141"/>
    </row>
    <row r="7941" spans="1:4" x14ac:dyDescent="0.2">
      <c r="A7941" s="140" t="s">
        <v>484</v>
      </c>
      <c r="B7941" s="141">
        <v>5.5566881193238999E-5</v>
      </c>
      <c r="D7941" s="141"/>
    </row>
    <row r="7942" spans="1:4" x14ac:dyDescent="0.2">
      <c r="A7942" s="140" t="s">
        <v>9284</v>
      </c>
      <c r="B7942" s="141">
        <v>5.5522189546554099E-5</v>
      </c>
      <c r="D7942" s="141"/>
    </row>
    <row r="7943" spans="1:4" x14ac:dyDescent="0.2">
      <c r="A7943" s="140" t="s">
        <v>439</v>
      </c>
      <c r="B7943" s="141">
        <v>5.5514345080045103E-5</v>
      </c>
      <c r="D7943" s="141"/>
    </row>
    <row r="7944" spans="1:4" x14ac:dyDescent="0.2">
      <c r="A7944" s="140" t="s">
        <v>1089</v>
      </c>
      <c r="B7944" s="141">
        <v>5.51522928468852E-5</v>
      </c>
      <c r="D7944" s="141"/>
    </row>
    <row r="7945" spans="1:4" x14ac:dyDescent="0.2">
      <c r="A7945" s="140" t="s">
        <v>494</v>
      </c>
      <c r="B7945" s="141">
        <v>5.51127582898717E-5</v>
      </c>
      <c r="D7945" s="141"/>
    </row>
    <row r="7946" spans="1:4" x14ac:dyDescent="0.2">
      <c r="A7946" s="140" t="s">
        <v>1353</v>
      </c>
      <c r="B7946" s="141">
        <v>5.5084133128763598E-5</v>
      </c>
      <c r="D7946" s="141"/>
    </row>
    <row r="7947" spans="1:4" x14ac:dyDescent="0.2">
      <c r="A7947" s="140" t="s">
        <v>1029</v>
      </c>
      <c r="B7947" s="141">
        <v>5.5051363833093799E-5</v>
      </c>
      <c r="D7947" s="141"/>
    </row>
    <row r="7948" spans="1:4" x14ac:dyDescent="0.2">
      <c r="A7948" s="140" t="s">
        <v>9285</v>
      </c>
      <c r="B7948" s="141">
        <v>5.5047335809721803E-5</v>
      </c>
      <c r="D7948" s="141"/>
    </row>
    <row r="7949" spans="1:4" x14ac:dyDescent="0.2">
      <c r="A7949" s="140" t="s">
        <v>9286</v>
      </c>
      <c r="B7949" s="141">
        <v>5.49000807238087E-5</v>
      </c>
      <c r="D7949" s="141"/>
    </row>
    <row r="7950" spans="1:4" x14ac:dyDescent="0.2">
      <c r="A7950" s="140" t="s">
        <v>9287</v>
      </c>
      <c r="B7950" s="141">
        <v>5.4854843067680202E-5</v>
      </c>
      <c r="D7950" s="141"/>
    </row>
    <row r="7951" spans="1:4" x14ac:dyDescent="0.2">
      <c r="A7951" s="140" t="s">
        <v>4593</v>
      </c>
      <c r="B7951" s="141">
        <v>5.4847030394136601E-5</v>
      </c>
      <c r="D7951" s="141"/>
    </row>
    <row r="7952" spans="1:4" x14ac:dyDescent="0.2">
      <c r="A7952" s="140" t="s">
        <v>9288</v>
      </c>
      <c r="B7952" s="141">
        <v>5.4494604213231399E-5</v>
      </c>
      <c r="D7952" s="141"/>
    </row>
    <row r="7953" spans="1:4" x14ac:dyDescent="0.2">
      <c r="A7953" s="140" t="s">
        <v>5428</v>
      </c>
      <c r="B7953" s="141">
        <v>5.4426516999185301E-5</v>
      </c>
      <c r="D7953" s="141"/>
    </row>
    <row r="7954" spans="1:4" x14ac:dyDescent="0.2">
      <c r="A7954" s="140" t="s">
        <v>9289</v>
      </c>
      <c r="B7954" s="141">
        <v>5.4293741894990398E-5</v>
      </c>
      <c r="D7954" s="141"/>
    </row>
    <row r="7955" spans="1:4" x14ac:dyDescent="0.2">
      <c r="A7955" s="140" t="s">
        <v>9290</v>
      </c>
      <c r="B7955" s="141">
        <v>5.42746226396097E-5</v>
      </c>
      <c r="D7955" s="141"/>
    </row>
    <row r="7956" spans="1:4" x14ac:dyDescent="0.2">
      <c r="A7956" s="140" t="s">
        <v>9291</v>
      </c>
      <c r="B7956" s="141">
        <v>5.4245274018918599E-5</v>
      </c>
      <c r="D7956" s="141"/>
    </row>
    <row r="7957" spans="1:4" x14ac:dyDescent="0.2">
      <c r="A7957" s="140" t="s">
        <v>6217</v>
      </c>
      <c r="B7957" s="141">
        <v>5.4069069251675602E-5</v>
      </c>
      <c r="D7957" s="141"/>
    </row>
    <row r="7958" spans="1:4" x14ac:dyDescent="0.2">
      <c r="A7958" s="140" t="s">
        <v>4541</v>
      </c>
      <c r="B7958" s="141">
        <v>5.4015709787426903E-5</v>
      </c>
      <c r="D7958" s="141"/>
    </row>
    <row r="7959" spans="1:4" x14ac:dyDescent="0.2">
      <c r="A7959" s="140" t="s">
        <v>9292</v>
      </c>
      <c r="B7959" s="141">
        <v>5.4014248498674303E-5</v>
      </c>
      <c r="D7959" s="141"/>
    </row>
    <row r="7960" spans="1:4" x14ac:dyDescent="0.2">
      <c r="A7960" s="140" t="s">
        <v>4092</v>
      </c>
      <c r="B7960" s="141">
        <v>5.3889066094573599E-5</v>
      </c>
      <c r="D7960" s="141"/>
    </row>
    <row r="7961" spans="1:4" x14ac:dyDescent="0.2">
      <c r="A7961" s="140" t="s">
        <v>9293</v>
      </c>
      <c r="B7961" s="141">
        <v>5.3759522653727099E-5</v>
      </c>
      <c r="D7961" s="141"/>
    </row>
    <row r="7962" spans="1:4" x14ac:dyDescent="0.2">
      <c r="A7962" s="140" t="s">
        <v>1903</v>
      </c>
      <c r="B7962" s="141">
        <v>5.36869675742032E-5</v>
      </c>
      <c r="D7962" s="141"/>
    </row>
    <row r="7963" spans="1:4" x14ac:dyDescent="0.2">
      <c r="A7963" s="140" t="s">
        <v>4670</v>
      </c>
      <c r="B7963" s="141">
        <v>5.3634061815078401E-5</v>
      </c>
      <c r="D7963" s="141"/>
    </row>
    <row r="7964" spans="1:4" x14ac:dyDescent="0.2">
      <c r="A7964" s="140" t="s">
        <v>2131</v>
      </c>
      <c r="B7964" s="141">
        <v>5.3514005322804998E-5</v>
      </c>
      <c r="D7964" s="141"/>
    </row>
    <row r="7965" spans="1:4" x14ac:dyDescent="0.2">
      <c r="A7965" s="140" t="s">
        <v>9294</v>
      </c>
      <c r="B7965" s="141">
        <v>5.3461471880191601E-5</v>
      </c>
      <c r="D7965" s="141"/>
    </row>
    <row r="7966" spans="1:4" x14ac:dyDescent="0.2">
      <c r="A7966" s="140" t="s">
        <v>9295</v>
      </c>
      <c r="B7966" s="141">
        <v>5.3400908775341401E-5</v>
      </c>
      <c r="D7966" s="141"/>
    </row>
    <row r="7967" spans="1:4" x14ac:dyDescent="0.2">
      <c r="A7967" s="140" t="s">
        <v>9296</v>
      </c>
      <c r="B7967" s="141">
        <v>5.3400908775341401E-5</v>
      </c>
      <c r="D7967" s="141"/>
    </row>
    <row r="7968" spans="1:4" x14ac:dyDescent="0.2">
      <c r="A7968" s="140" t="s">
        <v>859</v>
      </c>
      <c r="B7968" s="141">
        <v>5.3381916276831199E-5</v>
      </c>
      <c r="D7968" s="141"/>
    </row>
    <row r="7969" spans="1:4" x14ac:dyDescent="0.2">
      <c r="A7969" s="140" t="s">
        <v>1636</v>
      </c>
      <c r="B7969" s="141">
        <v>5.31421832092139E-5</v>
      </c>
      <c r="D7969" s="141"/>
    </row>
    <row r="7970" spans="1:4" x14ac:dyDescent="0.2">
      <c r="A7970" s="140" t="s">
        <v>6268</v>
      </c>
      <c r="B7970" s="141">
        <v>5.31388874635933E-5</v>
      </c>
      <c r="D7970" s="141"/>
    </row>
    <row r="7971" spans="1:4" x14ac:dyDescent="0.2">
      <c r="A7971" s="140" t="s">
        <v>9297</v>
      </c>
      <c r="B7971" s="141">
        <v>5.2973623002011398E-5</v>
      </c>
      <c r="D7971" s="141"/>
    </row>
    <row r="7972" spans="1:4" x14ac:dyDescent="0.2">
      <c r="A7972" s="140" t="s">
        <v>4562</v>
      </c>
      <c r="B7972" s="141">
        <v>5.2846526345038499E-5</v>
      </c>
      <c r="D7972" s="141"/>
    </row>
    <row r="7973" spans="1:4" x14ac:dyDescent="0.2">
      <c r="A7973" s="140" t="s">
        <v>9298</v>
      </c>
      <c r="B7973" s="141">
        <v>5.2785361318970102E-5</v>
      </c>
      <c r="D7973" s="141"/>
    </row>
    <row r="7974" spans="1:4" x14ac:dyDescent="0.2">
      <c r="A7974" s="140" t="s">
        <v>2012</v>
      </c>
      <c r="B7974" s="141">
        <v>5.2764002908742798E-5</v>
      </c>
      <c r="D7974" s="141"/>
    </row>
    <row r="7975" spans="1:4" x14ac:dyDescent="0.2">
      <c r="A7975" s="140" t="s">
        <v>2016</v>
      </c>
      <c r="B7975" s="141">
        <v>5.27181596560069E-5</v>
      </c>
      <c r="D7975" s="141"/>
    </row>
    <row r="7976" spans="1:4" x14ac:dyDescent="0.2">
      <c r="A7976" s="140" t="s">
        <v>9299</v>
      </c>
      <c r="B7976" s="141">
        <v>5.2700594531830898E-5</v>
      </c>
      <c r="D7976" s="141"/>
    </row>
    <row r="7977" spans="1:4" x14ac:dyDescent="0.2">
      <c r="A7977" s="140" t="s">
        <v>9300</v>
      </c>
      <c r="B7977" s="141">
        <v>5.2677848087158901E-5</v>
      </c>
      <c r="D7977" s="141"/>
    </row>
    <row r="7978" spans="1:4" x14ac:dyDescent="0.2">
      <c r="A7978" s="140" t="s">
        <v>9301</v>
      </c>
      <c r="B7978" s="141">
        <v>5.2677848087158901E-5</v>
      </c>
      <c r="D7978" s="141"/>
    </row>
    <row r="7979" spans="1:4" x14ac:dyDescent="0.2">
      <c r="A7979" s="140" t="s">
        <v>689</v>
      </c>
      <c r="B7979" s="141">
        <v>5.2425577933389297E-5</v>
      </c>
      <c r="D7979" s="141"/>
    </row>
    <row r="7980" spans="1:4" x14ac:dyDescent="0.2">
      <c r="A7980" s="140" t="s">
        <v>1844</v>
      </c>
      <c r="B7980" s="141">
        <v>5.2403049765786902E-5</v>
      </c>
      <c r="D7980" s="141"/>
    </row>
    <row r="7981" spans="1:4" x14ac:dyDescent="0.2">
      <c r="A7981" s="140" t="s">
        <v>5141</v>
      </c>
      <c r="B7981" s="141">
        <v>5.2369895482332701E-5</v>
      </c>
      <c r="D7981" s="141"/>
    </row>
    <row r="7982" spans="1:4" x14ac:dyDescent="0.2">
      <c r="A7982" s="140" t="s">
        <v>811</v>
      </c>
      <c r="B7982" s="141">
        <v>5.2035180909945802E-5</v>
      </c>
      <c r="D7982" s="141"/>
    </row>
    <row r="7983" spans="1:4" x14ac:dyDescent="0.2">
      <c r="A7983" s="140" t="s">
        <v>9302</v>
      </c>
      <c r="B7983" s="141">
        <v>5.1977692250667902E-5</v>
      </c>
      <c r="D7983" s="141"/>
    </row>
    <row r="7984" spans="1:4" x14ac:dyDescent="0.2">
      <c r="A7984" s="140" t="s">
        <v>9303</v>
      </c>
      <c r="B7984" s="141">
        <v>5.1963568175282502E-5</v>
      </c>
      <c r="D7984" s="141"/>
    </row>
    <row r="7985" spans="1:4" x14ac:dyDescent="0.2">
      <c r="A7985" s="140" t="s">
        <v>6344</v>
      </c>
      <c r="B7985" s="141">
        <v>5.1928715340187701E-5</v>
      </c>
      <c r="D7985" s="141"/>
    </row>
    <row r="7986" spans="1:4" x14ac:dyDescent="0.2">
      <c r="A7986" s="140" t="s">
        <v>9304</v>
      </c>
      <c r="B7986" s="141">
        <v>5.1889114848594899E-5</v>
      </c>
      <c r="D7986" s="141"/>
    </row>
    <row r="7987" spans="1:4" x14ac:dyDescent="0.2">
      <c r="A7987" s="140" t="s">
        <v>1183</v>
      </c>
      <c r="B7987" s="141">
        <v>5.1849566547335898E-5</v>
      </c>
      <c r="D7987" s="141"/>
    </row>
    <row r="7988" spans="1:4" x14ac:dyDescent="0.2">
      <c r="A7988" s="140" t="s">
        <v>1596</v>
      </c>
      <c r="B7988" s="141">
        <v>5.1821154610309199E-5</v>
      </c>
      <c r="D7988" s="141"/>
    </row>
    <row r="7989" spans="1:4" x14ac:dyDescent="0.2">
      <c r="A7989" s="140" t="s">
        <v>9305</v>
      </c>
      <c r="B7989" s="141">
        <v>5.1608159036836297E-5</v>
      </c>
      <c r="D7989" s="141"/>
    </row>
    <row r="7990" spans="1:4" x14ac:dyDescent="0.2">
      <c r="A7990" s="140" t="s">
        <v>504</v>
      </c>
      <c r="B7990" s="141">
        <v>5.15133330523652E-5</v>
      </c>
      <c r="D7990" s="141"/>
    </row>
    <row r="7991" spans="1:4" x14ac:dyDescent="0.2">
      <c r="A7991" s="140" t="s">
        <v>9306</v>
      </c>
      <c r="B7991" s="141">
        <v>5.14309346586894E-5</v>
      </c>
      <c r="D7991" s="141"/>
    </row>
    <row r="7992" spans="1:4" x14ac:dyDescent="0.2">
      <c r="A7992" s="140" t="s">
        <v>780</v>
      </c>
      <c r="B7992" s="141">
        <v>5.1363935844906197E-5</v>
      </c>
      <c r="D7992" s="141"/>
    </row>
    <row r="7993" spans="1:4" x14ac:dyDescent="0.2">
      <c r="A7993" s="140" t="s">
        <v>3502</v>
      </c>
      <c r="B7993" s="141">
        <v>5.13362475314764E-5</v>
      </c>
      <c r="D7993" s="141"/>
    </row>
    <row r="7994" spans="1:4" x14ac:dyDescent="0.2">
      <c r="A7994" s="140" t="s">
        <v>1431</v>
      </c>
      <c r="B7994" s="141">
        <v>5.1255980741408803E-5</v>
      </c>
      <c r="D7994" s="141"/>
    </row>
    <row r="7995" spans="1:4" x14ac:dyDescent="0.2">
      <c r="A7995" s="140" t="s">
        <v>1683</v>
      </c>
      <c r="B7995" s="141">
        <v>5.1227153636355898E-5</v>
      </c>
      <c r="D7995" s="141"/>
    </row>
    <row r="7996" spans="1:4" x14ac:dyDescent="0.2">
      <c r="A7996" s="140" t="s">
        <v>3836</v>
      </c>
      <c r="B7996" s="141">
        <v>5.1162069306542001E-5</v>
      </c>
      <c r="D7996" s="141"/>
    </row>
    <row r="7997" spans="1:4" x14ac:dyDescent="0.2">
      <c r="A7997" s="140" t="s">
        <v>4225</v>
      </c>
      <c r="B7997" s="141">
        <v>5.0972119625746902E-5</v>
      </c>
      <c r="D7997" s="141"/>
    </row>
    <row r="7998" spans="1:4" x14ac:dyDescent="0.2">
      <c r="A7998" s="140" t="s">
        <v>6309</v>
      </c>
      <c r="B7998" s="141">
        <v>5.0924606071759398E-5</v>
      </c>
      <c r="D7998" s="141"/>
    </row>
    <row r="7999" spans="1:4" x14ac:dyDescent="0.2">
      <c r="A7999" s="140" t="s">
        <v>9307</v>
      </c>
      <c r="B7999" s="141">
        <v>5.0801814475187899E-5</v>
      </c>
      <c r="D7999" s="141"/>
    </row>
    <row r="8000" spans="1:4" x14ac:dyDescent="0.2">
      <c r="A8000" s="140" t="s">
        <v>9308</v>
      </c>
      <c r="B8000" s="141">
        <v>5.0801814475187899E-5</v>
      </c>
      <c r="D8000" s="141"/>
    </row>
    <row r="8001" spans="1:4" x14ac:dyDescent="0.2">
      <c r="A8001" s="140" t="s">
        <v>9309</v>
      </c>
      <c r="B8001" s="141">
        <v>5.0677904015391099E-5</v>
      </c>
      <c r="D8001" s="141"/>
    </row>
    <row r="8002" spans="1:4" x14ac:dyDescent="0.2">
      <c r="A8002" s="140" t="s">
        <v>9310</v>
      </c>
      <c r="B8002" s="141">
        <v>5.0597118573397198E-5</v>
      </c>
      <c r="D8002" s="141"/>
    </row>
    <row r="8003" spans="1:4" x14ac:dyDescent="0.2">
      <c r="A8003" s="140" t="s">
        <v>9311</v>
      </c>
      <c r="B8003" s="141">
        <v>5.0180614117796903E-5</v>
      </c>
      <c r="D8003" s="141"/>
    </row>
    <row r="8004" spans="1:4" x14ac:dyDescent="0.2">
      <c r="A8004" s="140" t="s">
        <v>9312</v>
      </c>
      <c r="B8004" s="141">
        <v>5.01585808551282E-5</v>
      </c>
      <c r="D8004" s="141"/>
    </row>
    <row r="8005" spans="1:4" x14ac:dyDescent="0.2">
      <c r="A8005" s="140" t="s">
        <v>9313</v>
      </c>
      <c r="B8005" s="141">
        <v>5.0142235835848499E-5</v>
      </c>
      <c r="D8005" s="141"/>
    </row>
    <row r="8006" spans="1:4" x14ac:dyDescent="0.2">
      <c r="A8006" s="140" t="s">
        <v>6360</v>
      </c>
      <c r="B8006" s="141">
        <v>5.0142235835848499E-5</v>
      </c>
      <c r="D8006" s="141"/>
    </row>
    <row r="8007" spans="1:4" x14ac:dyDescent="0.2">
      <c r="A8007" s="140" t="s">
        <v>2394</v>
      </c>
      <c r="B8007" s="141">
        <v>5.0044431985210702E-5</v>
      </c>
      <c r="D8007" s="141"/>
    </row>
    <row r="8008" spans="1:4" x14ac:dyDescent="0.2">
      <c r="A8008" s="140" t="s">
        <v>4448</v>
      </c>
      <c r="B8008" s="141">
        <v>5.0030693897525797E-5</v>
      </c>
      <c r="D8008" s="141"/>
    </row>
    <row r="8009" spans="1:4" x14ac:dyDescent="0.2">
      <c r="A8009" s="140" t="s">
        <v>5612</v>
      </c>
      <c r="B8009" s="141">
        <v>4.9973947494468298E-5</v>
      </c>
      <c r="D8009" s="141"/>
    </row>
    <row r="8010" spans="1:4" x14ac:dyDescent="0.2">
      <c r="A8010" s="140" t="s">
        <v>9314</v>
      </c>
      <c r="B8010" s="141">
        <v>4.9885079055659697E-5</v>
      </c>
      <c r="D8010" s="141"/>
    </row>
    <row r="8011" spans="1:4" x14ac:dyDescent="0.2">
      <c r="A8011" s="140" t="s">
        <v>9315</v>
      </c>
      <c r="B8011" s="141">
        <v>4.9885079055659697E-5</v>
      </c>
      <c r="D8011" s="141"/>
    </row>
    <row r="8012" spans="1:4" x14ac:dyDescent="0.2">
      <c r="A8012" s="140" t="s">
        <v>9316</v>
      </c>
      <c r="B8012" s="141">
        <v>4.9885079055659697E-5</v>
      </c>
      <c r="D8012" s="141"/>
    </row>
    <row r="8013" spans="1:4" x14ac:dyDescent="0.2">
      <c r="A8013" s="140" t="s">
        <v>9317</v>
      </c>
      <c r="B8013" s="141">
        <v>4.9885079055659697E-5</v>
      </c>
      <c r="D8013" s="141"/>
    </row>
    <row r="8014" spans="1:4" x14ac:dyDescent="0.2">
      <c r="A8014" s="140" t="s">
        <v>9318</v>
      </c>
      <c r="B8014" s="141">
        <v>4.9885079055659697E-5</v>
      </c>
      <c r="D8014" s="141"/>
    </row>
    <row r="8015" spans="1:4" x14ac:dyDescent="0.2">
      <c r="A8015" s="140" t="s">
        <v>9319</v>
      </c>
      <c r="B8015" s="141">
        <v>4.9885079055659697E-5</v>
      </c>
      <c r="D8015" s="141"/>
    </row>
    <row r="8016" spans="1:4" x14ac:dyDescent="0.2">
      <c r="A8016" s="140" t="s">
        <v>9320</v>
      </c>
      <c r="B8016" s="141">
        <v>4.9885079055659697E-5</v>
      </c>
      <c r="D8016" s="141"/>
    </row>
    <row r="8017" spans="1:4" x14ac:dyDescent="0.2">
      <c r="A8017" s="140" t="s">
        <v>9321</v>
      </c>
      <c r="B8017" s="141">
        <v>4.9885079055659697E-5</v>
      </c>
      <c r="D8017" s="141"/>
    </row>
    <row r="8018" spans="1:4" x14ac:dyDescent="0.2">
      <c r="A8018" s="140" t="s">
        <v>1583</v>
      </c>
      <c r="B8018" s="141">
        <v>4.9868165405752101E-5</v>
      </c>
      <c r="D8018" s="141"/>
    </row>
    <row r="8019" spans="1:4" x14ac:dyDescent="0.2">
      <c r="A8019" s="140" t="s">
        <v>910</v>
      </c>
      <c r="B8019" s="141">
        <v>4.9850715618047498E-5</v>
      </c>
      <c r="D8019" s="141"/>
    </row>
    <row r="8020" spans="1:4" x14ac:dyDescent="0.2">
      <c r="A8020" s="140" t="s">
        <v>2625</v>
      </c>
      <c r="B8020" s="141">
        <v>4.9830120974289697E-5</v>
      </c>
      <c r="D8020" s="141"/>
    </row>
    <row r="8021" spans="1:4" x14ac:dyDescent="0.2">
      <c r="A8021" s="140" t="s">
        <v>4120</v>
      </c>
      <c r="B8021" s="141">
        <v>4.9816512949522198E-5</v>
      </c>
      <c r="D8021" s="141"/>
    </row>
    <row r="8022" spans="1:4" x14ac:dyDescent="0.2">
      <c r="A8022" s="140" t="s">
        <v>6106</v>
      </c>
      <c r="B8022" s="141">
        <v>4.9779976750543598E-5</v>
      </c>
      <c r="D8022" s="141"/>
    </row>
    <row r="8023" spans="1:4" x14ac:dyDescent="0.2">
      <c r="A8023" s="140" t="s">
        <v>2213</v>
      </c>
      <c r="B8023" s="141">
        <v>4.9708720409400699E-5</v>
      </c>
      <c r="D8023" s="141"/>
    </row>
    <row r="8024" spans="1:4" x14ac:dyDescent="0.2">
      <c r="A8024" s="140" t="s">
        <v>9322</v>
      </c>
      <c r="B8024" s="141">
        <v>4.9655443489658298E-5</v>
      </c>
      <c r="D8024" s="141"/>
    </row>
    <row r="8025" spans="1:4" x14ac:dyDescent="0.2">
      <c r="A8025" s="140" t="s">
        <v>9323</v>
      </c>
      <c r="B8025" s="141">
        <v>4.96222910553244E-5</v>
      </c>
      <c r="D8025" s="141"/>
    </row>
    <row r="8026" spans="1:4" x14ac:dyDescent="0.2">
      <c r="A8026" s="140" t="s">
        <v>2700</v>
      </c>
      <c r="B8026" s="141">
        <v>4.9528733066049098E-5</v>
      </c>
      <c r="D8026" s="141"/>
    </row>
    <row r="8027" spans="1:4" x14ac:dyDescent="0.2">
      <c r="A8027" s="140" t="s">
        <v>9324</v>
      </c>
      <c r="B8027" s="141">
        <v>4.9293252767253502E-5</v>
      </c>
      <c r="D8027" s="141"/>
    </row>
    <row r="8028" spans="1:4" x14ac:dyDescent="0.2">
      <c r="A8028" s="140" t="s">
        <v>9325</v>
      </c>
      <c r="B8028" s="141">
        <v>4.9293252767253502E-5</v>
      </c>
      <c r="D8028" s="141"/>
    </row>
    <row r="8029" spans="1:4" x14ac:dyDescent="0.2">
      <c r="A8029" s="140" t="s">
        <v>1355</v>
      </c>
      <c r="B8029" s="141">
        <v>4.912378970171E-5</v>
      </c>
      <c r="D8029" s="141"/>
    </row>
    <row r="8030" spans="1:4" x14ac:dyDescent="0.2">
      <c r="A8030" s="140" t="s">
        <v>9326</v>
      </c>
      <c r="B8030" s="141">
        <v>4.8963882388261198E-5</v>
      </c>
      <c r="D8030" s="141"/>
    </row>
    <row r="8031" spans="1:4" x14ac:dyDescent="0.2">
      <c r="A8031" s="140" t="s">
        <v>9327</v>
      </c>
      <c r="B8031" s="141">
        <v>4.8963882388261198E-5</v>
      </c>
      <c r="D8031" s="141"/>
    </row>
    <row r="8032" spans="1:4" x14ac:dyDescent="0.2">
      <c r="A8032" s="140" t="s">
        <v>1048</v>
      </c>
      <c r="B8032" s="141">
        <v>4.89494367202938E-5</v>
      </c>
      <c r="D8032" s="141"/>
    </row>
    <row r="8033" spans="1:4" x14ac:dyDescent="0.2">
      <c r="A8033" s="140" t="s">
        <v>563</v>
      </c>
      <c r="B8033" s="141">
        <v>4.8751024877759603E-5</v>
      </c>
      <c r="D8033" s="141"/>
    </row>
    <row r="8034" spans="1:4" x14ac:dyDescent="0.2">
      <c r="A8034" s="140" t="s">
        <v>9328</v>
      </c>
      <c r="B8034" s="141">
        <v>4.8699491301168797E-5</v>
      </c>
      <c r="D8034" s="141"/>
    </row>
    <row r="8035" spans="1:4" x14ac:dyDescent="0.2">
      <c r="A8035" s="140" t="s">
        <v>4086</v>
      </c>
      <c r="B8035" s="141">
        <v>4.8699491301168797E-5</v>
      </c>
      <c r="D8035" s="141"/>
    </row>
    <row r="8036" spans="1:4" x14ac:dyDescent="0.2">
      <c r="A8036" s="140" t="s">
        <v>3446</v>
      </c>
      <c r="B8036" s="141">
        <v>4.8610431770472502E-5</v>
      </c>
      <c r="D8036" s="141"/>
    </row>
    <row r="8037" spans="1:4" x14ac:dyDescent="0.2">
      <c r="A8037" s="140" t="s">
        <v>3109</v>
      </c>
      <c r="B8037" s="141">
        <v>4.8474133056666302E-5</v>
      </c>
      <c r="D8037" s="141"/>
    </row>
    <row r="8038" spans="1:4" x14ac:dyDescent="0.2">
      <c r="A8038" s="140" t="s">
        <v>2027</v>
      </c>
      <c r="B8038" s="141">
        <v>4.8464289695772303E-5</v>
      </c>
      <c r="D8038" s="141"/>
    </row>
    <row r="8039" spans="1:4" x14ac:dyDescent="0.2">
      <c r="A8039" s="140" t="s">
        <v>5483</v>
      </c>
      <c r="B8039" s="141">
        <v>4.8399457146332198E-5</v>
      </c>
      <c r="D8039" s="141"/>
    </row>
    <row r="8040" spans="1:4" x14ac:dyDescent="0.2">
      <c r="A8040" s="140" t="s">
        <v>2127</v>
      </c>
      <c r="B8040" s="141">
        <v>4.8377244610105203E-5</v>
      </c>
      <c r="D8040" s="141"/>
    </row>
    <row r="8041" spans="1:4" x14ac:dyDescent="0.2">
      <c r="A8041" s="140" t="s">
        <v>9329</v>
      </c>
      <c r="B8041" s="141">
        <v>4.83519982531722E-5</v>
      </c>
      <c r="D8041" s="141"/>
    </row>
    <row r="8042" spans="1:4" x14ac:dyDescent="0.2">
      <c r="A8042" s="140" t="s">
        <v>5697</v>
      </c>
      <c r="B8042" s="141">
        <v>4.8350010642353301E-5</v>
      </c>
      <c r="D8042" s="141"/>
    </row>
    <row r="8043" spans="1:4" x14ac:dyDescent="0.2">
      <c r="A8043" s="140" t="s">
        <v>9330</v>
      </c>
      <c r="B8043" s="141">
        <v>4.83138995268395E-5</v>
      </c>
      <c r="D8043" s="141"/>
    </row>
    <row r="8044" spans="1:4" x14ac:dyDescent="0.2">
      <c r="A8044" s="140" t="s">
        <v>9331</v>
      </c>
      <c r="B8044" s="141">
        <v>4.83138995268395E-5</v>
      </c>
      <c r="D8044" s="141"/>
    </row>
    <row r="8045" spans="1:4" x14ac:dyDescent="0.2">
      <c r="A8045" s="140" t="s">
        <v>5471</v>
      </c>
      <c r="B8045" s="141">
        <v>4.83138995268395E-5</v>
      </c>
      <c r="D8045" s="141"/>
    </row>
    <row r="8046" spans="1:4" x14ac:dyDescent="0.2">
      <c r="A8046" s="140" t="s">
        <v>497</v>
      </c>
      <c r="B8046" s="141">
        <v>4.8224736752972999E-5</v>
      </c>
      <c r="D8046" s="141"/>
    </row>
    <row r="8047" spans="1:4" x14ac:dyDescent="0.2">
      <c r="A8047" s="140" t="s">
        <v>1777</v>
      </c>
      <c r="B8047" s="141">
        <v>4.8211506402033103E-5</v>
      </c>
      <c r="D8047" s="141"/>
    </row>
    <row r="8048" spans="1:4" x14ac:dyDescent="0.2">
      <c r="A8048" s="140" t="s">
        <v>9332</v>
      </c>
      <c r="B8048" s="141">
        <v>4.8200228111907699E-5</v>
      </c>
      <c r="D8048" s="141"/>
    </row>
    <row r="8049" spans="1:4" x14ac:dyDescent="0.2">
      <c r="A8049" s="140" t="s">
        <v>1156</v>
      </c>
      <c r="B8049" s="141">
        <v>4.8142906505066501E-5</v>
      </c>
      <c r="D8049" s="141"/>
    </row>
    <row r="8050" spans="1:4" x14ac:dyDescent="0.2">
      <c r="A8050" s="140" t="s">
        <v>9333</v>
      </c>
      <c r="B8050" s="141">
        <v>4.8017763512429602E-5</v>
      </c>
      <c r="D8050" s="141"/>
    </row>
    <row r="8051" spans="1:4" x14ac:dyDescent="0.2">
      <c r="A8051" s="140" t="s">
        <v>9334</v>
      </c>
      <c r="B8051" s="141">
        <v>4.8017763512429602E-5</v>
      </c>
      <c r="D8051" s="141"/>
    </row>
    <row r="8052" spans="1:4" x14ac:dyDescent="0.2">
      <c r="A8052" s="140" t="s">
        <v>9335</v>
      </c>
      <c r="B8052" s="141">
        <v>4.7968436157920401E-5</v>
      </c>
      <c r="D8052" s="141"/>
    </row>
    <row r="8053" spans="1:4" x14ac:dyDescent="0.2">
      <c r="A8053" s="140" t="s">
        <v>9336</v>
      </c>
      <c r="B8053" s="141">
        <v>4.7963298815303198E-5</v>
      </c>
      <c r="D8053" s="141"/>
    </row>
    <row r="8054" spans="1:4" x14ac:dyDescent="0.2">
      <c r="A8054" s="140" t="s">
        <v>9337</v>
      </c>
      <c r="B8054" s="141">
        <v>4.7909387361018002E-5</v>
      </c>
      <c r="D8054" s="141"/>
    </row>
    <row r="8055" spans="1:4" x14ac:dyDescent="0.2">
      <c r="A8055" s="140" t="s">
        <v>9338</v>
      </c>
      <c r="B8055" s="141">
        <v>4.78828201925579E-5</v>
      </c>
      <c r="D8055" s="141"/>
    </row>
    <row r="8056" spans="1:4" x14ac:dyDescent="0.2">
      <c r="A8056" s="140" t="s">
        <v>9339</v>
      </c>
      <c r="B8056" s="141">
        <v>4.78828201925579E-5</v>
      </c>
      <c r="D8056" s="141"/>
    </row>
    <row r="8057" spans="1:4" x14ac:dyDescent="0.2">
      <c r="A8057" s="140" t="s">
        <v>9340</v>
      </c>
      <c r="B8057" s="141">
        <v>4.78828201925579E-5</v>
      </c>
      <c r="D8057" s="141"/>
    </row>
    <row r="8058" spans="1:4" x14ac:dyDescent="0.2">
      <c r="A8058" s="140" t="s">
        <v>9341</v>
      </c>
      <c r="B8058" s="141">
        <v>4.7873946329001002E-5</v>
      </c>
      <c r="D8058" s="141"/>
    </row>
    <row r="8059" spans="1:4" x14ac:dyDescent="0.2">
      <c r="A8059" s="140" t="s">
        <v>2400</v>
      </c>
      <c r="B8059" s="141">
        <v>4.7851942124397898E-5</v>
      </c>
      <c r="D8059" s="141"/>
    </row>
    <row r="8060" spans="1:4" x14ac:dyDescent="0.2">
      <c r="A8060" s="140" t="s">
        <v>5828</v>
      </c>
      <c r="B8060" s="141">
        <v>4.7849018558773803E-5</v>
      </c>
      <c r="D8060" s="141"/>
    </row>
    <row r="8061" spans="1:4" x14ac:dyDescent="0.2">
      <c r="A8061" s="140" t="s">
        <v>9342</v>
      </c>
      <c r="B8061" s="141">
        <v>4.7764184005341399E-5</v>
      </c>
      <c r="D8061" s="141"/>
    </row>
    <row r="8062" spans="1:4" x14ac:dyDescent="0.2">
      <c r="A8062" s="140" t="s">
        <v>9343</v>
      </c>
      <c r="B8062" s="141">
        <v>4.7764184005341399E-5</v>
      </c>
      <c r="D8062" s="141"/>
    </row>
    <row r="8063" spans="1:4" x14ac:dyDescent="0.2">
      <c r="A8063" s="140" t="s">
        <v>9344</v>
      </c>
      <c r="B8063" s="141">
        <v>4.7751513598544903E-5</v>
      </c>
      <c r="D8063" s="141"/>
    </row>
    <row r="8064" spans="1:4" x14ac:dyDescent="0.2">
      <c r="A8064" s="140" t="s">
        <v>9345</v>
      </c>
      <c r="B8064" s="141">
        <v>4.7654342180095498E-5</v>
      </c>
      <c r="D8064" s="141"/>
    </row>
    <row r="8065" spans="1:4" x14ac:dyDescent="0.2">
      <c r="A8065" s="140" t="s">
        <v>2836</v>
      </c>
      <c r="B8065" s="141">
        <v>4.7652166002668802E-5</v>
      </c>
      <c r="D8065" s="141"/>
    </row>
    <row r="8066" spans="1:4" x14ac:dyDescent="0.2">
      <c r="A8066" s="140" t="s">
        <v>5514</v>
      </c>
      <c r="B8066" s="141">
        <v>4.7380662186610901E-5</v>
      </c>
      <c r="D8066" s="141"/>
    </row>
    <row r="8067" spans="1:4" x14ac:dyDescent="0.2">
      <c r="A8067" s="140" t="s">
        <v>9346</v>
      </c>
      <c r="B8067" s="141">
        <v>4.7238235385650699E-5</v>
      </c>
      <c r="D8067" s="141"/>
    </row>
    <row r="8068" spans="1:4" x14ac:dyDescent="0.2">
      <c r="A8068" s="140" t="s">
        <v>5178</v>
      </c>
      <c r="B8068" s="141">
        <v>4.7238235385650699E-5</v>
      </c>
      <c r="D8068" s="141"/>
    </row>
    <row r="8069" spans="1:4" x14ac:dyDescent="0.2">
      <c r="A8069" s="140" t="s">
        <v>690</v>
      </c>
      <c r="B8069" s="141">
        <v>4.7229483712517399E-5</v>
      </c>
      <c r="D8069" s="141"/>
    </row>
    <row r="8070" spans="1:4" x14ac:dyDescent="0.2">
      <c r="A8070" s="140" t="s">
        <v>9347</v>
      </c>
      <c r="B8070" s="141">
        <v>4.7180542530315898E-5</v>
      </c>
      <c r="D8070" s="141"/>
    </row>
    <row r="8071" spans="1:4" x14ac:dyDescent="0.2">
      <c r="A8071" s="140" t="s">
        <v>4564</v>
      </c>
      <c r="B8071" s="141">
        <v>4.71478123076237E-5</v>
      </c>
      <c r="D8071" s="141"/>
    </row>
    <row r="8072" spans="1:4" x14ac:dyDescent="0.2">
      <c r="A8072" s="140" t="s">
        <v>465</v>
      </c>
      <c r="B8072" s="141">
        <v>4.7139392146467199E-5</v>
      </c>
      <c r="D8072" s="141"/>
    </row>
    <row r="8073" spans="1:4" x14ac:dyDescent="0.2">
      <c r="A8073" s="140" t="s">
        <v>9348</v>
      </c>
      <c r="B8073" s="141">
        <v>4.71390181589928E-5</v>
      </c>
      <c r="D8073" s="141"/>
    </row>
    <row r="8074" spans="1:4" x14ac:dyDescent="0.2">
      <c r="A8074" s="140" t="s">
        <v>601</v>
      </c>
      <c r="B8074" s="141">
        <v>4.7106958619924203E-5</v>
      </c>
      <c r="D8074" s="141"/>
    </row>
    <row r="8075" spans="1:4" x14ac:dyDescent="0.2">
      <c r="A8075" s="140" t="s">
        <v>6148</v>
      </c>
      <c r="B8075" s="141">
        <v>4.70797363428432E-5</v>
      </c>
      <c r="D8075" s="141"/>
    </row>
    <row r="8076" spans="1:4" x14ac:dyDescent="0.2">
      <c r="A8076" s="140" t="s">
        <v>373</v>
      </c>
      <c r="B8076" s="141">
        <v>4.7044266638423301E-5</v>
      </c>
      <c r="D8076" s="141"/>
    </row>
    <row r="8077" spans="1:4" x14ac:dyDescent="0.2">
      <c r="A8077" s="140" t="s">
        <v>5791</v>
      </c>
      <c r="B8077" s="141">
        <v>4.7010957319642001E-5</v>
      </c>
      <c r="D8077" s="141"/>
    </row>
    <row r="8078" spans="1:4" x14ac:dyDescent="0.2">
      <c r="A8078" s="140" t="s">
        <v>5818</v>
      </c>
      <c r="B8078" s="141">
        <v>4.6992817173835401E-5</v>
      </c>
      <c r="D8078" s="141"/>
    </row>
    <row r="8079" spans="1:4" x14ac:dyDescent="0.2">
      <c r="A8079" s="140" t="s">
        <v>6188</v>
      </c>
      <c r="B8079" s="141">
        <v>4.6901540943347703E-5</v>
      </c>
      <c r="D8079" s="141"/>
    </row>
    <row r="8080" spans="1:4" x14ac:dyDescent="0.2">
      <c r="A8080" s="140" t="s">
        <v>9349</v>
      </c>
      <c r="B8080" s="141">
        <v>4.6860415443329601E-5</v>
      </c>
      <c r="D8080" s="141"/>
    </row>
    <row r="8081" spans="1:4" x14ac:dyDescent="0.2">
      <c r="A8081" s="140" t="s">
        <v>1871</v>
      </c>
      <c r="B8081" s="141">
        <v>4.68234447265E-5</v>
      </c>
      <c r="D8081" s="141"/>
    </row>
    <row r="8082" spans="1:4" x14ac:dyDescent="0.2">
      <c r="A8082" s="140" t="s">
        <v>3211</v>
      </c>
      <c r="B8082" s="141">
        <v>4.6585842085827902E-5</v>
      </c>
      <c r="D8082" s="141"/>
    </row>
    <row r="8083" spans="1:4" x14ac:dyDescent="0.2">
      <c r="A8083" s="140" t="s">
        <v>9350</v>
      </c>
      <c r="B8083" s="141">
        <v>4.6554439233746198E-5</v>
      </c>
      <c r="D8083" s="141"/>
    </row>
    <row r="8084" spans="1:4" x14ac:dyDescent="0.2">
      <c r="A8084" s="140" t="s">
        <v>613</v>
      </c>
      <c r="B8084" s="141">
        <v>4.6521779853056498E-5</v>
      </c>
      <c r="D8084" s="141"/>
    </row>
    <row r="8085" spans="1:4" x14ac:dyDescent="0.2">
      <c r="A8085" s="140" t="s">
        <v>656</v>
      </c>
      <c r="B8085" s="141">
        <v>4.6376965612847498E-5</v>
      </c>
      <c r="D8085" s="141"/>
    </row>
    <row r="8086" spans="1:4" x14ac:dyDescent="0.2">
      <c r="A8086" s="140" t="s">
        <v>4471</v>
      </c>
      <c r="B8086" s="141">
        <v>4.6372640274361297E-5</v>
      </c>
      <c r="D8086" s="141"/>
    </row>
    <row r="8087" spans="1:4" x14ac:dyDescent="0.2">
      <c r="A8087" s="140" t="s">
        <v>9351</v>
      </c>
      <c r="B8087" s="141">
        <v>4.6280675475294002E-5</v>
      </c>
      <c r="D8087" s="141"/>
    </row>
    <row r="8088" spans="1:4" x14ac:dyDescent="0.2">
      <c r="A8088" s="140" t="s">
        <v>1889</v>
      </c>
      <c r="B8088" s="141">
        <v>4.62041855198666E-5</v>
      </c>
      <c r="D8088" s="141"/>
    </row>
    <row r="8089" spans="1:4" x14ac:dyDescent="0.2">
      <c r="A8089" s="140" t="s">
        <v>9352</v>
      </c>
      <c r="B8089" s="141">
        <v>4.6091975619784399E-5</v>
      </c>
      <c r="D8089" s="141"/>
    </row>
    <row r="8090" spans="1:4" x14ac:dyDescent="0.2">
      <c r="A8090" s="140" t="s">
        <v>5903</v>
      </c>
      <c r="B8090" s="141">
        <v>4.6043408271703398E-5</v>
      </c>
      <c r="D8090" s="141"/>
    </row>
    <row r="8091" spans="1:4" x14ac:dyDescent="0.2">
      <c r="A8091" s="140" t="s">
        <v>9353</v>
      </c>
      <c r="B8091" s="141">
        <v>4.6043408271703398E-5</v>
      </c>
      <c r="D8091" s="141"/>
    </row>
    <row r="8092" spans="1:4" x14ac:dyDescent="0.2">
      <c r="A8092" s="140" t="s">
        <v>9354</v>
      </c>
      <c r="B8092" s="141">
        <v>4.6013661077760602E-5</v>
      </c>
      <c r="D8092" s="141"/>
    </row>
    <row r="8093" spans="1:4" x14ac:dyDescent="0.2">
      <c r="A8093" s="140" t="s">
        <v>712</v>
      </c>
      <c r="B8093" s="141">
        <v>4.5971429729342399E-5</v>
      </c>
      <c r="D8093" s="141"/>
    </row>
    <row r="8094" spans="1:4" x14ac:dyDescent="0.2">
      <c r="A8094" s="140" t="s">
        <v>9355</v>
      </c>
      <c r="B8094" s="141">
        <v>4.5960184524275302E-5</v>
      </c>
      <c r="D8094" s="141"/>
    </row>
    <row r="8095" spans="1:4" x14ac:dyDescent="0.2">
      <c r="A8095" s="140" t="s">
        <v>749</v>
      </c>
      <c r="B8095" s="141">
        <v>4.5919192204331903E-5</v>
      </c>
      <c r="D8095" s="141"/>
    </row>
    <row r="8096" spans="1:4" x14ac:dyDescent="0.2">
      <c r="A8096" s="140" t="s">
        <v>9356</v>
      </c>
      <c r="B8096" s="141">
        <v>4.5721025230879301E-5</v>
      </c>
      <c r="D8096" s="141"/>
    </row>
    <row r="8097" spans="1:4" x14ac:dyDescent="0.2">
      <c r="A8097" s="140" t="s">
        <v>648</v>
      </c>
      <c r="B8097" s="141">
        <v>4.5708724241785701E-5</v>
      </c>
      <c r="D8097" s="141"/>
    </row>
    <row r="8098" spans="1:4" x14ac:dyDescent="0.2">
      <c r="A8098" s="140" t="s">
        <v>1051</v>
      </c>
      <c r="B8098" s="141">
        <v>4.5537811476950002E-5</v>
      </c>
      <c r="D8098" s="141"/>
    </row>
    <row r="8099" spans="1:4" x14ac:dyDescent="0.2">
      <c r="A8099" s="140" t="s">
        <v>9357</v>
      </c>
      <c r="B8099" s="141">
        <v>4.5487912334092998E-5</v>
      </c>
      <c r="D8099" s="141"/>
    </row>
    <row r="8100" spans="1:4" x14ac:dyDescent="0.2">
      <c r="A8100" s="140" t="s">
        <v>5977</v>
      </c>
      <c r="B8100" s="141">
        <v>4.5470512811742699E-5</v>
      </c>
      <c r="D8100" s="141"/>
    </row>
    <row r="8101" spans="1:4" x14ac:dyDescent="0.2">
      <c r="A8101" s="140" t="s">
        <v>9358</v>
      </c>
      <c r="B8101" s="141">
        <v>4.5450248981979199E-5</v>
      </c>
      <c r="D8101" s="141"/>
    </row>
    <row r="8102" spans="1:4" x14ac:dyDescent="0.2">
      <c r="A8102" s="140" t="s">
        <v>9359</v>
      </c>
      <c r="B8102" s="141">
        <v>4.5396709354605502E-5</v>
      </c>
      <c r="D8102" s="141"/>
    </row>
    <row r="8103" spans="1:4" x14ac:dyDescent="0.2">
      <c r="A8103" s="140" t="s">
        <v>3591</v>
      </c>
      <c r="B8103" s="141">
        <v>4.53217553772836E-5</v>
      </c>
      <c r="D8103" s="141"/>
    </row>
    <row r="8104" spans="1:4" x14ac:dyDescent="0.2">
      <c r="A8104" s="140" t="s">
        <v>554</v>
      </c>
      <c r="B8104" s="141">
        <v>4.52806087725482E-5</v>
      </c>
      <c r="D8104" s="141"/>
    </row>
    <row r="8105" spans="1:4" x14ac:dyDescent="0.2">
      <c r="A8105" s="140" t="s">
        <v>431</v>
      </c>
      <c r="B8105" s="141">
        <v>4.5188522785556702E-5</v>
      </c>
      <c r="D8105" s="141"/>
    </row>
    <row r="8106" spans="1:4" x14ac:dyDescent="0.2">
      <c r="A8106" s="140" t="s">
        <v>9360</v>
      </c>
      <c r="B8106" s="141">
        <v>4.5072769500671399E-5</v>
      </c>
      <c r="D8106" s="141"/>
    </row>
    <row r="8107" spans="1:4" x14ac:dyDescent="0.2">
      <c r="A8107" s="140" t="s">
        <v>437</v>
      </c>
      <c r="B8107" s="141">
        <v>4.4929234650646803E-5</v>
      </c>
      <c r="D8107" s="141"/>
    </row>
    <row r="8108" spans="1:4" x14ac:dyDescent="0.2">
      <c r="A8108" s="140" t="s">
        <v>1378</v>
      </c>
      <c r="B8108" s="141">
        <v>4.4916775002969103E-5</v>
      </c>
      <c r="D8108" s="141"/>
    </row>
    <row r="8109" spans="1:4" x14ac:dyDescent="0.2">
      <c r="A8109" s="140" t="s">
        <v>4016</v>
      </c>
      <c r="B8109" s="141">
        <v>4.4850439792353901E-5</v>
      </c>
      <c r="D8109" s="141"/>
    </row>
    <row r="8110" spans="1:4" x14ac:dyDescent="0.2">
      <c r="A8110" s="140" t="s">
        <v>9361</v>
      </c>
      <c r="B8110" s="141">
        <v>4.4674992299687697E-5</v>
      </c>
      <c r="D8110" s="141"/>
    </row>
    <row r="8111" spans="1:4" x14ac:dyDescent="0.2">
      <c r="A8111" s="140" t="s">
        <v>9362</v>
      </c>
      <c r="B8111" s="141">
        <v>4.4623729593807098E-5</v>
      </c>
      <c r="D8111" s="141"/>
    </row>
    <row r="8112" spans="1:4" x14ac:dyDescent="0.2">
      <c r="A8112" s="140" t="s">
        <v>9363</v>
      </c>
      <c r="B8112" s="141">
        <v>4.4592201322267901E-5</v>
      </c>
      <c r="D8112" s="141"/>
    </row>
    <row r="8113" spans="1:4" x14ac:dyDescent="0.2">
      <c r="A8113" s="140" t="s">
        <v>3449</v>
      </c>
      <c r="B8113" s="141">
        <v>4.4591052277812803E-5</v>
      </c>
      <c r="D8113" s="141"/>
    </row>
    <row r="8114" spans="1:4" x14ac:dyDescent="0.2">
      <c r="A8114" s="140" t="s">
        <v>9364</v>
      </c>
      <c r="B8114" s="141">
        <v>4.4516391441733498E-5</v>
      </c>
      <c r="D8114" s="141"/>
    </row>
    <row r="8115" spans="1:4" x14ac:dyDescent="0.2">
      <c r="A8115" s="140" t="s">
        <v>930</v>
      </c>
      <c r="B8115" s="141">
        <v>4.4488115723180101E-5</v>
      </c>
      <c r="D8115" s="141"/>
    </row>
    <row r="8116" spans="1:4" x14ac:dyDescent="0.2">
      <c r="A8116" s="140" t="s">
        <v>3367</v>
      </c>
      <c r="B8116" s="141">
        <v>4.4380355782520299E-5</v>
      </c>
      <c r="D8116" s="141"/>
    </row>
    <row r="8117" spans="1:4" x14ac:dyDescent="0.2">
      <c r="A8117" s="140" t="s">
        <v>5150</v>
      </c>
      <c r="B8117" s="141">
        <v>4.4313986226333002E-5</v>
      </c>
      <c r="D8117" s="141"/>
    </row>
    <row r="8118" spans="1:4" x14ac:dyDescent="0.2">
      <c r="A8118" s="140" t="s">
        <v>4447</v>
      </c>
      <c r="B8118" s="141">
        <v>4.4276345173577601E-5</v>
      </c>
      <c r="D8118" s="141"/>
    </row>
    <row r="8119" spans="1:4" x14ac:dyDescent="0.2">
      <c r="A8119" s="140" t="s">
        <v>1082</v>
      </c>
      <c r="B8119" s="141">
        <v>4.4228135282475601E-5</v>
      </c>
      <c r="D8119" s="141"/>
    </row>
    <row r="8120" spans="1:4" x14ac:dyDescent="0.2">
      <c r="A8120" s="140" t="s">
        <v>5963</v>
      </c>
      <c r="B8120" s="141">
        <v>4.4218732356100598E-5</v>
      </c>
      <c r="D8120" s="141"/>
    </row>
    <row r="8121" spans="1:4" x14ac:dyDescent="0.2">
      <c r="A8121" s="140" t="s">
        <v>470</v>
      </c>
      <c r="B8121" s="141">
        <v>4.4108722478188297E-5</v>
      </c>
      <c r="D8121" s="141"/>
    </row>
    <row r="8122" spans="1:4" x14ac:dyDescent="0.2">
      <c r="A8122" s="140" t="s">
        <v>1149</v>
      </c>
      <c r="B8122" s="141">
        <v>4.3826512669434103E-5</v>
      </c>
      <c r="D8122" s="141"/>
    </row>
    <row r="8123" spans="1:4" x14ac:dyDescent="0.2">
      <c r="A8123" s="140" t="s">
        <v>9365</v>
      </c>
      <c r="B8123" s="141">
        <v>4.3817696462833203E-5</v>
      </c>
      <c r="D8123" s="141"/>
    </row>
    <row r="8124" spans="1:4" x14ac:dyDescent="0.2">
      <c r="A8124" s="140" t="s">
        <v>1716</v>
      </c>
      <c r="B8124" s="141">
        <v>4.3746336869958799E-5</v>
      </c>
      <c r="D8124" s="141"/>
    </row>
    <row r="8125" spans="1:4" x14ac:dyDescent="0.2">
      <c r="A8125" s="140" t="s">
        <v>1656</v>
      </c>
      <c r="B8125" s="141">
        <v>4.3746336869958799E-5</v>
      </c>
      <c r="D8125" s="141"/>
    </row>
    <row r="8126" spans="1:4" x14ac:dyDescent="0.2">
      <c r="A8126" s="140" t="s">
        <v>1702</v>
      </c>
      <c r="B8126" s="141">
        <v>4.3746336869958799E-5</v>
      </c>
      <c r="D8126" s="141"/>
    </row>
    <row r="8127" spans="1:4" x14ac:dyDescent="0.2">
      <c r="A8127" s="140" t="s">
        <v>9366</v>
      </c>
      <c r="B8127" s="141">
        <v>4.3746336869958799E-5</v>
      </c>
      <c r="D8127" s="141"/>
    </row>
    <row r="8128" spans="1:4" x14ac:dyDescent="0.2">
      <c r="A8128" s="140" t="s">
        <v>1728</v>
      </c>
      <c r="B8128" s="141">
        <v>4.3746336869958799E-5</v>
      </c>
      <c r="D8128" s="141"/>
    </row>
    <row r="8129" spans="1:4" x14ac:dyDescent="0.2">
      <c r="A8129" s="140" t="s">
        <v>1727</v>
      </c>
      <c r="B8129" s="141">
        <v>4.3746336869958799E-5</v>
      </c>
      <c r="D8129" s="141"/>
    </row>
    <row r="8130" spans="1:4" x14ac:dyDescent="0.2">
      <c r="A8130" s="140" t="s">
        <v>9367</v>
      </c>
      <c r="B8130" s="141">
        <v>4.3546575305148599E-5</v>
      </c>
      <c r="D8130" s="141"/>
    </row>
    <row r="8131" spans="1:4" x14ac:dyDescent="0.2">
      <c r="A8131" s="140" t="s">
        <v>1069</v>
      </c>
      <c r="B8131" s="141">
        <v>4.3442285994767597E-5</v>
      </c>
      <c r="D8131" s="141"/>
    </row>
    <row r="8132" spans="1:4" x14ac:dyDescent="0.2">
      <c r="A8132" s="140" t="s">
        <v>1720</v>
      </c>
      <c r="B8132" s="141">
        <v>4.33640086937464E-5</v>
      </c>
      <c r="D8132" s="141"/>
    </row>
    <row r="8133" spans="1:4" x14ac:dyDescent="0.2">
      <c r="A8133" s="140" t="s">
        <v>4498</v>
      </c>
      <c r="B8133" s="141">
        <v>4.33640086937464E-5</v>
      </c>
      <c r="D8133" s="141"/>
    </row>
    <row r="8134" spans="1:4" x14ac:dyDescent="0.2">
      <c r="A8134" s="140" t="s">
        <v>9368</v>
      </c>
      <c r="B8134" s="141">
        <v>4.33640086937464E-5</v>
      </c>
      <c r="D8134" s="141"/>
    </row>
    <row r="8135" spans="1:4" x14ac:dyDescent="0.2">
      <c r="A8135" s="140" t="s">
        <v>9369</v>
      </c>
      <c r="B8135" s="141">
        <v>4.3191690447338003E-5</v>
      </c>
      <c r="D8135" s="141"/>
    </row>
    <row r="8136" spans="1:4" x14ac:dyDescent="0.2">
      <c r="A8136" s="140" t="s">
        <v>5512</v>
      </c>
      <c r="B8136" s="141">
        <v>4.30657246582133E-5</v>
      </c>
      <c r="D8136" s="141"/>
    </row>
    <row r="8137" spans="1:4" x14ac:dyDescent="0.2">
      <c r="A8137" s="140" t="s">
        <v>5136</v>
      </c>
      <c r="B8137" s="141">
        <v>4.30657246582133E-5</v>
      </c>
      <c r="D8137" s="141"/>
    </row>
    <row r="8138" spans="1:4" x14ac:dyDescent="0.2">
      <c r="A8138" s="140" t="s">
        <v>3648</v>
      </c>
      <c r="B8138" s="141">
        <v>4.30657246582133E-5</v>
      </c>
      <c r="D8138" s="141"/>
    </row>
    <row r="8139" spans="1:4" x14ac:dyDescent="0.2">
      <c r="A8139" s="140" t="s">
        <v>9370</v>
      </c>
      <c r="B8139" s="141">
        <v>4.30657246582133E-5</v>
      </c>
      <c r="D8139" s="141"/>
    </row>
    <row r="8140" spans="1:4" x14ac:dyDescent="0.2">
      <c r="A8140" s="140" t="s">
        <v>4416</v>
      </c>
      <c r="B8140" s="141">
        <v>4.3011018253524403E-5</v>
      </c>
      <c r="D8140" s="141"/>
    </row>
    <row r="8141" spans="1:4" x14ac:dyDescent="0.2">
      <c r="A8141" s="140" t="s">
        <v>9371</v>
      </c>
      <c r="B8141" s="141">
        <v>4.2745442513818901E-5</v>
      </c>
      <c r="D8141" s="141"/>
    </row>
    <row r="8142" spans="1:4" x14ac:dyDescent="0.2">
      <c r="A8142" s="140" t="s">
        <v>531</v>
      </c>
      <c r="B8142" s="141">
        <v>4.2465568352805697E-5</v>
      </c>
      <c r="D8142" s="141"/>
    </row>
    <row r="8143" spans="1:4" x14ac:dyDescent="0.2">
      <c r="A8143" s="140" t="s">
        <v>9372</v>
      </c>
      <c r="B8143" s="141">
        <v>4.2378863274948101E-5</v>
      </c>
      <c r="D8143" s="141"/>
    </row>
    <row r="8144" spans="1:4" x14ac:dyDescent="0.2">
      <c r="A8144" s="140" t="s">
        <v>5457</v>
      </c>
      <c r="B8144" s="141">
        <v>4.2361588499096402E-5</v>
      </c>
      <c r="D8144" s="141"/>
    </row>
    <row r="8145" spans="1:4" x14ac:dyDescent="0.2">
      <c r="A8145" s="140" t="s">
        <v>9373</v>
      </c>
      <c r="B8145" s="141">
        <v>4.22124275257274E-5</v>
      </c>
      <c r="D8145" s="141"/>
    </row>
    <row r="8146" spans="1:4" x14ac:dyDescent="0.2">
      <c r="A8146" s="140" t="s">
        <v>3347</v>
      </c>
      <c r="B8146" s="141">
        <v>4.2140243991907698E-5</v>
      </c>
      <c r="D8146" s="141"/>
    </row>
    <row r="8147" spans="1:4" x14ac:dyDescent="0.2">
      <c r="A8147" s="140" t="s">
        <v>9374</v>
      </c>
      <c r="B8147" s="141">
        <v>4.2065444297469398E-5</v>
      </c>
      <c r="D8147" s="141"/>
    </row>
    <row r="8148" spans="1:4" x14ac:dyDescent="0.2">
      <c r="A8148" s="140" t="s">
        <v>9375</v>
      </c>
      <c r="B8148" s="141">
        <v>4.20149842072952E-5</v>
      </c>
      <c r="D8148" s="141"/>
    </row>
    <row r="8149" spans="1:4" x14ac:dyDescent="0.2">
      <c r="A8149" s="140" t="s">
        <v>9376</v>
      </c>
      <c r="B8149" s="141">
        <v>4.20149842072952E-5</v>
      </c>
      <c r="D8149" s="141"/>
    </row>
    <row r="8150" spans="1:4" x14ac:dyDescent="0.2">
      <c r="A8150" s="140" t="s">
        <v>5624</v>
      </c>
      <c r="B8150" s="141">
        <v>4.1878772086221902E-5</v>
      </c>
      <c r="D8150" s="141"/>
    </row>
    <row r="8151" spans="1:4" x14ac:dyDescent="0.2">
      <c r="A8151" s="140" t="s">
        <v>5495</v>
      </c>
      <c r="B8151" s="141">
        <v>4.1878772086221902E-5</v>
      </c>
      <c r="D8151" s="141"/>
    </row>
    <row r="8152" spans="1:4" x14ac:dyDescent="0.2">
      <c r="A8152" s="140" t="s">
        <v>6015</v>
      </c>
      <c r="B8152" s="141">
        <v>4.1875005752583002E-5</v>
      </c>
      <c r="D8152" s="141"/>
    </row>
    <row r="8153" spans="1:4" x14ac:dyDescent="0.2">
      <c r="A8153" s="140" t="s">
        <v>4807</v>
      </c>
      <c r="B8153" s="141">
        <v>4.1764032062227299E-5</v>
      </c>
      <c r="D8153" s="141"/>
    </row>
    <row r="8154" spans="1:4" x14ac:dyDescent="0.2">
      <c r="A8154" s="140" t="s">
        <v>2396</v>
      </c>
      <c r="B8154" s="141">
        <v>4.1744400610639197E-5</v>
      </c>
      <c r="D8154" s="141"/>
    </row>
    <row r="8155" spans="1:4" x14ac:dyDescent="0.2">
      <c r="A8155" s="140" t="s">
        <v>2314</v>
      </c>
      <c r="B8155" s="141">
        <v>4.1726086440940899E-5</v>
      </c>
      <c r="D8155" s="141"/>
    </row>
    <row r="8156" spans="1:4" x14ac:dyDescent="0.2">
      <c r="A8156" s="140" t="s">
        <v>3528</v>
      </c>
      <c r="B8156" s="141">
        <v>4.1660965182490698E-5</v>
      </c>
      <c r="D8156" s="141"/>
    </row>
    <row r="8157" spans="1:4" x14ac:dyDescent="0.2">
      <c r="A8157" s="140" t="s">
        <v>9377</v>
      </c>
      <c r="B8157" s="141">
        <v>4.1659482746499E-5</v>
      </c>
      <c r="D8157" s="141"/>
    </row>
    <row r="8158" spans="1:4" x14ac:dyDescent="0.2">
      <c r="A8158" s="140" t="s">
        <v>2021</v>
      </c>
      <c r="B8158" s="141">
        <v>4.16347664063488E-5</v>
      </c>
      <c r="D8158" s="141"/>
    </row>
    <row r="8159" spans="1:4" x14ac:dyDescent="0.2">
      <c r="A8159" s="140" t="s">
        <v>526</v>
      </c>
      <c r="B8159" s="141">
        <v>4.1626957747226502E-5</v>
      </c>
      <c r="D8159" s="141"/>
    </row>
    <row r="8160" spans="1:4" x14ac:dyDescent="0.2">
      <c r="A8160" s="140" t="s">
        <v>9378</v>
      </c>
      <c r="B8160" s="141">
        <v>4.15481351744567E-5</v>
      </c>
      <c r="D8160" s="141"/>
    </row>
    <row r="8161" spans="1:4" x14ac:dyDescent="0.2">
      <c r="A8161" s="140" t="s">
        <v>9379</v>
      </c>
      <c r="B8161" s="141">
        <v>4.1466306377544597E-5</v>
      </c>
      <c r="D8161" s="141"/>
    </row>
    <row r="8162" spans="1:4" x14ac:dyDescent="0.2">
      <c r="A8162" s="140" t="s">
        <v>1515</v>
      </c>
      <c r="B8162" s="141">
        <v>4.1425961347233302E-5</v>
      </c>
      <c r="D8162" s="141"/>
    </row>
    <row r="8163" spans="1:4" x14ac:dyDescent="0.2">
      <c r="A8163" s="140" t="s">
        <v>1546</v>
      </c>
      <c r="B8163" s="141">
        <v>4.1414788157773502E-5</v>
      </c>
      <c r="D8163" s="141"/>
    </row>
    <row r="8164" spans="1:4" x14ac:dyDescent="0.2">
      <c r="A8164" s="140" t="s">
        <v>2424</v>
      </c>
      <c r="B8164" s="141">
        <v>4.1306583457740401E-5</v>
      </c>
      <c r="D8164" s="141"/>
    </row>
    <row r="8165" spans="1:4" x14ac:dyDescent="0.2">
      <c r="A8165" s="140" t="s">
        <v>9380</v>
      </c>
      <c r="B8165" s="141">
        <v>4.11257710922427E-5</v>
      </c>
      <c r="D8165" s="141"/>
    </row>
    <row r="8166" spans="1:4" x14ac:dyDescent="0.2">
      <c r="A8166" s="140" t="s">
        <v>1066</v>
      </c>
      <c r="B8166" s="141">
        <v>4.1058676882898099E-5</v>
      </c>
      <c r="D8166" s="141"/>
    </row>
    <row r="8167" spans="1:4" x14ac:dyDescent="0.2">
      <c r="A8167" s="140" t="s">
        <v>9381</v>
      </c>
      <c r="B8167" s="141">
        <v>4.1007981710961399E-5</v>
      </c>
      <c r="D8167" s="141"/>
    </row>
    <row r="8168" spans="1:4" x14ac:dyDescent="0.2">
      <c r="A8168" s="140" t="s">
        <v>9382</v>
      </c>
      <c r="B8168" s="141">
        <v>4.1007981710961399E-5</v>
      </c>
      <c r="D8168" s="141"/>
    </row>
    <row r="8169" spans="1:4" x14ac:dyDescent="0.2">
      <c r="A8169" s="140" t="s">
        <v>9383</v>
      </c>
      <c r="B8169" s="141">
        <v>4.1007981710961399E-5</v>
      </c>
      <c r="D8169" s="141"/>
    </row>
    <row r="8170" spans="1:4" x14ac:dyDescent="0.2">
      <c r="A8170" s="140" t="s">
        <v>9384</v>
      </c>
      <c r="B8170" s="141">
        <v>4.1007981710961399E-5</v>
      </c>
      <c r="D8170" s="141"/>
    </row>
    <row r="8171" spans="1:4" x14ac:dyDescent="0.2">
      <c r="A8171" s="140" t="s">
        <v>9385</v>
      </c>
      <c r="B8171" s="141">
        <v>4.1007981710961399E-5</v>
      </c>
      <c r="D8171" s="141"/>
    </row>
    <row r="8172" spans="1:4" x14ac:dyDescent="0.2">
      <c r="A8172" s="140" t="s">
        <v>9386</v>
      </c>
      <c r="B8172" s="141">
        <v>4.1007981710961399E-5</v>
      </c>
      <c r="D8172" s="141"/>
    </row>
    <row r="8173" spans="1:4" x14ac:dyDescent="0.2">
      <c r="A8173" s="140" t="s">
        <v>9387</v>
      </c>
      <c r="B8173" s="141">
        <v>4.1007981710961399E-5</v>
      </c>
      <c r="D8173" s="141"/>
    </row>
    <row r="8174" spans="1:4" x14ac:dyDescent="0.2">
      <c r="A8174" s="140" t="s">
        <v>9388</v>
      </c>
      <c r="B8174" s="141">
        <v>4.1007981710961399E-5</v>
      </c>
      <c r="D8174" s="141"/>
    </row>
    <row r="8175" spans="1:4" x14ac:dyDescent="0.2">
      <c r="A8175" s="140" t="s">
        <v>9389</v>
      </c>
      <c r="B8175" s="141">
        <v>4.1007981710961399E-5</v>
      </c>
      <c r="D8175" s="141"/>
    </row>
    <row r="8176" spans="1:4" x14ac:dyDescent="0.2">
      <c r="A8176" s="140" t="s">
        <v>9390</v>
      </c>
      <c r="B8176" s="141">
        <v>4.1007981710961399E-5</v>
      </c>
      <c r="D8176" s="141"/>
    </row>
    <row r="8177" spans="1:4" x14ac:dyDescent="0.2">
      <c r="A8177" s="140" t="s">
        <v>9391</v>
      </c>
      <c r="B8177" s="141">
        <v>4.1007981710961399E-5</v>
      </c>
      <c r="D8177" s="141"/>
    </row>
    <row r="8178" spans="1:4" x14ac:dyDescent="0.2">
      <c r="A8178" s="140" t="s">
        <v>9392</v>
      </c>
      <c r="B8178" s="141">
        <v>4.1007981710961399E-5</v>
      </c>
      <c r="D8178" s="141"/>
    </row>
    <row r="8179" spans="1:4" x14ac:dyDescent="0.2">
      <c r="A8179" s="140" t="s">
        <v>9393</v>
      </c>
      <c r="B8179" s="141">
        <v>4.1007981710961399E-5</v>
      </c>
      <c r="D8179" s="141"/>
    </row>
    <row r="8180" spans="1:4" x14ac:dyDescent="0.2">
      <c r="A8180" s="140" t="s">
        <v>9394</v>
      </c>
      <c r="B8180" s="141">
        <v>4.1007981710961399E-5</v>
      </c>
      <c r="D8180" s="141"/>
    </row>
    <row r="8181" spans="1:4" x14ac:dyDescent="0.2">
      <c r="A8181" s="140" t="s">
        <v>9395</v>
      </c>
      <c r="B8181" s="141">
        <v>4.1007981710961399E-5</v>
      </c>
      <c r="D8181" s="141"/>
    </row>
    <row r="8182" spans="1:4" x14ac:dyDescent="0.2">
      <c r="A8182" s="140" t="s">
        <v>9396</v>
      </c>
      <c r="B8182" s="141">
        <v>4.1007981710961399E-5</v>
      </c>
      <c r="D8182" s="141"/>
    </row>
    <row r="8183" spans="1:4" x14ac:dyDescent="0.2">
      <c r="A8183" s="140" t="s">
        <v>9397</v>
      </c>
      <c r="B8183" s="141">
        <v>4.1007981710961399E-5</v>
      </c>
      <c r="D8183" s="141"/>
    </row>
    <row r="8184" spans="1:4" x14ac:dyDescent="0.2">
      <c r="A8184" s="140" t="s">
        <v>9398</v>
      </c>
      <c r="B8184" s="141">
        <v>4.1007981710961399E-5</v>
      </c>
      <c r="D8184" s="141"/>
    </row>
    <row r="8185" spans="1:4" x14ac:dyDescent="0.2">
      <c r="A8185" s="140" t="s">
        <v>9399</v>
      </c>
      <c r="B8185" s="141">
        <v>4.1007981710961399E-5</v>
      </c>
      <c r="D8185" s="141"/>
    </row>
    <row r="8186" spans="1:4" x14ac:dyDescent="0.2">
      <c r="A8186" s="140" t="s">
        <v>9400</v>
      </c>
      <c r="B8186" s="141">
        <v>4.1007981710961399E-5</v>
      </c>
      <c r="D8186" s="141"/>
    </row>
    <row r="8187" spans="1:4" x14ac:dyDescent="0.2">
      <c r="A8187" s="140" t="s">
        <v>9401</v>
      </c>
      <c r="B8187" s="141">
        <v>4.1007981710961399E-5</v>
      </c>
      <c r="D8187" s="141"/>
    </row>
    <row r="8188" spans="1:4" x14ac:dyDescent="0.2">
      <c r="A8188" s="140" t="s">
        <v>9402</v>
      </c>
      <c r="B8188" s="141">
        <v>4.1007981710961399E-5</v>
      </c>
      <c r="D8188" s="141"/>
    </row>
    <row r="8189" spans="1:4" x14ac:dyDescent="0.2">
      <c r="A8189" s="140" t="s">
        <v>9403</v>
      </c>
      <c r="B8189" s="141">
        <v>4.1007981710961399E-5</v>
      </c>
      <c r="D8189" s="141"/>
    </row>
    <row r="8190" spans="1:4" x14ac:dyDescent="0.2">
      <c r="A8190" s="140" t="s">
        <v>9404</v>
      </c>
      <c r="B8190" s="141">
        <v>4.1007981710961399E-5</v>
      </c>
      <c r="D8190" s="141"/>
    </row>
    <row r="8191" spans="1:4" x14ac:dyDescent="0.2">
      <c r="A8191" s="140" t="s">
        <v>9405</v>
      </c>
      <c r="B8191" s="141">
        <v>4.1007981710961399E-5</v>
      </c>
      <c r="D8191" s="141"/>
    </row>
    <row r="8192" spans="1:4" x14ac:dyDescent="0.2">
      <c r="A8192" s="140" t="s">
        <v>9406</v>
      </c>
      <c r="B8192" s="141">
        <v>4.1007981710961399E-5</v>
      </c>
      <c r="D8192" s="141"/>
    </row>
    <row r="8193" spans="1:4" x14ac:dyDescent="0.2">
      <c r="A8193" s="140" t="s">
        <v>9407</v>
      </c>
      <c r="B8193" s="141">
        <v>4.1007981710961399E-5</v>
      </c>
      <c r="D8193" s="141"/>
    </row>
    <row r="8194" spans="1:4" x14ac:dyDescent="0.2">
      <c r="A8194" s="140" t="s">
        <v>507</v>
      </c>
      <c r="B8194" s="141">
        <v>4.09913767830752E-5</v>
      </c>
      <c r="D8194" s="141"/>
    </row>
    <row r="8195" spans="1:4" x14ac:dyDescent="0.2">
      <c r="A8195" s="140" t="s">
        <v>9408</v>
      </c>
      <c r="B8195" s="141">
        <v>4.0915192624363302E-5</v>
      </c>
      <c r="D8195" s="141"/>
    </row>
    <row r="8196" spans="1:4" x14ac:dyDescent="0.2">
      <c r="A8196" s="140" t="s">
        <v>9409</v>
      </c>
      <c r="B8196" s="141">
        <v>4.0861134171860797E-5</v>
      </c>
      <c r="D8196" s="141"/>
    </row>
    <row r="8197" spans="1:4" x14ac:dyDescent="0.2">
      <c r="A8197" s="140" t="s">
        <v>5399</v>
      </c>
      <c r="B8197" s="141">
        <v>4.0850909543975601E-5</v>
      </c>
      <c r="D8197" s="141"/>
    </row>
    <row r="8198" spans="1:4" x14ac:dyDescent="0.2">
      <c r="A8198" s="140" t="s">
        <v>6008</v>
      </c>
      <c r="B8198" s="141">
        <v>4.0840089184713998E-5</v>
      </c>
      <c r="D8198" s="141"/>
    </row>
    <row r="8199" spans="1:4" x14ac:dyDescent="0.2">
      <c r="A8199" s="140" t="s">
        <v>1499</v>
      </c>
      <c r="B8199" s="141">
        <v>4.0808297040806902E-5</v>
      </c>
      <c r="D8199" s="141"/>
    </row>
    <row r="8200" spans="1:4" x14ac:dyDescent="0.2">
      <c r="A8200" s="140" t="s">
        <v>6259</v>
      </c>
      <c r="B8200" s="141">
        <v>4.0659396946748398E-5</v>
      </c>
      <c r="D8200" s="141"/>
    </row>
    <row r="8201" spans="1:4" x14ac:dyDescent="0.2">
      <c r="A8201" s="140" t="s">
        <v>9410</v>
      </c>
      <c r="B8201" s="141">
        <v>4.0659396946748398E-5</v>
      </c>
      <c r="D8201" s="141"/>
    </row>
    <row r="8202" spans="1:4" x14ac:dyDescent="0.2">
      <c r="A8202" s="140" t="s">
        <v>9411</v>
      </c>
      <c r="B8202" s="141">
        <v>4.0568199191990297E-5</v>
      </c>
      <c r="D8202" s="141"/>
    </row>
    <row r="8203" spans="1:4" x14ac:dyDescent="0.2">
      <c r="A8203" s="140" t="s">
        <v>9412</v>
      </c>
      <c r="B8203" s="141">
        <v>4.0554359726204199E-5</v>
      </c>
      <c r="D8203" s="141"/>
    </row>
    <row r="8204" spans="1:4" x14ac:dyDescent="0.2">
      <c r="A8204" s="140" t="s">
        <v>9413</v>
      </c>
      <c r="B8204" s="141">
        <v>4.0554359726204199E-5</v>
      </c>
      <c r="D8204" s="141"/>
    </row>
    <row r="8205" spans="1:4" x14ac:dyDescent="0.2">
      <c r="A8205" s="140" t="s">
        <v>4713</v>
      </c>
      <c r="B8205" s="141">
        <v>4.0475098147360303E-5</v>
      </c>
      <c r="D8205" s="141"/>
    </row>
    <row r="8206" spans="1:4" x14ac:dyDescent="0.2">
      <c r="A8206" s="140" t="s">
        <v>9414</v>
      </c>
      <c r="B8206" s="141">
        <v>4.0423922529662398E-5</v>
      </c>
      <c r="D8206" s="141"/>
    </row>
    <row r="8207" spans="1:4" x14ac:dyDescent="0.2">
      <c r="A8207" s="140" t="s">
        <v>9415</v>
      </c>
      <c r="B8207" s="141">
        <v>4.0423922529662398E-5</v>
      </c>
      <c r="D8207" s="141"/>
    </row>
    <row r="8208" spans="1:4" x14ac:dyDescent="0.2">
      <c r="A8208" s="140" t="s">
        <v>881</v>
      </c>
      <c r="B8208" s="141">
        <v>4.0406233291093202E-5</v>
      </c>
      <c r="D8208" s="141"/>
    </row>
    <row r="8209" spans="1:4" x14ac:dyDescent="0.2">
      <c r="A8209" s="140" t="s">
        <v>1773</v>
      </c>
      <c r="B8209" s="141">
        <v>4.0400328527058699E-5</v>
      </c>
      <c r="D8209" s="141"/>
    </row>
    <row r="8210" spans="1:4" x14ac:dyDescent="0.2">
      <c r="A8210" s="140" t="s">
        <v>9416</v>
      </c>
      <c r="B8210" s="141">
        <v>4.0341957509574198E-5</v>
      </c>
      <c r="D8210" s="141"/>
    </row>
    <row r="8211" spans="1:4" x14ac:dyDescent="0.2">
      <c r="A8211" s="140" t="s">
        <v>3541</v>
      </c>
      <c r="B8211" s="141">
        <v>4.0337022678960798E-5</v>
      </c>
      <c r="D8211" s="141"/>
    </row>
    <row r="8212" spans="1:4" x14ac:dyDescent="0.2">
      <c r="A8212" s="140" t="s">
        <v>1013</v>
      </c>
      <c r="B8212" s="141">
        <v>4.03077297136567E-5</v>
      </c>
      <c r="D8212" s="141"/>
    </row>
    <row r="8213" spans="1:4" x14ac:dyDescent="0.2">
      <c r="A8213" s="140" t="s">
        <v>3441</v>
      </c>
      <c r="B8213" s="141">
        <v>4.0234714270855401E-5</v>
      </c>
      <c r="D8213" s="141"/>
    </row>
    <row r="8214" spans="1:4" x14ac:dyDescent="0.2">
      <c r="A8214" s="140" t="s">
        <v>2275</v>
      </c>
      <c r="B8214" s="141">
        <v>4.0143480818613303E-5</v>
      </c>
      <c r="D8214" s="141"/>
    </row>
    <row r="8215" spans="1:4" x14ac:dyDescent="0.2">
      <c r="A8215" s="140" t="s">
        <v>9417</v>
      </c>
      <c r="B8215" s="141">
        <v>3.9934389454777598E-5</v>
      </c>
      <c r="D8215" s="141"/>
    </row>
    <row r="8216" spans="1:4" x14ac:dyDescent="0.2">
      <c r="A8216" s="140" t="s">
        <v>1142</v>
      </c>
      <c r="B8216" s="141">
        <v>3.9885677304674201E-5</v>
      </c>
      <c r="D8216" s="141"/>
    </row>
    <row r="8217" spans="1:4" x14ac:dyDescent="0.2">
      <c r="A8217" s="140" t="s">
        <v>626</v>
      </c>
      <c r="B8217" s="141">
        <v>3.9840785008129001E-5</v>
      </c>
      <c r="D8217" s="141"/>
    </row>
    <row r="8218" spans="1:4" x14ac:dyDescent="0.2">
      <c r="A8218" s="140" t="s">
        <v>9418</v>
      </c>
      <c r="B8218" s="141">
        <v>3.9820317661659497E-5</v>
      </c>
      <c r="D8218" s="141"/>
    </row>
    <row r="8219" spans="1:4" x14ac:dyDescent="0.2">
      <c r="A8219" s="140" t="s">
        <v>4671</v>
      </c>
      <c r="B8219" s="141">
        <v>3.9818046849073202E-5</v>
      </c>
      <c r="D8219" s="141"/>
    </row>
    <row r="8220" spans="1:4" x14ac:dyDescent="0.2">
      <c r="A8220" s="140" t="s">
        <v>1121</v>
      </c>
      <c r="B8220" s="141">
        <v>3.9814886620066402E-5</v>
      </c>
      <c r="D8220" s="141"/>
    </row>
    <row r="8221" spans="1:4" x14ac:dyDescent="0.2">
      <c r="A8221" s="140" t="s">
        <v>9419</v>
      </c>
      <c r="B8221" s="141">
        <v>3.9790138068086197E-5</v>
      </c>
      <c r="D8221" s="141"/>
    </row>
    <row r="8222" spans="1:4" x14ac:dyDescent="0.2">
      <c r="A8222" s="140" t="s">
        <v>9420</v>
      </c>
      <c r="B8222" s="141">
        <v>3.9728842480867299E-5</v>
      </c>
      <c r="D8222" s="141"/>
    </row>
    <row r="8223" spans="1:4" x14ac:dyDescent="0.2">
      <c r="A8223" s="140" t="s">
        <v>3760</v>
      </c>
      <c r="B8223" s="141">
        <v>3.9644818141757997E-5</v>
      </c>
      <c r="D8223" s="141"/>
    </row>
    <row r="8224" spans="1:4" x14ac:dyDescent="0.2">
      <c r="A8224" s="140" t="s">
        <v>5475</v>
      </c>
      <c r="B8224" s="141">
        <v>3.9517880817505699E-5</v>
      </c>
      <c r="D8224" s="141"/>
    </row>
    <row r="8225" spans="1:4" x14ac:dyDescent="0.2">
      <c r="A8225" s="140" t="s">
        <v>9421</v>
      </c>
      <c r="B8225" s="141">
        <v>3.9504693986753901E-5</v>
      </c>
      <c r="D8225" s="141"/>
    </row>
    <row r="8226" spans="1:4" x14ac:dyDescent="0.2">
      <c r="A8226" s="140" t="s">
        <v>2379</v>
      </c>
      <c r="B8226" s="141">
        <v>3.9499957349930202E-5</v>
      </c>
      <c r="D8226" s="141"/>
    </row>
    <row r="8227" spans="1:4" x14ac:dyDescent="0.2">
      <c r="A8227" s="140" t="s">
        <v>720</v>
      </c>
      <c r="B8227" s="141">
        <v>3.9475037879950401E-5</v>
      </c>
      <c r="D8227" s="141"/>
    </row>
    <row r="8228" spans="1:4" x14ac:dyDescent="0.2">
      <c r="A8228" s="140" t="s">
        <v>1015</v>
      </c>
      <c r="B8228" s="141">
        <v>3.9464354558298201E-5</v>
      </c>
      <c r="D8228" s="141"/>
    </row>
    <row r="8229" spans="1:4" x14ac:dyDescent="0.2">
      <c r="A8229" s="140" t="s">
        <v>9422</v>
      </c>
      <c r="B8229" s="141">
        <v>3.9276555958610103E-5</v>
      </c>
      <c r="D8229" s="141"/>
    </row>
    <row r="8230" spans="1:4" x14ac:dyDescent="0.2">
      <c r="A8230" s="140" t="s">
        <v>9423</v>
      </c>
      <c r="B8230" s="141">
        <v>3.9147503767613802E-5</v>
      </c>
      <c r="D8230" s="141"/>
    </row>
    <row r="8231" spans="1:4" x14ac:dyDescent="0.2">
      <c r="A8231" s="140" t="s">
        <v>9424</v>
      </c>
      <c r="B8231" s="141">
        <v>3.9127103676897803E-5</v>
      </c>
      <c r="D8231" s="141"/>
    </row>
    <row r="8232" spans="1:4" x14ac:dyDescent="0.2">
      <c r="A8232" s="140" t="s">
        <v>2204</v>
      </c>
      <c r="B8232" s="141">
        <v>3.91134653557143E-5</v>
      </c>
      <c r="D8232" s="141"/>
    </row>
    <row r="8233" spans="1:4" x14ac:dyDescent="0.2">
      <c r="A8233" s="140" t="s">
        <v>5327</v>
      </c>
      <c r="B8233" s="141">
        <v>3.9015904326045998E-5</v>
      </c>
      <c r="D8233" s="141"/>
    </row>
    <row r="8234" spans="1:4" x14ac:dyDescent="0.2">
      <c r="A8234" s="140" t="s">
        <v>9425</v>
      </c>
      <c r="B8234" s="141">
        <v>3.8988950405478703E-5</v>
      </c>
      <c r="D8234" s="141"/>
    </row>
    <row r="8235" spans="1:4" x14ac:dyDescent="0.2">
      <c r="A8235" s="140" t="s">
        <v>9426</v>
      </c>
      <c r="B8235" s="141">
        <v>3.8975602355243902E-5</v>
      </c>
      <c r="D8235" s="141"/>
    </row>
    <row r="8236" spans="1:4" x14ac:dyDescent="0.2">
      <c r="A8236" s="140" t="s">
        <v>683</v>
      </c>
      <c r="B8236" s="141">
        <v>3.8970370501320699E-5</v>
      </c>
      <c r="D8236" s="141"/>
    </row>
    <row r="8237" spans="1:4" x14ac:dyDescent="0.2">
      <c r="A8237" s="140" t="s">
        <v>9427</v>
      </c>
      <c r="B8237" s="141">
        <v>3.8946818861592902E-5</v>
      </c>
      <c r="D8237" s="141"/>
    </row>
    <row r="8238" spans="1:4" x14ac:dyDescent="0.2">
      <c r="A8238" s="140" t="s">
        <v>1199</v>
      </c>
      <c r="B8238" s="141">
        <v>3.8881798459483097E-5</v>
      </c>
      <c r="D8238" s="141"/>
    </row>
    <row r="8239" spans="1:4" x14ac:dyDescent="0.2">
      <c r="A8239" s="140" t="s">
        <v>9428</v>
      </c>
      <c r="B8239" s="141">
        <v>3.8557541034585003E-5</v>
      </c>
      <c r="D8239" s="141"/>
    </row>
    <row r="8240" spans="1:4" x14ac:dyDescent="0.2">
      <c r="A8240" s="140" t="s">
        <v>6233</v>
      </c>
      <c r="B8240" s="141">
        <v>3.8551125924647802E-5</v>
      </c>
      <c r="D8240" s="141"/>
    </row>
    <row r="8241" spans="1:4" x14ac:dyDescent="0.2">
      <c r="A8241" s="140" t="s">
        <v>3986</v>
      </c>
      <c r="B8241" s="141">
        <v>3.8420435058911302E-5</v>
      </c>
      <c r="D8241" s="141"/>
    </row>
    <row r="8242" spans="1:4" x14ac:dyDescent="0.2">
      <c r="A8242" s="140" t="s">
        <v>1403</v>
      </c>
      <c r="B8242" s="141">
        <v>3.8412353749450303E-5</v>
      </c>
      <c r="D8242" s="141"/>
    </row>
    <row r="8243" spans="1:4" x14ac:dyDescent="0.2">
      <c r="A8243" s="140" t="s">
        <v>935</v>
      </c>
      <c r="B8243" s="141">
        <v>3.8347042319804403E-5</v>
      </c>
      <c r="D8243" s="141"/>
    </row>
    <row r="8244" spans="1:4" x14ac:dyDescent="0.2">
      <c r="A8244" s="140" t="s">
        <v>3589</v>
      </c>
      <c r="B8244" s="141">
        <v>3.8193382024158501E-5</v>
      </c>
      <c r="D8244" s="141"/>
    </row>
    <row r="8245" spans="1:4" x14ac:dyDescent="0.2">
      <c r="A8245" s="140" t="s">
        <v>3488</v>
      </c>
      <c r="B8245" s="141">
        <v>3.8038143836956598E-5</v>
      </c>
      <c r="D8245" s="141"/>
    </row>
    <row r="8246" spans="1:4" x14ac:dyDescent="0.2">
      <c r="A8246" s="140" t="s">
        <v>9429</v>
      </c>
      <c r="B8246" s="141">
        <v>3.7983321963314901E-5</v>
      </c>
      <c r="D8246" s="141"/>
    </row>
    <row r="8247" spans="1:4" x14ac:dyDescent="0.2">
      <c r="A8247" s="140" t="s">
        <v>2381</v>
      </c>
      <c r="B8247" s="141">
        <v>3.7927364252868297E-5</v>
      </c>
      <c r="D8247" s="141"/>
    </row>
    <row r="8248" spans="1:4" x14ac:dyDescent="0.2">
      <c r="A8248" s="140" t="s">
        <v>9430</v>
      </c>
      <c r="B8248" s="141">
        <v>3.7852702542466303E-5</v>
      </c>
      <c r="D8248" s="141"/>
    </row>
    <row r="8249" spans="1:4" x14ac:dyDescent="0.2">
      <c r="A8249" s="140" t="s">
        <v>9431</v>
      </c>
      <c r="B8249" s="141">
        <v>3.7751409059361699E-5</v>
      </c>
      <c r="D8249" s="141"/>
    </row>
    <row r="8250" spans="1:4" x14ac:dyDescent="0.2">
      <c r="A8250" s="140" t="s">
        <v>2479</v>
      </c>
      <c r="B8250" s="141">
        <v>3.7734216753449297E-5</v>
      </c>
      <c r="D8250" s="141"/>
    </row>
    <row r="8251" spans="1:4" x14ac:dyDescent="0.2">
      <c r="A8251" s="140" t="s">
        <v>2223</v>
      </c>
      <c r="B8251" s="141">
        <v>3.7548652939670099E-5</v>
      </c>
      <c r="D8251" s="141"/>
    </row>
    <row r="8252" spans="1:4" x14ac:dyDescent="0.2">
      <c r="A8252" s="140" t="s">
        <v>6195</v>
      </c>
      <c r="B8252" s="141">
        <v>3.7512565140839097E-5</v>
      </c>
      <c r="D8252" s="141"/>
    </row>
    <row r="8253" spans="1:4" x14ac:dyDescent="0.2">
      <c r="A8253" s="140" t="s">
        <v>757</v>
      </c>
      <c r="B8253" s="141">
        <v>3.7468483198040703E-5</v>
      </c>
      <c r="D8253" s="141"/>
    </row>
    <row r="8254" spans="1:4" x14ac:dyDescent="0.2">
      <c r="A8254" s="140" t="s">
        <v>879</v>
      </c>
      <c r="B8254" s="141">
        <v>3.7448079098645099E-5</v>
      </c>
      <c r="D8254" s="141"/>
    </row>
    <row r="8255" spans="1:4" x14ac:dyDescent="0.2">
      <c r="A8255" s="140" t="s">
        <v>9432</v>
      </c>
      <c r="B8255" s="141">
        <v>3.7377446123710197E-5</v>
      </c>
      <c r="D8255" s="141"/>
    </row>
    <row r="8256" spans="1:4" x14ac:dyDescent="0.2">
      <c r="A8256" s="140" t="s">
        <v>4603</v>
      </c>
      <c r="B8256" s="141">
        <v>3.7354562719026E-5</v>
      </c>
      <c r="D8256" s="141"/>
    </row>
    <row r="8257" spans="1:4" x14ac:dyDescent="0.2">
      <c r="A8257" s="140" t="s">
        <v>9433</v>
      </c>
      <c r="B8257" s="141">
        <v>3.7347401450702698E-5</v>
      </c>
      <c r="D8257" s="141"/>
    </row>
    <row r="8258" spans="1:4" x14ac:dyDescent="0.2">
      <c r="A8258" s="140" t="s">
        <v>9434</v>
      </c>
      <c r="B8258" s="141">
        <v>3.7347401450702698E-5</v>
      </c>
      <c r="D8258" s="141"/>
    </row>
    <row r="8259" spans="1:4" x14ac:dyDescent="0.2">
      <c r="A8259" s="140" t="s">
        <v>1753</v>
      </c>
      <c r="B8259" s="141">
        <v>3.7294662205144898E-5</v>
      </c>
      <c r="D8259" s="141"/>
    </row>
    <row r="8260" spans="1:4" x14ac:dyDescent="0.2">
      <c r="A8260" s="140" t="s">
        <v>1629</v>
      </c>
      <c r="B8260" s="141">
        <v>3.7137834552940697E-5</v>
      </c>
      <c r="D8260" s="141"/>
    </row>
    <row r="8261" spans="1:4" x14ac:dyDescent="0.2">
      <c r="A8261" s="140" t="s">
        <v>9435</v>
      </c>
      <c r="B8261" s="141">
        <v>3.7102030121554697E-5</v>
      </c>
      <c r="D8261" s="141"/>
    </row>
    <row r="8262" spans="1:4" x14ac:dyDescent="0.2">
      <c r="A8262" s="140" t="s">
        <v>495</v>
      </c>
      <c r="B8262" s="141">
        <v>3.7089945272237001E-5</v>
      </c>
      <c r="D8262" s="141"/>
    </row>
    <row r="8263" spans="1:4" x14ac:dyDescent="0.2">
      <c r="A8263" s="140" t="s">
        <v>9436</v>
      </c>
      <c r="B8263" s="141">
        <v>3.6893303660517298E-5</v>
      </c>
      <c r="D8263" s="141"/>
    </row>
    <row r="8264" spans="1:4" x14ac:dyDescent="0.2">
      <c r="A8264" s="140" t="s">
        <v>483</v>
      </c>
      <c r="B8264" s="141">
        <v>3.6722206571624103E-5</v>
      </c>
      <c r="D8264" s="141"/>
    </row>
    <row r="8265" spans="1:4" x14ac:dyDescent="0.2">
      <c r="A8265" s="140" t="s">
        <v>9437</v>
      </c>
      <c r="B8265" s="141">
        <v>3.6657316117830797E-5</v>
      </c>
      <c r="D8265" s="141"/>
    </row>
    <row r="8266" spans="1:4" x14ac:dyDescent="0.2">
      <c r="A8266" s="140" t="s">
        <v>5356</v>
      </c>
      <c r="B8266" s="141">
        <v>3.6602117511020303E-5</v>
      </c>
      <c r="D8266" s="141"/>
    </row>
    <row r="8267" spans="1:4" x14ac:dyDescent="0.2">
      <c r="A8267" s="140" t="s">
        <v>1530</v>
      </c>
      <c r="B8267" s="141">
        <v>3.6575516728921399E-5</v>
      </c>
      <c r="D8267" s="141"/>
    </row>
    <row r="8268" spans="1:4" x14ac:dyDescent="0.2">
      <c r="A8268" s="140" t="s">
        <v>9438</v>
      </c>
      <c r="B8268" s="141">
        <v>3.6498949966127302E-5</v>
      </c>
      <c r="D8268" s="141"/>
    </row>
    <row r="8269" spans="1:4" x14ac:dyDescent="0.2">
      <c r="A8269" s="140" t="s">
        <v>9439</v>
      </c>
      <c r="B8269" s="141">
        <v>3.6498774242199103E-5</v>
      </c>
      <c r="D8269" s="141"/>
    </row>
    <row r="8270" spans="1:4" x14ac:dyDescent="0.2">
      <c r="A8270" s="140" t="s">
        <v>9440</v>
      </c>
      <c r="B8270" s="141">
        <v>3.6463246624410001E-5</v>
      </c>
      <c r="D8270" s="141"/>
    </row>
    <row r="8271" spans="1:4" x14ac:dyDescent="0.2">
      <c r="A8271" s="140" t="s">
        <v>9441</v>
      </c>
      <c r="B8271" s="141">
        <v>3.63024511317213E-5</v>
      </c>
      <c r="D8271" s="141"/>
    </row>
    <row r="8272" spans="1:4" x14ac:dyDescent="0.2">
      <c r="A8272" s="140" t="s">
        <v>863</v>
      </c>
      <c r="B8272" s="141">
        <v>3.6253065898214599E-5</v>
      </c>
      <c r="D8272" s="141"/>
    </row>
    <row r="8273" spans="1:4" x14ac:dyDescent="0.2">
      <c r="A8273" s="140" t="s">
        <v>1319</v>
      </c>
      <c r="B8273" s="141">
        <v>3.6208030403828302E-5</v>
      </c>
      <c r="D8273" s="141"/>
    </row>
    <row r="8274" spans="1:4" x14ac:dyDescent="0.2">
      <c r="A8274" s="140" t="s">
        <v>9442</v>
      </c>
      <c r="B8274" s="141">
        <v>3.6127018165568701E-5</v>
      </c>
      <c r="D8274" s="141"/>
    </row>
    <row r="8275" spans="1:4" x14ac:dyDescent="0.2">
      <c r="A8275" s="140" t="s">
        <v>4465</v>
      </c>
      <c r="B8275" s="141">
        <v>3.6091964924168898E-5</v>
      </c>
      <c r="D8275" s="141"/>
    </row>
    <row r="8276" spans="1:4" x14ac:dyDescent="0.2">
      <c r="A8276" s="140" t="s">
        <v>2304</v>
      </c>
      <c r="B8276" s="141">
        <v>3.60037292993543E-5</v>
      </c>
      <c r="D8276" s="141"/>
    </row>
    <row r="8277" spans="1:4" x14ac:dyDescent="0.2">
      <c r="A8277" s="140" t="s">
        <v>4740</v>
      </c>
      <c r="B8277" s="141">
        <v>3.6000517091524101E-5</v>
      </c>
      <c r="D8277" s="141"/>
    </row>
    <row r="8278" spans="1:4" x14ac:dyDescent="0.2">
      <c r="A8278" s="140" t="s">
        <v>9443</v>
      </c>
      <c r="B8278" s="141">
        <v>3.6000517091524101E-5</v>
      </c>
      <c r="D8278" s="141"/>
    </row>
    <row r="8279" spans="1:4" x14ac:dyDescent="0.2">
      <c r="A8279" s="140" t="s">
        <v>4710</v>
      </c>
      <c r="B8279" s="141">
        <v>3.5912644485198801E-5</v>
      </c>
      <c r="D8279" s="141"/>
    </row>
    <row r="8280" spans="1:4" x14ac:dyDescent="0.2">
      <c r="A8280" s="140" t="s">
        <v>9444</v>
      </c>
      <c r="B8280" s="141">
        <v>3.5896589511702999E-5</v>
      </c>
      <c r="D8280" s="141"/>
    </row>
    <row r="8281" spans="1:4" x14ac:dyDescent="0.2">
      <c r="A8281" s="140" t="s">
        <v>9445</v>
      </c>
      <c r="B8281" s="141">
        <v>3.5896589511702999E-5</v>
      </c>
      <c r="D8281" s="141"/>
    </row>
    <row r="8282" spans="1:4" x14ac:dyDescent="0.2">
      <c r="A8282" s="140" t="s">
        <v>9446</v>
      </c>
      <c r="B8282" s="141">
        <v>3.5896589511702999E-5</v>
      </c>
      <c r="D8282" s="141"/>
    </row>
    <row r="8283" spans="1:4" x14ac:dyDescent="0.2">
      <c r="A8283" s="140" t="s">
        <v>9447</v>
      </c>
      <c r="B8283" s="141">
        <v>3.5896589511702999E-5</v>
      </c>
      <c r="D8283" s="141"/>
    </row>
    <row r="8284" spans="1:4" x14ac:dyDescent="0.2">
      <c r="A8284" s="140" t="s">
        <v>9448</v>
      </c>
      <c r="B8284" s="141">
        <v>3.5896589511702999E-5</v>
      </c>
      <c r="D8284" s="141"/>
    </row>
    <row r="8285" spans="1:4" x14ac:dyDescent="0.2">
      <c r="A8285" s="140" t="s">
        <v>9449</v>
      </c>
      <c r="B8285" s="141">
        <v>3.5896589511702999E-5</v>
      </c>
      <c r="D8285" s="141"/>
    </row>
    <row r="8286" spans="1:4" x14ac:dyDescent="0.2">
      <c r="A8286" s="140" t="s">
        <v>5216</v>
      </c>
      <c r="B8286" s="141">
        <v>3.5896589511702999E-5</v>
      </c>
      <c r="D8286" s="141"/>
    </row>
    <row r="8287" spans="1:4" x14ac:dyDescent="0.2">
      <c r="A8287" s="140" t="s">
        <v>4190</v>
      </c>
      <c r="B8287" s="141">
        <v>3.5896589511702999E-5</v>
      </c>
      <c r="D8287" s="141"/>
    </row>
    <row r="8288" spans="1:4" x14ac:dyDescent="0.2">
      <c r="A8288" s="140" t="s">
        <v>9450</v>
      </c>
      <c r="B8288" s="141">
        <v>3.5789461315839701E-5</v>
      </c>
      <c r="D8288" s="141"/>
    </row>
    <row r="8289" spans="1:4" x14ac:dyDescent="0.2">
      <c r="A8289" s="140" t="s">
        <v>525</v>
      </c>
      <c r="B8289" s="141">
        <v>3.5703707695098297E-5</v>
      </c>
      <c r="D8289" s="141"/>
    </row>
    <row r="8290" spans="1:4" x14ac:dyDescent="0.2">
      <c r="A8290" s="140" t="s">
        <v>4679</v>
      </c>
      <c r="B8290" s="141">
        <v>3.5581016848255298E-5</v>
      </c>
      <c r="D8290" s="141"/>
    </row>
    <row r="8291" spans="1:4" x14ac:dyDescent="0.2">
      <c r="A8291" s="140" t="s">
        <v>3997</v>
      </c>
      <c r="B8291" s="141">
        <v>3.5558099805866602E-5</v>
      </c>
      <c r="D8291" s="141"/>
    </row>
    <row r="8292" spans="1:4" x14ac:dyDescent="0.2">
      <c r="A8292" s="140" t="s">
        <v>3798</v>
      </c>
      <c r="B8292" s="141">
        <v>3.5529066428646402E-5</v>
      </c>
      <c r="D8292" s="141"/>
    </row>
    <row r="8293" spans="1:4" x14ac:dyDescent="0.2">
      <c r="A8293" s="140" t="s">
        <v>3573</v>
      </c>
      <c r="B8293" s="141">
        <v>3.5529066428646402E-5</v>
      </c>
      <c r="D8293" s="141"/>
    </row>
    <row r="8294" spans="1:4" x14ac:dyDescent="0.2">
      <c r="A8294" s="140" t="s">
        <v>9451</v>
      </c>
      <c r="B8294" s="141">
        <v>3.54429472505012E-5</v>
      </c>
      <c r="D8294" s="141"/>
    </row>
    <row r="8295" spans="1:4" x14ac:dyDescent="0.2">
      <c r="A8295" s="140" t="s">
        <v>636</v>
      </c>
      <c r="B8295" s="141">
        <v>3.5429853946852998E-5</v>
      </c>
      <c r="D8295" s="141"/>
    </row>
    <row r="8296" spans="1:4" x14ac:dyDescent="0.2">
      <c r="A8296" s="140" t="s">
        <v>5528</v>
      </c>
      <c r="B8296" s="141">
        <v>3.5377938488960702E-5</v>
      </c>
      <c r="D8296" s="141"/>
    </row>
    <row r="8297" spans="1:4" x14ac:dyDescent="0.2">
      <c r="A8297" s="140" t="s">
        <v>9452</v>
      </c>
      <c r="B8297" s="141">
        <v>3.5271255781189301E-5</v>
      </c>
      <c r="D8297" s="141"/>
    </row>
    <row r="8298" spans="1:4" x14ac:dyDescent="0.2">
      <c r="A8298" s="140" t="s">
        <v>9453</v>
      </c>
      <c r="B8298" s="141">
        <v>3.5165306188199598E-5</v>
      </c>
      <c r="D8298" s="141"/>
    </row>
    <row r="8299" spans="1:4" x14ac:dyDescent="0.2">
      <c r="A8299" s="140" t="s">
        <v>1437</v>
      </c>
      <c r="B8299" s="141">
        <v>3.5165306188199598E-5</v>
      </c>
      <c r="D8299" s="141"/>
    </row>
    <row r="8300" spans="1:4" x14ac:dyDescent="0.2">
      <c r="A8300" s="140" t="s">
        <v>552</v>
      </c>
      <c r="B8300" s="141">
        <v>3.5151423938519702E-5</v>
      </c>
      <c r="D8300" s="141"/>
    </row>
    <row r="8301" spans="1:4" x14ac:dyDescent="0.2">
      <c r="A8301" s="140" t="s">
        <v>9454</v>
      </c>
      <c r="B8301" s="141">
        <v>3.5136218909661899E-5</v>
      </c>
      <c r="D8301" s="141"/>
    </row>
    <row r="8302" spans="1:4" x14ac:dyDescent="0.2">
      <c r="A8302" s="140" t="s">
        <v>9455</v>
      </c>
      <c r="B8302" s="141">
        <v>3.50299964185204E-5</v>
      </c>
      <c r="D8302" s="141"/>
    </row>
    <row r="8303" spans="1:4" x14ac:dyDescent="0.2">
      <c r="A8303" s="140" t="s">
        <v>5355</v>
      </c>
      <c r="B8303" s="141">
        <v>3.4981916852994299E-5</v>
      </c>
      <c r="D8303" s="141"/>
    </row>
    <row r="8304" spans="1:4" x14ac:dyDescent="0.2">
      <c r="A8304" s="140" t="s">
        <v>9456</v>
      </c>
      <c r="B8304" s="141">
        <v>3.4928296140701E-5</v>
      </c>
      <c r="D8304" s="141"/>
    </row>
    <row r="8305" spans="1:4" x14ac:dyDescent="0.2">
      <c r="A8305" s="140" t="s">
        <v>1088</v>
      </c>
      <c r="B8305" s="141">
        <v>3.4858366524783001E-5</v>
      </c>
      <c r="D8305" s="141"/>
    </row>
    <row r="8306" spans="1:4" x14ac:dyDescent="0.2">
      <c r="A8306" s="140" t="s">
        <v>9457</v>
      </c>
      <c r="B8306" s="141">
        <v>3.4740977398390402E-5</v>
      </c>
      <c r="D8306" s="141"/>
    </row>
    <row r="8307" spans="1:4" x14ac:dyDescent="0.2">
      <c r="A8307" s="140" t="s">
        <v>938</v>
      </c>
      <c r="B8307" s="141">
        <v>3.4715680443996703E-5</v>
      </c>
      <c r="D8307" s="141"/>
    </row>
    <row r="8308" spans="1:4" x14ac:dyDescent="0.2">
      <c r="A8308" s="140" t="s">
        <v>800</v>
      </c>
      <c r="B8308" s="141">
        <v>3.4709404506134002E-5</v>
      </c>
      <c r="D8308" s="141"/>
    </row>
    <row r="8309" spans="1:4" x14ac:dyDescent="0.2">
      <c r="A8309" s="140" t="s">
        <v>9458</v>
      </c>
      <c r="B8309" s="141">
        <v>3.4642208139246803E-5</v>
      </c>
      <c r="D8309" s="141"/>
    </row>
    <row r="8310" spans="1:4" x14ac:dyDescent="0.2">
      <c r="A8310" s="140" t="s">
        <v>9459</v>
      </c>
      <c r="B8310" s="141">
        <v>3.4642208139246803E-5</v>
      </c>
      <c r="D8310" s="141"/>
    </row>
    <row r="8311" spans="1:4" x14ac:dyDescent="0.2">
      <c r="A8311" s="140" t="s">
        <v>1549</v>
      </c>
      <c r="B8311" s="141">
        <v>3.4599338850599901E-5</v>
      </c>
      <c r="D8311" s="141"/>
    </row>
    <row r="8312" spans="1:4" x14ac:dyDescent="0.2">
      <c r="A8312" s="140" t="s">
        <v>5276</v>
      </c>
      <c r="B8312" s="141">
        <v>3.4539576361910099E-5</v>
      </c>
      <c r="D8312" s="141"/>
    </row>
    <row r="8313" spans="1:4" x14ac:dyDescent="0.2">
      <c r="A8313" s="140" t="s">
        <v>1393</v>
      </c>
      <c r="B8313" s="141">
        <v>3.4486466562312501E-5</v>
      </c>
      <c r="D8313" s="141"/>
    </row>
    <row r="8314" spans="1:4" x14ac:dyDescent="0.2">
      <c r="A8314" s="140" t="s">
        <v>6325</v>
      </c>
      <c r="B8314" s="141">
        <v>3.4414241634526203E-5</v>
      </c>
      <c r="D8314" s="141"/>
    </row>
    <row r="8315" spans="1:4" x14ac:dyDescent="0.2">
      <c r="A8315" s="140" t="s">
        <v>3096</v>
      </c>
      <c r="B8315" s="141">
        <v>3.4330384110644697E-5</v>
      </c>
      <c r="D8315" s="141"/>
    </row>
    <row r="8316" spans="1:4" x14ac:dyDescent="0.2">
      <c r="A8316" s="140" t="s">
        <v>1665</v>
      </c>
      <c r="B8316" s="141">
        <v>3.4027511694803098E-5</v>
      </c>
      <c r="D8316" s="141"/>
    </row>
    <row r="8317" spans="1:4" x14ac:dyDescent="0.2">
      <c r="A8317" s="140" t="s">
        <v>375</v>
      </c>
      <c r="B8317" s="141">
        <v>3.3968427469254198E-5</v>
      </c>
      <c r="D8317" s="141"/>
    </row>
    <row r="8318" spans="1:4" x14ac:dyDescent="0.2">
      <c r="A8318" s="140" t="s">
        <v>9460</v>
      </c>
      <c r="B8318" s="141">
        <v>3.3789526203247802E-5</v>
      </c>
      <c r="D8318" s="141"/>
    </row>
    <row r="8319" spans="1:4" x14ac:dyDescent="0.2">
      <c r="A8319" s="140" t="s">
        <v>9461</v>
      </c>
      <c r="B8319" s="141">
        <v>3.3705034891713403E-5</v>
      </c>
      <c r="D8319" s="141"/>
    </row>
    <row r="8320" spans="1:4" x14ac:dyDescent="0.2">
      <c r="A8320" s="140" t="s">
        <v>795</v>
      </c>
      <c r="B8320" s="141">
        <v>3.3694619592967901E-5</v>
      </c>
      <c r="D8320" s="141"/>
    </row>
    <row r="8321" spans="1:4" x14ac:dyDescent="0.2">
      <c r="A8321" s="140" t="s">
        <v>979</v>
      </c>
      <c r="B8321" s="141">
        <v>3.3685929007604399E-5</v>
      </c>
      <c r="D8321" s="141"/>
    </row>
    <row r="8322" spans="1:4" x14ac:dyDescent="0.2">
      <c r="A8322" s="140" t="s">
        <v>1914</v>
      </c>
      <c r="B8322" s="141">
        <v>3.3663120109753502E-5</v>
      </c>
      <c r="D8322" s="141"/>
    </row>
    <row r="8323" spans="1:4" x14ac:dyDescent="0.2">
      <c r="A8323" s="140" t="s">
        <v>9462</v>
      </c>
      <c r="B8323" s="141">
        <v>3.3654275818439499E-5</v>
      </c>
      <c r="D8323" s="141"/>
    </row>
    <row r="8324" spans="1:4" x14ac:dyDescent="0.2">
      <c r="A8324" s="140" t="s">
        <v>815</v>
      </c>
      <c r="B8324" s="141">
        <v>3.3623705062700999E-5</v>
      </c>
      <c r="D8324" s="141"/>
    </row>
    <row r="8325" spans="1:4" x14ac:dyDescent="0.2">
      <c r="A8325" s="140" t="s">
        <v>9463</v>
      </c>
      <c r="B8325" s="141">
        <v>3.3619521496920901E-5</v>
      </c>
      <c r="D8325" s="141"/>
    </row>
    <row r="8326" spans="1:4" x14ac:dyDescent="0.2">
      <c r="A8326" s="140" t="s">
        <v>1116</v>
      </c>
      <c r="B8326" s="141">
        <v>3.3613379307609998E-5</v>
      </c>
      <c r="D8326" s="141"/>
    </row>
    <row r="8327" spans="1:4" x14ac:dyDescent="0.2">
      <c r="A8327" s="140" t="s">
        <v>9464</v>
      </c>
      <c r="B8327" s="141">
        <v>3.3551663477602399E-5</v>
      </c>
      <c r="D8327" s="141"/>
    </row>
    <row r="8328" spans="1:4" x14ac:dyDescent="0.2">
      <c r="A8328" s="140" t="s">
        <v>5543</v>
      </c>
      <c r="B8328" s="141">
        <v>3.35354436328049E-5</v>
      </c>
      <c r="D8328" s="141"/>
    </row>
    <row r="8329" spans="1:4" x14ac:dyDescent="0.2">
      <c r="A8329" s="140" t="s">
        <v>492</v>
      </c>
      <c r="B8329" s="141">
        <v>3.3394056564211999E-5</v>
      </c>
      <c r="D8329" s="141"/>
    </row>
    <row r="8330" spans="1:4" x14ac:dyDescent="0.2">
      <c r="A8330" s="140" t="s">
        <v>9465</v>
      </c>
      <c r="B8330" s="141">
        <v>3.3362962404118499E-5</v>
      </c>
      <c r="D8330" s="141"/>
    </row>
    <row r="8331" spans="1:4" x14ac:dyDescent="0.2">
      <c r="A8331" s="140" t="s">
        <v>665</v>
      </c>
      <c r="B8331" s="141">
        <v>3.3254597346649403E-5</v>
      </c>
      <c r="D8331" s="141"/>
    </row>
    <row r="8332" spans="1:4" x14ac:dyDescent="0.2">
      <c r="A8332" s="140" t="s">
        <v>4085</v>
      </c>
      <c r="B8332" s="141">
        <v>3.3252788694404598E-5</v>
      </c>
      <c r="D8332" s="141"/>
    </row>
    <row r="8333" spans="1:4" x14ac:dyDescent="0.2">
      <c r="A8333" s="140" t="s">
        <v>9466</v>
      </c>
      <c r="B8333" s="141">
        <v>3.3158650153921297E-5</v>
      </c>
      <c r="D8333" s="141"/>
    </row>
    <row r="8334" spans="1:4" x14ac:dyDescent="0.2">
      <c r="A8334" s="140" t="s">
        <v>4060</v>
      </c>
      <c r="B8334" s="141">
        <v>3.3145826950365398E-5</v>
      </c>
      <c r="D8334" s="141"/>
    </row>
    <row r="8335" spans="1:4" x14ac:dyDescent="0.2">
      <c r="A8335" s="140" t="s">
        <v>9467</v>
      </c>
      <c r="B8335" s="141">
        <v>3.2975299920968298E-5</v>
      </c>
      <c r="D8335" s="141"/>
    </row>
    <row r="8336" spans="1:4" x14ac:dyDescent="0.2">
      <c r="A8336" s="140" t="s">
        <v>9468</v>
      </c>
      <c r="B8336" s="141">
        <v>3.2965203960049601E-5</v>
      </c>
      <c r="D8336" s="141"/>
    </row>
    <row r="8337" spans="1:4" x14ac:dyDescent="0.2">
      <c r="A8337" s="140" t="s">
        <v>9469</v>
      </c>
      <c r="B8337" s="141">
        <v>3.2939353913968598E-5</v>
      </c>
      <c r="D8337" s="141"/>
    </row>
    <row r="8338" spans="1:4" x14ac:dyDescent="0.2">
      <c r="A8338" s="140" t="s">
        <v>9470</v>
      </c>
      <c r="B8338" s="141">
        <v>3.2711831468918997E-5</v>
      </c>
      <c r="D8338" s="141"/>
    </row>
    <row r="8339" spans="1:4" x14ac:dyDescent="0.2">
      <c r="A8339" s="140" t="s">
        <v>1409</v>
      </c>
      <c r="B8339" s="141">
        <v>3.2675179569825699E-5</v>
      </c>
      <c r="D8339" s="141"/>
    </row>
    <row r="8340" spans="1:4" x14ac:dyDescent="0.2">
      <c r="A8340" s="140" t="s">
        <v>937</v>
      </c>
      <c r="B8340" s="141">
        <v>3.25479092403305E-5</v>
      </c>
      <c r="D8340" s="141"/>
    </row>
    <row r="8341" spans="1:4" x14ac:dyDescent="0.2">
      <c r="A8341" s="140" t="s">
        <v>9471</v>
      </c>
      <c r="B8341" s="141">
        <v>3.2537605371992102E-5</v>
      </c>
      <c r="D8341" s="141"/>
    </row>
    <row r="8342" spans="1:4" x14ac:dyDescent="0.2">
      <c r="A8342" s="140" t="s">
        <v>1016</v>
      </c>
      <c r="B8342" s="141">
        <v>3.2522945392565303E-5</v>
      </c>
      <c r="D8342" s="141"/>
    </row>
    <row r="8343" spans="1:4" x14ac:dyDescent="0.2">
      <c r="A8343" s="140" t="s">
        <v>9472</v>
      </c>
      <c r="B8343" s="141">
        <v>3.2472156878449403E-5</v>
      </c>
      <c r="D8343" s="141"/>
    </row>
    <row r="8344" spans="1:4" x14ac:dyDescent="0.2">
      <c r="A8344" s="140" t="s">
        <v>9473</v>
      </c>
      <c r="B8344" s="141">
        <v>3.2469818227362103E-5</v>
      </c>
      <c r="D8344" s="141"/>
    </row>
    <row r="8345" spans="1:4" x14ac:dyDescent="0.2">
      <c r="A8345" s="140" t="s">
        <v>9474</v>
      </c>
      <c r="B8345" s="141">
        <v>3.2370108851431798E-5</v>
      </c>
      <c r="D8345" s="141"/>
    </row>
    <row r="8346" spans="1:4" x14ac:dyDescent="0.2">
      <c r="A8346" s="140" t="s">
        <v>5325</v>
      </c>
      <c r="B8346" s="141">
        <v>3.2370108851431798E-5</v>
      </c>
      <c r="D8346" s="141"/>
    </row>
    <row r="8347" spans="1:4" x14ac:dyDescent="0.2">
      <c r="A8347" s="140" t="s">
        <v>4629</v>
      </c>
      <c r="B8347" s="141">
        <v>3.2370108851431798E-5</v>
      </c>
      <c r="D8347" s="141"/>
    </row>
    <row r="8348" spans="1:4" x14ac:dyDescent="0.2">
      <c r="A8348" s="140" t="s">
        <v>1362</v>
      </c>
      <c r="B8348" s="141">
        <v>3.2320823019865999E-5</v>
      </c>
      <c r="D8348" s="141"/>
    </row>
    <row r="8349" spans="1:4" x14ac:dyDescent="0.2">
      <c r="A8349" s="140" t="s">
        <v>6078</v>
      </c>
      <c r="B8349" s="141">
        <v>3.2220646396043001E-5</v>
      </c>
      <c r="D8349" s="141"/>
    </row>
    <row r="8350" spans="1:4" x14ac:dyDescent="0.2">
      <c r="A8350" s="140" t="s">
        <v>3504</v>
      </c>
      <c r="B8350" s="141">
        <v>3.2190799275234399E-5</v>
      </c>
      <c r="D8350" s="141"/>
    </row>
    <row r="8351" spans="1:4" x14ac:dyDescent="0.2">
      <c r="A8351" s="140" t="s">
        <v>1184</v>
      </c>
      <c r="B8351" s="141">
        <v>3.2176782116832499E-5</v>
      </c>
      <c r="D8351" s="141"/>
    </row>
    <row r="8352" spans="1:4" x14ac:dyDescent="0.2">
      <c r="A8352" s="140" t="s">
        <v>9475</v>
      </c>
      <c r="B8352" s="141">
        <v>3.2167654976460003E-5</v>
      </c>
      <c r="D8352" s="141"/>
    </row>
    <row r="8353" spans="1:4" x14ac:dyDescent="0.2">
      <c r="A8353" s="140" t="s">
        <v>4461</v>
      </c>
      <c r="B8353" s="141">
        <v>3.2114970528228697E-5</v>
      </c>
      <c r="D8353" s="141"/>
    </row>
    <row r="8354" spans="1:4" x14ac:dyDescent="0.2">
      <c r="A8354" s="140" t="s">
        <v>2269</v>
      </c>
      <c r="B8354" s="141">
        <v>3.2094109604417903E-5</v>
      </c>
      <c r="D8354" s="141"/>
    </row>
    <row r="8355" spans="1:4" x14ac:dyDescent="0.2">
      <c r="A8355" s="140" t="s">
        <v>9476</v>
      </c>
      <c r="B8355" s="141">
        <v>3.1996440633290099E-5</v>
      </c>
      <c r="D8355" s="141"/>
    </row>
    <row r="8356" spans="1:4" x14ac:dyDescent="0.2">
      <c r="A8356" s="140" t="s">
        <v>9477</v>
      </c>
      <c r="B8356" s="141">
        <v>3.1996440633290099E-5</v>
      </c>
      <c r="D8356" s="141"/>
    </row>
    <row r="8357" spans="1:4" x14ac:dyDescent="0.2">
      <c r="A8357" s="140" t="s">
        <v>9478</v>
      </c>
      <c r="B8357" s="141">
        <v>3.1996440633290099E-5</v>
      </c>
      <c r="D8357" s="141"/>
    </row>
    <row r="8358" spans="1:4" x14ac:dyDescent="0.2">
      <c r="A8358" s="140" t="s">
        <v>9479</v>
      </c>
      <c r="B8358" s="141">
        <v>3.1996440633290099E-5</v>
      </c>
      <c r="D8358" s="141"/>
    </row>
    <row r="8359" spans="1:4" x14ac:dyDescent="0.2">
      <c r="A8359" s="140" t="s">
        <v>9480</v>
      </c>
      <c r="B8359" s="141">
        <v>3.1996440633290099E-5</v>
      </c>
      <c r="D8359" s="141"/>
    </row>
    <row r="8360" spans="1:4" x14ac:dyDescent="0.2">
      <c r="A8360" s="140" t="s">
        <v>9481</v>
      </c>
      <c r="B8360" s="141">
        <v>3.1995783936605797E-5</v>
      </c>
      <c r="D8360" s="141"/>
    </row>
    <row r="8361" spans="1:4" x14ac:dyDescent="0.2">
      <c r="A8361" s="140" t="s">
        <v>9482</v>
      </c>
      <c r="B8361" s="141">
        <v>3.1859588363378303E-5</v>
      </c>
      <c r="D8361" s="141"/>
    </row>
    <row r="8362" spans="1:4" x14ac:dyDescent="0.2">
      <c r="A8362" s="140" t="s">
        <v>9483</v>
      </c>
      <c r="B8362" s="141">
        <v>3.1853198386278598E-5</v>
      </c>
      <c r="D8362" s="141"/>
    </row>
    <row r="8363" spans="1:4" x14ac:dyDescent="0.2">
      <c r="A8363" s="140" t="s">
        <v>1454</v>
      </c>
      <c r="B8363" s="141">
        <v>3.1843312341314E-5</v>
      </c>
      <c r="D8363" s="141"/>
    </row>
    <row r="8364" spans="1:4" x14ac:dyDescent="0.2">
      <c r="A8364" s="140" t="s">
        <v>2397</v>
      </c>
      <c r="B8364" s="141">
        <v>3.18067737465175E-5</v>
      </c>
      <c r="D8364" s="141"/>
    </row>
    <row r="8365" spans="1:4" x14ac:dyDescent="0.2">
      <c r="A8365" s="140" t="s">
        <v>9484</v>
      </c>
      <c r="B8365" s="141">
        <v>3.1798348355961701E-5</v>
      </c>
      <c r="D8365" s="141"/>
    </row>
    <row r="8366" spans="1:4" x14ac:dyDescent="0.2">
      <c r="A8366" s="140" t="s">
        <v>9485</v>
      </c>
      <c r="B8366" s="141">
        <v>3.16838417992114E-5</v>
      </c>
      <c r="D8366" s="141"/>
    </row>
    <row r="8367" spans="1:4" x14ac:dyDescent="0.2">
      <c r="A8367" s="140" t="s">
        <v>9486</v>
      </c>
      <c r="B8367" s="141">
        <v>3.1643418450073998E-5</v>
      </c>
      <c r="D8367" s="141"/>
    </row>
    <row r="8368" spans="1:4" x14ac:dyDescent="0.2">
      <c r="A8368" s="140" t="s">
        <v>867</v>
      </c>
      <c r="B8368" s="141">
        <v>3.1478200150758698E-5</v>
      </c>
      <c r="D8368" s="141"/>
    </row>
    <row r="8369" spans="1:4" x14ac:dyDescent="0.2">
      <c r="A8369" s="140" t="s">
        <v>9487</v>
      </c>
      <c r="B8369" s="141">
        <v>3.1438298427613499E-5</v>
      </c>
      <c r="D8369" s="141"/>
    </row>
    <row r="8370" spans="1:4" x14ac:dyDescent="0.2">
      <c r="A8370" s="140" t="s">
        <v>5583</v>
      </c>
      <c r="B8370" s="141">
        <v>3.1373824393893197E-5</v>
      </c>
      <c r="D8370" s="141"/>
    </row>
    <row r="8371" spans="1:4" x14ac:dyDescent="0.2">
      <c r="A8371" s="140" t="s">
        <v>2441</v>
      </c>
      <c r="B8371" s="141">
        <v>3.1193909236074002E-5</v>
      </c>
      <c r="D8371" s="141"/>
    </row>
    <row r="8372" spans="1:4" x14ac:dyDescent="0.2">
      <c r="A8372" s="140" t="s">
        <v>9488</v>
      </c>
      <c r="B8372" s="141">
        <v>3.1052899274097401E-5</v>
      </c>
      <c r="D8372" s="141"/>
    </row>
    <row r="8373" spans="1:4" x14ac:dyDescent="0.2">
      <c r="A8373" s="140" t="s">
        <v>1617</v>
      </c>
      <c r="B8373" s="141">
        <v>3.1013345315365999E-5</v>
      </c>
      <c r="D8373" s="141"/>
    </row>
    <row r="8374" spans="1:4" x14ac:dyDescent="0.2">
      <c r="A8374" s="140" t="s">
        <v>4990</v>
      </c>
      <c r="B8374" s="141">
        <v>3.0876273083117297E-5</v>
      </c>
      <c r="D8374" s="141"/>
    </row>
    <row r="8375" spans="1:4" x14ac:dyDescent="0.2">
      <c r="A8375" s="140" t="s">
        <v>496</v>
      </c>
      <c r="B8375" s="141">
        <v>3.0753103840780303E-5</v>
      </c>
      <c r="D8375" s="141"/>
    </row>
    <row r="8376" spans="1:4" x14ac:dyDescent="0.2">
      <c r="A8376" s="140" t="s">
        <v>9489</v>
      </c>
      <c r="B8376" s="141">
        <v>3.0697026459947502E-5</v>
      </c>
      <c r="D8376" s="141"/>
    </row>
    <row r="8377" spans="1:4" x14ac:dyDescent="0.2">
      <c r="A8377" s="140" t="s">
        <v>9490</v>
      </c>
      <c r="B8377" s="141">
        <v>3.0697026459947502E-5</v>
      </c>
      <c r="D8377" s="141"/>
    </row>
    <row r="8378" spans="1:4" x14ac:dyDescent="0.2">
      <c r="A8378" s="140" t="s">
        <v>9491</v>
      </c>
      <c r="B8378" s="141">
        <v>3.0697026459947502E-5</v>
      </c>
      <c r="D8378" s="141"/>
    </row>
    <row r="8379" spans="1:4" x14ac:dyDescent="0.2">
      <c r="A8379" s="140" t="s">
        <v>9492</v>
      </c>
      <c r="B8379" s="141">
        <v>3.0697026459947502E-5</v>
      </c>
      <c r="D8379" s="141"/>
    </row>
    <row r="8380" spans="1:4" x14ac:dyDescent="0.2">
      <c r="A8380" s="140" t="s">
        <v>9493</v>
      </c>
      <c r="B8380" s="141">
        <v>3.0697026459947502E-5</v>
      </c>
      <c r="D8380" s="141"/>
    </row>
    <row r="8381" spans="1:4" x14ac:dyDescent="0.2">
      <c r="A8381" s="140" t="s">
        <v>9494</v>
      </c>
      <c r="B8381" s="141">
        <v>3.0697026459947502E-5</v>
      </c>
      <c r="D8381" s="141"/>
    </row>
    <row r="8382" spans="1:4" x14ac:dyDescent="0.2">
      <c r="A8382" s="140" t="s">
        <v>9495</v>
      </c>
      <c r="B8382" s="141">
        <v>3.0697026459947502E-5</v>
      </c>
      <c r="D8382" s="141"/>
    </row>
    <row r="8383" spans="1:4" x14ac:dyDescent="0.2">
      <c r="A8383" s="140" t="s">
        <v>9496</v>
      </c>
      <c r="B8383" s="141">
        <v>3.0697026459947502E-5</v>
      </c>
      <c r="D8383" s="141"/>
    </row>
    <row r="8384" spans="1:4" x14ac:dyDescent="0.2">
      <c r="A8384" s="140" t="s">
        <v>9497</v>
      </c>
      <c r="B8384" s="141">
        <v>3.0697026459947502E-5</v>
      </c>
      <c r="D8384" s="141"/>
    </row>
    <row r="8385" spans="1:4" x14ac:dyDescent="0.2">
      <c r="A8385" s="140" t="s">
        <v>9498</v>
      </c>
      <c r="B8385" s="141">
        <v>3.0665053386071001E-5</v>
      </c>
      <c r="D8385" s="141"/>
    </row>
    <row r="8386" spans="1:4" x14ac:dyDescent="0.2">
      <c r="A8386" s="140" t="s">
        <v>9499</v>
      </c>
      <c r="B8386" s="141">
        <v>3.0651396074721098E-5</v>
      </c>
      <c r="D8386" s="141"/>
    </row>
    <row r="8387" spans="1:4" x14ac:dyDescent="0.2">
      <c r="A8387" s="140" t="s">
        <v>9500</v>
      </c>
      <c r="B8387" s="141">
        <v>3.04201557004648E-5</v>
      </c>
      <c r="D8387" s="141"/>
    </row>
    <row r="8388" spans="1:4" x14ac:dyDescent="0.2">
      <c r="A8388" s="140" t="s">
        <v>9501</v>
      </c>
      <c r="B8388" s="141">
        <v>3.0391759378353799E-5</v>
      </c>
      <c r="D8388" s="141"/>
    </row>
    <row r="8389" spans="1:4" x14ac:dyDescent="0.2">
      <c r="A8389" s="140" t="s">
        <v>905</v>
      </c>
      <c r="B8389" s="141">
        <v>3.03813099885206E-5</v>
      </c>
      <c r="D8389" s="141"/>
    </row>
    <row r="8390" spans="1:4" x14ac:dyDescent="0.2">
      <c r="A8390" s="140" t="s">
        <v>1616</v>
      </c>
      <c r="B8390" s="141">
        <v>3.03567556932725E-5</v>
      </c>
      <c r="D8390" s="141"/>
    </row>
    <row r="8391" spans="1:4" x14ac:dyDescent="0.2">
      <c r="A8391" s="140" t="s">
        <v>1621</v>
      </c>
      <c r="B8391" s="141">
        <v>3.0181269267781501E-5</v>
      </c>
      <c r="D8391" s="141"/>
    </row>
    <row r="8392" spans="1:4" x14ac:dyDescent="0.2">
      <c r="A8392" s="140" t="s">
        <v>1550</v>
      </c>
      <c r="B8392" s="141">
        <v>3.0163176572260901E-5</v>
      </c>
      <c r="D8392" s="141"/>
    </row>
    <row r="8393" spans="1:4" x14ac:dyDescent="0.2">
      <c r="A8393" s="140" t="s">
        <v>9502</v>
      </c>
      <c r="B8393" s="141">
        <v>3.0161928761303001E-5</v>
      </c>
      <c r="D8393" s="141"/>
    </row>
    <row r="8394" spans="1:4" x14ac:dyDescent="0.2">
      <c r="A8394" s="140" t="s">
        <v>9503</v>
      </c>
      <c r="B8394" s="141">
        <v>3.0107575339226502E-5</v>
      </c>
      <c r="D8394" s="141"/>
    </row>
    <row r="8395" spans="1:4" x14ac:dyDescent="0.2">
      <c r="A8395" s="140" t="s">
        <v>4282</v>
      </c>
      <c r="B8395" s="141">
        <v>3.0107102165790501E-5</v>
      </c>
      <c r="D8395" s="141"/>
    </row>
    <row r="8396" spans="1:4" x14ac:dyDescent="0.2">
      <c r="A8396" s="140" t="s">
        <v>1136</v>
      </c>
      <c r="B8396" s="141">
        <v>3.008516429919E-5</v>
      </c>
      <c r="D8396" s="141"/>
    </row>
    <row r="8397" spans="1:4" x14ac:dyDescent="0.2">
      <c r="A8397" s="140" t="s">
        <v>5573</v>
      </c>
      <c r="B8397" s="141">
        <v>3.0082721516223901E-5</v>
      </c>
      <c r="D8397" s="141"/>
    </row>
    <row r="8398" spans="1:4" x14ac:dyDescent="0.2">
      <c r="A8398" s="140" t="s">
        <v>1254</v>
      </c>
      <c r="B8398" s="141">
        <v>3.0069781875972E-5</v>
      </c>
      <c r="D8398" s="141"/>
    </row>
    <row r="8399" spans="1:4" x14ac:dyDescent="0.2">
      <c r="A8399" s="140" t="s">
        <v>841</v>
      </c>
      <c r="B8399" s="141">
        <v>3.0001792702723002E-5</v>
      </c>
      <c r="D8399" s="141"/>
    </row>
    <row r="8400" spans="1:4" x14ac:dyDescent="0.2">
      <c r="A8400" s="140" t="s">
        <v>1075</v>
      </c>
      <c r="B8400" s="141">
        <v>2.9881687525105601E-5</v>
      </c>
      <c r="D8400" s="141"/>
    </row>
    <row r="8401" spans="1:4" x14ac:dyDescent="0.2">
      <c r="A8401" s="140" t="s">
        <v>5494</v>
      </c>
      <c r="B8401" s="141">
        <v>2.9822986350004199E-5</v>
      </c>
      <c r="D8401" s="141"/>
    </row>
    <row r="8402" spans="1:4" x14ac:dyDescent="0.2">
      <c r="A8402" s="140" t="s">
        <v>4128</v>
      </c>
      <c r="B8402" s="141">
        <v>2.9822986350004199E-5</v>
      </c>
      <c r="D8402" s="141"/>
    </row>
    <row r="8403" spans="1:4" x14ac:dyDescent="0.2">
      <c r="A8403" s="140" t="s">
        <v>9504</v>
      </c>
      <c r="B8403" s="141">
        <v>2.9632769022945201E-5</v>
      </c>
      <c r="D8403" s="141"/>
    </row>
    <row r="8404" spans="1:4" x14ac:dyDescent="0.2">
      <c r="A8404" s="140" t="s">
        <v>487</v>
      </c>
      <c r="B8404" s="141">
        <v>2.9627632570657899E-5</v>
      </c>
      <c r="D8404" s="141"/>
    </row>
    <row r="8405" spans="1:4" x14ac:dyDescent="0.2">
      <c r="A8405" s="140" t="s">
        <v>9505</v>
      </c>
      <c r="B8405" s="141">
        <v>2.96139151798564E-5</v>
      </c>
      <c r="D8405" s="141"/>
    </row>
    <row r="8406" spans="1:4" x14ac:dyDescent="0.2">
      <c r="A8406" s="140" t="s">
        <v>4714</v>
      </c>
      <c r="B8406" s="141">
        <v>2.96069295933908E-5</v>
      </c>
      <c r="D8406" s="141"/>
    </row>
    <row r="8407" spans="1:4" x14ac:dyDescent="0.2">
      <c r="A8407" s="140" t="s">
        <v>3006</v>
      </c>
      <c r="B8407" s="141">
        <v>2.9557836050940299E-5</v>
      </c>
      <c r="D8407" s="141"/>
    </row>
    <row r="8408" spans="1:4" x14ac:dyDescent="0.2">
      <c r="A8408" s="140" t="s">
        <v>9506</v>
      </c>
      <c r="B8408" s="141">
        <v>2.95379873739097E-5</v>
      </c>
      <c r="D8408" s="141"/>
    </row>
    <row r="8409" spans="1:4" x14ac:dyDescent="0.2">
      <c r="A8409" s="140" t="s">
        <v>4901</v>
      </c>
      <c r="B8409" s="141">
        <v>2.9505770799708901E-5</v>
      </c>
      <c r="D8409" s="141"/>
    </row>
    <row r="8410" spans="1:4" x14ac:dyDescent="0.2">
      <c r="A8410" s="140" t="s">
        <v>9507</v>
      </c>
      <c r="B8410" s="141">
        <v>2.9490029470199099E-5</v>
      </c>
      <c r="D8410" s="141"/>
    </row>
    <row r="8411" spans="1:4" x14ac:dyDescent="0.2">
      <c r="A8411" s="140" t="s">
        <v>5058</v>
      </c>
      <c r="B8411" s="141">
        <v>2.9379394564359901E-5</v>
      </c>
      <c r="D8411" s="141"/>
    </row>
    <row r="8412" spans="1:4" x14ac:dyDescent="0.2">
      <c r="A8412" s="140" t="s">
        <v>9508</v>
      </c>
      <c r="B8412" s="141">
        <v>2.9374496201954099E-5</v>
      </c>
      <c r="D8412" s="141"/>
    </row>
    <row r="8413" spans="1:4" x14ac:dyDescent="0.2">
      <c r="A8413" s="140" t="s">
        <v>1948</v>
      </c>
      <c r="B8413" s="141">
        <v>2.9340556256212601E-5</v>
      </c>
      <c r="D8413" s="141"/>
    </row>
    <row r="8414" spans="1:4" x14ac:dyDescent="0.2">
      <c r="A8414" s="140" t="s">
        <v>1493</v>
      </c>
      <c r="B8414" s="141">
        <v>2.9273438794443301E-5</v>
      </c>
      <c r="D8414" s="141"/>
    </row>
    <row r="8415" spans="1:4" x14ac:dyDescent="0.2">
      <c r="A8415" s="140" t="s">
        <v>2468</v>
      </c>
      <c r="B8415" s="141">
        <v>2.92525732548117E-5</v>
      </c>
      <c r="D8415" s="141"/>
    </row>
    <row r="8416" spans="1:4" x14ac:dyDescent="0.2">
      <c r="A8416" s="140" t="s">
        <v>9509</v>
      </c>
      <c r="B8416" s="141">
        <v>2.92145760008023E-5</v>
      </c>
      <c r="D8416" s="141"/>
    </row>
    <row r="8417" spans="1:4" x14ac:dyDescent="0.2">
      <c r="A8417" s="140" t="s">
        <v>864</v>
      </c>
      <c r="B8417" s="141">
        <v>2.9190589737422399E-5</v>
      </c>
      <c r="D8417" s="141"/>
    </row>
    <row r="8418" spans="1:4" x14ac:dyDescent="0.2">
      <c r="A8418" s="140" t="s">
        <v>4560</v>
      </c>
      <c r="B8418" s="141">
        <v>2.9155693632997801E-5</v>
      </c>
      <c r="D8418" s="141"/>
    </row>
    <row r="8419" spans="1:4" x14ac:dyDescent="0.2">
      <c r="A8419" s="140" t="s">
        <v>967</v>
      </c>
      <c r="B8419" s="141">
        <v>2.91178875249352E-5</v>
      </c>
      <c r="D8419" s="141"/>
    </row>
    <row r="8420" spans="1:4" x14ac:dyDescent="0.2">
      <c r="A8420" s="140" t="s">
        <v>6306</v>
      </c>
      <c r="B8420" s="141">
        <v>2.8986199924947399E-5</v>
      </c>
      <c r="D8420" s="141"/>
    </row>
    <row r="8421" spans="1:4" x14ac:dyDescent="0.2">
      <c r="A8421" s="140" t="s">
        <v>9510</v>
      </c>
      <c r="B8421" s="141">
        <v>2.8910398174767202E-5</v>
      </c>
      <c r="D8421" s="141"/>
    </row>
    <row r="8422" spans="1:4" x14ac:dyDescent="0.2">
      <c r="A8422" s="140" t="s">
        <v>9511</v>
      </c>
      <c r="B8422" s="141">
        <v>2.8792993728365899E-5</v>
      </c>
      <c r="D8422" s="141"/>
    </row>
    <row r="8423" spans="1:4" x14ac:dyDescent="0.2">
      <c r="A8423" s="140" t="s">
        <v>2145</v>
      </c>
      <c r="B8423" s="141">
        <v>2.8773236517810502E-5</v>
      </c>
      <c r="D8423" s="141"/>
    </row>
    <row r="8424" spans="1:4" x14ac:dyDescent="0.2">
      <c r="A8424" s="140" t="s">
        <v>1591</v>
      </c>
      <c r="B8424" s="141">
        <v>2.8733674376798E-5</v>
      </c>
      <c r="D8424" s="141"/>
    </row>
    <row r="8425" spans="1:4" x14ac:dyDescent="0.2">
      <c r="A8425" s="140" t="s">
        <v>9512</v>
      </c>
      <c r="B8425" s="141">
        <v>2.8667399928171799E-5</v>
      </c>
      <c r="D8425" s="141"/>
    </row>
    <row r="8426" spans="1:4" x14ac:dyDescent="0.2">
      <c r="A8426" s="140" t="s">
        <v>509</v>
      </c>
      <c r="B8426" s="141">
        <v>2.8634881824257699E-5</v>
      </c>
      <c r="D8426" s="141"/>
    </row>
    <row r="8427" spans="1:4" x14ac:dyDescent="0.2">
      <c r="A8427" s="140" t="s">
        <v>960</v>
      </c>
      <c r="B8427" s="141">
        <v>2.86313571365082E-5</v>
      </c>
      <c r="D8427" s="141"/>
    </row>
    <row r="8428" spans="1:4" x14ac:dyDescent="0.2">
      <c r="A8428" s="140" t="s">
        <v>1274</v>
      </c>
      <c r="B8428" s="141">
        <v>2.85780523703488E-5</v>
      </c>
      <c r="D8428" s="141"/>
    </row>
    <row r="8429" spans="1:4" x14ac:dyDescent="0.2">
      <c r="A8429" s="140" t="s">
        <v>9513</v>
      </c>
      <c r="B8429" s="141">
        <v>2.8569420390370701E-5</v>
      </c>
      <c r="D8429" s="141"/>
    </row>
    <row r="8430" spans="1:4" x14ac:dyDescent="0.2">
      <c r="A8430" s="140" t="s">
        <v>9514</v>
      </c>
      <c r="B8430" s="141">
        <v>2.8501214266079801E-5</v>
      </c>
      <c r="D8430" s="141"/>
    </row>
    <row r="8431" spans="1:4" x14ac:dyDescent="0.2">
      <c r="A8431" s="140" t="s">
        <v>424</v>
      </c>
      <c r="B8431" s="141">
        <v>2.8500366126289701E-5</v>
      </c>
      <c r="D8431" s="141"/>
    </row>
    <row r="8432" spans="1:4" x14ac:dyDescent="0.2">
      <c r="A8432" s="140" t="s">
        <v>5384</v>
      </c>
      <c r="B8432" s="141">
        <v>2.8385933415314802E-5</v>
      </c>
      <c r="D8432" s="141"/>
    </row>
    <row r="8433" spans="1:4" x14ac:dyDescent="0.2">
      <c r="A8433" s="140" t="s">
        <v>5059</v>
      </c>
      <c r="B8433" s="141">
        <v>2.8385933415314802E-5</v>
      </c>
      <c r="D8433" s="141"/>
    </row>
    <row r="8434" spans="1:4" x14ac:dyDescent="0.2">
      <c r="A8434" s="140" t="s">
        <v>9515</v>
      </c>
      <c r="B8434" s="141">
        <v>2.8385933415314802E-5</v>
      </c>
      <c r="D8434" s="141"/>
    </row>
    <row r="8435" spans="1:4" x14ac:dyDescent="0.2">
      <c r="A8435" s="140" t="s">
        <v>9516</v>
      </c>
      <c r="B8435" s="141">
        <v>2.8385933415314802E-5</v>
      </c>
      <c r="D8435" s="141"/>
    </row>
    <row r="8436" spans="1:4" x14ac:dyDescent="0.2">
      <c r="A8436" s="140" t="s">
        <v>9517</v>
      </c>
      <c r="B8436" s="141">
        <v>2.81444810480354E-5</v>
      </c>
      <c r="D8436" s="141"/>
    </row>
    <row r="8437" spans="1:4" x14ac:dyDescent="0.2">
      <c r="A8437" s="140" t="s">
        <v>408</v>
      </c>
      <c r="B8437" s="141">
        <v>2.7974175116572502E-5</v>
      </c>
      <c r="D8437" s="141"/>
    </row>
    <row r="8438" spans="1:4" x14ac:dyDescent="0.2">
      <c r="A8438" s="140" t="s">
        <v>687</v>
      </c>
      <c r="B8438" s="141">
        <v>2.79482680293679E-5</v>
      </c>
      <c r="D8438" s="141"/>
    </row>
    <row r="8439" spans="1:4" x14ac:dyDescent="0.2">
      <c r="A8439" s="140" t="s">
        <v>981</v>
      </c>
      <c r="B8439" s="141">
        <v>2.79025817465303E-5</v>
      </c>
      <c r="D8439" s="141"/>
    </row>
    <row r="8440" spans="1:4" x14ac:dyDescent="0.2">
      <c r="A8440" s="140" t="s">
        <v>5924</v>
      </c>
      <c r="B8440" s="141">
        <v>2.7851512398666399E-5</v>
      </c>
      <c r="D8440" s="141"/>
    </row>
    <row r="8441" spans="1:4" x14ac:dyDescent="0.2">
      <c r="A8441" s="140" t="s">
        <v>4413</v>
      </c>
      <c r="B8441" s="141">
        <v>2.7816962974575398E-5</v>
      </c>
      <c r="D8441" s="141"/>
    </row>
    <row r="8442" spans="1:4" x14ac:dyDescent="0.2">
      <c r="A8442" s="140" t="s">
        <v>9518</v>
      </c>
      <c r="B8442" s="141">
        <v>2.77293909084339E-5</v>
      </c>
      <c r="D8442" s="141"/>
    </row>
    <row r="8443" spans="1:4" x14ac:dyDescent="0.2">
      <c r="A8443" s="140" t="s">
        <v>9519</v>
      </c>
      <c r="B8443" s="141">
        <v>2.77293909084339E-5</v>
      </c>
      <c r="D8443" s="141"/>
    </row>
    <row r="8444" spans="1:4" x14ac:dyDescent="0.2">
      <c r="A8444" s="140" t="s">
        <v>9520</v>
      </c>
      <c r="B8444" s="141">
        <v>2.7714413917628999E-5</v>
      </c>
      <c r="D8444" s="141"/>
    </row>
    <row r="8445" spans="1:4" x14ac:dyDescent="0.2">
      <c r="A8445" s="140" t="s">
        <v>9521</v>
      </c>
      <c r="B8445" s="141">
        <v>2.76312503926823E-5</v>
      </c>
      <c r="D8445" s="141"/>
    </row>
    <row r="8446" spans="1:4" x14ac:dyDescent="0.2">
      <c r="A8446" s="140" t="s">
        <v>706</v>
      </c>
      <c r="B8446" s="141">
        <v>2.7617391405219599E-5</v>
      </c>
      <c r="D8446" s="141"/>
    </row>
    <row r="8447" spans="1:4" x14ac:dyDescent="0.2">
      <c r="A8447" s="140" t="s">
        <v>5168</v>
      </c>
      <c r="B8447" s="141">
        <v>2.7611436532586599E-5</v>
      </c>
      <c r="D8447" s="141"/>
    </row>
    <row r="8448" spans="1:4" x14ac:dyDescent="0.2">
      <c r="A8448" s="140" t="s">
        <v>3292</v>
      </c>
      <c r="B8448" s="141">
        <v>2.7611436532586599E-5</v>
      </c>
      <c r="D8448" s="141"/>
    </row>
    <row r="8449" spans="1:4" x14ac:dyDescent="0.2">
      <c r="A8449" s="140" t="s">
        <v>6322</v>
      </c>
      <c r="B8449" s="141">
        <v>2.7544659913982501E-5</v>
      </c>
      <c r="D8449" s="141"/>
    </row>
    <row r="8450" spans="1:4" x14ac:dyDescent="0.2">
      <c r="A8450" s="140" t="s">
        <v>9522</v>
      </c>
      <c r="B8450" s="141">
        <v>2.7529239868604699E-5</v>
      </c>
      <c r="D8450" s="141"/>
    </row>
    <row r="8451" spans="1:4" x14ac:dyDescent="0.2">
      <c r="A8451" s="140" t="s">
        <v>9523</v>
      </c>
      <c r="B8451" s="141">
        <v>2.7406423394190599E-5</v>
      </c>
      <c r="D8451" s="141"/>
    </row>
    <row r="8452" spans="1:4" x14ac:dyDescent="0.2">
      <c r="A8452" s="140" t="s">
        <v>6284</v>
      </c>
      <c r="B8452" s="141">
        <v>2.7306094153140399E-5</v>
      </c>
      <c r="D8452" s="141"/>
    </row>
    <row r="8453" spans="1:4" x14ac:dyDescent="0.2">
      <c r="A8453" s="140" t="s">
        <v>9524</v>
      </c>
      <c r="B8453" s="141">
        <v>2.7299243318038001E-5</v>
      </c>
      <c r="D8453" s="141"/>
    </row>
    <row r="8454" spans="1:4" x14ac:dyDescent="0.2">
      <c r="A8454" s="140" t="s">
        <v>5041</v>
      </c>
      <c r="B8454" s="141">
        <v>2.72223517665E-5</v>
      </c>
      <c r="D8454" s="141"/>
    </row>
    <row r="8455" spans="1:4" x14ac:dyDescent="0.2">
      <c r="A8455" s="140" t="s">
        <v>5944</v>
      </c>
      <c r="B8455" s="141">
        <v>2.71546940065129E-5</v>
      </c>
      <c r="D8455" s="141"/>
    </row>
    <row r="8456" spans="1:4" x14ac:dyDescent="0.2">
      <c r="A8456" s="140" t="s">
        <v>9525</v>
      </c>
      <c r="B8456" s="141">
        <v>2.7114920858084699E-5</v>
      </c>
      <c r="D8456" s="141"/>
    </row>
    <row r="8457" spans="1:4" x14ac:dyDescent="0.2">
      <c r="A8457" s="140" t="s">
        <v>9526</v>
      </c>
      <c r="B8457" s="141">
        <v>2.7017884312299202E-5</v>
      </c>
      <c r="D8457" s="141"/>
    </row>
    <row r="8458" spans="1:4" x14ac:dyDescent="0.2">
      <c r="A8458" s="140" t="s">
        <v>9527</v>
      </c>
      <c r="B8458" s="141">
        <v>2.7012811188086902E-5</v>
      </c>
      <c r="D8458" s="141"/>
    </row>
    <row r="8459" spans="1:4" x14ac:dyDescent="0.2">
      <c r="A8459" s="140" t="s">
        <v>9528</v>
      </c>
      <c r="B8459" s="141">
        <v>2.7006922965320499E-5</v>
      </c>
      <c r="D8459" s="141"/>
    </row>
    <row r="8460" spans="1:4" x14ac:dyDescent="0.2">
      <c r="A8460" s="140" t="s">
        <v>1579</v>
      </c>
      <c r="B8460" s="141">
        <v>2.6891094062168899E-5</v>
      </c>
      <c r="D8460" s="141"/>
    </row>
    <row r="8461" spans="1:4" x14ac:dyDescent="0.2">
      <c r="A8461" s="140" t="s">
        <v>5607</v>
      </c>
      <c r="B8461" s="141">
        <v>2.6832008907490702E-5</v>
      </c>
      <c r="D8461" s="141"/>
    </row>
    <row r="8462" spans="1:4" x14ac:dyDescent="0.2">
      <c r="A8462" s="140" t="s">
        <v>9529</v>
      </c>
      <c r="B8462" s="141">
        <v>2.6832008907490702E-5</v>
      </c>
      <c r="D8462" s="141"/>
    </row>
    <row r="8463" spans="1:4" x14ac:dyDescent="0.2">
      <c r="A8463" s="140" t="s">
        <v>9530</v>
      </c>
      <c r="B8463" s="141">
        <v>2.67799048363875E-5</v>
      </c>
      <c r="D8463" s="141"/>
    </row>
    <row r="8464" spans="1:4" x14ac:dyDescent="0.2">
      <c r="A8464" s="140" t="s">
        <v>903</v>
      </c>
      <c r="B8464" s="141">
        <v>2.6707212475197E-5</v>
      </c>
      <c r="D8464" s="141"/>
    </row>
    <row r="8465" spans="1:4" x14ac:dyDescent="0.2">
      <c r="A8465" s="140" t="s">
        <v>4782</v>
      </c>
      <c r="B8465" s="141">
        <v>2.6690687591498499E-5</v>
      </c>
      <c r="D8465" s="141"/>
    </row>
    <row r="8466" spans="1:4" x14ac:dyDescent="0.2">
      <c r="A8466" s="140" t="s">
        <v>9531</v>
      </c>
      <c r="B8466" s="141">
        <v>2.6664249137867601E-5</v>
      </c>
      <c r="D8466" s="141"/>
    </row>
    <row r="8467" spans="1:4" x14ac:dyDescent="0.2">
      <c r="A8467" s="140" t="s">
        <v>793</v>
      </c>
      <c r="B8467" s="141">
        <v>2.6644325540669201E-5</v>
      </c>
      <c r="D8467" s="141"/>
    </row>
    <row r="8468" spans="1:4" x14ac:dyDescent="0.2">
      <c r="A8468" s="140" t="s">
        <v>9532</v>
      </c>
      <c r="B8468" s="141">
        <v>2.65949897145795E-5</v>
      </c>
      <c r="D8468" s="141"/>
    </row>
    <row r="8469" spans="1:4" x14ac:dyDescent="0.2">
      <c r="A8469" s="140" t="s">
        <v>586</v>
      </c>
      <c r="B8469" s="141">
        <v>2.6477117642889598E-5</v>
      </c>
      <c r="D8469" s="141"/>
    </row>
    <row r="8470" spans="1:4" x14ac:dyDescent="0.2">
      <c r="A8470" s="140" t="s">
        <v>9533</v>
      </c>
      <c r="B8470" s="141">
        <v>2.64125153304462E-5</v>
      </c>
      <c r="D8470" s="141"/>
    </row>
    <row r="8471" spans="1:4" x14ac:dyDescent="0.2">
      <c r="A8471" s="140" t="s">
        <v>9534</v>
      </c>
      <c r="B8471" s="141">
        <v>2.6376265974224602E-5</v>
      </c>
      <c r="D8471" s="141"/>
    </row>
    <row r="8472" spans="1:4" x14ac:dyDescent="0.2">
      <c r="A8472" s="140" t="s">
        <v>9535</v>
      </c>
      <c r="B8472" s="141">
        <v>2.6339085807936199E-5</v>
      </c>
      <c r="D8472" s="141"/>
    </row>
    <row r="8473" spans="1:4" x14ac:dyDescent="0.2">
      <c r="A8473" s="140" t="s">
        <v>9536</v>
      </c>
      <c r="B8473" s="141">
        <v>2.6324125987746502E-5</v>
      </c>
      <c r="D8473" s="141"/>
    </row>
    <row r="8474" spans="1:4" x14ac:dyDescent="0.2">
      <c r="A8474" s="140" t="s">
        <v>3336</v>
      </c>
      <c r="B8474" s="141">
        <v>2.6270084174644699E-5</v>
      </c>
      <c r="D8474" s="141"/>
    </row>
    <row r="8475" spans="1:4" x14ac:dyDescent="0.2">
      <c r="A8475" s="140" t="s">
        <v>9537</v>
      </c>
      <c r="B8475" s="141">
        <v>2.6233685497658601E-5</v>
      </c>
      <c r="D8475" s="141"/>
    </row>
    <row r="8476" spans="1:4" x14ac:dyDescent="0.2">
      <c r="A8476" s="140" t="s">
        <v>2904</v>
      </c>
      <c r="B8476" s="141">
        <v>2.6084010691752401E-5</v>
      </c>
      <c r="D8476" s="141"/>
    </row>
    <row r="8477" spans="1:4" x14ac:dyDescent="0.2">
      <c r="A8477" s="140" t="s">
        <v>9538</v>
      </c>
      <c r="B8477" s="141">
        <v>2.6075363040036801E-5</v>
      </c>
      <c r="D8477" s="141"/>
    </row>
    <row r="8478" spans="1:4" x14ac:dyDescent="0.2">
      <c r="A8478" s="140" t="s">
        <v>5391</v>
      </c>
      <c r="B8478" s="141">
        <v>2.60604381956211E-5</v>
      </c>
      <c r="D8478" s="141"/>
    </row>
    <row r="8479" spans="1:4" x14ac:dyDescent="0.2">
      <c r="A8479" s="140" t="s">
        <v>5072</v>
      </c>
      <c r="B8479" s="141">
        <v>2.60474412657104E-5</v>
      </c>
      <c r="D8479" s="141"/>
    </row>
    <row r="8480" spans="1:4" x14ac:dyDescent="0.2">
      <c r="A8480" s="140" t="s">
        <v>9539</v>
      </c>
      <c r="B8480" s="141">
        <v>2.6021268369796299E-5</v>
      </c>
      <c r="D8480" s="141"/>
    </row>
    <row r="8481" spans="1:4" x14ac:dyDescent="0.2">
      <c r="A8481" s="140" t="s">
        <v>1382</v>
      </c>
      <c r="B8481" s="141">
        <v>2.5971952887387799E-5</v>
      </c>
      <c r="D8481" s="141"/>
    </row>
    <row r="8482" spans="1:4" x14ac:dyDescent="0.2">
      <c r="A8482" s="140" t="s">
        <v>516</v>
      </c>
      <c r="B8482" s="141">
        <v>2.5931389419412301E-5</v>
      </c>
      <c r="D8482" s="141"/>
    </row>
    <row r="8483" spans="1:4" x14ac:dyDescent="0.2">
      <c r="A8483" s="140" t="s">
        <v>9540</v>
      </c>
      <c r="B8483" s="141">
        <v>2.5926917043573202E-5</v>
      </c>
      <c r="D8483" s="141"/>
    </row>
    <row r="8484" spans="1:4" x14ac:dyDescent="0.2">
      <c r="A8484" s="140" t="s">
        <v>3520</v>
      </c>
      <c r="B8484" s="141">
        <v>2.5917659808391001E-5</v>
      </c>
      <c r="D8484" s="141"/>
    </row>
    <row r="8485" spans="1:4" x14ac:dyDescent="0.2">
      <c r="A8485" s="140" t="s">
        <v>9541</v>
      </c>
      <c r="B8485" s="141">
        <v>2.5800325037607801E-5</v>
      </c>
      <c r="D8485" s="141"/>
    </row>
    <row r="8486" spans="1:4" x14ac:dyDescent="0.2">
      <c r="A8486" s="140" t="s">
        <v>9542</v>
      </c>
      <c r="B8486" s="141">
        <v>2.5794300642198701E-5</v>
      </c>
      <c r="D8486" s="141"/>
    </row>
    <row r="8487" spans="1:4" x14ac:dyDescent="0.2">
      <c r="A8487" s="140" t="s">
        <v>9543</v>
      </c>
      <c r="B8487" s="141">
        <v>2.5794300642198701E-5</v>
      </c>
      <c r="D8487" s="141"/>
    </row>
    <row r="8488" spans="1:4" x14ac:dyDescent="0.2">
      <c r="A8488" s="140" t="s">
        <v>9544</v>
      </c>
      <c r="B8488" s="141">
        <v>2.5794300642198701E-5</v>
      </c>
      <c r="D8488" s="141"/>
    </row>
    <row r="8489" spans="1:4" x14ac:dyDescent="0.2">
      <c r="A8489" s="140" t="s">
        <v>9545</v>
      </c>
      <c r="B8489" s="141">
        <v>2.5794300642198701E-5</v>
      </c>
      <c r="D8489" s="141"/>
    </row>
    <row r="8490" spans="1:4" x14ac:dyDescent="0.2">
      <c r="A8490" s="140" t="s">
        <v>9546</v>
      </c>
      <c r="B8490" s="141">
        <v>2.5794300642198701E-5</v>
      </c>
      <c r="D8490" s="141"/>
    </row>
    <row r="8491" spans="1:4" x14ac:dyDescent="0.2">
      <c r="A8491" s="140" t="s">
        <v>5230</v>
      </c>
      <c r="B8491" s="141">
        <v>2.5776143530523701E-5</v>
      </c>
      <c r="D8491" s="141"/>
    </row>
    <row r="8492" spans="1:4" x14ac:dyDescent="0.2">
      <c r="A8492" s="140" t="s">
        <v>6204</v>
      </c>
      <c r="B8492" s="141">
        <v>2.57651376640522E-5</v>
      </c>
      <c r="D8492" s="141"/>
    </row>
    <row r="8493" spans="1:4" x14ac:dyDescent="0.2">
      <c r="A8493" s="140" t="s">
        <v>1888</v>
      </c>
      <c r="B8493" s="141">
        <v>2.57320913015117E-5</v>
      </c>
      <c r="D8493" s="141"/>
    </row>
    <row r="8494" spans="1:4" x14ac:dyDescent="0.2">
      <c r="A8494" s="140" t="s">
        <v>9547</v>
      </c>
      <c r="B8494" s="141">
        <v>2.5726157812861399E-5</v>
      </c>
      <c r="D8494" s="141"/>
    </row>
    <row r="8495" spans="1:4" x14ac:dyDescent="0.2">
      <c r="A8495" s="140" t="s">
        <v>501</v>
      </c>
      <c r="B8495" s="141">
        <v>2.5604214569912101E-5</v>
      </c>
      <c r="D8495" s="141"/>
    </row>
    <row r="8496" spans="1:4" x14ac:dyDescent="0.2">
      <c r="A8496" s="140" t="s">
        <v>1670</v>
      </c>
      <c r="B8496" s="141">
        <v>2.5547806787069299E-5</v>
      </c>
      <c r="D8496" s="141"/>
    </row>
    <row r="8497" spans="1:4" x14ac:dyDescent="0.2">
      <c r="A8497" s="140" t="s">
        <v>352</v>
      </c>
      <c r="B8497" s="141">
        <v>2.5513538351756801E-5</v>
      </c>
      <c r="D8497" s="141"/>
    </row>
    <row r="8498" spans="1:4" x14ac:dyDescent="0.2">
      <c r="A8498" s="140" t="s">
        <v>9548</v>
      </c>
      <c r="B8498" s="141">
        <v>2.5491462529247599E-5</v>
      </c>
      <c r="D8498" s="141"/>
    </row>
    <row r="8499" spans="1:4" x14ac:dyDescent="0.2">
      <c r="A8499" s="140" t="s">
        <v>565</v>
      </c>
      <c r="B8499" s="141">
        <v>2.54769865108714E-5</v>
      </c>
      <c r="D8499" s="141"/>
    </row>
    <row r="8500" spans="1:4" x14ac:dyDescent="0.2">
      <c r="A8500" s="140" t="s">
        <v>9549</v>
      </c>
      <c r="B8500" s="141">
        <v>2.5441969376150801E-5</v>
      </c>
      <c r="D8500" s="141"/>
    </row>
    <row r="8501" spans="1:4" x14ac:dyDescent="0.2">
      <c r="A8501" s="140" t="s">
        <v>3538</v>
      </c>
      <c r="B8501" s="141">
        <v>2.54071668928121E-5</v>
      </c>
      <c r="D8501" s="141"/>
    </row>
    <row r="8502" spans="1:4" x14ac:dyDescent="0.2">
      <c r="A8502" s="140" t="s">
        <v>5227</v>
      </c>
      <c r="B8502" s="141">
        <v>2.5401929050922598E-5</v>
      </c>
      <c r="D8502" s="141"/>
    </row>
    <row r="8503" spans="1:4" x14ac:dyDescent="0.2">
      <c r="A8503" s="140" t="s">
        <v>9550</v>
      </c>
      <c r="B8503" s="141">
        <v>2.5257507336200502E-5</v>
      </c>
      <c r="D8503" s="141"/>
    </row>
    <row r="8504" spans="1:4" x14ac:dyDescent="0.2">
      <c r="A8504" s="140" t="s">
        <v>4920</v>
      </c>
      <c r="B8504" s="141">
        <v>2.5257507336200502E-5</v>
      </c>
      <c r="D8504" s="141"/>
    </row>
    <row r="8505" spans="1:4" x14ac:dyDescent="0.2">
      <c r="A8505" s="140" t="s">
        <v>3979</v>
      </c>
      <c r="B8505" s="141">
        <v>2.5232557888272802E-5</v>
      </c>
      <c r="D8505" s="141"/>
    </row>
    <row r="8506" spans="1:4" x14ac:dyDescent="0.2">
      <c r="A8506" s="140" t="s">
        <v>9551</v>
      </c>
      <c r="B8506" s="141">
        <v>2.51978450501927E-5</v>
      </c>
      <c r="D8506" s="141"/>
    </row>
    <row r="8507" spans="1:4" x14ac:dyDescent="0.2">
      <c r="A8507" s="140" t="s">
        <v>9552</v>
      </c>
      <c r="B8507" s="141">
        <v>2.51978450501927E-5</v>
      </c>
      <c r="D8507" s="141"/>
    </row>
    <row r="8508" spans="1:4" x14ac:dyDescent="0.2">
      <c r="A8508" s="140" t="s">
        <v>9553</v>
      </c>
      <c r="B8508" s="141">
        <v>2.51978450501927E-5</v>
      </c>
      <c r="D8508" s="141"/>
    </row>
    <row r="8509" spans="1:4" x14ac:dyDescent="0.2">
      <c r="A8509" s="140" t="s">
        <v>9554</v>
      </c>
      <c r="B8509" s="141">
        <v>2.51978450501927E-5</v>
      </c>
      <c r="D8509" s="141"/>
    </row>
    <row r="8510" spans="1:4" x14ac:dyDescent="0.2">
      <c r="A8510" s="140" t="s">
        <v>9555</v>
      </c>
      <c r="B8510" s="141">
        <v>2.51978450501927E-5</v>
      </c>
      <c r="D8510" s="141"/>
    </row>
    <row r="8511" spans="1:4" x14ac:dyDescent="0.2">
      <c r="A8511" s="140" t="s">
        <v>9556</v>
      </c>
      <c r="B8511" s="141">
        <v>2.51978450501927E-5</v>
      </c>
      <c r="D8511" s="141"/>
    </row>
    <row r="8512" spans="1:4" x14ac:dyDescent="0.2">
      <c r="A8512" s="140" t="s">
        <v>9557</v>
      </c>
      <c r="B8512" s="141">
        <v>2.5106489161344399E-5</v>
      </c>
      <c r="D8512" s="141"/>
    </row>
    <row r="8513" spans="1:4" x14ac:dyDescent="0.2">
      <c r="A8513" s="140" t="s">
        <v>9558</v>
      </c>
      <c r="B8513" s="141">
        <v>2.5038651918627202E-5</v>
      </c>
      <c r="D8513" s="141"/>
    </row>
    <row r="8514" spans="1:4" x14ac:dyDescent="0.2">
      <c r="A8514" s="140" t="s">
        <v>1555</v>
      </c>
      <c r="B8514" s="141">
        <v>2.4969843057040198E-5</v>
      </c>
      <c r="D8514" s="141"/>
    </row>
    <row r="8515" spans="1:4" x14ac:dyDescent="0.2">
      <c r="A8515" s="140" t="s">
        <v>6319</v>
      </c>
      <c r="B8515" s="141">
        <v>2.4921587713944E-5</v>
      </c>
      <c r="D8515" s="141"/>
    </row>
    <row r="8516" spans="1:4" x14ac:dyDescent="0.2">
      <c r="A8516" s="140" t="s">
        <v>9559</v>
      </c>
      <c r="B8516" s="141">
        <v>2.4917618038701301E-5</v>
      </c>
      <c r="D8516" s="141"/>
    </row>
    <row r="8517" spans="1:4" x14ac:dyDescent="0.2">
      <c r="A8517" s="140" t="s">
        <v>2341</v>
      </c>
      <c r="B8517" s="141">
        <v>2.4910455189988899E-5</v>
      </c>
      <c r="D8517" s="141"/>
    </row>
    <row r="8518" spans="1:4" x14ac:dyDescent="0.2">
      <c r="A8518" s="140" t="s">
        <v>1620</v>
      </c>
      <c r="B8518" s="141">
        <v>2.4839441939668699E-5</v>
      </c>
      <c r="D8518" s="141"/>
    </row>
    <row r="8519" spans="1:4" x14ac:dyDescent="0.2">
      <c r="A8519" s="140" t="s">
        <v>9560</v>
      </c>
      <c r="B8519" s="141">
        <v>2.4765360693392801E-5</v>
      </c>
      <c r="D8519" s="141"/>
    </row>
    <row r="8520" spans="1:4" x14ac:dyDescent="0.2">
      <c r="A8520" s="140" t="s">
        <v>9561</v>
      </c>
      <c r="B8520" s="141">
        <v>2.4624591806437501E-5</v>
      </c>
      <c r="D8520" s="141"/>
    </row>
    <row r="8521" spans="1:4" x14ac:dyDescent="0.2">
      <c r="A8521" s="140" t="s">
        <v>1938</v>
      </c>
      <c r="B8521" s="141">
        <v>2.46084494932463E-5</v>
      </c>
      <c r="D8521" s="141"/>
    </row>
    <row r="8522" spans="1:4" x14ac:dyDescent="0.2">
      <c r="A8522" s="140" t="s">
        <v>9562</v>
      </c>
      <c r="B8522" s="141">
        <v>2.4541617331982301E-5</v>
      </c>
      <c r="D8522" s="141"/>
    </row>
    <row r="8523" spans="1:4" x14ac:dyDescent="0.2">
      <c r="A8523" s="140" t="s">
        <v>3457</v>
      </c>
      <c r="B8523" s="141">
        <v>2.4461961760487899E-5</v>
      </c>
      <c r="D8523" s="141"/>
    </row>
    <row r="8524" spans="1:4" x14ac:dyDescent="0.2">
      <c r="A8524" s="140" t="s">
        <v>9563</v>
      </c>
      <c r="B8524" s="141">
        <v>2.43773792434715E-5</v>
      </c>
      <c r="D8524" s="141"/>
    </row>
    <row r="8525" spans="1:4" x14ac:dyDescent="0.2">
      <c r="A8525" s="140" t="s">
        <v>6270</v>
      </c>
      <c r="B8525" s="141">
        <v>2.4348551369563001E-5</v>
      </c>
      <c r="D8525" s="141"/>
    </row>
    <row r="8526" spans="1:4" x14ac:dyDescent="0.2">
      <c r="A8526" s="140" t="s">
        <v>9564</v>
      </c>
      <c r="B8526" s="141">
        <v>2.4327953423437499E-5</v>
      </c>
      <c r="D8526" s="141"/>
    </row>
    <row r="8527" spans="1:4" x14ac:dyDescent="0.2">
      <c r="A8527" s="140" t="s">
        <v>9565</v>
      </c>
      <c r="B8527" s="141">
        <v>2.41542330333091E-5</v>
      </c>
      <c r="D8527" s="141"/>
    </row>
    <row r="8528" spans="1:4" x14ac:dyDescent="0.2">
      <c r="A8528" s="140" t="s">
        <v>1366</v>
      </c>
      <c r="B8528" s="141">
        <v>2.4138731099221E-5</v>
      </c>
      <c r="D8528" s="141"/>
    </row>
    <row r="8529" spans="1:4" x14ac:dyDescent="0.2">
      <c r="A8529" s="140" t="s">
        <v>9566</v>
      </c>
      <c r="B8529" s="141">
        <v>2.4037409649663299E-5</v>
      </c>
      <c r="D8529" s="141"/>
    </row>
    <row r="8530" spans="1:4" x14ac:dyDescent="0.2">
      <c r="A8530" s="140" t="s">
        <v>1673</v>
      </c>
      <c r="B8530" s="141">
        <v>2.40019159552353E-5</v>
      </c>
      <c r="D8530" s="141"/>
    </row>
    <row r="8531" spans="1:4" x14ac:dyDescent="0.2">
      <c r="A8531" s="140" t="s">
        <v>1659</v>
      </c>
      <c r="B8531" s="141">
        <v>2.3952267138808199E-5</v>
      </c>
      <c r="D8531" s="141"/>
    </row>
    <row r="8532" spans="1:4" x14ac:dyDescent="0.2">
      <c r="A8532" s="140" t="s">
        <v>1657</v>
      </c>
      <c r="B8532" s="141">
        <v>2.3952267138808199E-5</v>
      </c>
      <c r="D8532" s="141"/>
    </row>
    <row r="8533" spans="1:4" x14ac:dyDescent="0.2">
      <c r="A8533" s="140" t="s">
        <v>1721</v>
      </c>
      <c r="B8533" s="141">
        <v>2.3952267138808199E-5</v>
      </c>
      <c r="D8533" s="141"/>
    </row>
    <row r="8534" spans="1:4" x14ac:dyDescent="0.2">
      <c r="A8534" s="140" t="s">
        <v>1899</v>
      </c>
      <c r="B8534" s="141">
        <v>2.3928596684915299E-5</v>
      </c>
      <c r="D8534" s="141"/>
    </row>
    <row r="8535" spans="1:4" x14ac:dyDescent="0.2">
      <c r="A8535" s="140" t="s">
        <v>9567</v>
      </c>
      <c r="B8535" s="141">
        <v>2.3853925489136201E-5</v>
      </c>
      <c r="D8535" s="141"/>
    </row>
    <row r="8536" spans="1:4" x14ac:dyDescent="0.2">
      <c r="A8536" s="140" t="s">
        <v>1982</v>
      </c>
      <c r="B8536" s="141">
        <v>2.3761180203464599E-5</v>
      </c>
      <c r="D8536" s="141"/>
    </row>
    <row r="8537" spans="1:4" x14ac:dyDescent="0.2">
      <c r="A8537" s="140" t="s">
        <v>9568</v>
      </c>
      <c r="B8537" s="141">
        <v>2.3751970119392899E-5</v>
      </c>
      <c r="D8537" s="141"/>
    </row>
    <row r="8538" spans="1:4" x14ac:dyDescent="0.2">
      <c r="A8538" s="140" t="s">
        <v>4962</v>
      </c>
      <c r="B8538" s="141">
        <v>2.37429324318005E-5</v>
      </c>
      <c r="D8538" s="141"/>
    </row>
    <row r="8539" spans="1:4" x14ac:dyDescent="0.2">
      <c r="A8539" s="140" t="s">
        <v>9569</v>
      </c>
      <c r="B8539" s="141">
        <v>2.3693127618130702E-5</v>
      </c>
      <c r="D8539" s="141"/>
    </row>
    <row r="8540" spans="1:4" x14ac:dyDescent="0.2">
      <c r="A8540" s="140" t="s">
        <v>9570</v>
      </c>
      <c r="B8540" s="141">
        <v>2.36874210490215E-5</v>
      </c>
      <c r="D8540" s="141"/>
    </row>
    <row r="8541" spans="1:4" x14ac:dyDescent="0.2">
      <c r="A8541" s="140" t="s">
        <v>5580</v>
      </c>
      <c r="B8541" s="141">
        <v>2.36736711525174E-5</v>
      </c>
      <c r="D8541" s="141"/>
    </row>
    <row r="8542" spans="1:4" x14ac:dyDescent="0.2">
      <c r="A8542" s="140" t="s">
        <v>9571</v>
      </c>
      <c r="B8542" s="141">
        <v>2.36605376503692E-5</v>
      </c>
      <c r="D8542" s="141"/>
    </row>
    <row r="8543" spans="1:4" x14ac:dyDescent="0.2">
      <c r="A8543" s="140" t="s">
        <v>846</v>
      </c>
      <c r="B8543" s="141">
        <v>2.36514932329316E-5</v>
      </c>
      <c r="D8543" s="141"/>
    </row>
    <row r="8544" spans="1:4" x14ac:dyDescent="0.2">
      <c r="A8544" s="140" t="s">
        <v>514</v>
      </c>
      <c r="B8544" s="141">
        <v>2.35079902010924E-5</v>
      </c>
      <c r="D8544" s="141"/>
    </row>
    <row r="8545" spans="1:4" x14ac:dyDescent="0.2">
      <c r="A8545" s="140" t="s">
        <v>2060</v>
      </c>
      <c r="B8545" s="141">
        <v>2.34479035848595E-5</v>
      </c>
      <c r="D8545" s="141"/>
    </row>
    <row r="8546" spans="1:4" x14ac:dyDescent="0.2">
      <c r="A8546" s="140" t="s">
        <v>5525</v>
      </c>
      <c r="B8546" s="141">
        <v>2.34479035848595E-5</v>
      </c>
      <c r="D8546" s="141"/>
    </row>
    <row r="8547" spans="1:4" x14ac:dyDescent="0.2">
      <c r="A8547" s="140" t="s">
        <v>9572</v>
      </c>
      <c r="B8547" s="141">
        <v>2.33649351539047E-5</v>
      </c>
      <c r="D8547" s="141"/>
    </row>
    <row r="8548" spans="1:4" x14ac:dyDescent="0.2">
      <c r="A8548" s="140" t="s">
        <v>9573</v>
      </c>
      <c r="B8548" s="141">
        <v>2.3304402441983702E-5</v>
      </c>
      <c r="D8548" s="141"/>
    </row>
    <row r="8549" spans="1:4" x14ac:dyDescent="0.2">
      <c r="A8549" s="140" t="s">
        <v>472</v>
      </c>
      <c r="B8549" s="141">
        <v>2.32951534934301E-5</v>
      </c>
      <c r="D8549" s="141"/>
    </row>
    <row r="8550" spans="1:4" x14ac:dyDescent="0.2">
      <c r="A8550" s="140" t="s">
        <v>1597</v>
      </c>
      <c r="B8550" s="141">
        <v>2.31824442761129E-5</v>
      </c>
      <c r="D8550" s="141"/>
    </row>
    <row r="8551" spans="1:4" x14ac:dyDescent="0.2">
      <c r="A8551" s="140" t="s">
        <v>9574</v>
      </c>
      <c r="B8551" s="141">
        <v>2.30976302585395E-5</v>
      </c>
      <c r="D8551" s="141"/>
    </row>
    <row r="8552" spans="1:4" x14ac:dyDescent="0.2">
      <c r="A8552" s="140" t="s">
        <v>719</v>
      </c>
      <c r="B8552" s="141">
        <v>2.3081190956834199E-5</v>
      </c>
      <c r="D8552" s="141"/>
    </row>
    <row r="8553" spans="1:4" x14ac:dyDescent="0.2">
      <c r="A8553" s="140" t="s">
        <v>9575</v>
      </c>
      <c r="B8553" s="141">
        <v>2.3028298796681601E-5</v>
      </c>
      <c r="D8553" s="141"/>
    </row>
    <row r="8554" spans="1:4" x14ac:dyDescent="0.2">
      <c r="A8554" s="140" t="s">
        <v>4804</v>
      </c>
      <c r="B8554" s="141">
        <v>2.3003420376529701E-5</v>
      </c>
      <c r="D8554" s="141"/>
    </row>
    <row r="8555" spans="1:4" x14ac:dyDescent="0.2">
      <c r="A8555" s="140" t="s">
        <v>918</v>
      </c>
      <c r="B8555" s="141">
        <v>2.29985996744303E-5</v>
      </c>
      <c r="D8555" s="141"/>
    </row>
    <row r="8556" spans="1:4" x14ac:dyDescent="0.2">
      <c r="A8556" s="140" t="s">
        <v>5002</v>
      </c>
      <c r="B8556" s="141">
        <v>2.2852943717653801E-5</v>
      </c>
      <c r="D8556" s="141"/>
    </row>
    <row r="8557" spans="1:4" x14ac:dyDescent="0.2">
      <c r="A8557" s="140" t="s">
        <v>9576</v>
      </c>
      <c r="B8557" s="141">
        <v>2.28067599133102E-5</v>
      </c>
      <c r="D8557" s="141"/>
    </row>
    <row r="8558" spans="1:4" x14ac:dyDescent="0.2">
      <c r="A8558" s="140" t="s">
        <v>9577</v>
      </c>
      <c r="B8558" s="141">
        <v>2.28067599133102E-5</v>
      </c>
      <c r="D8558" s="141"/>
    </row>
    <row r="8559" spans="1:4" x14ac:dyDescent="0.2">
      <c r="A8559" s="140" t="s">
        <v>9578</v>
      </c>
      <c r="B8559" s="141">
        <v>2.2667976634885798E-5</v>
      </c>
      <c r="D8559" s="141"/>
    </row>
    <row r="8560" spans="1:4" x14ac:dyDescent="0.2">
      <c r="A8560" s="140" t="s">
        <v>6111</v>
      </c>
      <c r="B8560" s="141">
        <v>2.2657929761731801E-5</v>
      </c>
      <c r="D8560" s="141"/>
    </row>
    <row r="8561" spans="1:4" x14ac:dyDescent="0.2">
      <c r="A8561" s="140" t="s">
        <v>640</v>
      </c>
      <c r="B8561" s="141">
        <v>2.2631383237612401E-5</v>
      </c>
      <c r="D8561" s="141"/>
    </row>
    <row r="8562" spans="1:4" x14ac:dyDescent="0.2">
      <c r="A8562" s="140" t="s">
        <v>547</v>
      </c>
      <c r="B8562" s="141">
        <v>2.2626119889953999E-5</v>
      </c>
      <c r="D8562" s="141"/>
    </row>
    <row r="8563" spans="1:4" x14ac:dyDescent="0.2">
      <c r="A8563" s="140" t="s">
        <v>1211</v>
      </c>
      <c r="B8563" s="141">
        <v>2.2576785489276801E-5</v>
      </c>
      <c r="D8563" s="141"/>
    </row>
    <row r="8564" spans="1:4" x14ac:dyDescent="0.2">
      <c r="A8564" s="140" t="s">
        <v>9579</v>
      </c>
      <c r="B8564" s="141">
        <v>2.2527522020244498E-5</v>
      </c>
      <c r="D8564" s="141"/>
    </row>
    <row r="8565" spans="1:4" x14ac:dyDescent="0.2">
      <c r="A8565" s="140" t="s">
        <v>9580</v>
      </c>
      <c r="B8565" s="141">
        <v>2.2522169881337302E-5</v>
      </c>
      <c r="D8565" s="141"/>
    </row>
    <row r="8566" spans="1:4" x14ac:dyDescent="0.2">
      <c r="A8566" s="140" t="s">
        <v>9581</v>
      </c>
      <c r="B8566" s="141">
        <v>2.2522169881337302E-5</v>
      </c>
      <c r="D8566" s="141"/>
    </row>
    <row r="8567" spans="1:4" x14ac:dyDescent="0.2">
      <c r="A8567" s="140" t="s">
        <v>761</v>
      </c>
      <c r="B8567" s="141">
        <v>2.2445978057230901E-5</v>
      </c>
      <c r="D8567" s="141"/>
    </row>
    <row r="8568" spans="1:4" x14ac:dyDescent="0.2">
      <c r="A8568" s="140" t="s">
        <v>9582</v>
      </c>
      <c r="B8568" s="141">
        <v>2.23644795171897E-5</v>
      </c>
      <c r="D8568" s="141"/>
    </row>
    <row r="8569" spans="1:4" x14ac:dyDescent="0.2">
      <c r="A8569" s="140" t="s">
        <v>6041</v>
      </c>
      <c r="B8569" s="141">
        <v>2.23050704872789E-5</v>
      </c>
      <c r="D8569" s="141"/>
    </row>
    <row r="8570" spans="1:4" x14ac:dyDescent="0.2">
      <c r="A8570" s="140" t="s">
        <v>9583</v>
      </c>
      <c r="B8570" s="141">
        <v>2.2283161831195098E-5</v>
      </c>
      <c r="D8570" s="141"/>
    </row>
    <row r="8571" spans="1:4" x14ac:dyDescent="0.2">
      <c r="A8571" s="140" t="s">
        <v>1950</v>
      </c>
      <c r="B8571" s="141">
        <v>2.22605585953847E-5</v>
      </c>
      <c r="D8571" s="141"/>
    </row>
    <row r="8572" spans="1:4" x14ac:dyDescent="0.2">
      <c r="A8572" s="140" t="s">
        <v>949</v>
      </c>
      <c r="B8572" s="141">
        <v>2.2104714431206899E-5</v>
      </c>
      <c r="D8572" s="141"/>
    </row>
    <row r="8573" spans="1:4" x14ac:dyDescent="0.2">
      <c r="A8573" s="140" t="s">
        <v>1545</v>
      </c>
      <c r="B8573" s="141">
        <v>2.20712092676575E-5</v>
      </c>
      <c r="D8573" s="141"/>
    </row>
    <row r="8574" spans="1:4" x14ac:dyDescent="0.2">
      <c r="A8574" s="140" t="s">
        <v>5634</v>
      </c>
      <c r="B8574" s="141">
        <v>2.2062870386683202E-5</v>
      </c>
      <c r="D8574" s="141"/>
    </row>
    <row r="8575" spans="1:4" x14ac:dyDescent="0.2">
      <c r="A8575" s="140" t="s">
        <v>9584</v>
      </c>
      <c r="B8575" s="141">
        <v>2.2062870386683202E-5</v>
      </c>
      <c r="D8575" s="141"/>
    </row>
    <row r="8576" spans="1:4" x14ac:dyDescent="0.2">
      <c r="A8576" s="140" t="s">
        <v>9585</v>
      </c>
      <c r="B8576" s="141">
        <v>2.2038860878950301E-5</v>
      </c>
      <c r="D8576" s="141"/>
    </row>
    <row r="8577" spans="1:4" x14ac:dyDescent="0.2">
      <c r="A8577" s="140" t="s">
        <v>9586</v>
      </c>
      <c r="B8577" s="141">
        <v>2.2011866721420599E-5</v>
      </c>
      <c r="D8577" s="141"/>
    </row>
    <row r="8578" spans="1:4" x14ac:dyDescent="0.2">
      <c r="A8578" s="140" t="s">
        <v>9587</v>
      </c>
      <c r="B8578" s="141">
        <v>2.2000410739589201E-5</v>
      </c>
      <c r="D8578" s="141"/>
    </row>
    <row r="8579" spans="1:4" x14ac:dyDescent="0.2">
      <c r="A8579" s="140" t="s">
        <v>643</v>
      </c>
      <c r="B8579" s="141">
        <v>2.1992665554239198E-5</v>
      </c>
      <c r="D8579" s="141"/>
    </row>
    <row r="8580" spans="1:4" x14ac:dyDescent="0.2">
      <c r="A8580" s="140" t="s">
        <v>9588</v>
      </c>
      <c r="B8580" s="141">
        <v>2.19800232066139E-5</v>
      </c>
      <c r="D8580" s="141"/>
    </row>
    <row r="8581" spans="1:4" x14ac:dyDescent="0.2">
      <c r="A8581" s="140" t="s">
        <v>3474</v>
      </c>
      <c r="B8581" s="141">
        <v>2.1970975289791301E-5</v>
      </c>
      <c r="D8581" s="141"/>
    </row>
    <row r="8582" spans="1:4" x14ac:dyDescent="0.2">
      <c r="A8582" s="140" t="s">
        <v>681</v>
      </c>
      <c r="B8582" s="141">
        <v>2.1941703172362499E-5</v>
      </c>
      <c r="D8582" s="141"/>
    </row>
    <row r="8583" spans="1:4" x14ac:dyDescent="0.2">
      <c r="A8583" s="140" t="s">
        <v>9589</v>
      </c>
      <c r="B8583" s="141">
        <v>2.1921523756897999E-5</v>
      </c>
      <c r="D8583" s="141"/>
    </row>
    <row r="8584" spans="1:4" x14ac:dyDescent="0.2">
      <c r="A8584" s="140" t="s">
        <v>9590</v>
      </c>
      <c r="B8584" s="141">
        <v>2.1907209018873599E-5</v>
      </c>
      <c r="D8584" s="141"/>
    </row>
    <row r="8585" spans="1:4" x14ac:dyDescent="0.2">
      <c r="A8585" s="140" t="s">
        <v>1715</v>
      </c>
      <c r="B8585" s="141">
        <v>2.1866788700939499E-5</v>
      </c>
      <c r="D8585" s="141"/>
    </row>
    <row r="8586" spans="1:4" x14ac:dyDescent="0.2">
      <c r="A8586" s="140" t="s">
        <v>675</v>
      </c>
      <c r="B8586" s="141">
        <v>2.1759035892903802E-5</v>
      </c>
      <c r="D8586" s="141"/>
    </row>
    <row r="8587" spans="1:4" x14ac:dyDescent="0.2">
      <c r="A8587" s="140" t="s">
        <v>808</v>
      </c>
      <c r="B8587" s="141">
        <v>2.17582378696774E-5</v>
      </c>
      <c r="D8587" s="141"/>
    </row>
    <row r="8588" spans="1:4" x14ac:dyDescent="0.2">
      <c r="A8588" s="140" t="s">
        <v>4262</v>
      </c>
      <c r="B8588" s="141">
        <v>2.17578469334474E-5</v>
      </c>
      <c r="D8588" s="141"/>
    </row>
    <row r="8589" spans="1:4" x14ac:dyDescent="0.2">
      <c r="A8589" s="140" t="s">
        <v>3225</v>
      </c>
      <c r="B8589" s="141">
        <v>2.17578469334474E-5</v>
      </c>
      <c r="D8589" s="141"/>
    </row>
    <row r="8590" spans="1:4" x14ac:dyDescent="0.2">
      <c r="A8590" s="140" t="s">
        <v>9591</v>
      </c>
      <c r="B8590" s="141">
        <v>2.1751115668204401E-5</v>
      </c>
      <c r="D8590" s="141"/>
    </row>
    <row r="8591" spans="1:4" x14ac:dyDescent="0.2">
      <c r="A8591" s="140" t="s">
        <v>1168</v>
      </c>
      <c r="B8591" s="141">
        <v>2.1717505172151099E-5</v>
      </c>
      <c r="D8591" s="141"/>
    </row>
    <row r="8592" spans="1:4" x14ac:dyDescent="0.2">
      <c r="A8592" s="140" t="s">
        <v>6214</v>
      </c>
      <c r="B8592" s="141">
        <v>2.1641774118122199E-5</v>
      </c>
      <c r="D8592" s="141"/>
    </row>
    <row r="8593" spans="1:4" x14ac:dyDescent="0.2">
      <c r="A8593" s="140" t="s">
        <v>9592</v>
      </c>
      <c r="B8593" s="141">
        <v>2.1617867076410302E-5</v>
      </c>
      <c r="D8593" s="141"/>
    </row>
    <row r="8594" spans="1:4" x14ac:dyDescent="0.2">
      <c r="A8594" s="140" t="s">
        <v>9593</v>
      </c>
      <c r="B8594" s="141">
        <v>2.16061406979312E-5</v>
      </c>
      <c r="D8594" s="141"/>
    </row>
    <row r="8595" spans="1:4" x14ac:dyDescent="0.2">
      <c r="A8595" s="140" t="s">
        <v>9594</v>
      </c>
      <c r="B8595" s="141">
        <v>2.1585186179294401E-5</v>
      </c>
      <c r="D8595" s="141"/>
    </row>
    <row r="8596" spans="1:4" x14ac:dyDescent="0.2">
      <c r="A8596" s="140" t="s">
        <v>2405</v>
      </c>
      <c r="B8596" s="141">
        <v>2.1497481432757098E-5</v>
      </c>
      <c r="D8596" s="141"/>
    </row>
    <row r="8597" spans="1:4" x14ac:dyDescent="0.2">
      <c r="A8597" s="140" t="s">
        <v>388</v>
      </c>
      <c r="B8597" s="141">
        <v>2.1436209934663501E-5</v>
      </c>
      <c r="D8597" s="141"/>
    </row>
    <row r="8598" spans="1:4" x14ac:dyDescent="0.2">
      <c r="A8598" s="140" t="s">
        <v>9595</v>
      </c>
      <c r="B8598" s="141">
        <v>2.14172959899906E-5</v>
      </c>
      <c r="D8598" s="141"/>
    </row>
    <row r="8599" spans="1:4" x14ac:dyDescent="0.2">
      <c r="A8599" s="140" t="s">
        <v>6200</v>
      </c>
      <c r="B8599" s="141">
        <v>2.1404340158430402E-5</v>
      </c>
      <c r="D8599" s="141"/>
    </row>
    <row r="8600" spans="1:4" x14ac:dyDescent="0.2">
      <c r="A8600" s="140" t="s">
        <v>556</v>
      </c>
      <c r="B8600" s="141">
        <v>2.1376412487869999E-5</v>
      </c>
      <c r="D8600" s="141"/>
    </row>
    <row r="8601" spans="1:4" x14ac:dyDescent="0.2">
      <c r="A8601" s="140" t="s">
        <v>3193</v>
      </c>
      <c r="B8601" s="141">
        <v>2.1371393693822201E-5</v>
      </c>
      <c r="D8601" s="141"/>
    </row>
    <row r="8602" spans="1:4" x14ac:dyDescent="0.2">
      <c r="A8602" s="140" t="s">
        <v>9596</v>
      </c>
      <c r="B8602" s="141">
        <v>2.13477551065225E-5</v>
      </c>
      <c r="D8602" s="141"/>
    </row>
    <row r="8603" spans="1:4" x14ac:dyDescent="0.2">
      <c r="A8603" s="140" t="s">
        <v>9597</v>
      </c>
      <c r="B8603" s="141">
        <v>2.1296659651004898E-5</v>
      </c>
      <c r="D8603" s="141"/>
    </row>
    <row r="8604" spans="1:4" x14ac:dyDescent="0.2">
      <c r="A8604" s="140" t="s">
        <v>4989</v>
      </c>
      <c r="B8604" s="141">
        <v>2.1217938211061599E-5</v>
      </c>
      <c r="D8604" s="141"/>
    </row>
    <row r="8605" spans="1:4" x14ac:dyDescent="0.2">
      <c r="A8605" s="140" t="s">
        <v>1563</v>
      </c>
      <c r="B8605" s="141">
        <v>2.11951517538876E-5</v>
      </c>
      <c r="D8605" s="141"/>
    </row>
    <row r="8606" spans="1:4" x14ac:dyDescent="0.2">
      <c r="A8606" s="140" t="s">
        <v>589</v>
      </c>
      <c r="B8606" s="141">
        <v>2.1173862790927399E-5</v>
      </c>
      <c r="D8606" s="141"/>
    </row>
    <row r="8607" spans="1:4" x14ac:dyDescent="0.2">
      <c r="A8607" s="140" t="s">
        <v>5206</v>
      </c>
      <c r="B8607" s="141">
        <v>2.1131166929513301E-5</v>
      </c>
      <c r="D8607" s="141"/>
    </row>
    <row r="8608" spans="1:4" x14ac:dyDescent="0.2">
      <c r="A8608" s="140" t="s">
        <v>844</v>
      </c>
      <c r="B8608" s="141">
        <v>2.1067715326366801E-5</v>
      </c>
      <c r="D8608" s="141"/>
    </row>
    <row r="8609" spans="1:4" x14ac:dyDescent="0.2">
      <c r="A8609" s="140" t="s">
        <v>4725</v>
      </c>
      <c r="B8609" s="141">
        <v>2.1063923942637102E-5</v>
      </c>
      <c r="D8609" s="141"/>
    </row>
    <row r="8610" spans="1:4" x14ac:dyDescent="0.2">
      <c r="A8610" s="140" t="s">
        <v>9598</v>
      </c>
      <c r="B8610" s="141">
        <v>2.10566743705212E-5</v>
      </c>
      <c r="D8610" s="141"/>
    </row>
    <row r="8611" spans="1:4" x14ac:dyDescent="0.2">
      <c r="A8611" s="140" t="s">
        <v>9599</v>
      </c>
      <c r="B8611" s="141">
        <v>2.0946350416386499E-5</v>
      </c>
      <c r="D8611" s="141"/>
    </row>
    <row r="8612" spans="1:4" x14ac:dyDescent="0.2">
      <c r="A8612" s="140" t="s">
        <v>9600</v>
      </c>
      <c r="B8612" s="141">
        <v>2.0845909936199598E-5</v>
      </c>
      <c r="D8612" s="141"/>
    </row>
    <row r="8613" spans="1:4" x14ac:dyDescent="0.2">
      <c r="A8613" s="140" t="s">
        <v>9601</v>
      </c>
      <c r="B8613" s="141">
        <v>2.0845909936199598E-5</v>
      </c>
      <c r="D8613" s="141"/>
    </row>
    <row r="8614" spans="1:4" x14ac:dyDescent="0.2">
      <c r="A8614" s="140" t="s">
        <v>395</v>
      </c>
      <c r="B8614" s="141">
        <v>2.08103775277986E-5</v>
      </c>
      <c r="D8614" s="141"/>
    </row>
    <row r="8615" spans="1:4" x14ac:dyDescent="0.2">
      <c r="A8615" s="140" t="s">
        <v>5976</v>
      </c>
      <c r="B8615" s="141">
        <v>2.0724061180647601E-5</v>
      </c>
      <c r="D8615" s="141"/>
    </row>
    <row r="8616" spans="1:4" x14ac:dyDescent="0.2">
      <c r="A8616" s="140" t="s">
        <v>9602</v>
      </c>
      <c r="B8616" s="141">
        <v>2.0639016716321602E-5</v>
      </c>
      <c r="D8616" s="141"/>
    </row>
    <row r="8617" spans="1:4" x14ac:dyDescent="0.2">
      <c r="A8617" s="140" t="s">
        <v>5776</v>
      </c>
      <c r="B8617" s="141">
        <v>2.0568615094075199E-5</v>
      </c>
      <c r="D8617" s="141"/>
    </row>
    <row r="8618" spans="1:4" x14ac:dyDescent="0.2">
      <c r="A8618" s="140" t="s">
        <v>2042</v>
      </c>
      <c r="B8618" s="141">
        <v>2.04601961178586E-5</v>
      </c>
      <c r="D8618" s="141"/>
    </row>
    <row r="8619" spans="1:4" x14ac:dyDescent="0.2">
      <c r="A8619" s="140" t="s">
        <v>5097</v>
      </c>
      <c r="B8619" s="141">
        <v>2.0389788095664799E-5</v>
      </c>
      <c r="D8619" s="141"/>
    </row>
    <row r="8620" spans="1:4" x14ac:dyDescent="0.2">
      <c r="A8620" s="140" t="s">
        <v>9603</v>
      </c>
      <c r="B8620" s="141">
        <v>2.0338193896817599E-5</v>
      </c>
      <c r="D8620" s="141"/>
    </row>
    <row r="8621" spans="1:4" x14ac:dyDescent="0.2">
      <c r="A8621" s="140" t="s">
        <v>1594</v>
      </c>
      <c r="B8621" s="141">
        <v>2.0316100489038799E-5</v>
      </c>
      <c r="D8621" s="141"/>
    </row>
    <row r="8622" spans="1:4" x14ac:dyDescent="0.2">
      <c r="A8622" s="140" t="s">
        <v>9604</v>
      </c>
      <c r="B8622" s="141">
        <v>2.0256187002816299E-5</v>
      </c>
      <c r="D8622" s="141"/>
    </row>
    <row r="8623" spans="1:4" x14ac:dyDescent="0.2">
      <c r="A8623" s="140" t="s">
        <v>9605</v>
      </c>
      <c r="B8623" s="141">
        <v>2.0256187002816299E-5</v>
      </c>
      <c r="D8623" s="141"/>
    </row>
    <row r="8624" spans="1:4" x14ac:dyDescent="0.2">
      <c r="A8624" s="140" t="s">
        <v>3542</v>
      </c>
      <c r="B8624" s="141">
        <v>2.0256187002816299E-5</v>
      </c>
      <c r="D8624" s="141"/>
    </row>
    <row r="8625" spans="1:4" x14ac:dyDescent="0.2">
      <c r="A8625" s="140" t="s">
        <v>9606</v>
      </c>
      <c r="B8625" s="141">
        <v>2.0256187002816299E-5</v>
      </c>
      <c r="D8625" s="141"/>
    </row>
    <row r="8626" spans="1:4" x14ac:dyDescent="0.2">
      <c r="A8626" s="140" t="s">
        <v>729</v>
      </c>
      <c r="B8626" s="141">
        <v>2.02202679632588E-5</v>
      </c>
      <c r="D8626" s="141"/>
    </row>
    <row r="8627" spans="1:4" x14ac:dyDescent="0.2">
      <c r="A8627" s="140" t="s">
        <v>9607</v>
      </c>
      <c r="B8627" s="141">
        <v>2.01924120157621E-5</v>
      </c>
      <c r="D8627" s="141"/>
    </row>
    <row r="8628" spans="1:4" x14ac:dyDescent="0.2">
      <c r="A8628" s="140" t="s">
        <v>9608</v>
      </c>
      <c r="B8628" s="141">
        <v>2.0191989698296698E-5</v>
      </c>
      <c r="D8628" s="141"/>
    </row>
    <row r="8629" spans="1:4" x14ac:dyDescent="0.2">
      <c r="A8629" s="140" t="s">
        <v>1043</v>
      </c>
      <c r="B8629" s="141">
        <v>2.0182309060144499E-5</v>
      </c>
      <c r="D8629" s="141"/>
    </row>
    <row r="8630" spans="1:4" x14ac:dyDescent="0.2">
      <c r="A8630" s="140" t="s">
        <v>9609</v>
      </c>
      <c r="B8630" s="141">
        <v>2.0169714638432899E-5</v>
      </c>
      <c r="D8630" s="141"/>
    </row>
    <row r="8631" spans="1:4" x14ac:dyDescent="0.2">
      <c r="A8631" s="140" t="s">
        <v>9610</v>
      </c>
      <c r="B8631" s="141">
        <v>2.01633684528236E-5</v>
      </c>
      <c r="D8631" s="141"/>
    </row>
    <row r="8632" spans="1:4" x14ac:dyDescent="0.2">
      <c r="A8632" s="140" t="s">
        <v>1173</v>
      </c>
      <c r="B8632" s="141">
        <v>2.0156342113419101E-5</v>
      </c>
      <c r="D8632" s="141"/>
    </row>
    <row r="8633" spans="1:4" x14ac:dyDescent="0.2">
      <c r="A8633" s="140" t="s">
        <v>694</v>
      </c>
      <c r="B8633" s="141">
        <v>2.0124900860447599E-5</v>
      </c>
      <c r="D8633" s="141"/>
    </row>
    <row r="8634" spans="1:4" x14ac:dyDescent="0.2">
      <c r="A8634" s="140" t="s">
        <v>4939</v>
      </c>
      <c r="B8634" s="141">
        <v>2.0117948964759201E-5</v>
      </c>
      <c r="D8634" s="141"/>
    </row>
    <row r="8635" spans="1:4" x14ac:dyDescent="0.2">
      <c r="A8635" s="140" t="s">
        <v>5035</v>
      </c>
      <c r="B8635" s="141">
        <v>2.0098866410588202E-5</v>
      </c>
      <c r="D8635" s="141"/>
    </row>
    <row r="8636" spans="1:4" x14ac:dyDescent="0.2">
      <c r="A8636" s="140" t="s">
        <v>9611</v>
      </c>
      <c r="B8636" s="141">
        <v>2.0097909440536798E-5</v>
      </c>
      <c r="D8636" s="141"/>
    </row>
    <row r="8637" spans="1:4" x14ac:dyDescent="0.2">
      <c r="A8637" s="140" t="s">
        <v>414</v>
      </c>
      <c r="B8637" s="141">
        <v>2.0072567059662901E-5</v>
      </c>
      <c r="D8637" s="141"/>
    </row>
    <row r="8638" spans="1:4" x14ac:dyDescent="0.2">
      <c r="A8638" s="140" t="s">
        <v>9612</v>
      </c>
      <c r="B8638" s="141">
        <v>1.9955379136285902E-5</v>
      </c>
      <c r="D8638" s="141"/>
    </row>
    <row r="8639" spans="1:4" x14ac:dyDescent="0.2">
      <c r="A8639" s="140" t="s">
        <v>2769</v>
      </c>
      <c r="B8639" s="141">
        <v>1.9898623523457301E-5</v>
      </c>
      <c r="D8639" s="141"/>
    </row>
    <row r="8640" spans="1:4" x14ac:dyDescent="0.2">
      <c r="A8640" s="140" t="s">
        <v>1070</v>
      </c>
      <c r="B8640" s="141">
        <v>1.9888945623278201E-5</v>
      </c>
      <c r="D8640" s="141"/>
    </row>
    <row r="8641" spans="1:4" x14ac:dyDescent="0.2">
      <c r="A8641" s="140" t="s">
        <v>9613</v>
      </c>
      <c r="B8641" s="141">
        <v>1.9833096045571901E-5</v>
      </c>
      <c r="D8641" s="141"/>
    </row>
    <row r="8642" spans="1:4" x14ac:dyDescent="0.2">
      <c r="A8642" s="140" t="s">
        <v>5555</v>
      </c>
      <c r="B8642" s="141">
        <v>1.9815701993014E-5</v>
      </c>
      <c r="D8642" s="141"/>
    </row>
    <row r="8643" spans="1:4" x14ac:dyDescent="0.2">
      <c r="A8643" s="140" t="s">
        <v>6311</v>
      </c>
      <c r="B8643" s="141">
        <v>1.9752219815752999E-5</v>
      </c>
      <c r="D8643" s="141"/>
    </row>
    <row r="8644" spans="1:4" x14ac:dyDescent="0.2">
      <c r="A8644" s="140" t="s">
        <v>4812</v>
      </c>
      <c r="B8644" s="141">
        <v>1.9727488684122298E-5</v>
      </c>
      <c r="D8644" s="141"/>
    </row>
    <row r="8645" spans="1:4" x14ac:dyDescent="0.2">
      <c r="A8645" s="140" t="s">
        <v>9614</v>
      </c>
      <c r="B8645" s="141">
        <v>1.9555690027023E-5</v>
      </c>
      <c r="D8645" s="141"/>
    </row>
    <row r="8646" spans="1:4" x14ac:dyDescent="0.2">
      <c r="A8646" s="140" t="s">
        <v>5056</v>
      </c>
      <c r="B8646" s="141">
        <v>1.9513229177329899E-5</v>
      </c>
      <c r="D8646" s="141"/>
    </row>
    <row r="8647" spans="1:4" x14ac:dyDescent="0.2">
      <c r="A8647" s="140" t="s">
        <v>696</v>
      </c>
      <c r="B8647" s="141">
        <v>1.9499597382858002E-5</v>
      </c>
      <c r="D8647" s="141"/>
    </row>
    <row r="8648" spans="1:4" x14ac:dyDescent="0.2">
      <c r="A8648" s="140" t="s">
        <v>577</v>
      </c>
      <c r="B8648" s="141">
        <v>1.9433707430576099E-5</v>
      </c>
      <c r="D8648" s="141"/>
    </row>
    <row r="8649" spans="1:4" x14ac:dyDescent="0.2">
      <c r="A8649" s="140" t="s">
        <v>9615</v>
      </c>
      <c r="B8649" s="141">
        <v>1.94007424459239E-5</v>
      </c>
      <c r="D8649" s="141"/>
    </row>
    <row r="8650" spans="1:4" x14ac:dyDescent="0.2">
      <c r="A8650" s="140" t="s">
        <v>3108</v>
      </c>
      <c r="B8650" s="141">
        <v>1.9281610973209902E-5</v>
      </c>
      <c r="D8650" s="141"/>
    </row>
    <row r="8651" spans="1:4" x14ac:dyDescent="0.2">
      <c r="A8651" s="140" t="s">
        <v>3199</v>
      </c>
      <c r="B8651" s="141">
        <v>1.91415576874456E-5</v>
      </c>
      <c r="D8651" s="141"/>
    </row>
    <row r="8652" spans="1:4" x14ac:dyDescent="0.2">
      <c r="A8652" s="140" t="s">
        <v>3026</v>
      </c>
      <c r="B8652" s="141">
        <v>1.9036829337165601E-5</v>
      </c>
      <c r="D8652" s="141"/>
    </row>
    <row r="8653" spans="1:4" x14ac:dyDescent="0.2">
      <c r="A8653" s="140" t="s">
        <v>9616</v>
      </c>
      <c r="B8653" s="141">
        <v>1.8949350859359501E-5</v>
      </c>
      <c r="D8653" s="141"/>
    </row>
    <row r="8654" spans="1:4" x14ac:dyDescent="0.2">
      <c r="A8654" s="140" t="s">
        <v>9617</v>
      </c>
      <c r="B8654" s="141">
        <v>1.8903532981366302E-5</v>
      </c>
      <c r="D8654" s="141"/>
    </row>
    <row r="8655" spans="1:4" x14ac:dyDescent="0.2">
      <c r="A8655" s="140" t="s">
        <v>9618</v>
      </c>
      <c r="B8655" s="141">
        <v>1.8903532981366302E-5</v>
      </c>
      <c r="D8655" s="141"/>
    </row>
    <row r="8656" spans="1:4" x14ac:dyDescent="0.2">
      <c r="A8656" s="140" t="s">
        <v>9619</v>
      </c>
      <c r="B8656" s="141">
        <v>1.8903532981366302E-5</v>
      </c>
      <c r="D8656" s="141"/>
    </row>
    <row r="8657" spans="1:4" x14ac:dyDescent="0.2">
      <c r="A8657" s="140" t="s">
        <v>9620</v>
      </c>
      <c r="B8657" s="141">
        <v>1.8903532981366302E-5</v>
      </c>
      <c r="D8657" s="141"/>
    </row>
    <row r="8658" spans="1:4" x14ac:dyDescent="0.2">
      <c r="A8658" s="140" t="s">
        <v>9621</v>
      </c>
      <c r="B8658" s="141">
        <v>1.8903532981366302E-5</v>
      </c>
      <c r="D8658" s="141"/>
    </row>
    <row r="8659" spans="1:4" x14ac:dyDescent="0.2">
      <c r="A8659" s="140" t="s">
        <v>9622</v>
      </c>
      <c r="B8659" s="141">
        <v>1.8903532981366302E-5</v>
      </c>
      <c r="D8659" s="141"/>
    </row>
    <row r="8660" spans="1:4" x14ac:dyDescent="0.2">
      <c r="A8660" s="140" t="s">
        <v>9623</v>
      </c>
      <c r="B8660" s="141">
        <v>1.8903532981366302E-5</v>
      </c>
      <c r="D8660" s="141"/>
    </row>
    <row r="8661" spans="1:4" x14ac:dyDescent="0.2">
      <c r="A8661" s="140" t="s">
        <v>9624</v>
      </c>
      <c r="B8661" s="141">
        <v>1.8903532981366302E-5</v>
      </c>
      <c r="D8661" s="141"/>
    </row>
    <row r="8662" spans="1:4" x14ac:dyDescent="0.2">
      <c r="A8662" s="140" t="s">
        <v>9625</v>
      </c>
      <c r="B8662" s="141">
        <v>1.8903532981366302E-5</v>
      </c>
      <c r="D8662" s="141"/>
    </row>
    <row r="8663" spans="1:4" x14ac:dyDescent="0.2">
      <c r="A8663" s="140" t="s">
        <v>9626</v>
      </c>
      <c r="B8663" s="141">
        <v>1.8903532981366302E-5</v>
      </c>
      <c r="D8663" s="141"/>
    </row>
    <row r="8664" spans="1:4" x14ac:dyDescent="0.2">
      <c r="A8664" s="140" t="s">
        <v>9627</v>
      </c>
      <c r="B8664" s="141">
        <v>1.8903532981366302E-5</v>
      </c>
      <c r="D8664" s="141"/>
    </row>
    <row r="8665" spans="1:4" x14ac:dyDescent="0.2">
      <c r="A8665" s="140" t="s">
        <v>9628</v>
      </c>
      <c r="B8665" s="141">
        <v>1.8903532981366302E-5</v>
      </c>
      <c r="D8665" s="141"/>
    </row>
    <row r="8666" spans="1:4" x14ac:dyDescent="0.2">
      <c r="A8666" s="140" t="s">
        <v>9629</v>
      </c>
      <c r="B8666" s="141">
        <v>1.8903532981366302E-5</v>
      </c>
      <c r="D8666" s="141"/>
    </row>
    <row r="8667" spans="1:4" x14ac:dyDescent="0.2">
      <c r="A8667" s="140" t="s">
        <v>9630</v>
      </c>
      <c r="B8667" s="141">
        <v>1.8903532981366302E-5</v>
      </c>
      <c r="D8667" s="141"/>
    </row>
    <row r="8668" spans="1:4" x14ac:dyDescent="0.2">
      <c r="A8668" s="140" t="s">
        <v>9631</v>
      </c>
      <c r="B8668" s="141">
        <v>1.8903532981366302E-5</v>
      </c>
      <c r="D8668" s="141"/>
    </row>
    <row r="8669" spans="1:4" x14ac:dyDescent="0.2">
      <c r="A8669" s="140" t="s">
        <v>9632</v>
      </c>
      <c r="B8669" s="141">
        <v>1.8903532981366302E-5</v>
      </c>
      <c r="D8669" s="141"/>
    </row>
    <row r="8670" spans="1:4" x14ac:dyDescent="0.2">
      <c r="A8670" s="140" t="s">
        <v>9633</v>
      </c>
      <c r="B8670" s="141">
        <v>1.8903532981366302E-5</v>
      </c>
      <c r="D8670" s="141"/>
    </row>
    <row r="8671" spans="1:4" x14ac:dyDescent="0.2">
      <c r="A8671" s="140" t="s">
        <v>9634</v>
      </c>
      <c r="B8671" s="141">
        <v>1.8903532981366302E-5</v>
      </c>
      <c r="D8671" s="141"/>
    </row>
    <row r="8672" spans="1:4" x14ac:dyDescent="0.2">
      <c r="A8672" s="140" t="s">
        <v>9635</v>
      </c>
      <c r="B8672" s="141">
        <v>1.8903532981366302E-5</v>
      </c>
      <c r="D8672" s="141"/>
    </row>
    <row r="8673" spans="1:4" x14ac:dyDescent="0.2">
      <c r="A8673" s="140" t="s">
        <v>769</v>
      </c>
      <c r="B8673" s="141">
        <v>1.8880479830483501E-5</v>
      </c>
      <c r="D8673" s="141"/>
    </row>
    <row r="8674" spans="1:4" x14ac:dyDescent="0.2">
      <c r="A8674" s="140" t="s">
        <v>5615</v>
      </c>
      <c r="B8674" s="141">
        <v>1.8835926049807301E-5</v>
      </c>
      <c r="D8674" s="141"/>
    </row>
    <row r="8675" spans="1:4" x14ac:dyDescent="0.2">
      <c r="A8675" s="140" t="s">
        <v>5467</v>
      </c>
      <c r="B8675" s="141">
        <v>1.8750474616682098E-5</v>
      </c>
      <c r="D8675" s="141"/>
    </row>
    <row r="8676" spans="1:4" x14ac:dyDescent="0.2">
      <c r="A8676" s="140" t="s">
        <v>4751</v>
      </c>
      <c r="B8676" s="141">
        <v>1.8750474616682098E-5</v>
      </c>
      <c r="D8676" s="141"/>
    </row>
    <row r="8677" spans="1:4" x14ac:dyDescent="0.2">
      <c r="A8677" s="140" t="s">
        <v>837</v>
      </c>
      <c r="B8677" s="141">
        <v>1.87393076950352E-5</v>
      </c>
      <c r="D8677" s="141"/>
    </row>
    <row r="8678" spans="1:4" x14ac:dyDescent="0.2">
      <c r="A8678" s="140" t="s">
        <v>2899</v>
      </c>
      <c r="B8678" s="141">
        <v>1.86440341819573E-5</v>
      </c>
      <c r="D8678" s="141"/>
    </row>
    <row r="8679" spans="1:4" x14ac:dyDescent="0.2">
      <c r="A8679" s="140" t="s">
        <v>936</v>
      </c>
      <c r="B8679" s="141">
        <v>1.8586760629136802E-5</v>
      </c>
      <c r="D8679" s="141"/>
    </row>
    <row r="8680" spans="1:4" x14ac:dyDescent="0.2">
      <c r="A8680" s="140" t="s">
        <v>2267</v>
      </c>
      <c r="B8680" s="141">
        <v>1.8535893041381399E-5</v>
      </c>
      <c r="D8680" s="141"/>
    </row>
    <row r="8681" spans="1:4" x14ac:dyDescent="0.2">
      <c r="A8681" s="140" t="s">
        <v>9636</v>
      </c>
      <c r="B8681" s="141">
        <v>1.8488032448260299E-5</v>
      </c>
      <c r="D8681" s="141"/>
    </row>
    <row r="8682" spans="1:4" x14ac:dyDescent="0.2">
      <c r="A8682" s="140" t="s">
        <v>9637</v>
      </c>
      <c r="B8682" s="141">
        <v>1.84680054182484E-5</v>
      </c>
      <c r="D8682" s="141"/>
    </row>
    <row r="8683" spans="1:4" x14ac:dyDescent="0.2">
      <c r="A8683" s="140" t="s">
        <v>5317</v>
      </c>
      <c r="B8683" s="141">
        <v>1.84651110435282E-5</v>
      </c>
      <c r="D8683" s="141"/>
    </row>
    <row r="8684" spans="1:4" x14ac:dyDescent="0.2">
      <c r="A8684" s="140" t="s">
        <v>4200</v>
      </c>
      <c r="B8684" s="141">
        <v>1.8457105285201699E-5</v>
      </c>
      <c r="D8684" s="141"/>
    </row>
    <row r="8685" spans="1:4" x14ac:dyDescent="0.2">
      <c r="A8685" s="140" t="s">
        <v>9638</v>
      </c>
      <c r="B8685" s="141">
        <v>1.8367836499106801E-5</v>
      </c>
      <c r="D8685" s="141"/>
    </row>
    <row r="8686" spans="1:4" x14ac:dyDescent="0.2">
      <c r="A8686" s="140" t="s">
        <v>4755</v>
      </c>
      <c r="B8686" s="141">
        <v>1.8333556189420999E-5</v>
      </c>
      <c r="D8686" s="141"/>
    </row>
    <row r="8687" spans="1:4" x14ac:dyDescent="0.2">
      <c r="A8687" s="140" t="s">
        <v>9639</v>
      </c>
      <c r="B8687" s="141">
        <v>1.8328466380109301E-5</v>
      </c>
      <c r="D8687" s="141"/>
    </row>
    <row r="8688" spans="1:4" x14ac:dyDescent="0.2">
      <c r="A8688" s="140" t="s">
        <v>5723</v>
      </c>
      <c r="B8688" s="141">
        <v>1.8315258172190101E-5</v>
      </c>
      <c r="D8688" s="141"/>
    </row>
    <row r="8689" spans="1:4" x14ac:dyDescent="0.2">
      <c r="A8689" s="140" t="s">
        <v>6192</v>
      </c>
      <c r="B8689" s="141">
        <v>1.8304222893928801E-5</v>
      </c>
      <c r="D8689" s="141"/>
    </row>
    <row r="8690" spans="1:4" x14ac:dyDescent="0.2">
      <c r="A8690" s="140" t="s">
        <v>766</v>
      </c>
      <c r="B8690" s="141">
        <v>1.8303661683160399E-5</v>
      </c>
      <c r="D8690" s="141"/>
    </row>
    <row r="8691" spans="1:4" x14ac:dyDescent="0.2">
      <c r="A8691" s="140" t="s">
        <v>9640</v>
      </c>
      <c r="B8691" s="141">
        <v>1.8296315267950701E-5</v>
      </c>
      <c r="D8691" s="141"/>
    </row>
    <row r="8692" spans="1:4" x14ac:dyDescent="0.2">
      <c r="A8692" s="140" t="s">
        <v>9641</v>
      </c>
      <c r="B8692" s="141">
        <v>1.82798061415681E-5</v>
      </c>
      <c r="D8692" s="141"/>
    </row>
    <row r="8693" spans="1:4" x14ac:dyDescent="0.2">
      <c r="A8693" s="140" t="s">
        <v>5557</v>
      </c>
      <c r="B8693" s="141">
        <v>1.8276655298554199E-5</v>
      </c>
      <c r="D8693" s="141"/>
    </row>
    <row r="8694" spans="1:4" x14ac:dyDescent="0.2">
      <c r="A8694" s="140" t="s">
        <v>9642</v>
      </c>
      <c r="B8694" s="141">
        <v>1.8256227018056202E-5</v>
      </c>
      <c r="D8694" s="141"/>
    </row>
    <row r="8695" spans="1:4" x14ac:dyDescent="0.2">
      <c r="A8695" s="140" t="s">
        <v>2406</v>
      </c>
      <c r="B8695" s="141">
        <v>1.8177932734888101E-5</v>
      </c>
      <c r="D8695" s="141"/>
    </row>
    <row r="8696" spans="1:4" x14ac:dyDescent="0.2">
      <c r="A8696" s="140" t="s">
        <v>9643</v>
      </c>
      <c r="B8696" s="141">
        <v>1.8148095920706199E-5</v>
      </c>
      <c r="D8696" s="141"/>
    </row>
    <row r="8697" spans="1:4" x14ac:dyDescent="0.2">
      <c r="A8697" s="140" t="s">
        <v>4602</v>
      </c>
      <c r="B8697" s="141">
        <v>1.81201592448216E-5</v>
      </c>
      <c r="D8697" s="141"/>
    </row>
    <row r="8698" spans="1:4" x14ac:dyDescent="0.2">
      <c r="A8698" s="140" t="s">
        <v>9644</v>
      </c>
      <c r="B8698" s="141">
        <v>1.8084788304670701E-5</v>
      </c>
      <c r="D8698" s="141"/>
    </row>
    <row r="8699" spans="1:4" x14ac:dyDescent="0.2">
      <c r="A8699" s="140" t="s">
        <v>9645</v>
      </c>
      <c r="B8699" s="141">
        <v>1.8045148669478699E-5</v>
      </c>
      <c r="D8699" s="141"/>
    </row>
    <row r="8700" spans="1:4" x14ac:dyDescent="0.2">
      <c r="A8700" s="140" t="s">
        <v>9646</v>
      </c>
      <c r="B8700" s="141">
        <v>1.8045148669478699E-5</v>
      </c>
      <c r="D8700" s="141"/>
    </row>
    <row r="8701" spans="1:4" x14ac:dyDescent="0.2">
      <c r="A8701" s="140" t="s">
        <v>9647</v>
      </c>
      <c r="B8701" s="141">
        <v>1.8045148669478699E-5</v>
      </c>
      <c r="D8701" s="141"/>
    </row>
    <row r="8702" spans="1:4" x14ac:dyDescent="0.2">
      <c r="A8702" s="140" t="s">
        <v>9648</v>
      </c>
      <c r="B8702" s="141">
        <v>1.8045148669478699E-5</v>
      </c>
      <c r="D8702" s="141"/>
    </row>
    <row r="8703" spans="1:4" x14ac:dyDescent="0.2">
      <c r="A8703" s="140" t="s">
        <v>9649</v>
      </c>
      <c r="B8703" s="141">
        <v>1.8045148669478699E-5</v>
      </c>
      <c r="D8703" s="141"/>
    </row>
    <row r="8704" spans="1:4" x14ac:dyDescent="0.2">
      <c r="A8704" s="140" t="s">
        <v>5013</v>
      </c>
      <c r="B8704" s="141">
        <v>1.7943082829439299E-5</v>
      </c>
      <c r="D8704" s="141"/>
    </row>
    <row r="8705" spans="1:4" x14ac:dyDescent="0.2">
      <c r="A8705" s="140" t="s">
        <v>9650</v>
      </c>
      <c r="B8705" s="141">
        <v>1.7907872405502101E-5</v>
      </c>
      <c r="D8705" s="141"/>
    </row>
    <row r="8706" spans="1:4" x14ac:dyDescent="0.2">
      <c r="A8706" s="140" t="s">
        <v>2009</v>
      </c>
      <c r="B8706" s="141">
        <v>1.7881096887839599E-5</v>
      </c>
      <c r="D8706" s="141"/>
    </row>
    <row r="8707" spans="1:4" x14ac:dyDescent="0.2">
      <c r="A8707" s="140" t="s">
        <v>654</v>
      </c>
      <c r="B8707" s="141">
        <v>1.7878173408170199E-5</v>
      </c>
      <c r="D8707" s="141"/>
    </row>
    <row r="8708" spans="1:4" x14ac:dyDescent="0.2">
      <c r="A8708" s="140" t="s">
        <v>3428</v>
      </c>
      <c r="B8708" s="141">
        <v>1.7845255285391001E-5</v>
      </c>
      <c r="D8708" s="141"/>
    </row>
    <row r="8709" spans="1:4" x14ac:dyDescent="0.2">
      <c r="A8709" s="140" t="s">
        <v>9651</v>
      </c>
      <c r="B8709" s="141">
        <v>1.7789248272656901E-5</v>
      </c>
      <c r="D8709" s="141"/>
    </row>
    <row r="8710" spans="1:4" x14ac:dyDescent="0.2">
      <c r="A8710" s="140" t="s">
        <v>9652</v>
      </c>
      <c r="B8710" s="141">
        <v>1.7723483838808699E-5</v>
      </c>
      <c r="D8710" s="141"/>
    </row>
    <row r="8711" spans="1:4" x14ac:dyDescent="0.2">
      <c r="A8711" s="140" t="s">
        <v>9653</v>
      </c>
      <c r="B8711" s="141">
        <v>1.7678915485680098E-5</v>
      </c>
      <c r="D8711" s="141"/>
    </row>
    <row r="8712" spans="1:4" x14ac:dyDescent="0.2">
      <c r="A8712" s="140" t="s">
        <v>9654</v>
      </c>
      <c r="B8712" s="141">
        <v>1.76702535376832E-5</v>
      </c>
      <c r="D8712" s="141"/>
    </row>
    <row r="8713" spans="1:4" x14ac:dyDescent="0.2">
      <c r="A8713" s="140" t="s">
        <v>9655</v>
      </c>
      <c r="B8713" s="141">
        <v>1.76702535376832E-5</v>
      </c>
      <c r="D8713" s="141"/>
    </row>
    <row r="8714" spans="1:4" x14ac:dyDescent="0.2">
      <c r="A8714" s="140" t="s">
        <v>9656</v>
      </c>
      <c r="B8714" s="141">
        <v>1.7664562535979901E-5</v>
      </c>
      <c r="D8714" s="141"/>
    </row>
    <row r="8715" spans="1:4" x14ac:dyDescent="0.2">
      <c r="A8715" s="140" t="s">
        <v>704</v>
      </c>
      <c r="B8715" s="141">
        <v>1.76450892006846E-5</v>
      </c>
      <c r="D8715" s="141"/>
    </row>
    <row r="8716" spans="1:4" x14ac:dyDescent="0.2">
      <c r="A8716" s="140" t="s">
        <v>1004</v>
      </c>
      <c r="B8716" s="141">
        <v>1.7565587034097299E-5</v>
      </c>
      <c r="D8716" s="141"/>
    </row>
    <row r="8717" spans="1:4" x14ac:dyDescent="0.2">
      <c r="A8717" s="140" t="s">
        <v>9657</v>
      </c>
      <c r="B8717" s="141">
        <v>1.7530954128018299E-5</v>
      </c>
      <c r="D8717" s="141"/>
    </row>
    <row r="8718" spans="1:4" x14ac:dyDescent="0.2">
      <c r="A8718" s="140" t="s">
        <v>522</v>
      </c>
      <c r="B8718" s="141">
        <v>1.7492195557484598E-5</v>
      </c>
      <c r="D8718" s="141"/>
    </row>
    <row r="8719" spans="1:4" x14ac:dyDescent="0.2">
      <c r="A8719" s="140" t="s">
        <v>1706</v>
      </c>
      <c r="B8719" s="141">
        <v>1.7411891183045501E-5</v>
      </c>
      <c r="D8719" s="141"/>
    </row>
    <row r="8720" spans="1:4" x14ac:dyDescent="0.2">
      <c r="A8720" s="140" t="s">
        <v>9658</v>
      </c>
      <c r="B8720" s="141">
        <v>1.7411891183045501E-5</v>
      </c>
      <c r="D8720" s="141"/>
    </row>
    <row r="8721" spans="1:4" x14ac:dyDescent="0.2">
      <c r="A8721" s="140" t="s">
        <v>9659</v>
      </c>
      <c r="B8721" s="141">
        <v>1.7275499096136499E-5</v>
      </c>
      <c r="D8721" s="141"/>
    </row>
    <row r="8722" spans="1:4" x14ac:dyDescent="0.2">
      <c r="A8722" s="140" t="s">
        <v>9660</v>
      </c>
      <c r="B8722" s="141">
        <v>1.7271791686472399E-5</v>
      </c>
      <c r="D8722" s="141"/>
    </row>
    <row r="8723" spans="1:4" x14ac:dyDescent="0.2">
      <c r="A8723" s="140" t="s">
        <v>9661</v>
      </c>
      <c r="B8723" s="141">
        <v>1.7240358957005E-5</v>
      </c>
      <c r="D8723" s="141"/>
    </row>
    <row r="8724" spans="1:4" x14ac:dyDescent="0.2">
      <c r="A8724" s="140" t="s">
        <v>4487</v>
      </c>
      <c r="B8724" s="141">
        <v>1.7240358957005E-5</v>
      </c>
      <c r="D8724" s="141"/>
    </row>
    <row r="8725" spans="1:4" x14ac:dyDescent="0.2">
      <c r="A8725" s="140" t="s">
        <v>9662</v>
      </c>
      <c r="B8725" s="141">
        <v>1.7240358957005E-5</v>
      </c>
      <c r="D8725" s="141"/>
    </row>
    <row r="8726" spans="1:4" x14ac:dyDescent="0.2">
      <c r="A8726" s="140" t="s">
        <v>9663</v>
      </c>
      <c r="B8726" s="141">
        <v>1.7240358957005E-5</v>
      </c>
      <c r="D8726" s="141"/>
    </row>
    <row r="8727" spans="1:4" x14ac:dyDescent="0.2">
      <c r="A8727" s="140" t="s">
        <v>3844</v>
      </c>
      <c r="B8727" s="141">
        <v>1.7205876802256199E-5</v>
      </c>
      <c r="D8727" s="141"/>
    </row>
    <row r="8728" spans="1:4" x14ac:dyDescent="0.2">
      <c r="A8728" s="140" t="s">
        <v>9664</v>
      </c>
      <c r="B8728" s="141">
        <v>1.7185406276793301E-5</v>
      </c>
      <c r="D8728" s="141"/>
    </row>
    <row r="8729" spans="1:4" x14ac:dyDescent="0.2">
      <c r="A8729" s="140" t="s">
        <v>1230</v>
      </c>
      <c r="B8729" s="141">
        <v>1.7132700358437898E-5</v>
      </c>
      <c r="D8729" s="141"/>
    </row>
    <row r="8730" spans="1:4" x14ac:dyDescent="0.2">
      <c r="A8730" s="140" t="s">
        <v>9665</v>
      </c>
      <c r="B8730" s="141">
        <v>1.71180299300793E-5</v>
      </c>
      <c r="D8730" s="141"/>
    </row>
    <row r="8731" spans="1:4" x14ac:dyDescent="0.2">
      <c r="A8731" s="140" t="s">
        <v>9666</v>
      </c>
      <c r="B8731" s="141">
        <v>1.7105776568958901E-5</v>
      </c>
      <c r="D8731" s="141"/>
    </row>
    <row r="8732" spans="1:4" x14ac:dyDescent="0.2">
      <c r="A8732" s="140" t="s">
        <v>9667</v>
      </c>
      <c r="B8732" s="141">
        <v>1.7105776568958901E-5</v>
      </c>
      <c r="D8732" s="141"/>
    </row>
    <row r="8733" spans="1:4" x14ac:dyDescent="0.2">
      <c r="A8733" s="140" t="s">
        <v>595</v>
      </c>
      <c r="B8733" s="141">
        <v>1.7081173580923399E-5</v>
      </c>
      <c r="D8733" s="141"/>
    </row>
    <row r="8734" spans="1:4" x14ac:dyDescent="0.2">
      <c r="A8734" s="140" t="s">
        <v>952</v>
      </c>
      <c r="B8734" s="141">
        <v>1.70749180725142E-5</v>
      </c>
      <c r="D8734" s="141"/>
    </row>
    <row r="8735" spans="1:4" x14ac:dyDescent="0.2">
      <c r="A8735" s="140" t="s">
        <v>9668</v>
      </c>
      <c r="B8735" s="141">
        <v>1.7043736223842601E-5</v>
      </c>
      <c r="D8735" s="141"/>
    </row>
    <row r="8736" spans="1:4" x14ac:dyDescent="0.2">
      <c r="A8736" s="140" t="s">
        <v>9669</v>
      </c>
      <c r="B8736" s="141">
        <v>1.70398954327105E-5</v>
      </c>
      <c r="D8736" s="141"/>
    </row>
    <row r="8737" spans="1:4" x14ac:dyDescent="0.2">
      <c r="A8737" s="140" t="s">
        <v>1054</v>
      </c>
      <c r="B8737" s="141">
        <v>1.7022877780337E-5</v>
      </c>
      <c r="D8737" s="141"/>
    </row>
    <row r="8738" spans="1:4" x14ac:dyDescent="0.2">
      <c r="A8738" s="140" t="s">
        <v>9670</v>
      </c>
      <c r="B8738" s="141">
        <v>1.6995507664378799E-5</v>
      </c>
      <c r="D8738" s="141"/>
    </row>
    <row r="8739" spans="1:4" x14ac:dyDescent="0.2">
      <c r="A8739" s="140" t="s">
        <v>9671</v>
      </c>
      <c r="B8739" s="141">
        <v>1.6950827588738599E-5</v>
      </c>
      <c r="D8739" s="141"/>
    </row>
    <row r="8740" spans="1:4" x14ac:dyDescent="0.2">
      <c r="A8740" s="140" t="s">
        <v>1336</v>
      </c>
      <c r="B8740" s="141">
        <v>1.6942504666390601E-5</v>
      </c>
      <c r="D8740" s="141"/>
    </row>
    <row r="8741" spans="1:4" x14ac:dyDescent="0.2">
      <c r="A8741" s="140" t="s">
        <v>4565</v>
      </c>
      <c r="B8741" s="141">
        <v>1.68920345658797E-5</v>
      </c>
      <c r="D8741" s="141"/>
    </row>
    <row r="8742" spans="1:4" x14ac:dyDescent="0.2">
      <c r="A8742" s="140" t="s">
        <v>1063</v>
      </c>
      <c r="B8742" s="141">
        <v>1.68857685329078E-5</v>
      </c>
      <c r="D8742" s="141"/>
    </row>
    <row r="8743" spans="1:4" x14ac:dyDescent="0.2">
      <c r="A8743" s="140" t="s">
        <v>970</v>
      </c>
      <c r="B8743" s="141">
        <v>1.6867276042632399E-5</v>
      </c>
      <c r="D8743" s="141"/>
    </row>
    <row r="8744" spans="1:4" x14ac:dyDescent="0.2">
      <c r="A8744" s="140" t="s">
        <v>784</v>
      </c>
      <c r="B8744" s="141">
        <v>1.6833620335795701E-5</v>
      </c>
      <c r="D8744" s="141"/>
    </row>
    <row r="8745" spans="1:4" x14ac:dyDescent="0.2">
      <c r="A8745" s="140" t="s">
        <v>6201</v>
      </c>
      <c r="B8745" s="141">
        <v>1.68212570182762E-5</v>
      </c>
      <c r="D8745" s="141"/>
    </row>
    <row r="8746" spans="1:4" x14ac:dyDescent="0.2">
      <c r="A8746" s="140" t="s">
        <v>9672</v>
      </c>
      <c r="B8746" s="141">
        <v>1.6782443502447901E-5</v>
      </c>
      <c r="D8746" s="141"/>
    </row>
    <row r="8747" spans="1:4" x14ac:dyDescent="0.2">
      <c r="A8747" s="140" t="s">
        <v>466</v>
      </c>
      <c r="B8747" s="141">
        <v>1.6773346428073799E-5</v>
      </c>
      <c r="D8747" s="141"/>
    </row>
    <row r="8748" spans="1:4" x14ac:dyDescent="0.2">
      <c r="A8748" s="140" t="s">
        <v>3251</v>
      </c>
      <c r="B8748" s="141">
        <v>1.6697901527330699E-5</v>
      </c>
      <c r="D8748" s="141"/>
    </row>
    <row r="8749" spans="1:4" x14ac:dyDescent="0.2">
      <c r="A8749" s="140" t="s">
        <v>1308</v>
      </c>
      <c r="B8749" s="141">
        <v>1.6682510790728101E-5</v>
      </c>
      <c r="D8749" s="141"/>
    </row>
    <row r="8750" spans="1:4" x14ac:dyDescent="0.2">
      <c r="A8750" s="140" t="s">
        <v>4606</v>
      </c>
      <c r="B8750" s="141">
        <v>1.6614920196462401E-5</v>
      </c>
      <c r="D8750" s="141"/>
    </row>
    <row r="8751" spans="1:4" x14ac:dyDescent="0.2">
      <c r="A8751" s="140" t="s">
        <v>5553</v>
      </c>
      <c r="B8751" s="141">
        <v>1.66147339030016E-5</v>
      </c>
      <c r="D8751" s="141"/>
    </row>
    <row r="8752" spans="1:4" x14ac:dyDescent="0.2">
      <c r="A8752" s="140" t="s">
        <v>9673</v>
      </c>
      <c r="B8752" s="141">
        <v>1.66111411408085E-5</v>
      </c>
      <c r="D8752" s="141"/>
    </row>
    <row r="8753" spans="1:4" x14ac:dyDescent="0.2">
      <c r="A8753" s="140" t="s">
        <v>1792</v>
      </c>
      <c r="B8753" s="141">
        <v>1.6564827715166599E-5</v>
      </c>
      <c r="D8753" s="141"/>
    </row>
    <row r="8754" spans="1:4" x14ac:dyDescent="0.2">
      <c r="A8754" s="140" t="s">
        <v>9674</v>
      </c>
      <c r="B8754" s="141">
        <v>1.63192469995798E-5</v>
      </c>
      <c r="D8754" s="141"/>
    </row>
    <row r="8755" spans="1:4" x14ac:dyDescent="0.2">
      <c r="A8755" s="140" t="s">
        <v>9675</v>
      </c>
      <c r="B8755" s="141">
        <v>1.6199835693593799E-5</v>
      </c>
      <c r="D8755" s="141"/>
    </row>
    <row r="8756" spans="1:4" x14ac:dyDescent="0.2">
      <c r="A8756" s="140" t="s">
        <v>9676</v>
      </c>
      <c r="B8756" s="141">
        <v>1.6172823028034498E-5</v>
      </c>
      <c r="D8756" s="141"/>
    </row>
    <row r="8757" spans="1:4" x14ac:dyDescent="0.2">
      <c r="A8757" s="140" t="s">
        <v>3343</v>
      </c>
      <c r="B8757" s="141">
        <v>1.6123625534041901E-5</v>
      </c>
      <c r="D8757" s="141"/>
    </row>
    <row r="8758" spans="1:4" x14ac:dyDescent="0.2">
      <c r="A8758" s="140" t="s">
        <v>4147</v>
      </c>
      <c r="B8758" s="141">
        <v>1.6095367166526899E-5</v>
      </c>
      <c r="D8758" s="141"/>
    </row>
    <row r="8759" spans="1:4" x14ac:dyDescent="0.2">
      <c r="A8759" s="140" t="s">
        <v>9677</v>
      </c>
      <c r="B8759" s="141">
        <v>1.6085764007624099E-5</v>
      </c>
      <c r="D8759" s="141"/>
    </row>
    <row r="8760" spans="1:4" x14ac:dyDescent="0.2">
      <c r="A8760" s="140" t="s">
        <v>1298</v>
      </c>
      <c r="B8760" s="141">
        <v>1.6051798077428101E-5</v>
      </c>
      <c r="D8760" s="141"/>
    </row>
    <row r="8761" spans="1:4" x14ac:dyDescent="0.2">
      <c r="A8761" s="140" t="s">
        <v>1422</v>
      </c>
      <c r="B8761" s="141">
        <v>1.6020702655154499E-5</v>
      </c>
      <c r="D8761" s="141"/>
    </row>
    <row r="8762" spans="1:4" x14ac:dyDescent="0.2">
      <c r="A8762" s="140" t="s">
        <v>9678</v>
      </c>
      <c r="B8762" s="141">
        <v>1.6001719280774602E-5</v>
      </c>
      <c r="D8762" s="141"/>
    </row>
    <row r="8763" spans="1:4" x14ac:dyDescent="0.2">
      <c r="A8763" s="140" t="s">
        <v>1772</v>
      </c>
      <c r="B8763" s="141">
        <v>1.5998028857433199E-5</v>
      </c>
      <c r="D8763" s="141"/>
    </row>
    <row r="8764" spans="1:4" x14ac:dyDescent="0.2">
      <c r="A8764" s="140" t="s">
        <v>9679</v>
      </c>
      <c r="B8764" s="141">
        <v>1.5997958674989798E-5</v>
      </c>
      <c r="D8764" s="141"/>
    </row>
    <row r="8765" spans="1:4" x14ac:dyDescent="0.2">
      <c r="A8765" s="140" t="s">
        <v>9680</v>
      </c>
      <c r="B8765" s="141">
        <v>1.5987840876531099E-5</v>
      </c>
      <c r="D8765" s="141"/>
    </row>
    <row r="8766" spans="1:4" x14ac:dyDescent="0.2">
      <c r="A8766" s="140" t="s">
        <v>1667</v>
      </c>
      <c r="B8766" s="141">
        <v>1.5975454395882898E-5</v>
      </c>
      <c r="D8766" s="141"/>
    </row>
    <row r="8767" spans="1:4" x14ac:dyDescent="0.2">
      <c r="A8767" s="140" t="s">
        <v>5913</v>
      </c>
      <c r="B8767" s="141">
        <v>1.5971845724285102E-5</v>
      </c>
      <c r="D8767" s="141"/>
    </row>
    <row r="8768" spans="1:4" x14ac:dyDescent="0.2">
      <c r="A8768" s="140" t="s">
        <v>9681</v>
      </c>
      <c r="B8768" s="141">
        <v>1.5947276388042802E-5</v>
      </c>
      <c r="D8768" s="141"/>
    </row>
    <row r="8769" spans="1:4" x14ac:dyDescent="0.2">
      <c r="A8769" s="140" t="s">
        <v>9682</v>
      </c>
      <c r="B8769" s="141">
        <v>1.59041010803559E-5</v>
      </c>
      <c r="D8769" s="141"/>
    </row>
    <row r="8770" spans="1:4" x14ac:dyDescent="0.2">
      <c r="A8770" s="140" t="s">
        <v>580</v>
      </c>
      <c r="B8770" s="141">
        <v>1.5901977231497399E-5</v>
      </c>
      <c r="D8770" s="141"/>
    </row>
    <row r="8771" spans="1:4" x14ac:dyDescent="0.2">
      <c r="A8771" s="140" t="s">
        <v>5253</v>
      </c>
      <c r="B8771" s="141">
        <v>1.5770453182845E-5</v>
      </c>
      <c r="D8771" s="141"/>
    </row>
    <row r="8772" spans="1:4" x14ac:dyDescent="0.2">
      <c r="A8772" s="140" t="s">
        <v>9683</v>
      </c>
      <c r="B8772" s="141">
        <v>1.5747309327131001E-5</v>
      </c>
      <c r="D8772" s="141"/>
    </row>
    <row r="8773" spans="1:4" x14ac:dyDescent="0.2">
      <c r="A8773" s="140" t="s">
        <v>5504</v>
      </c>
      <c r="B8773" s="141">
        <v>1.5743464572422298E-5</v>
      </c>
      <c r="D8773" s="141"/>
    </row>
    <row r="8774" spans="1:4" x14ac:dyDescent="0.2">
      <c r="A8774" s="140" t="s">
        <v>9684</v>
      </c>
      <c r="B8774" s="141">
        <v>1.57254239531788E-5</v>
      </c>
      <c r="D8774" s="141"/>
    </row>
    <row r="8775" spans="1:4" x14ac:dyDescent="0.2">
      <c r="A8775" s="140" t="s">
        <v>9685</v>
      </c>
      <c r="B8775" s="141">
        <v>1.57254239531788E-5</v>
      </c>
      <c r="D8775" s="141"/>
    </row>
    <row r="8776" spans="1:4" x14ac:dyDescent="0.2">
      <c r="A8776" s="140" t="s">
        <v>6079</v>
      </c>
      <c r="B8776" s="141">
        <v>1.57254239531788E-5</v>
      </c>
      <c r="D8776" s="141"/>
    </row>
    <row r="8777" spans="1:4" x14ac:dyDescent="0.2">
      <c r="A8777" s="140" t="s">
        <v>9686</v>
      </c>
      <c r="B8777" s="141">
        <v>1.57254239531788E-5</v>
      </c>
      <c r="D8777" s="141"/>
    </row>
    <row r="8778" spans="1:4" x14ac:dyDescent="0.2">
      <c r="A8778" s="140" t="s">
        <v>9687</v>
      </c>
      <c r="B8778" s="141">
        <v>1.57254239531788E-5</v>
      </c>
      <c r="D8778" s="141"/>
    </row>
    <row r="8779" spans="1:4" x14ac:dyDescent="0.2">
      <c r="A8779" s="140" t="s">
        <v>9688</v>
      </c>
      <c r="B8779" s="141">
        <v>1.57254239531788E-5</v>
      </c>
      <c r="D8779" s="141"/>
    </row>
    <row r="8780" spans="1:4" x14ac:dyDescent="0.2">
      <c r="A8780" s="140" t="s">
        <v>9689</v>
      </c>
      <c r="B8780" s="141">
        <v>1.57254239531788E-5</v>
      </c>
      <c r="D8780" s="141"/>
    </row>
    <row r="8781" spans="1:4" x14ac:dyDescent="0.2">
      <c r="A8781" s="140" t="s">
        <v>9690</v>
      </c>
      <c r="B8781" s="141">
        <v>1.57254239531788E-5</v>
      </c>
      <c r="D8781" s="141"/>
    </row>
    <row r="8782" spans="1:4" x14ac:dyDescent="0.2">
      <c r="A8782" s="140" t="s">
        <v>9691</v>
      </c>
      <c r="B8782" s="141">
        <v>1.57254239531788E-5</v>
      </c>
      <c r="D8782" s="141"/>
    </row>
    <row r="8783" spans="1:4" x14ac:dyDescent="0.2">
      <c r="A8783" s="140" t="s">
        <v>9692</v>
      </c>
      <c r="B8783" s="141">
        <v>1.57254239531788E-5</v>
      </c>
      <c r="D8783" s="141"/>
    </row>
    <row r="8784" spans="1:4" x14ac:dyDescent="0.2">
      <c r="A8784" s="140" t="s">
        <v>9693</v>
      </c>
      <c r="B8784" s="141">
        <v>1.57254239531788E-5</v>
      </c>
      <c r="D8784" s="141"/>
    </row>
    <row r="8785" spans="1:4" x14ac:dyDescent="0.2">
      <c r="A8785" s="140" t="s">
        <v>9694</v>
      </c>
      <c r="B8785" s="141">
        <v>1.57254239531788E-5</v>
      </c>
      <c r="D8785" s="141"/>
    </row>
    <row r="8786" spans="1:4" x14ac:dyDescent="0.2">
      <c r="A8786" s="140" t="s">
        <v>9695</v>
      </c>
      <c r="B8786" s="141">
        <v>1.57254239531788E-5</v>
      </c>
      <c r="D8786" s="141"/>
    </row>
    <row r="8787" spans="1:4" x14ac:dyDescent="0.2">
      <c r="A8787" s="140" t="s">
        <v>9696</v>
      </c>
      <c r="B8787" s="141">
        <v>1.57254239531788E-5</v>
      </c>
      <c r="D8787" s="141"/>
    </row>
    <row r="8788" spans="1:4" x14ac:dyDescent="0.2">
      <c r="A8788" s="140" t="s">
        <v>9697</v>
      </c>
      <c r="B8788" s="141">
        <v>1.57254239531788E-5</v>
      </c>
      <c r="D8788" s="141"/>
    </row>
    <row r="8789" spans="1:4" x14ac:dyDescent="0.2">
      <c r="A8789" s="140" t="s">
        <v>9698</v>
      </c>
      <c r="B8789" s="141">
        <v>1.57254239531788E-5</v>
      </c>
      <c r="D8789" s="141"/>
    </row>
    <row r="8790" spans="1:4" x14ac:dyDescent="0.2">
      <c r="A8790" s="140" t="s">
        <v>9699</v>
      </c>
      <c r="B8790" s="141">
        <v>1.57254239531788E-5</v>
      </c>
      <c r="D8790" s="141"/>
    </row>
    <row r="8791" spans="1:4" x14ac:dyDescent="0.2">
      <c r="A8791" s="140" t="s">
        <v>9700</v>
      </c>
      <c r="B8791" s="141">
        <v>1.57254239531788E-5</v>
      </c>
      <c r="D8791" s="141"/>
    </row>
    <row r="8792" spans="1:4" x14ac:dyDescent="0.2">
      <c r="A8792" s="140" t="s">
        <v>9701</v>
      </c>
      <c r="B8792" s="141">
        <v>1.57254239531788E-5</v>
      </c>
      <c r="D8792" s="141"/>
    </row>
    <row r="8793" spans="1:4" x14ac:dyDescent="0.2">
      <c r="A8793" s="140" t="s">
        <v>9702</v>
      </c>
      <c r="B8793" s="141">
        <v>1.57254239531788E-5</v>
      </c>
      <c r="D8793" s="141"/>
    </row>
    <row r="8794" spans="1:4" x14ac:dyDescent="0.2">
      <c r="A8794" s="140" t="s">
        <v>9703</v>
      </c>
      <c r="B8794" s="141">
        <v>1.57254239531788E-5</v>
      </c>
      <c r="D8794" s="141"/>
    </row>
    <row r="8795" spans="1:4" x14ac:dyDescent="0.2">
      <c r="A8795" s="140" t="s">
        <v>9704</v>
      </c>
      <c r="B8795" s="141">
        <v>1.57254239531788E-5</v>
      </c>
      <c r="D8795" s="141"/>
    </row>
    <row r="8796" spans="1:4" x14ac:dyDescent="0.2">
      <c r="A8796" s="140" t="s">
        <v>9705</v>
      </c>
      <c r="B8796" s="141">
        <v>1.57254239531788E-5</v>
      </c>
      <c r="D8796" s="141"/>
    </row>
    <row r="8797" spans="1:4" x14ac:dyDescent="0.2">
      <c r="A8797" s="140" t="s">
        <v>9706</v>
      </c>
      <c r="B8797" s="141">
        <v>1.57254239531788E-5</v>
      </c>
      <c r="D8797" s="141"/>
    </row>
    <row r="8798" spans="1:4" x14ac:dyDescent="0.2">
      <c r="A8798" s="140" t="s">
        <v>9707</v>
      </c>
      <c r="B8798" s="141">
        <v>1.57254239531788E-5</v>
      </c>
      <c r="D8798" s="141"/>
    </row>
    <row r="8799" spans="1:4" x14ac:dyDescent="0.2">
      <c r="A8799" s="140" t="s">
        <v>9708</v>
      </c>
      <c r="B8799" s="141">
        <v>1.57254239531788E-5</v>
      </c>
      <c r="D8799" s="141"/>
    </row>
    <row r="8800" spans="1:4" x14ac:dyDescent="0.2">
      <c r="A8800" s="140" t="s">
        <v>9709</v>
      </c>
      <c r="B8800" s="141">
        <v>1.57254239531788E-5</v>
      </c>
      <c r="D8800" s="141"/>
    </row>
    <row r="8801" spans="1:4" x14ac:dyDescent="0.2">
      <c r="A8801" s="140" t="s">
        <v>9710</v>
      </c>
      <c r="B8801" s="141">
        <v>1.57254239531788E-5</v>
      </c>
      <c r="D8801" s="141"/>
    </row>
    <row r="8802" spans="1:4" x14ac:dyDescent="0.2">
      <c r="A8802" s="140" t="s">
        <v>9711</v>
      </c>
      <c r="B8802" s="141">
        <v>1.57254239531788E-5</v>
      </c>
      <c r="D8802" s="141"/>
    </row>
    <row r="8803" spans="1:4" x14ac:dyDescent="0.2">
      <c r="A8803" s="140" t="s">
        <v>9712</v>
      </c>
      <c r="B8803" s="141">
        <v>1.57254239531788E-5</v>
      </c>
      <c r="D8803" s="141"/>
    </row>
    <row r="8804" spans="1:4" x14ac:dyDescent="0.2">
      <c r="A8804" s="140" t="s">
        <v>9713</v>
      </c>
      <c r="B8804" s="141">
        <v>1.57254239531788E-5</v>
      </c>
      <c r="D8804" s="141"/>
    </row>
    <row r="8805" spans="1:4" x14ac:dyDescent="0.2">
      <c r="A8805" s="140" t="s">
        <v>9714</v>
      </c>
      <c r="B8805" s="141">
        <v>1.57254239531788E-5</v>
      </c>
      <c r="D8805" s="141"/>
    </row>
    <row r="8806" spans="1:4" x14ac:dyDescent="0.2">
      <c r="A8806" s="140" t="s">
        <v>9715</v>
      </c>
      <c r="B8806" s="141">
        <v>1.57254239531788E-5</v>
      </c>
      <c r="D8806" s="141"/>
    </row>
    <row r="8807" spans="1:4" x14ac:dyDescent="0.2">
      <c r="A8807" s="140" t="s">
        <v>651</v>
      </c>
      <c r="B8807" s="141">
        <v>1.5715784047104101E-5</v>
      </c>
      <c r="D8807" s="141"/>
    </row>
    <row r="8808" spans="1:4" x14ac:dyDescent="0.2">
      <c r="A8808" s="140" t="s">
        <v>1737</v>
      </c>
      <c r="B8808" s="141">
        <v>1.56177751068848E-5</v>
      </c>
      <c r="D8808" s="141"/>
    </row>
    <row r="8809" spans="1:4" x14ac:dyDescent="0.2">
      <c r="A8809" s="140" t="s">
        <v>9716</v>
      </c>
      <c r="B8809" s="141">
        <v>1.5595774432175599E-5</v>
      </c>
      <c r="D8809" s="141"/>
    </row>
    <row r="8810" spans="1:4" x14ac:dyDescent="0.2">
      <c r="A8810" s="140" t="s">
        <v>3916</v>
      </c>
      <c r="B8810" s="141">
        <v>1.5593036985145799E-5</v>
      </c>
      <c r="D8810" s="141"/>
    </row>
    <row r="8811" spans="1:4" x14ac:dyDescent="0.2">
      <c r="A8811" s="140" t="s">
        <v>9717</v>
      </c>
      <c r="B8811" s="141">
        <v>1.55503415750695E-5</v>
      </c>
      <c r="D8811" s="141"/>
    </row>
    <row r="8812" spans="1:4" x14ac:dyDescent="0.2">
      <c r="A8812" s="140" t="s">
        <v>9718</v>
      </c>
      <c r="B8812" s="141">
        <v>1.5486039468050698E-5</v>
      </c>
      <c r="D8812" s="141"/>
    </row>
    <row r="8813" spans="1:4" x14ac:dyDescent="0.2">
      <c r="A8813" s="140" t="s">
        <v>9719</v>
      </c>
      <c r="B8813" s="141">
        <v>1.5468751594634601E-5</v>
      </c>
      <c r="D8813" s="141"/>
    </row>
    <row r="8814" spans="1:4" x14ac:dyDescent="0.2">
      <c r="A8814" s="140" t="s">
        <v>2377</v>
      </c>
      <c r="B8814" s="141">
        <v>1.5462443807199699E-5</v>
      </c>
      <c r="D8814" s="141"/>
    </row>
    <row r="8815" spans="1:4" x14ac:dyDescent="0.2">
      <c r="A8815" s="140" t="s">
        <v>9720</v>
      </c>
      <c r="B8815" s="141">
        <v>1.5316159395345302E-5</v>
      </c>
      <c r="D8815" s="141"/>
    </row>
    <row r="8816" spans="1:4" x14ac:dyDescent="0.2">
      <c r="A8816" s="140" t="s">
        <v>9721</v>
      </c>
      <c r="B8816" s="141">
        <v>1.52754049314447E-5</v>
      </c>
      <c r="D8816" s="141"/>
    </row>
    <row r="8817" spans="1:4" x14ac:dyDescent="0.2">
      <c r="A8817" s="140" t="s">
        <v>416</v>
      </c>
      <c r="B8817" s="141">
        <v>1.5274088243810699E-5</v>
      </c>
      <c r="D8817" s="141"/>
    </row>
    <row r="8818" spans="1:4" x14ac:dyDescent="0.2">
      <c r="A8818" s="140" t="s">
        <v>463</v>
      </c>
      <c r="B8818" s="141">
        <v>1.52485195964575E-5</v>
      </c>
      <c r="D8818" s="141"/>
    </row>
    <row r="8819" spans="1:4" x14ac:dyDescent="0.2">
      <c r="A8819" s="140" t="s">
        <v>9722</v>
      </c>
      <c r="B8819" s="141">
        <v>1.52409736759632E-5</v>
      </c>
      <c r="D8819" s="141"/>
    </row>
    <row r="8820" spans="1:4" x14ac:dyDescent="0.2">
      <c r="A8820" s="140" t="s">
        <v>6175</v>
      </c>
      <c r="B8820" s="141">
        <v>1.5231679511030399E-5</v>
      </c>
      <c r="D8820" s="141"/>
    </row>
    <row r="8821" spans="1:4" x14ac:dyDescent="0.2">
      <c r="A8821" s="140" t="s">
        <v>5408</v>
      </c>
      <c r="B8821" s="141">
        <v>1.5231679511030399E-5</v>
      </c>
      <c r="D8821" s="141"/>
    </row>
    <row r="8822" spans="1:4" x14ac:dyDescent="0.2">
      <c r="A8822" s="140" t="s">
        <v>1163</v>
      </c>
      <c r="B8822" s="141">
        <v>1.5224317304300201E-5</v>
      </c>
      <c r="D8822" s="141"/>
    </row>
    <row r="8823" spans="1:4" x14ac:dyDescent="0.2">
      <c r="A8823" s="140" t="s">
        <v>9723</v>
      </c>
      <c r="B8823" s="141">
        <v>1.51879904357533E-5</v>
      </c>
      <c r="D8823" s="141"/>
    </row>
    <row r="8824" spans="1:4" x14ac:dyDescent="0.2">
      <c r="A8824" s="140" t="s">
        <v>9724</v>
      </c>
      <c r="B8824" s="141">
        <v>1.51790360344656E-5</v>
      </c>
      <c r="D8824" s="141"/>
    </row>
    <row r="8825" spans="1:4" x14ac:dyDescent="0.2">
      <c r="A8825" s="140" t="s">
        <v>9725</v>
      </c>
      <c r="B8825" s="141">
        <v>1.51487051748339E-5</v>
      </c>
      <c r="D8825" s="141"/>
    </row>
    <row r="8826" spans="1:4" x14ac:dyDescent="0.2">
      <c r="A8826" s="140" t="s">
        <v>9726</v>
      </c>
      <c r="B8826" s="141">
        <v>1.51487051748339E-5</v>
      </c>
      <c r="D8826" s="141"/>
    </row>
    <row r="8827" spans="1:4" x14ac:dyDescent="0.2">
      <c r="A8827" s="140" t="s">
        <v>9727</v>
      </c>
      <c r="B8827" s="141">
        <v>1.51487051748339E-5</v>
      </c>
      <c r="D8827" s="141"/>
    </row>
    <row r="8828" spans="1:4" x14ac:dyDescent="0.2">
      <c r="A8828" s="140" t="s">
        <v>9728</v>
      </c>
      <c r="B8828" s="141">
        <v>1.51487051748339E-5</v>
      </c>
      <c r="D8828" s="141"/>
    </row>
    <row r="8829" spans="1:4" x14ac:dyDescent="0.2">
      <c r="A8829" s="140" t="s">
        <v>9729</v>
      </c>
      <c r="B8829" s="141">
        <v>1.51487051748339E-5</v>
      </c>
      <c r="D8829" s="141"/>
    </row>
    <row r="8830" spans="1:4" x14ac:dyDescent="0.2">
      <c r="A8830" s="140" t="s">
        <v>9730</v>
      </c>
      <c r="B8830" s="141">
        <v>1.51487051748339E-5</v>
      </c>
      <c r="D8830" s="141"/>
    </row>
    <row r="8831" spans="1:4" x14ac:dyDescent="0.2">
      <c r="A8831" s="140" t="s">
        <v>9731</v>
      </c>
      <c r="B8831" s="141">
        <v>1.51487051748339E-5</v>
      </c>
      <c r="D8831" s="141"/>
    </row>
    <row r="8832" spans="1:4" x14ac:dyDescent="0.2">
      <c r="A8832" s="140" t="s">
        <v>9732</v>
      </c>
      <c r="B8832" s="141">
        <v>1.51487051748339E-5</v>
      </c>
      <c r="D8832" s="141"/>
    </row>
    <row r="8833" spans="1:4" x14ac:dyDescent="0.2">
      <c r="A8833" s="140" t="s">
        <v>9733</v>
      </c>
      <c r="B8833" s="141">
        <v>1.51487051748339E-5</v>
      </c>
      <c r="D8833" s="141"/>
    </row>
    <row r="8834" spans="1:4" x14ac:dyDescent="0.2">
      <c r="A8834" s="140" t="s">
        <v>9734</v>
      </c>
      <c r="B8834" s="141">
        <v>1.51487051748339E-5</v>
      </c>
      <c r="D8834" s="141"/>
    </row>
    <row r="8835" spans="1:4" x14ac:dyDescent="0.2">
      <c r="A8835" s="140" t="s">
        <v>9735</v>
      </c>
      <c r="B8835" s="141">
        <v>1.51487051748339E-5</v>
      </c>
      <c r="D8835" s="141"/>
    </row>
    <row r="8836" spans="1:4" x14ac:dyDescent="0.2">
      <c r="A8836" s="140" t="s">
        <v>9736</v>
      </c>
      <c r="B8836" s="141">
        <v>1.51487051748339E-5</v>
      </c>
      <c r="D8836" s="141"/>
    </row>
    <row r="8837" spans="1:4" x14ac:dyDescent="0.2">
      <c r="A8837" s="140" t="s">
        <v>9737</v>
      </c>
      <c r="B8837" s="141">
        <v>1.51487051748339E-5</v>
      </c>
      <c r="D8837" s="141"/>
    </row>
    <row r="8838" spans="1:4" x14ac:dyDescent="0.2">
      <c r="A8838" s="140" t="s">
        <v>9738</v>
      </c>
      <c r="B8838" s="141">
        <v>1.5098131665738E-5</v>
      </c>
      <c r="D8838" s="141"/>
    </row>
    <row r="8839" spans="1:4" x14ac:dyDescent="0.2">
      <c r="A8839" s="140" t="s">
        <v>546</v>
      </c>
      <c r="B8839" s="141">
        <v>1.50973846997129E-5</v>
      </c>
      <c r="D8839" s="141"/>
    </row>
    <row r="8840" spans="1:4" x14ac:dyDescent="0.2">
      <c r="A8840" s="140" t="s">
        <v>3708</v>
      </c>
      <c r="B8840" s="141">
        <v>1.50212729276035E-5</v>
      </c>
      <c r="D8840" s="141"/>
    </row>
    <row r="8841" spans="1:4" x14ac:dyDescent="0.2">
      <c r="A8841" s="140" t="s">
        <v>413</v>
      </c>
      <c r="B8841" s="141">
        <v>1.5013933592280899E-5</v>
      </c>
      <c r="D8841" s="141"/>
    </row>
    <row r="8842" spans="1:4" x14ac:dyDescent="0.2">
      <c r="A8842" s="140" t="s">
        <v>9739</v>
      </c>
      <c r="B8842" s="141">
        <v>1.5012415979672799E-5</v>
      </c>
      <c r="D8842" s="141"/>
    </row>
    <row r="8843" spans="1:4" x14ac:dyDescent="0.2">
      <c r="A8843" s="140" t="s">
        <v>2036</v>
      </c>
      <c r="B8843" s="141">
        <v>1.49388786341831E-5</v>
      </c>
      <c r="D8843" s="141"/>
    </row>
    <row r="8844" spans="1:4" x14ac:dyDescent="0.2">
      <c r="A8844" s="140" t="s">
        <v>5788</v>
      </c>
      <c r="B8844" s="141">
        <v>1.4938801480672899E-5</v>
      </c>
      <c r="D8844" s="141"/>
    </row>
    <row r="8845" spans="1:4" x14ac:dyDescent="0.2">
      <c r="A8845" s="140" t="s">
        <v>2199</v>
      </c>
      <c r="B8845" s="141">
        <v>1.49206218831021E-5</v>
      </c>
      <c r="D8845" s="141"/>
    </row>
    <row r="8846" spans="1:4" x14ac:dyDescent="0.2">
      <c r="A8846" s="140" t="s">
        <v>9740</v>
      </c>
      <c r="B8846" s="141">
        <v>1.48578607123703E-5</v>
      </c>
      <c r="D8846" s="141"/>
    </row>
    <row r="8847" spans="1:4" x14ac:dyDescent="0.2">
      <c r="A8847" s="140" t="s">
        <v>9741</v>
      </c>
      <c r="B8847" s="141">
        <v>1.4692860148907799E-5</v>
      </c>
      <c r="D8847" s="141"/>
    </row>
    <row r="8848" spans="1:4" x14ac:dyDescent="0.2">
      <c r="A8848" s="140" t="s">
        <v>5215</v>
      </c>
      <c r="B8848" s="141">
        <v>1.46618377115101E-5</v>
      </c>
      <c r="D8848" s="141"/>
    </row>
    <row r="8849" spans="1:4" x14ac:dyDescent="0.2">
      <c r="A8849" s="140" t="s">
        <v>9742</v>
      </c>
      <c r="B8849" s="141">
        <v>1.4657072510651301E-5</v>
      </c>
      <c r="D8849" s="141"/>
    </row>
    <row r="8850" spans="1:4" x14ac:dyDescent="0.2">
      <c r="A8850" s="140" t="s">
        <v>812</v>
      </c>
      <c r="B8850" s="141">
        <v>1.46259605743418E-5</v>
      </c>
      <c r="D8850" s="141"/>
    </row>
    <row r="8851" spans="1:4" x14ac:dyDescent="0.2">
      <c r="A8851" s="140" t="s">
        <v>3352</v>
      </c>
      <c r="B8851" s="141">
        <v>1.46016923705468E-5</v>
      </c>
      <c r="D8851" s="141"/>
    </row>
    <row r="8852" spans="1:4" x14ac:dyDescent="0.2">
      <c r="A8852" s="140" t="s">
        <v>9743</v>
      </c>
      <c r="B8852" s="141">
        <v>1.45993759501386E-5</v>
      </c>
      <c r="D8852" s="141"/>
    </row>
    <row r="8853" spans="1:4" x14ac:dyDescent="0.2">
      <c r="A8853" s="140" t="s">
        <v>3113</v>
      </c>
      <c r="B8853" s="141">
        <v>1.4588973418560201E-5</v>
      </c>
      <c r="D8853" s="141"/>
    </row>
    <row r="8854" spans="1:4" x14ac:dyDescent="0.2">
      <c r="A8854" s="140" t="s">
        <v>9744</v>
      </c>
      <c r="B8854" s="141">
        <v>1.45862902406043E-5</v>
      </c>
      <c r="D8854" s="141"/>
    </row>
    <row r="8855" spans="1:4" x14ac:dyDescent="0.2">
      <c r="A8855" s="140" t="s">
        <v>485</v>
      </c>
      <c r="B8855" s="141">
        <v>1.4566201910982401E-5</v>
      </c>
      <c r="D8855" s="141"/>
    </row>
    <row r="8856" spans="1:4" x14ac:dyDescent="0.2">
      <c r="A8856" s="140" t="s">
        <v>9745</v>
      </c>
      <c r="B8856" s="141">
        <v>1.45265352358944E-5</v>
      </c>
      <c r="D8856" s="141"/>
    </row>
    <row r="8857" spans="1:4" x14ac:dyDescent="0.2">
      <c r="A8857" s="140" t="s">
        <v>1138</v>
      </c>
      <c r="B8857" s="141">
        <v>1.4524417393876899E-5</v>
      </c>
      <c r="D8857" s="141"/>
    </row>
    <row r="8858" spans="1:4" x14ac:dyDescent="0.2">
      <c r="A8858" s="140" t="s">
        <v>9746</v>
      </c>
      <c r="B8858" s="141">
        <v>1.45041776415455E-5</v>
      </c>
      <c r="D8858" s="141"/>
    </row>
    <row r="8859" spans="1:4" x14ac:dyDescent="0.2">
      <c r="A8859" s="140" t="s">
        <v>1040</v>
      </c>
      <c r="B8859" s="141">
        <v>1.44372070815906E-5</v>
      </c>
      <c r="D8859" s="141"/>
    </row>
    <row r="8860" spans="1:4" x14ac:dyDescent="0.2">
      <c r="A8860" s="140" t="s">
        <v>3311</v>
      </c>
      <c r="B8860" s="141">
        <v>1.4404121522692701E-5</v>
      </c>
      <c r="D8860" s="141"/>
    </row>
    <row r="8861" spans="1:4" x14ac:dyDescent="0.2">
      <c r="A8861" s="140" t="s">
        <v>9747</v>
      </c>
      <c r="B8861" s="141">
        <v>1.43589245347073E-5</v>
      </c>
      <c r="D8861" s="141"/>
    </row>
    <row r="8862" spans="1:4" x14ac:dyDescent="0.2">
      <c r="A8862" s="140" t="s">
        <v>5724</v>
      </c>
      <c r="B8862" s="141">
        <v>1.43087678445348E-5</v>
      </c>
      <c r="D8862" s="141"/>
    </row>
    <row r="8863" spans="1:4" x14ac:dyDescent="0.2">
      <c r="A8863" s="140" t="s">
        <v>6274</v>
      </c>
      <c r="B8863" s="141">
        <v>1.42979872973544E-5</v>
      </c>
      <c r="D8863" s="141"/>
    </row>
    <row r="8864" spans="1:4" x14ac:dyDescent="0.2">
      <c r="A8864" s="140" t="s">
        <v>370</v>
      </c>
      <c r="B8864" s="141">
        <v>1.42974070415241E-5</v>
      </c>
      <c r="D8864" s="141"/>
    </row>
    <row r="8865" spans="1:4" x14ac:dyDescent="0.2">
      <c r="A8865" s="140" t="s">
        <v>9748</v>
      </c>
      <c r="B8865" s="141">
        <v>1.4230285520944599E-5</v>
      </c>
      <c r="D8865" s="141"/>
    </row>
    <row r="8866" spans="1:4" x14ac:dyDescent="0.2">
      <c r="A8866" s="140" t="s">
        <v>9749</v>
      </c>
      <c r="B8866" s="141">
        <v>1.4175636685414599E-5</v>
      </c>
      <c r="D8866" s="141"/>
    </row>
    <row r="8867" spans="1:4" x14ac:dyDescent="0.2">
      <c r="A8867" s="140" t="s">
        <v>899</v>
      </c>
      <c r="B8867" s="141">
        <v>1.41697272871997E-5</v>
      </c>
      <c r="D8867" s="141"/>
    </row>
    <row r="8868" spans="1:4" x14ac:dyDescent="0.2">
      <c r="A8868" s="140" t="s">
        <v>9750</v>
      </c>
      <c r="B8868" s="141">
        <v>1.41632840398531E-5</v>
      </c>
      <c r="D8868" s="141"/>
    </row>
    <row r="8869" spans="1:4" x14ac:dyDescent="0.2">
      <c r="A8869" s="140" t="s">
        <v>639</v>
      </c>
      <c r="B8869" s="141">
        <v>1.41521732299235E-5</v>
      </c>
      <c r="D8869" s="141"/>
    </row>
    <row r="8870" spans="1:4" x14ac:dyDescent="0.2">
      <c r="A8870" s="140" t="s">
        <v>1694</v>
      </c>
      <c r="B8870" s="141">
        <v>1.4151358473169099E-5</v>
      </c>
      <c r="D8870" s="141"/>
    </row>
    <row r="8871" spans="1:4" x14ac:dyDescent="0.2">
      <c r="A8871" s="140" t="s">
        <v>9751</v>
      </c>
      <c r="B8871" s="141">
        <v>1.40929419442005E-5</v>
      </c>
      <c r="D8871" s="141"/>
    </row>
    <row r="8872" spans="1:4" x14ac:dyDescent="0.2">
      <c r="A8872" s="140" t="s">
        <v>1612</v>
      </c>
      <c r="B8872" s="141">
        <v>1.40872265610914E-5</v>
      </c>
      <c r="D8872" s="141"/>
    </row>
    <row r="8873" spans="1:4" x14ac:dyDescent="0.2">
      <c r="A8873" s="140" t="s">
        <v>9752</v>
      </c>
      <c r="B8873" s="141">
        <v>1.4036996828819999E-5</v>
      </c>
      <c r="D8873" s="141"/>
    </row>
    <row r="8874" spans="1:4" x14ac:dyDescent="0.2">
      <c r="A8874" s="140" t="s">
        <v>3399</v>
      </c>
      <c r="B8874" s="141">
        <v>1.402675534831E-5</v>
      </c>
      <c r="D8874" s="141"/>
    </row>
    <row r="8875" spans="1:4" x14ac:dyDescent="0.2">
      <c r="A8875" s="140" t="s">
        <v>9753</v>
      </c>
      <c r="B8875" s="141">
        <v>1.4022619745679299E-5</v>
      </c>
      <c r="D8875" s="141"/>
    </row>
    <row r="8876" spans="1:4" x14ac:dyDescent="0.2">
      <c r="A8876" s="140" t="s">
        <v>1637</v>
      </c>
      <c r="B8876" s="141">
        <v>1.3986862519488901E-5</v>
      </c>
      <c r="D8876" s="141"/>
    </row>
    <row r="8877" spans="1:4" x14ac:dyDescent="0.2">
      <c r="A8877" s="140" t="s">
        <v>5729</v>
      </c>
      <c r="B8877" s="141">
        <v>1.39629153548296E-5</v>
      </c>
      <c r="D8877" s="141"/>
    </row>
    <row r="8878" spans="1:4" x14ac:dyDescent="0.2">
      <c r="A8878" s="140" t="s">
        <v>1999</v>
      </c>
      <c r="B8878" s="141">
        <v>1.3945712341034899E-5</v>
      </c>
      <c r="D8878" s="141"/>
    </row>
    <row r="8879" spans="1:4" x14ac:dyDescent="0.2">
      <c r="A8879" s="140" t="s">
        <v>9754</v>
      </c>
      <c r="B8879" s="141">
        <v>1.38725775476821E-5</v>
      </c>
      <c r="D8879" s="141"/>
    </row>
    <row r="8880" spans="1:4" x14ac:dyDescent="0.2">
      <c r="A8880" s="140" t="s">
        <v>9755</v>
      </c>
      <c r="B8880" s="141">
        <v>1.37941125953914E-5</v>
      </c>
      <c r="D8880" s="141"/>
    </row>
    <row r="8881" spans="1:4" x14ac:dyDescent="0.2">
      <c r="A8881" s="140" t="s">
        <v>1619</v>
      </c>
      <c r="B8881" s="141">
        <v>1.37908878160166E-5</v>
      </c>
      <c r="D8881" s="141"/>
    </row>
    <row r="8882" spans="1:4" x14ac:dyDescent="0.2">
      <c r="A8882" s="140" t="s">
        <v>9756</v>
      </c>
      <c r="B8882" s="141">
        <v>1.36979817289837E-5</v>
      </c>
      <c r="D8882" s="141"/>
    </row>
    <row r="8883" spans="1:4" x14ac:dyDescent="0.2">
      <c r="A8883" s="140" t="s">
        <v>5362</v>
      </c>
      <c r="B8883" s="141">
        <v>1.36978082008479E-5</v>
      </c>
      <c r="D8883" s="141"/>
    </row>
    <row r="8884" spans="1:4" x14ac:dyDescent="0.2">
      <c r="A8884" s="140" t="s">
        <v>9757</v>
      </c>
      <c r="B8884" s="141">
        <v>1.3669728334791601E-5</v>
      </c>
      <c r="D8884" s="141"/>
    </row>
    <row r="8885" spans="1:4" x14ac:dyDescent="0.2">
      <c r="A8885" s="140" t="s">
        <v>381</v>
      </c>
      <c r="B8885" s="141">
        <v>1.36545211867714E-5</v>
      </c>
      <c r="D8885" s="141"/>
    </row>
    <row r="8886" spans="1:4" x14ac:dyDescent="0.2">
      <c r="A8886" s="140" t="s">
        <v>422</v>
      </c>
      <c r="B8886" s="141">
        <v>1.36471778165716E-5</v>
      </c>
      <c r="D8886" s="141"/>
    </row>
    <row r="8887" spans="1:4" x14ac:dyDescent="0.2">
      <c r="A8887" s="140" t="s">
        <v>9758</v>
      </c>
      <c r="B8887" s="141">
        <v>1.3643049599785199E-5</v>
      </c>
      <c r="D8887" s="141"/>
    </row>
    <row r="8888" spans="1:4" x14ac:dyDescent="0.2">
      <c r="A8888" s="140" t="s">
        <v>6184</v>
      </c>
      <c r="B8888" s="141">
        <v>1.3625061041848501E-5</v>
      </c>
      <c r="D8888" s="141"/>
    </row>
    <row r="8889" spans="1:4" x14ac:dyDescent="0.2">
      <c r="A8889" s="140" t="s">
        <v>9759</v>
      </c>
      <c r="B8889" s="141">
        <v>1.35169525084906E-5</v>
      </c>
      <c r="D8889" s="141"/>
    </row>
    <row r="8890" spans="1:4" x14ac:dyDescent="0.2">
      <c r="A8890" s="140" t="s">
        <v>9760</v>
      </c>
      <c r="B8890" s="141">
        <v>1.35169525084906E-5</v>
      </c>
      <c r="D8890" s="141"/>
    </row>
    <row r="8891" spans="1:4" x14ac:dyDescent="0.2">
      <c r="A8891" s="140" t="s">
        <v>9761</v>
      </c>
      <c r="B8891" s="141">
        <v>1.35169525084906E-5</v>
      </c>
      <c r="D8891" s="141"/>
    </row>
    <row r="8892" spans="1:4" x14ac:dyDescent="0.2">
      <c r="A8892" s="140" t="s">
        <v>9762</v>
      </c>
      <c r="B8892" s="141">
        <v>1.35169525084906E-5</v>
      </c>
      <c r="D8892" s="141"/>
    </row>
    <row r="8893" spans="1:4" x14ac:dyDescent="0.2">
      <c r="A8893" s="140" t="s">
        <v>9763</v>
      </c>
      <c r="B8893" s="141">
        <v>1.35169525084906E-5</v>
      </c>
      <c r="D8893" s="141"/>
    </row>
    <row r="8894" spans="1:4" x14ac:dyDescent="0.2">
      <c r="A8894" s="140" t="s">
        <v>9764</v>
      </c>
      <c r="B8894" s="141">
        <v>1.35169525084906E-5</v>
      </c>
      <c r="D8894" s="141"/>
    </row>
    <row r="8895" spans="1:4" x14ac:dyDescent="0.2">
      <c r="A8895" s="140" t="s">
        <v>9765</v>
      </c>
      <c r="B8895" s="141">
        <v>1.35169525084906E-5</v>
      </c>
      <c r="D8895" s="141"/>
    </row>
    <row r="8896" spans="1:4" x14ac:dyDescent="0.2">
      <c r="A8896" s="140" t="s">
        <v>9766</v>
      </c>
      <c r="B8896" s="141">
        <v>1.35169525084906E-5</v>
      </c>
      <c r="D8896" s="141"/>
    </row>
    <row r="8897" spans="1:4" x14ac:dyDescent="0.2">
      <c r="A8897" s="140" t="s">
        <v>9767</v>
      </c>
      <c r="B8897" s="141">
        <v>1.35169525084906E-5</v>
      </c>
      <c r="D8897" s="141"/>
    </row>
    <row r="8898" spans="1:4" x14ac:dyDescent="0.2">
      <c r="A8898" s="140" t="s">
        <v>9768</v>
      </c>
      <c r="B8898" s="141">
        <v>1.35169525084906E-5</v>
      </c>
      <c r="D8898" s="141"/>
    </row>
    <row r="8899" spans="1:4" x14ac:dyDescent="0.2">
      <c r="A8899" s="140" t="s">
        <v>9769</v>
      </c>
      <c r="B8899" s="141">
        <v>1.34541494689894E-5</v>
      </c>
      <c r="D8899" s="141"/>
    </row>
    <row r="8900" spans="1:4" x14ac:dyDescent="0.2">
      <c r="A8900" s="140" t="s">
        <v>9770</v>
      </c>
      <c r="B8900" s="141">
        <v>1.3450587752975801E-5</v>
      </c>
      <c r="D8900" s="141"/>
    </row>
    <row r="8901" spans="1:4" x14ac:dyDescent="0.2">
      <c r="A8901" s="140" t="s">
        <v>788</v>
      </c>
      <c r="B8901" s="141">
        <v>1.34294048468022E-5</v>
      </c>
      <c r="D8901" s="141"/>
    </row>
    <row r="8902" spans="1:4" x14ac:dyDescent="0.2">
      <c r="A8902" s="140" t="s">
        <v>978</v>
      </c>
      <c r="B8902" s="141">
        <v>1.34149399526462E-5</v>
      </c>
      <c r="D8902" s="141"/>
    </row>
    <row r="8903" spans="1:4" x14ac:dyDescent="0.2">
      <c r="A8903" s="140" t="s">
        <v>1387</v>
      </c>
      <c r="B8903" s="141">
        <v>1.33700637439047E-5</v>
      </c>
      <c r="D8903" s="141"/>
    </row>
    <row r="8904" spans="1:4" x14ac:dyDescent="0.2">
      <c r="A8904" s="140" t="s">
        <v>9771</v>
      </c>
      <c r="B8904" s="141">
        <v>1.33243358288947E-5</v>
      </c>
      <c r="D8904" s="141"/>
    </row>
    <row r="8905" spans="1:4" x14ac:dyDescent="0.2">
      <c r="A8905" s="140" t="s">
        <v>3604</v>
      </c>
      <c r="B8905" s="141">
        <v>1.3234413339933099E-5</v>
      </c>
      <c r="D8905" s="141"/>
    </row>
    <row r="8906" spans="1:4" x14ac:dyDescent="0.2">
      <c r="A8906" s="140" t="s">
        <v>6216</v>
      </c>
      <c r="B8906" s="141">
        <v>1.32243958228333E-5</v>
      </c>
      <c r="D8906" s="141"/>
    </row>
    <row r="8907" spans="1:4" x14ac:dyDescent="0.2">
      <c r="A8907" s="140" t="s">
        <v>9772</v>
      </c>
      <c r="B8907" s="141">
        <v>1.3220941577421501E-5</v>
      </c>
      <c r="D8907" s="141"/>
    </row>
    <row r="8908" spans="1:4" x14ac:dyDescent="0.2">
      <c r="A8908" s="140" t="s">
        <v>9773</v>
      </c>
      <c r="B8908" s="141">
        <v>1.31435530863899E-5</v>
      </c>
      <c r="D8908" s="141"/>
    </row>
    <row r="8909" spans="1:4" x14ac:dyDescent="0.2">
      <c r="A8909" s="140" t="s">
        <v>9774</v>
      </c>
      <c r="B8909" s="141">
        <v>1.31435530863899E-5</v>
      </c>
      <c r="D8909" s="141"/>
    </row>
    <row r="8910" spans="1:4" x14ac:dyDescent="0.2">
      <c r="A8910" s="140" t="s">
        <v>9775</v>
      </c>
      <c r="B8910" s="141">
        <v>1.31259538071987E-5</v>
      </c>
      <c r="D8910" s="141"/>
    </row>
    <row r="8911" spans="1:4" x14ac:dyDescent="0.2">
      <c r="A8911" s="140" t="s">
        <v>5541</v>
      </c>
      <c r="B8911" s="141">
        <v>1.3119224043868299E-5</v>
      </c>
      <c r="D8911" s="141"/>
    </row>
    <row r="8912" spans="1:4" x14ac:dyDescent="0.2">
      <c r="A8912" s="140" t="s">
        <v>1724</v>
      </c>
      <c r="B8912" s="141">
        <v>1.31144946557298E-5</v>
      </c>
      <c r="D8912" s="141"/>
    </row>
    <row r="8913" spans="1:4" x14ac:dyDescent="0.2">
      <c r="A8913" s="140" t="s">
        <v>354</v>
      </c>
      <c r="B8913" s="141">
        <v>1.3076700831929701E-5</v>
      </c>
      <c r="D8913" s="141"/>
    </row>
    <row r="8914" spans="1:4" x14ac:dyDescent="0.2">
      <c r="A8914" s="140" t="s">
        <v>1243</v>
      </c>
      <c r="B8914" s="141">
        <v>1.30302699696613E-5</v>
      </c>
      <c r="D8914" s="141"/>
    </row>
    <row r="8915" spans="1:4" x14ac:dyDescent="0.2">
      <c r="A8915" s="140" t="s">
        <v>9776</v>
      </c>
      <c r="B8915" s="141">
        <v>1.29998784116641E-5</v>
      </c>
      <c r="D8915" s="141"/>
    </row>
    <row r="8916" spans="1:4" x14ac:dyDescent="0.2">
      <c r="A8916" s="140" t="s">
        <v>976</v>
      </c>
      <c r="B8916" s="141">
        <v>1.29793215298563E-5</v>
      </c>
      <c r="D8916" s="141"/>
    </row>
    <row r="8917" spans="1:4" x14ac:dyDescent="0.2">
      <c r="A8917" s="140" t="s">
        <v>9777</v>
      </c>
      <c r="B8917" s="141">
        <v>1.29528826854653E-5</v>
      </c>
      <c r="D8917" s="141"/>
    </row>
    <row r="8918" spans="1:4" x14ac:dyDescent="0.2">
      <c r="A8918" s="140" t="s">
        <v>9778</v>
      </c>
      <c r="B8918" s="141">
        <v>1.29336828667681E-5</v>
      </c>
      <c r="D8918" s="141"/>
    </row>
    <row r="8919" spans="1:4" x14ac:dyDescent="0.2">
      <c r="A8919" s="140" t="s">
        <v>9779</v>
      </c>
      <c r="B8919" s="141">
        <v>1.29142927811341E-5</v>
      </c>
      <c r="D8919" s="141"/>
    </row>
    <row r="8920" spans="1:4" x14ac:dyDescent="0.2">
      <c r="A8920" s="140" t="s">
        <v>9780</v>
      </c>
      <c r="B8920" s="141">
        <v>1.2908838141455E-5</v>
      </c>
      <c r="D8920" s="141"/>
    </row>
    <row r="8921" spans="1:4" x14ac:dyDescent="0.2">
      <c r="A8921" s="140" t="s">
        <v>9781</v>
      </c>
      <c r="B8921" s="141">
        <v>1.28904484561078E-5</v>
      </c>
      <c r="D8921" s="141"/>
    </row>
    <row r="8922" spans="1:4" x14ac:dyDescent="0.2">
      <c r="A8922" s="140" t="s">
        <v>2496</v>
      </c>
      <c r="B8922" s="141">
        <v>1.28839316210614E-5</v>
      </c>
      <c r="D8922" s="141"/>
    </row>
    <row r="8923" spans="1:4" x14ac:dyDescent="0.2">
      <c r="A8923" s="140" t="s">
        <v>753</v>
      </c>
      <c r="B8923" s="141">
        <v>1.28805901276653E-5</v>
      </c>
      <c r="D8923" s="141"/>
    </row>
    <row r="8924" spans="1:4" x14ac:dyDescent="0.2">
      <c r="A8924" s="140" t="s">
        <v>9782</v>
      </c>
      <c r="B8924" s="141">
        <v>1.2808961004092599E-5</v>
      </c>
      <c r="D8924" s="141"/>
    </row>
    <row r="8925" spans="1:4" x14ac:dyDescent="0.2">
      <c r="A8925" s="140" t="s">
        <v>3226</v>
      </c>
      <c r="B8925" s="141">
        <v>1.27962950644383E-5</v>
      </c>
      <c r="D8925" s="141"/>
    </row>
    <row r="8926" spans="1:4" x14ac:dyDescent="0.2">
      <c r="A8926" s="140" t="s">
        <v>9783</v>
      </c>
      <c r="B8926" s="141">
        <v>1.2726599438163899E-5</v>
      </c>
      <c r="D8926" s="141"/>
    </row>
    <row r="8927" spans="1:4" x14ac:dyDescent="0.2">
      <c r="A8927" s="140" t="s">
        <v>6248</v>
      </c>
      <c r="B8927" s="141">
        <v>1.2678976596053E-5</v>
      </c>
      <c r="D8927" s="141"/>
    </row>
    <row r="8928" spans="1:4" x14ac:dyDescent="0.2">
      <c r="A8928" s="140" t="s">
        <v>5098</v>
      </c>
      <c r="B8928" s="141">
        <v>1.2678976596053E-5</v>
      </c>
      <c r="D8928" s="141"/>
    </row>
    <row r="8929" spans="1:4" x14ac:dyDescent="0.2">
      <c r="A8929" s="140" t="s">
        <v>1368</v>
      </c>
      <c r="B8929" s="141">
        <v>1.2678976596053E-5</v>
      </c>
      <c r="D8929" s="141"/>
    </row>
    <row r="8930" spans="1:4" x14ac:dyDescent="0.2">
      <c r="A8930" s="140" t="s">
        <v>3891</v>
      </c>
      <c r="B8930" s="141">
        <v>1.2673408867834701E-5</v>
      </c>
      <c r="D8930" s="141"/>
    </row>
    <row r="8931" spans="1:4" x14ac:dyDescent="0.2">
      <c r="A8931" s="140" t="s">
        <v>4995</v>
      </c>
      <c r="B8931" s="141">
        <v>1.2626846588365701E-5</v>
      </c>
      <c r="D8931" s="141"/>
    </row>
    <row r="8932" spans="1:4" x14ac:dyDescent="0.2">
      <c r="A8932" s="140" t="s">
        <v>9784</v>
      </c>
      <c r="B8932" s="141">
        <v>1.26116534357307E-5</v>
      </c>
      <c r="D8932" s="141"/>
    </row>
    <row r="8933" spans="1:4" x14ac:dyDescent="0.2">
      <c r="A8933" s="140" t="s">
        <v>9785</v>
      </c>
      <c r="B8933" s="141">
        <v>1.2587470205952501E-5</v>
      </c>
      <c r="D8933" s="141"/>
    </row>
    <row r="8934" spans="1:4" x14ac:dyDescent="0.2">
      <c r="A8934" s="140" t="s">
        <v>9786</v>
      </c>
      <c r="B8934" s="141">
        <v>1.2570190138725701E-5</v>
      </c>
      <c r="D8934" s="141"/>
    </row>
    <row r="8935" spans="1:4" x14ac:dyDescent="0.2">
      <c r="A8935" s="140" t="s">
        <v>1118</v>
      </c>
      <c r="B8935" s="141">
        <v>1.24875699812795E-5</v>
      </c>
      <c r="D8935" s="141"/>
    </row>
    <row r="8936" spans="1:4" x14ac:dyDescent="0.2">
      <c r="A8936" s="140" t="s">
        <v>5768</v>
      </c>
      <c r="B8936" s="141">
        <v>1.2443951272637299E-5</v>
      </c>
      <c r="D8936" s="141"/>
    </row>
    <row r="8937" spans="1:4" x14ac:dyDescent="0.2">
      <c r="A8937" s="140" t="s">
        <v>9787</v>
      </c>
      <c r="B8937" s="141">
        <v>1.23729612939104E-5</v>
      </c>
      <c r="D8937" s="141"/>
    </row>
    <row r="8938" spans="1:4" x14ac:dyDescent="0.2">
      <c r="A8938" s="140" t="s">
        <v>5320</v>
      </c>
      <c r="B8938" s="141">
        <v>1.22198510580053E-5</v>
      </c>
      <c r="D8938" s="141"/>
    </row>
    <row r="8939" spans="1:4" x14ac:dyDescent="0.2">
      <c r="A8939" s="140" t="s">
        <v>9788</v>
      </c>
      <c r="B8939" s="141">
        <v>1.21890764373806E-5</v>
      </c>
      <c r="D8939" s="141"/>
    </row>
    <row r="8940" spans="1:4" x14ac:dyDescent="0.2">
      <c r="A8940" s="140" t="s">
        <v>469</v>
      </c>
      <c r="B8940" s="141">
        <v>1.2188557399216601E-5</v>
      </c>
      <c r="D8940" s="141"/>
    </row>
    <row r="8941" spans="1:4" x14ac:dyDescent="0.2">
      <c r="A8941" s="140" t="s">
        <v>9789</v>
      </c>
      <c r="B8941" s="141">
        <v>1.2183385197557501E-5</v>
      </c>
      <c r="D8941" s="141"/>
    </row>
    <row r="8942" spans="1:4" x14ac:dyDescent="0.2">
      <c r="A8942" s="140" t="s">
        <v>2418</v>
      </c>
      <c r="B8942" s="141">
        <v>1.21725193668625E-5</v>
      </c>
      <c r="D8942" s="141"/>
    </row>
    <row r="8943" spans="1:4" x14ac:dyDescent="0.2">
      <c r="A8943" s="140" t="s">
        <v>9790</v>
      </c>
      <c r="B8943" s="141">
        <v>1.2170252317011299E-5</v>
      </c>
      <c r="D8943" s="141"/>
    </row>
    <row r="8944" spans="1:4" x14ac:dyDescent="0.2">
      <c r="A8944" s="140" t="s">
        <v>2064</v>
      </c>
      <c r="B8944" s="141">
        <v>1.21678375837297E-5</v>
      </c>
      <c r="D8944" s="141"/>
    </row>
    <row r="8945" spans="1:4" x14ac:dyDescent="0.2">
      <c r="A8945" s="140" t="s">
        <v>3691</v>
      </c>
      <c r="B8945" s="141">
        <v>1.21579676073715E-5</v>
      </c>
      <c r="D8945" s="141"/>
    </row>
    <row r="8946" spans="1:4" x14ac:dyDescent="0.2">
      <c r="A8946" s="140" t="s">
        <v>4784</v>
      </c>
      <c r="B8946" s="141">
        <v>1.2104949847387701E-5</v>
      </c>
      <c r="D8946" s="141"/>
    </row>
    <row r="8947" spans="1:4" x14ac:dyDescent="0.2">
      <c r="A8947" s="140" t="s">
        <v>9791</v>
      </c>
      <c r="B8947" s="141">
        <v>1.2085558471607399E-5</v>
      </c>
      <c r="D8947" s="141"/>
    </row>
    <row r="8948" spans="1:4" x14ac:dyDescent="0.2">
      <c r="A8948" s="140" t="s">
        <v>9792</v>
      </c>
      <c r="B8948" s="141">
        <v>1.2068612827152201E-5</v>
      </c>
      <c r="D8948" s="141"/>
    </row>
    <row r="8949" spans="1:4" x14ac:dyDescent="0.2">
      <c r="A8949" s="140" t="s">
        <v>9793</v>
      </c>
      <c r="B8949" s="141">
        <v>1.2068612827152201E-5</v>
      </c>
      <c r="D8949" s="141"/>
    </row>
    <row r="8950" spans="1:4" x14ac:dyDescent="0.2">
      <c r="A8950" s="140" t="s">
        <v>9794</v>
      </c>
      <c r="B8950" s="141">
        <v>1.2068612827152201E-5</v>
      </c>
      <c r="D8950" s="141"/>
    </row>
    <row r="8951" spans="1:4" x14ac:dyDescent="0.2">
      <c r="A8951" s="140" t="s">
        <v>9795</v>
      </c>
      <c r="B8951" s="141">
        <v>1.2068612827152201E-5</v>
      </c>
      <c r="D8951" s="141"/>
    </row>
    <row r="8952" spans="1:4" x14ac:dyDescent="0.2">
      <c r="A8952" s="140" t="s">
        <v>9796</v>
      </c>
      <c r="B8952" s="141">
        <v>1.2068612827152201E-5</v>
      </c>
      <c r="D8952" s="141"/>
    </row>
    <row r="8953" spans="1:4" x14ac:dyDescent="0.2">
      <c r="A8953" s="140" t="s">
        <v>9797</v>
      </c>
      <c r="B8953" s="141">
        <v>1.2068612827152201E-5</v>
      </c>
      <c r="D8953" s="141"/>
    </row>
    <row r="8954" spans="1:4" x14ac:dyDescent="0.2">
      <c r="A8954" s="140" t="s">
        <v>9798</v>
      </c>
      <c r="B8954" s="141">
        <v>1.2068612827152201E-5</v>
      </c>
      <c r="D8954" s="141"/>
    </row>
    <row r="8955" spans="1:4" x14ac:dyDescent="0.2">
      <c r="A8955" s="140" t="s">
        <v>9799</v>
      </c>
      <c r="B8955" s="141">
        <v>1.2068612827152201E-5</v>
      </c>
      <c r="D8955" s="141"/>
    </row>
    <row r="8956" spans="1:4" x14ac:dyDescent="0.2">
      <c r="A8956" s="140" t="s">
        <v>527</v>
      </c>
      <c r="B8956" s="141">
        <v>1.20671952335822E-5</v>
      </c>
      <c r="D8956" s="141"/>
    </row>
    <row r="8957" spans="1:4" x14ac:dyDescent="0.2">
      <c r="A8957" s="140" t="s">
        <v>9800</v>
      </c>
      <c r="B8957" s="141">
        <v>1.1981917088166E-5</v>
      </c>
      <c r="D8957" s="141"/>
    </row>
    <row r="8958" spans="1:4" x14ac:dyDescent="0.2">
      <c r="A8958" s="140" t="s">
        <v>5499</v>
      </c>
      <c r="B8958" s="141">
        <v>1.19373890489571E-5</v>
      </c>
      <c r="D8958" s="141"/>
    </row>
    <row r="8959" spans="1:4" x14ac:dyDescent="0.2">
      <c r="A8959" s="140" t="s">
        <v>968</v>
      </c>
      <c r="B8959" s="141">
        <v>1.19126278821607E-5</v>
      </c>
      <c r="D8959" s="141"/>
    </row>
    <row r="8960" spans="1:4" x14ac:dyDescent="0.2">
      <c r="A8960" s="140" t="s">
        <v>2025</v>
      </c>
      <c r="B8960" s="141">
        <v>1.19057109789086E-5</v>
      </c>
      <c r="D8960" s="141"/>
    </row>
    <row r="8961" spans="1:4" x14ac:dyDescent="0.2">
      <c r="A8961" s="140" t="s">
        <v>9801</v>
      </c>
      <c r="B8961" s="141">
        <v>1.18163043005264E-5</v>
      </c>
      <c r="D8961" s="141"/>
    </row>
    <row r="8962" spans="1:4" x14ac:dyDescent="0.2">
      <c r="A8962" s="140" t="s">
        <v>3866</v>
      </c>
      <c r="B8962" s="141">
        <v>1.1760411367565601E-5</v>
      </c>
      <c r="D8962" s="141"/>
    </row>
    <row r="8963" spans="1:4" x14ac:dyDescent="0.2">
      <c r="A8963" s="140" t="s">
        <v>9802</v>
      </c>
      <c r="B8963" s="141">
        <v>1.1740625694306801E-5</v>
      </c>
      <c r="D8963" s="141"/>
    </row>
    <row r="8964" spans="1:4" x14ac:dyDescent="0.2">
      <c r="A8964" s="140" t="s">
        <v>1780</v>
      </c>
      <c r="B8964" s="141">
        <v>1.1649559639033E-5</v>
      </c>
      <c r="D8964" s="141"/>
    </row>
    <row r="8965" spans="1:4" x14ac:dyDescent="0.2">
      <c r="A8965" s="140" t="s">
        <v>9803</v>
      </c>
      <c r="B8965" s="141">
        <v>1.16410837412246E-5</v>
      </c>
      <c r="D8965" s="141"/>
    </row>
    <row r="8966" spans="1:4" x14ac:dyDescent="0.2">
      <c r="A8966" s="140" t="s">
        <v>4435</v>
      </c>
      <c r="B8966" s="141">
        <v>1.1640050213667001E-5</v>
      </c>
      <c r="D8966" s="141"/>
    </row>
    <row r="8967" spans="1:4" x14ac:dyDescent="0.2">
      <c r="A8967" s="140" t="s">
        <v>9804</v>
      </c>
      <c r="B8967" s="141">
        <v>1.16136468063874E-5</v>
      </c>
      <c r="D8967" s="141"/>
    </row>
    <row r="8968" spans="1:4" x14ac:dyDescent="0.2">
      <c r="A8968" s="140" t="s">
        <v>9805</v>
      </c>
      <c r="B8968" s="141">
        <v>1.16136468063874E-5</v>
      </c>
      <c r="D8968" s="141"/>
    </row>
    <row r="8969" spans="1:4" x14ac:dyDescent="0.2">
      <c r="A8969" s="140" t="s">
        <v>4118</v>
      </c>
      <c r="B8969" s="141">
        <v>1.1606704367936101E-5</v>
      </c>
      <c r="D8969" s="141"/>
    </row>
    <row r="8970" spans="1:4" x14ac:dyDescent="0.2">
      <c r="A8970" s="140" t="s">
        <v>1884</v>
      </c>
      <c r="B8970" s="141">
        <v>1.15942324081725E-5</v>
      </c>
      <c r="D8970" s="141"/>
    </row>
    <row r="8971" spans="1:4" x14ac:dyDescent="0.2">
      <c r="A8971" s="140" t="s">
        <v>6038</v>
      </c>
      <c r="B8971" s="141">
        <v>1.1581697989737201E-5</v>
      </c>
      <c r="D8971" s="141"/>
    </row>
    <row r="8972" spans="1:4" x14ac:dyDescent="0.2">
      <c r="A8972" s="140" t="s">
        <v>9806</v>
      </c>
      <c r="B8972" s="141">
        <v>1.1581697989737201E-5</v>
      </c>
      <c r="D8972" s="141"/>
    </row>
    <row r="8973" spans="1:4" x14ac:dyDescent="0.2">
      <c r="A8973" s="140" t="s">
        <v>9807</v>
      </c>
      <c r="B8973" s="141">
        <v>1.1581697989737201E-5</v>
      </c>
      <c r="D8973" s="141"/>
    </row>
    <row r="8974" spans="1:4" x14ac:dyDescent="0.2">
      <c r="A8974" s="140" t="s">
        <v>5604</v>
      </c>
      <c r="B8974" s="141">
        <v>1.1581697989737201E-5</v>
      </c>
      <c r="D8974" s="141"/>
    </row>
    <row r="8975" spans="1:4" x14ac:dyDescent="0.2">
      <c r="A8975" s="140" t="s">
        <v>9808</v>
      </c>
      <c r="B8975" s="141">
        <v>1.1581697989737201E-5</v>
      </c>
      <c r="D8975" s="141"/>
    </row>
    <row r="8976" spans="1:4" x14ac:dyDescent="0.2">
      <c r="A8976" s="140" t="s">
        <v>9809</v>
      </c>
      <c r="B8976" s="141">
        <v>1.1581697989737201E-5</v>
      </c>
      <c r="D8976" s="141"/>
    </row>
    <row r="8977" spans="1:4" x14ac:dyDescent="0.2">
      <c r="A8977" s="140" t="s">
        <v>5144</v>
      </c>
      <c r="B8977" s="141">
        <v>1.1581697989737201E-5</v>
      </c>
      <c r="D8977" s="141"/>
    </row>
    <row r="8978" spans="1:4" x14ac:dyDescent="0.2">
      <c r="A8978" s="140" t="s">
        <v>4963</v>
      </c>
      <c r="B8978" s="141">
        <v>1.1581697989737201E-5</v>
      </c>
      <c r="D8978" s="141"/>
    </row>
    <row r="8979" spans="1:4" x14ac:dyDescent="0.2">
      <c r="A8979" s="140" t="s">
        <v>4849</v>
      </c>
      <c r="B8979" s="141">
        <v>1.1581697989737201E-5</v>
      </c>
      <c r="D8979" s="141"/>
    </row>
    <row r="8980" spans="1:4" x14ac:dyDescent="0.2">
      <c r="A8980" s="140" t="s">
        <v>9810</v>
      </c>
      <c r="B8980" s="141">
        <v>1.1581697989737201E-5</v>
      </c>
      <c r="D8980" s="141"/>
    </row>
    <row r="8981" spans="1:4" x14ac:dyDescent="0.2">
      <c r="A8981" s="140" t="s">
        <v>9811</v>
      </c>
      <c r="B8981" s="141">
        <v>1.1581697989737201E-5</v>
      </c>
      <c r="D8981" s="141"/>
    </row>
    <row r="8982" spans="1:4" x14ac:dyDescent="0.2">
      <c r="A8982" s="140" t="s">
        <v>3896</v>
      </c>
      <c r="B8982" s="141">
        <v>1.1581697989737201E-5</v>
      </c>
      <c r="D8982" s="141"/>
    </row>
    <row r="8983" spans="1:4" x14ac:dyDescent="0.2">
      <c r="A8983" s="140" t="s">
        <v>9812</v>
      </c>
      <c r="B8983" s="141">
        <v>1.1581697989737201E-5</v>
      </c>
      <c r="D8983" s="141"/>
    </row>
    <row r="8984" spans="1:4" x14ac:dyDescent="0.2">
      <c r="A8984" s="140" t="s">
        <v>9813</v>
      </c>
      <c r="B8984" s="141">
        <v>1.1581697989737201E-5</v>
      </c>
      <c r="D8984" s="141"/>
    </row>
    <row r="8985" spans="1:4" x14ac:dyDescent="0.2">
      <c r="A8985" s="140" t="s">
        <v>3421</v>
      </c>
      <c r="B8985" s="141">
        <v>1.1581697989737201E-5</v>
      </c>
      <c r="D8985" s="141"/>
    </row>
    <row r="8986" spans="1:4" x14ac:dyDescent="0.2">
      <c r="A8986" s="140" t="s">
        <v>9814</v>
      </c>
      <c r="B8986" s="141">
        <v>1.1581697989737201E-5</v>
      </c>
      <c r="D8986" s="141"/>
    </row>
    <row r="8987" spans="1:4" x14ac:dyDescent="0.2">
      <c r="A8987" s="140" t="s">
        <v>9815</v>
      </c>
      <c r="B8987" s="141">
        <v>1.1559031216049399E-5</v>
      </c>
      <c r="D8987" s="141"/>
    </row>
    <row r="8988" spans="1:4" x14ac:dyDescent="0.2">
      <c r="A8988" s="140" t="s">
        <v>4115</v>
      </c>
      <c r="B8988" s="141">
        <v>1.14924180055151E-5</v>
      </c>
      <c r="D8988" s="141"/>
    </row>
    <row r="8989" spans="1:4" x14ac:dyDescent="0.2">
      <c r="A8989" s="140" t="s">
        <v>9816</v>
      </c>
      <c r="B8989" s="141">
        <v>1.14776350042807E-5</v>
      </c>
      <c r="D8989" s="141"/>
    </row>
    <row r="8990" spans="1:4" x14ac:dyDescent="0.2">
      <c r="A8990" s="140" t="s">
        <v>9817</v>
      </c>
      <c r="B8990" s="141">
        <v>1.1440168787678799E-5</v>
      </c>
      <c r="D8990" s="141"/>
    </row>
    <row r="8991" spans="1:4" x14ac:dyDescent="0.2">
      <c r="A8991" s="140" t="s">
        <v>1929</v>
      </c>
      <c r="B8991" s="141">
        <v>1.14169821720231E-5</v>
      </c>
      <c r="D8991" s="141"/>
    </row>
    <row r="8992" spans="1:4" x14ac:dyDescent="0.2">
      <c r="A8992" s="140" t="s">
        <v>666</v>
      </c>
      <c r="B8992" s="141">
        <v>1.14000725421171E-5</v>
      </c>
      <c r="D8992" s="141"/>
    </row>
    <row r="8993" spans="1:4" x14ac:dyDescent="0.2">
      <c r="A8993" s="140" t="s">
        <v>9818</v>
      </c>
      <c r="B8993" s="141">
        <v>1.13819887148762E-5</v>
      </c>
      <c r="D8993" s="141"/>
    </row>
    <row r="8994" spans="1:4" x14ac:dyDescent="0.2">
      <c r="A8994" s="140" t="s">
        <v>9819</v>
      </c>
      <c r="B8994" s="141">
        <v>1.13554977403288E-5</v>
      </c>
      <c r="D8994" s="141"/>
    </row>
    <row r="8995" spans="1:4" x14ac:dyDescent="0.2">
      <c r="A8995" s="140" t="s">
        <v>9820</v>
      </c>
      <c r="B8995" s="141">
        <v>1.13554977403288E-5</v>
      </c>
      <c r="D8995" s="141"/>
    </row>
    <row r="8996" spans="1:4" x14ac:dyDescent="0.2">
      <c r="A8996" s="140" t="s">
        <v>1461</v>
      </c>
      <c r="B8996" s="141">
        <v>1.13075919483659E-5</v>
      </c>
      <c r="D8996" s="141"/>
    </row>
    <row r="8997" spans="1:4" x14ac:dyDescent="0.2">
      <c r="A8997" s="140" t="s">
        <v>9821</v>
      </c>
      <c r="B8997" s="141">
        <v>1.1227351144614301E-5</v>
      </c>
      <c r="D8997" s="141"/>
    </row>
    <row r="8998" spans="1:4" x14ac:dyDescent="0.2">
      <c r="A8998" s="140" t="s">
        <v>1171</v>
      </c>
      <c r="B8998" s="141">
        <v>1.1214658006326401E-5</v>
      </c>
      <c r="D8998" s="141"/>
    </row>
    <row r="8999" spans="1:4" x14ac:dyDescent="0.2">
      <c r="A8999" s="140" t="s">
        <v>4664</v>
      </c>
      <c r="B8999" s="141">
        <v>1.11504319291296E-5</v>
      </c>
      <c r="D8999" s="141"/>
    </row>
    <row r="9000" spans="1:4" x14ac:dyDescent="0.2">
      <c r="A9000" s="140" t="s">
        <v>6237</v>
      </c>
      <c r="B9000" s="141">
        <v>1.11479444784641E-5</v>
      </c>
      <c r="D9000" s="141"/>
    </row>
    <row r="9001" spans="1:4" x14ac:dyDescent="0.2">
      <c r="A9001" s="140" t="s">
        <v>524</v>
      </c>
      <c r="B9001" s="141">
        <v>1.11144270379913E-5</v>
      </c>
      <c r="D9001" s="141"/>
    </row>
    <row r="9002" spans="1:4" x14ac:dyDescent="0.2">
      <c r="A9002" s="140" t="s">
        <v>4586</v>
      </c>
      <c r="B9002" s="141">
        <v>1.11069469556317E-5</v>
      </c>
      <c r="D9002" s="141"/>
    </row>
    <row r="9003" spans="1:4" x14ac:dyDescent="0.2">
      <c r="A9003" s="140" t="s">
        <v>878</v>
      </c>
      <c r="B9003" s="141">
        <v>1.10807625927649E-5</v>
      </c>
      <c r="D9003" s="141"/>
    </row>
    <row r="9004" spans="1:4" x14ac:dyDescent="0.2">
      <c r="A9004" s="140" t="s">
        <v>9822</v>
      </c>
      <c r="B9004" s="141">
        <v>1.10399732218928E-5</v>
      </c>
      <c r="D9004" s="141"/>
    </row>
    <row r="9005" spans="1:4" x14ac:dyDescent="0.2">
      <c r="A9005" s="140" t="s">
        <v>9823</v>
      </c>
      <c r="B9005" s="141">
        <v>1.10399732218928E-5</v>
      </c>
      <c r="D9005" s="141"/>
    </row>
    <row r="9006" spans="1:4" x14ac:dyDescent="0.2">
      <c r="A9006" s="140" t="s">
        <v>9824</v>
      </c>
      <c r="B9006" s="141">
        <v>1.1037341500012701E-5</v>
      </c>
      <c r="D9006" s="141"/>
    </row>
    <row r="9007" spans="1:4" x14ac:dyDescent="0.2">
      <c r="A9007" s="140" t="s">
        <v>9825</v>
      </c>
      <c r="B9007" s="141">
        <v>1.10359125503965E-5</v>
      </c>
      <c r="D9007" s="141"/>
    </row>
    <row r="9008" spans="1:4" x14ac:dyDescent="0.2">
      <c r="A9008" s="140" t="s">
        <v>700</v>
      </c>
      <c r="B9008" s="141">
        <v>1.1027908200167099E-5</v>
      </c>
      <c r="D9008" s="141"/>
    </row>
    <row r="9009" spans="1:4" x14ac:dyDescent="0.2">
      <c r="A9009" s="140" t="s">
        <v>3390</v>
      </c>
      <c r="B9009" s="141">
        <v>1.0987486473794201E-5</v>
      </c>
      <c r="D9009" s="141"/>
    </row>
    <row r="9010" spans="1:4" x14ac:dyDescent="0.2">
      <c r="A9010" s="140" t="s">
        <v>9826</v>
      </c>
      <c r="B9010" s="141">
        <v>1.0956003763044501E-5</v>
      </c>
      <c r="D9010" s="141"/>
    </row>
    <row r="9011" spans="1:4" x14ac:dyDescent="0.2">
      <c r="A9011" s="140" t="s">
        <v>618</v>
      </c>
      <c r="B9011" s="141">
        <v>1.09309941045026E-5</v>
      </c>
      <c r="D9011" s="141"/>
    </row>
    <row r="9012" spans="1:4" x14ac:dyDescent="0.2">
      <c r="A9012" s="140" t="s">
        <v>9827</v>
      </c>
      <c r="B9012" s="141">
        <v>1.08930495150316E-5</v>
      </c>
      <c r="D9012" s="141"/>
    </row>
    <row r="9013" spans="1:4" x14ac:dyDescent="0.2">
      <c r="A9013" s="140" t="s">
        <v>933</v>
      </c>
      <c r="B9013" s="141">
        <v>1.08892803663184E-5</v>
      </c>
      <c r="D9013" s="141"/>
    </row>
    <row r="9014" spans="1:4" x14ac:dyDescent="0.2">
      <c r="A9014" s="140" t="s">
        <v>667</v>
      </c>
      <c r="B9014" s="141">
        <v>1.08815766219017E-5</v>
      </c>
      <c r="D9014" s="141"/>
    </row>
    <row r="9015" spans="1:4" x14ac:dyDescent="0.2">
      <c r="A9015" s="140" t="s">
        <v>9828</v>
      </c>
      <c r="B9015" s="141">
        <v>1.08704964552638E-5</v>
      </c>
      <c r="D9015" s="141"/>
    </row>
    <row r="9016" spans="1:4" x14ac:dyDescent="0.2">
      <c r="A9016" s="140" t="s">
        <v>1352</v>
      </c>
      <c r="B9016" s="141">
        <v>1.08661091083585E-5</v>
      </c>
      <c r="D9016" s="141"/>
    </row>
    <row r="9017" spans="1:4" x14ac:dyDescent="0.2">
      <c r="A9017" s="140" t="s">
        <v>9829</v>
      </c>
      <c r="B9017" s="141">
        <v>1.08448941739273E-5</v>
      </c>
      <c r="D9017" s="141"/>
    </row>
    <row r="9018" spans="1:4" x14ac:dyDescent="0.2">
      <c r="A9018" s="140" t="s">
        <v>9830</v>
      </c>
      <c r="B9018" s="141">
        <v>1.0838606853431E-5</v>
      </c>
      <c r="D9018" s="141"/>
    </row>
    <row r="9019" spans="1:4" x14ac:dyDescent="0.2">
      <c r="A9019" s="140" t="s">
        <v>1172</v>
      </c>
      <c r="B9019" s="141">
        <v>1.08370973281496E-5</v>
      </c>
      <c r="D9019" s="141"/>
    </row>
    <row r="9020" spans="1:4" x14ac:dyDescent="0.2">
      <c r="A9020" s="140" t="s">
        <v>1109</v>
      </c>
      <c r="B9020" s="141">
        <v>1.07714191258207E-5</v>
      </c>
      <c r="D9020" s="141"/>
    </row>
    <row r="9021" spans="1:4" x14ac:dyDescent="0.2">
      <c r="A9021" s="140" t="s">
        <v>6179</v>
      </c>
      <c r="B9021" s="141">
        <v>1.0734215859299799E-5</v>
      </c>
      <c r="D9021" s="141"/>
    </row>
    <row r="9022" spans="1:4" x14ac:dyDescent="0.2">
      <c r="A9022" s="140" t="s">
        <v>9831</v>
      </c>
      <c r="B9022" s="141">
        <v>1.0708397624534499E-5</v>
      </c>
      <c r="D9022" s="141"/>
    </row>
    <row r="9023" spans="1:4" x14ac:dyDescent="0.2">
      <c r="A9023" s="140" t="s">
        <v>9832</v>
      </c>
      <c r="B9023" s="141">
        <v>1.0708397624534499E-5</v>
      </c>
      <c r="D9023" s="141"/>
    </row>
    <row r="9024" spans="1:4" x14ac:dyDescent="0.2">
      <c r="A9024" s="140" t="s">
        <v>9833</v>
      </c>
      <c r="B9024" s="141">
        <v>1.0676027890152099E-5</v>
      </c>
      <c r="D9024" s="141"/>
    </row>
    <row r="9025" spans="1:4" x14ac:dyDescent="0.2">
      <c r="A9025" s="140" t="s">
        <v>1561</v>
      </c>
      <c r="B9025" s="141">
        <v>1.06144479797322E-5</v>
      </c>
      <c r="D9025" s="141"/>
    </row>
    <row r="9026" spans="1:4" x14ac:dyDescent="0.2">
      <c r="A9026" s="140" t="s">
        <v>688</v>
      </c>
      <c r="B9026" s="141">
        <v>1.05783852007511E-5</v>
      </c>
      <c r="D9026" s="141"/>
    </row>
    <row r="9027" spans="1:4" x14ac:dyDescent="0.2">
      <c r="A9027" s="140" t="s">
        <v>420</v>
      </c>
      <c r="B9027" s="141">
        <v>1.0556298614484501E-5</v>
      </c>
      <c r="D9027" s="141"/>
    </row>
    <row r="9028" spans="1:4" x14ac:dyDescent="0.2">
      <c r="A9028" s="140" t="s">
        <v>9834</v>
      </c>
      <c r="B9028" s="141">
        <v>1.0553650522008E-5</v>
      </c>
      <c r="D9028" s="141"/>
    </row>
    <row r="9029" spans="1:4" x14ac:dyDescent="0.2">
      <c r="A9029" s="140" t="s">
        <v>5396</v>
      </c>
      <c r="B9029" s="141">
        <v>1.05461931563399E-5</v>
      </c>
      <c r="D9029" s="141"/>
    </row>
    <row r="9030" spans="1:4" x14ac:dyDescent="0.2">
      <c r="A9030" s="140" t="s">
        <v>5554</v>
      </c>
      <c r="B9030" s="141">
        <v>1.05351992482588E-5</v>
      </c>
      <c r="D9030" s="141"/>
    </row>
    <row r="9031" spans="1:4" x14ac:dyDescent="0.2">
      <c r="A9031" s="140" t="s">
        <v>9835</v>
      </c>
      <c r="B9031" s="141">
        <v>1.05343385666581E-5</v>
      </c>
      <c r="D9031" s="141"/>
    </row>
    <row r="9032" spans="1:4" x14ac:dyDescent="0.2">
      <c r="A9032" s="140" t="s">
        <v>994</v>
      </c>
      <c r="B9032" s="141">
        <v>1.0419352494012399E-5</v>
      </c>
      <c r="D9032" s="141"/>
    </row>
    <row r="9033" spans="1:4" x14ac:dyDescent="0.2">
      <c r="A9033" s="140" t="s">
        <v>9836</v>
      </c>
      <c r="B9033" s="141">
        <v>1.04092058462089E-5</v>
      </c>
      <c r="D9033" s="141"/>
    </row>
    <row r="9034" spans="1:4" x14ac:dyDescent="0.2">
      <c r="A9034" s="140" t="s">
        <v>4372</v>
      </c>
      <c r="B9034" s="141">
        <v>1.03752667392379E-5</v>
      </c>
      <c r="D9034" s="141"/>
    </row>
    <row r="9035" spans="1:4" x14ac:dyDescent="0.2">
      <c r="A9035" s="140" t="s">
        <v>5338</v>
      </c>
      <c r="B9035" s="141">
        <v>1.03549953553927E-5</v>
      </c>
      <c r="D9035" s="141"/>
    </row>
    <row r="9036" spans="1:4" x14ac:dyDescent="0.2">
      <c r="A9036" s="140" t="s">
        <v>4791</v>
      </c>
      <c r="B9036" s="141">
        <v>1.03525061933149E-5</v>
      </c>
      <c r="D9036" s="141"/>
    </row>
    <row r="9037" spans="1:4" x14ac:dyDescent="0.2">
      <c r="A9037" s="140" t="s">
        <v>9837</v>
      </c>
      <c r="B9037" s="141">
        <v>1.02669905842752E-5</v>
      </c>
      <c r="D9037" s="141"/>
    </row>
    <row r="9038" spans="1:4" x14ac:dyDescent="0.2">
      <c r="A9038" s="140" t="s">
        <v>545</v>
      </c>
      <c r="B9038" s="141">
        <v>1.02401428859226E-5</v>
      </c>
      <c r="D9038" s="141"/>
    </row>
    <row r="9039" spans="1:4" x14ac:dyDescent="0.2">
      <c r="A9039" s="140" t="s">
        <v>9838</v>
      </c>
      <c r="B9039" s="141">
        <v>1.0222709925144101E-5</v>
      </c>
      <c r="D9039" s="141"/>
    </row>
    <row r="9040" spans="1:4" x14ac:dyDescent="0.2">
      <c r="A9040" s="140" t="s">
        <v>9839</v>
      </c>
      <c r="B9040" s="141">
        <v>1.02191430890255E-5</v>
      </c>
      <c r="D9040" s="141"/>
    </row>
    <row r="9041" spans="1:4" x14ac:dyDescent="0.2">
      <c r="A9041" s="140" t="s">
        <v>770</v>
      </c>
      <c r="B9041" s="141">
        <v>1.0207135838237799E-5</v>
      </c>
      <c r="D9041" s="141"/>
    </row>
    <row r="9042" spans="1:4" x14ac:dyDescent="0.2">
      <c r="A9042" s="140" t="s">
        <v>5496</v>
      </c>
      <c r="B9042" s="141">
        <v>1.02064770407568E-5</v>
      </c>
      <c r="D9042" s="141"/>
    </row>
    <row r="9043" spans="1:4" x14ac:dyDescent="0.2">
      <c r="A9043" s="140" t="s">
        <v>3340</v>
      </c>
      <c r="B9043" s="141">
        <v>1.01764643362962E-5</v>
      </c>
      <c r="D9043" s="141"/>
    </row>
    <row r="9044" spans="1:4" x14ac:dyDescent="0.2">
      <c r="A9044" s="140" t="s">
        <v>9840</v>
      </c>
      <c r="B9044" s="141">
        <v>1.01676653410498E-5</v>
      </c>
      <c r="D9044" s="141"/>
    </row>
    <row r="9045" spans="1:4" x14ac:dyDescent="0.2">
      <c r="A9045" s="140" t="s">
        <v>794</v>
      </c>
      <c r="B9045" s="141">
        <v>1.01349198152387E-5</v>
      </c>
      <c r="D9045" s="141"/>
    </row>
    <row r="9046" spans="1:4" x14ac:dyDescent="0.2">
      <c r="A9046" s="140" t="s">
        <v>1201</v>
      </c>
      <c r="B9046" s="141">
        <v>1.0132942154960499E-5</v>
      </c>
      <c r="D9046" s="141"/>
    </row>
    <row r="9047" spans="1:4" x14ac:dyDescent="0.2">
      <c r="A9047" s="140" t="s">
        <v>799</v>
      </c>
      <c r="B9047" s="141">
        <v>1.0128308674628901E-5</v>
      </c>
      <c r="D9047" s="141"/>
    </row>
    <row r="9048" spans="1:4" x14ac:dyDescent="0.2">
      <c r="A9048" s="140" t="s">
        <v>9841</v>
      </c>
      <c r="B9048" s="141">
        <v>1.0123959793698501E-5</v>
      </c>
      <c r="D9048" s="141"/>
    </row>
    <row r="9049" spans="1:4" x14ac:dyDescent="0.2">
      <c r="A9049" s="140" t="s">
        <v>4597</v>
      </c>
      <c r="B9049" s="141">
        <v>1.0102054281111601E-5</v>
      </c>
      <c r="D9049" s="141"/>
    </row>
    <row r="9050" spans="1:4" x14ac:dyDescent="0.2">
      <c r="A9050" s="140" t="s">
        <v>9842</v>
      </c>
      <c r="B9050" s="141">
        <v>1.00949720666123E-5</v>
      </c>
      <c r="D9050" s="141"/>
    </row>
    <row r="9051" spans="1:4" x14ac:dyDescent="0.2">
      <c r="A9051" s="140" t="s">
        <v>6258</v>
      </c>
      <c r="B9051" s="141">
        <v>1.00949720666123E-5</v>
      </c>
      <c r="D9051" s="141"/>
    </row>
    <row r="9052" spans="1:4" x14ac:dyDescent="0.2">
      <c r="A9052" s="140" t="s">
        <v>9843</v>
      </c>
      <c r="B9052" s="141">
        <v>1.00949720666123E-5</v>
      </c>
      <c r="D9052" s="141"/>
    </row>
    <row r="9053" spans="1:4" x14ac:dyDescent="0.2">
      <c r="A9053" s="140" t="s">
        <v>9844</v>
      </c>
      <c r="B9053" s="141">
        <v>1.00949720666123E-5</v>
      </c>
      <c r="D9053" s="141"/>
    </row>
    <row r="9054" spans="1:4" x14ac:dyDescent="0.2">
      <c r="A9054" s="140" t="s">
        <v>9845</v>
      </c>
      <c r="B9054" s="141">
        <v>1.0094856286077401E-5</v>
      </c>
      <c r="D9054" s="141"/>
    </row>
    <row r="9055" spans="1:4" x14ac:dyDescent="0.2">
      <c r="A9055" s="140" t="s">
        <v>882</v>
      </c>
      <c r="B9055" s="141">
        <v>1.0077718913920701E-5</v>
      </c>
      <c r="D9055" s="141"/>
    </row>
    <row r="9056" spans="1:4" x14ac:dyDescent="0.2">
      <c r="A9056" s="140" t="s">
        <v>5533</v>
      </c>
      <c r="B9056" s="141">
        <v>1.0068528250565101E-5</v>
      </c>
      <c r="D9056" s="141"/>
    </row>
    <row r="9057" spans="1:4" x14ac:dyDescent="0.2">
      <c r="A9057" s="140" t="s">
        <v>1494</v>
      </c>
      <c r="B9057" s="141">
        <v>1.0066636389661E-5</v>
      </c>
      <c r="D9057" s="141"/>
    </row>
    <row r="9058" spans="1:4" x14ac:dyDescent="0.2">
      <c r="A9058" s="140" t="s">
        <v>9846</v>
      </c>
      <c r="B9058" s="141">
        <v>1.00405152289888E-5</v>
      </c>
      <c r="D9058" s="141"/>
    </row>
    <row r="9059" spans="1:4" x14ac:dyDescent="0.2">
      <c r="A9059" s="140" t="s">
        <v>4647</v>
      </c>
      <c r="B9059" s="141">
        <v>1.0007120913949899E-5</v>
      </c>
      <c r="D9059" s="141"/>
    </row>
    <row r="9060" spans="1:4" x14ac:dyDescent="0.2">
      <c r="A9060" s="140" t="s">
        <v>6165</v>
      </c>
      <c r="B9060" s="141">
        <v>9.9787616395343799E-6</v>
      </c>
      <c r="D9060" s="141"/>
    </row>
    <row r="9061" spans="1:4" x14ac:dyDescent="0.2">
      <c r="A9061" s="140" t="s">
        <v>9847</v>
      </c>
      <c r="B9061" s="141">
        <v>9.9753147007193702E-6</v>
      </c>
      <c r="D9061" s="141"/>
    </row>
    <row r="9062" spans="1:4" x14ac:dyDescent="0.2">
      <c r="A9062" s="140" t="s">
        <v>9848</v>
      </c>
      <c r="B9062" s="141">
        <v>9.9388455048921996E-6</v>
      </c>
      <c r="D9062" s="141"/>
    </row>
    <row r="9063" spans="1:4" x14ac:dyDescent="0.2">
      <c r="A9063" s="140" t="s">
        <v>1342</v>
      </c>
      <c r="B9063" s="141">
        <v>9.9024063058755201E-6</v>
      </c>
      <c r="D9063" s="141"/>
    </row>
    <row r="9064" spans="1:4" x14ac:dyDescent="0.2">
      <c r="A9064" s="140" t="s">
        <v>9849</v>
      </c>
      <c r="B9064" s="141">
        <v>9.8433902250476406E-6</v>
      </c>
      <c r="D9064" s="141"/>
    </row>
    <row r="9065" spans="1:4" x14ac:dyDescent="0.2">
      <c r="A9065" s="140" t="s">
        <v>9850</v>
      </c>
      <c r="B9065" s="141">
        <v>9.82043742521781E-6</v>
      </c>
      <c r="D9065" s="141"/>
    </row>
    <row r="9066" spans="1:4" x14ac:dyDescent="0.2">
      <c r="A9066" s="140" t="s">
        <v>9851</v>
      </c>
      <c r="B9066" s="141">
        <v>9.73772775656381E-6</v>
      </c>
      <c r="D9066" s="141"/>
    </row>
    <row r="9067" spans="1:4" x14ac:dyDescent="0.2">
      <c r="A9067" s="140" t="s">
        <v>1219</v>
      </c>
      <c r="B9067" s="141">
        <v>9.7204802875034905E-6</v>
      </c>
      <c r="D9067" s="141"/>
    </row>
    <row r="9068" spans="1:4" x14ac:dyDescent="0.2">
      <c r="A9068" s="140" t="s">
        <v>9852</v>
      </c>
      <c r="B9068" s="141">
        <v>9.6880749662638496E-6</v>
      </c>
      <c r="D9068" s="141"/>
    </row>
    <row r="9069" spans="1:4" x14ac:dyDescent="0.2">
      <c r="A9069" s="140" t="s">
        <v>861</v>
      </c>
      <c r="B9069" s="141">
        <v>9.6595402327388303E-6</v>
      </c>
      <c r="D9069" s="141"/>
    </row>
    <row r="9070" spans="1:4" x14ac:dyDescent="0.2">
      <c r="A9070" s="140" t="s">
        <v>9853</v>
      </c>
      <c r="B9070" s="141">
        <v>9.6512579553871003E-6</v>
      </c>
      <c r="D9070" s="141"/>
    </row>
    <row r="9071" spans="1:4" x14ac:dyDescent="0.2">
      <c r="A9071" s="140" t="s">
        <v>6225</v>
      </c>
      <c r="B9071" s="141">
        <v>9.6459333383365997E-6</v>
      </c>
      <c r="D9071" s="141"/>
    </row>
    <row r="9072" spans="1:4" x14ac:dyDescent="0.2">
      <c r="A9072" s="140" t="s">
        <v>2881</v>
      </c>
      <c r="B9072" s="141">
        <v>9.6365742156281702E-6</v>
      </c>
      <c r="D9072" s="141"/>
    </row>
    <row r="9073" spans="1:4" x14ac:dyDescent="0.2">
      <c r="A9073" s="140" t="s">
        <v>1007</v>
      </c>
      <c r="B9073" s="141">
        <v>9.6284253225579806E-6</v>
      </c>
      <c r="D9073" s="141"/>
    </row>
    <row r="9074" spans="1:4" x14ac:dyDescent="0.2">
      <c r="A9074" s="140" t="s">
        <v>5220</v>
      </c>
      <c r="B9074" s="141">
        <v>9.6249005704409604E-6</v>
      </c>
      <c r="D9074" s="141"/>
    </row>
    <row r="9075" spans="1:4" x14ac:dyDescent="0.2">
      <c r="A9075" s="140" t="s">
        <v>9854</v>
      </c>
      <c r="B9075" s="141">
        <v>9.6217868309546305E-6</v>
      </c>
      <c r="D9075" s="141"/>
    </row>
    <row r="9076" spans="1:4" x14ac:dyDescent="0.2">
      <c r="A9076" s="140" t="s">
        <v>5942</v>
      </c>
      <c r="B9076" s="141">
        <v>9.6202420864940102E-6</v>
      </c>
      <c r="D9076" s="141"/>
    </row>
    <row r="9077" spans="1:4" x14ac:dyDescent="0.2">
      <c r="A9077" s="140" t="s">
        <v>9855</v>
      </c>
      <c r="B9077" s="141">
        <v>9.6054633518124904E-6</v>
      </c>
      <c r="D9077" s="141"/>
    </row>
    <row r="9078" spans="1:4" x14ac:dyDescent="0.2">
      <c r="A9078" s="140" t="s">
        <v>3222</v>
      </c>
      <c r="B9078" s="141">
        <v>9.6041402648816694E-6</v>
      </c>
      <c r="D9078" s="141"/>
    </row>
    <row r="9079" spans="1:4" x14ac:dyDescent="0.2">
      <c r="A9079" s="140" t="s">
        <v>1632</v>
      </c>
      <c r="B9079" s="141">
        <v>9.5989293256549692E-6</v>
      </c>
      <c r="D9079" s="141"/>
    </row>
    <row r="9080" spans="1:4" x14ac:dyDescent="0.2">
      <c r="A9080" s="140" t="s">
        <v>343</v>
      </c>
      <c r="B9080" s="141">
        <v>9.5412101223097094E-6</v>
      </c>
      <c r="D9080" s="141"/>
    </row>
    <row r="9081" spans="1:4" x14ac:dyDescent="0.2">
      <c r="A9081" s="140" t="s">
        <v>2388</v>
      </c>
      <c r="B9081" s="141">
        <v>9.5111651656885101E-6</v>
      </c>
      <c r="D9081" s="141"/>
    </row>
    <row r="9082" spans="1:4" x14ac:dyDescent="0.2">
      <c r="A9082" s="140" t="s">
        <v>1105</v>
      </c>
      <c r="B9082" s="141">
        <v>9.4990580620906392E-6</v>
      </c>
      <c r="D9082" s="141"/>
    </row>
    <row r="9083" spans="1:4" x14ac:dyDescent="0.2">
      <c r="A9083" s="140" t="s">
        <v>9856</v>
      </c>
      <c r="B9083" s="141">
        <v>9.4588355468464806E-6</v>
      </c>
      <c r="D9083" s="141"/>
    </row>
    <row r="9084" spans="1:4" x14ac:dyDescent="0.2">
      <c r="A9084" s="140" t="s">
        <v>9857</v>
      </c>
      <c r="B9084" s="141">
        <v>9.4569225140500107E-6</v>
      </c>
      <c r="D9084" s="141"/>
    </row>
    <row r="9085" spans="1:4" x14ac:dyDescent="0.2">
      <c r="A9085" s="140" t="s">
        <v>2005</v>
      </c>
      <c r="B9085" s="141">
        <v>9.4359017744297096E-6</v>
      </c>
      <c r="D9085" s="141"/>
    </row>
    <row r="9086" spans="1:4" x14ac:dyDescent="0.2">
      <c r="A9086" s="140" t="s">
        <v>9858</v>
      </c>
      <c r="B9086" s="141">
        <v>9.3996025907817107E-6</v>
      </c>
      <c r="D9086" s="141"/>
    </row>
    <row r="9087" spans="1:4" x14ac:dyDescent="0.2">
      <c r="A9087" s="140" t="s">
        <v>1962</v>
      </c>
      <c r="B9087" s="141">
        <v>9.3658614483406202E-6</v>
      </c>
      <c r="D9087" s="141"/>
    </row>
    <row r="9088" spans="1:4" x14ac:dyDescent="0.2">
      <c r="A9088" s="140" t="s">
        <v>6294</v>
      </c>
      <c r="B9088" s="141">
        <v>9.3208384557024597E-6</v>
      </c>
      <c r="D9088" s="141"/>
    </row>
    <row r="9089" spans="1:4" x14ac:dyDescent="0.2">
      <c r="A9089" s="140" t="s">
        <v>9859</v>
      </c>
      <c r="B9089" s="141">
        <v>9.2727286815400194E-6</v>
      </c>
      <c r="D9089" s="141"/>
    </row>
    <row r="9090" spans="1:4" x14ac:dyDescent="0.2">
      <c r="A9090" s="140" t="s">
        <v>1529</v>
      </c>
      <c r="B9090" s="141">
        <v>9.2278579056017698E-6</v>
      </c>
      <c r="D9090" s="141"/>
    </row>
    <row r="9091" spans="1:4" x14ac:dyDescent="0.2">
      <c r="A9091" s="140" t="s">
        <v>9860</v>
      </c>
      <c r="B9091" s="141">
        <v>9.1831037495431702E-6</v>
      </c>
      <c r="D9091" s="141"/>
    </row>
    <row r="9092" spans="1:4" x14ac:dyDescent="0.2">
      <c r="A9092" s="140" t="s">
        <v>9861</v>
      </c>
      <c r="B9092" s="141">
        <v>9.1599997558137797E-6</v>
      </c>
      <c r="D9092" s="141"/>
    </row>
    <row r="9093" spans="1:4" x14ac:dyDescent="0.2">
      <c r="A9093" s="140" t="s">
        <v>9862</v>
      </c>
      <c r="B9093" s="141">
        <v>9.1599997558137797E-6</v>
      </c>
      <c r="D9093" s="141"/>
    </row>
    <row r="9094" spans="1:4" x14ac:dyDescent="0.2">
      <c r="A9094" s="140" t="s">
        <v>9863</v>
      </c>
      <c r="B9094" s="141">
        <v>9.1599997558137797E-6</v>
      </c>
      <c r="D9094" s="141"/>
    </row>
    <row r="9095" spans="1:4" x14ac:dyDescent="0.2">
      <c r="A9095" s="140" t="s">
        <v>9864</v>
      </c>
      <c r="B9095" s="141">
        <v>9.1599997558137797E-6</v>
      </c>
      <c r="D9095" s="141"/>
    </row>
    <row r="9096" spans="1:4" x14ac:dyDescent="0.2">
      <c r="A9096" s="140" t="s">
        <v>9865</v>
      </c>
      <c r="B9096" s="141">
        <v>9.1280173141124407E-6</v>
      </c>
      <c r="D9096" s="141"/>
    </row>
    <row r="9097" spans="1:4" x14ac:dyDescent="0.2">
      <c r="A9097" s="140" t="s">
        <v>1299</v>
      </c>
      <c r="B9097" s="141">
        <v>9.0924017665534101E-6</v>
      </c>
      <c r="D9097" s="141"/>
    </row>
    <row r="9098" spans="1:4" x14ac:dyDescent="0.2">
      <c r="A9098" s="140" t="s">
        <v>9866</v>
      </c>
      <c r="B9098" s="141">
        <v>9.0880682341027604E-6</v>
      </c>
      <c r="D9098" s="141"/>
    </row>
    <row r="9099" spans="1:4" x14ac:dyDescent="0.2">
      <c r="A9099" s="140" t="s">
        <v>737</v>
      </c>
      <c r="B9099" s="141">
        <v>9.0712061832140907E-6</v>
      </c>
      <c r="D9099" s="141"/>
    </row>
    <row r="9100" spans="1:4" x14ac:dyDescent="0.2">
      <c r="A9100" s="140" t="s">
        <v>347</v>
      </c>
      <c r="B9100" s="141">
        <v>9.0220660096131598E-6</v>
      </c>
      <c r="D9100" s="141"/>
    </row>
    <row r="9101" spans="1:4" x14ac:dyDescent="0.2">
      <c r="A9101" s="140" t="s">
        <v>1547</v>
      </c>
      <c r="B9101" s="141">
        <v>9.0170500698284106E-6</v>
      </c>
      <c r="D9101" s="141"/>
    </row>
    <row r="9102" spans="1:4" x14ac:dyDescent="0.2">
      <c r="A9102" s="140" t="s">
        <v>9867</v>
      </c>
      <c r="B9102" s="141">
        <v>9.0087120289679205E-6</v>
      </c>
      <c r="D9102" s="141"/>
    </row>
    <row r="9103" spans="1:4" x14ac:dyDescent="0.2">
      <c r="A9103" s="140" t="s">
        <v>1469</v>
      </c>
      <c r="B9103" s="141">
        <v>8.9867737648669799E-6</v>
      </c>
      <c r="D9103" s="141"/>
    </row>
    <row r="9104" spans="1:4" x14ac:dyDescent="0.2">
      <c r="A9104" s="140" t="s">
        <v>6206</v>
      </c>
      <c r="B9104" s="141">
        <v>8.9858972810829605E-6</v>
      </c>
      <c r="D9104" s="141"/>
    </row>
    <row r="9105" spans="1:4" x14ac:dyDescent="0.2">
      <c r="A9105" s="140" t="s">
        <v>939</v>
      </c>
      <c r="B9105" s="141">
        <v>8.9852034493586508E-6</v>
      </c>
      <c r="D9105" s="141"/>
    </row>
    <row r="9106" spans="1:4" x14ac:dyDescent="0.2">
      <c r="A9106" s="140" t="s">
        <v>6239</v>
      </c>
      <c r="B9106" s="141">
        <v>8.9504115171283001E-6</v>
      </c>
      <c r="D9106" s="141"/>
    </row>
    <row r="9107" spans="1:4" x14ac:dyDescent="0.2">
      <c r="A9107" s="140" t="s">
        <v>1283</v>
      </c>
      <c r="B9107" s="141">
        <v>8.9342166852947897E-6</v>
      </c>
      <c r="D9107" s="141"/>
    </row>
    <row r="9108" spans="1:4" x14ac:dyDescent="0.2">
      <c r="A9108" s="140" t="s">
        <v>9868</v>
      </c>
      <c r="B9108" s="141">
        <v>8.8949489040798707E-6</v>
      </c>
      <c r="D9108" s="141"/>
    </row>
    <row r="9109" spans="1:4" x14ac:dyDescent="0.2">
      <c r="A9109" s="140" t="s">
        <v>632</v>
      </c>
      <c r="B9109" s="141">
        <v>8.8797589648298796E-6</v>
      </c>
      <c r="D9109" s="141"/>
    </row>
    <row r="9110" spans="1:4" x14ac:dyDescent="0.2">
      <c r="A9110" s="140" t="s">
        <v>1718</v>
      </c>
      <c r="B9110" s="141">
        <v>8.8073778105755601E-6</v>
      </c>
      <c r="D9110" s="141"/>
    </row>
    <row r="9111" spans="1:4" x14ac:dyDescent="0.2">
      <c r="A9111" s="140" t="s">
        <v>5561</v>
      </c>
      <c r="B9111" s="141">
        <v>8.74003964618022E-6</v>
      </c>
      <c r="D9111" s="141"/>
    </row>
    <row r="9112" spans="1:4" x14ac:dyDescent="0.2">
      <c r="A9112" s="140" t="s">
        <v>599</v>
      </c>
      <c r="B9112" s="141">
        <v>8.7138221833606997E-6</v>
      </c>
      <c r="D9112" s="141"/>
    </row>
    <row r="9113" spans="1:4" x14ac:dyDescent="0.2">
      <c r="A9113" s="140" t="s">
        <v>9869</v>
      </c>
      <c r="B9113" s="141">
        <v>8.7032797846069301E-6</v>
      </c>
      <c r="D9113" s="141"/>
    </row>
    <row r="9114" spans="1:4" x14ac:dyDescent="0.2">
      <c r="A9114" s="140" t="s">
        <v>2000</v>
      </c>
      <c r="B9114" s="141">
        <v>8.6837931407861295E-6</v>
      </c>
      <c r="D9114" s="141"/>
    </row>
    <row r="9115" spans="1:4" x14ac:dyDescent="0.2">
      <c r="A9115" s="140" t="s">
        <v>9870</v>
      </c>
      <c r="B9115" s="141">
        <v>8.6837931407861295E-6</v>
      </c>
      <c r="D9115" s="141"/>
    </row>
    <row r="9116" spans="1:4" x14ac:dyDescent="0.2">
      <c r="A9116" s="140" t="s">
        <v>9871</v>
      </c>
      <c r="B9116" s="141">
        <v>8.6722450200226302E-6</v>
      </c>
      <c r="D9116" s="141"/>
    </row>
    <row r="9117" spans="1:4" x14ac:dyDescent="0.2">
      <c r="A9117" s="140" t="s">
        <v>9872</v>
      </c>
      <c r="B9117" s="141">
        <v>8.6722450200226302E-6</v>
      </c>
      <c r="D9117" s="141"/>
    </row>
    <row r="9118" spans="1:4" x14ac:dyDescent="0.2">
      <c r="A9118" s="140" t="s">
        <v>3126</v>
      </c>
      <c r="B9118" s="141">
        <v>8.6548203789336706E-6</v>
      </c>
      <c r="D9118" s="141"/>
    </row>
    <row r="9119" spans="1:4" x14ac:dyDescent="0.2">
      <c r="A9119" s="140" t="s">
        <v>9873</v>
      </c>
      <c r="B9119" s="141">
        <v>8.6329614039436108E-6</v>
      </c>
      <c r="D9119" s="141"/>
    </row>
    <row r="9120" spans="1:4" x14ac:dyDescent="0.2">
      <c r="A9120" s="140" t="s">
        <v>1930</v>
      </c>
      <c r="B9120" s="141">
        <v>8.5781541406422801E-6</v>
      </c>
      <c r="D9120" s="141"/>
    </row>
    <row r="9121" spans="1:4" x14ac:dyDescent="0.2">
      <c r="A9121" s="140" t="s">
        <v>9874</v>
      </c>
      <c r="B9121" s="141">
        <v>8.5217458325936798E-6</v>
      </c>
      <c r="D9121" s="141"/>
    </row>
    <row r="9122" spans="1:4" x14ac:dyDescent="0.2">
      <c r="A9122" s="140" t="s">
        <v>9875</v>
      </c>
      <c r="B9122" s="141">
        <v>8.5217458325936798E-6</v>
      </c>
      <c r="D9122" s="141"/>
    </row>
    <row r="9123" spans="1:4" x14ac:dyDescent="0.2">
      <c r="A9123" s="140" t="s">
        <v>9876</v>
      </c>
      <c r="B9123" s="141">
        <v>8.5217458325936798E-6</v>
      </c>
      <c r="D9123" s="141"/>
    </row>
    <row r="9124" spans="1:4" x14ac:dyDescent="0.2">
      <c r="A9124" s="140" t="s">
        <v>397</v>
      </c>
      <c r="B9124" s="141">
        <v>8.5039178861057503E-6</v>
      </c>
      <c r="D9124" s="141"/>
    </row>
    <row r="9125" spans="1:4" x14ac:dyDescent="0.2">
      <c r="A9125" s="140" t="s">
        <v>9877</v>
      </c>
      <c r="B9125" s="141">
        <v>8.4892476312554902E-6</v>
      </c>
      <c r="D9125" s="141"/>
    </row>
    <row r="9126" spans="1:4" x14ac:dyDescent="0.2">
      <c r="A9126" s="140" t="s">
        <v>2118</v>
      </c>
      <c r="B9126" s="141">
        <v>8.4400414336760097E-6</v>
      </c>
      <c r="D9126" s="141"/>
    </row>
    <row r="9127" spans="1:4" x14ac:dyDescent="0.2">
      <c r="A9127" s="140" t="s">
        <v>6282</v>
      </c>
      <c r="B9127" s="141">
        <v>8.4132733022333605E-6</v>
      </c>
      <c r="D9127" s="141"/>
    </row>
    <row r="9128" spans="1:4" x14ac:dyDescent="0.2">
      <c r="A9128" s="140" t="s">
        <v>489</v>
      </c>
      <c r="B9128" s="141">
        <v>8.4047616136880008E-6</v>
      </c>
      <c r="D9128" s="141"/>
    </row>
    <row r="9129" spans="1:4" x14ac:dyDescent="0.2">
      <c r="A9129" s="140" t="s">
        <v>5754</v>
      </c>
      <c r="B9129" s="141">
        <v>8.4047188748845106E-6</v>
      </c>
      <c r="D9129" s="141"/>
    </row>
    <row r="9130" spans="1:4" x14ac:dyDescent="0.2">
      <c r="A9130" s="140" t="s">
        <v>9878</v>
      </c>
      <c r="B9130" s="141">
        <v>8.3507842822718892E-6</v>
      </c>
      <c r="D9130" s="141"/>
    </row>
    <row r="9131" spans="1:4" x14ac:dyDescent="0.2">
      <c r="A9131" s="140" t="s">
        <v>1046</v>
      </c>
      <c r="B9131" s="141">
        <v>8.1533105541005507E-6</v>
      </c>
      <c r="D9131" s="141"/>
    </row>
    <row r="9132" spans="1:4" x14ac:dyDescent="0.2">
      <c r="A9132" s="140" t="s">
        <v>363</v>
      </c>
      <c r="B9132" s="141">
        <v>8.1354713727830195E-6</v>
      </c>
      <c r="D9132" s="141"/>
    </row>
    <row r="9133" spans="1:4" x14ac:dyDescent="0.2">
      <c r="A9133" s="140" t="s">
        <v>961</v>
      </c>
      <c r="B9133" s="141">
        <v>8.1176424690751604E-6</v>
      </c>
      <c r="D9133" s="141"/>
    </row>
    <row r="9134" spans="1:4" x14ac:dyDescent="0.2">
      <c r="A9134" s="140" t="s">
        <v>1593</v>
      </c>
      <c r="B9134" s="141">
        <v>8.0877512999467401E-6</v>
      </c>
      <c r="D9134" s="141"/>
    </row>
    <row r="9135" spans="1:4" x14ac:dyDescent="0.2">
      <c r="A9135" s="140" t="s">
        <v>409</v>
      </c>
      <c r="B9135" s="141">
        <v>8.0857425840908907E-6</v>
      </c>
      <c r="D9135" s="141"/>
    </row>
    <row r="9136" spans="1:4" x14ac:dyDescent="0.2">
      <c r="A9136" s="140" t="s">
        <v>9879</v>
      </c>
      <c r="B9136" s="141">
        <v>7.9482263473804706E-6</v>
      </c>
      <c r="D9136" s="141"/>
    </row>
    <row r="9137" spans="1:4" x14ac:dyDescent="0.2">
      <c r="A9137" s="140" t="s">
        <v>4949</v>
      </c>
      <c r="B9137" s="141">
        <v>7.9439065065018399E-6</v>
      </c>
      <c r="D9137" s="141"/>
    </row>
    <row r="9138" spans="1:4" x14ac:dyDescent="0.2">
      <c r="A9138" s="140" t="s">
        <v>1339</v>
      </c>
      <c r="B9138" s="141">
        <v>7.9425792300936101E-6</v>
      </c>
      <c r="D9138" s="141"/>
    </row>
    <row r="9139" spans="1:4" x14ac:dyDescent="0.2">
      <c r="A9139" s="140" t="s">
        <v>1485</v>
      </c>
      <c r="B9139" s="141">
        <v>7.9106364388639994E-6</v>
      </c>
      <c r="D9139" s="141"/>
    </row>
    <row r="9140" spans="1:4" x14ac:dyDescent="0.2">
      <c r="A9140" s="140" t="s">
        <v>9880</v>
      </c>
      <c r="B9140" s="141">
        <v>7.8679224380513708E-6</v>
      </c>
      <c r="D9140" s="141"/>
    </row>
    <row r="9141" spans="1:4" x14ac:dyDescent="0.2">
      <c r="A9141" s="140" t="s">
        <v>425</v>
      </c>
      <c r="B9141" s="141">
        <v>7.86595349597112E-6</v>
      </c>
      <c r="D9141" s="141"/>
    </row>
    <row r="9142" spans="1:4" x14ac:dyDescent="0.2">
      <c r="A9142" s="140" t="s">
        <v>415</v>
      </c>
      <c r="B9142" s="141">
        <v>7.8347270984970402E-6</v>
      </c>
      <c r="D9142" s="141"/>
    </row>
    <row r="9143" spans="1:4" x14ac:dyDescent="0.2">
      <c r="A9143" s="140" t="s">
        <v>9881</v>
      </c>
      <c r="B9143" s="141">
        <v>7.7986665771483203E-6</v>
      </c>
      <c r="D9143" s="141"/>
    </row>
    <row r="9144" spans="1:4" x14ac:dyDescent="0.2">
      <c r="A9144" s="140" t="s">
        <v>9882</v>
      </c>
      <c r="B9144" s="141">
        <v>7.7913254204102407E-6</v>
      </c>
      <c r="D9144" s="141"/>
    </row>
    <row r="9145" spans="1:4" x14ac:dyDescent="0.2">
      <c r="A9145" s="140" t="s">
        <v>379</v>
      </c>
      <c r="B9145" s="141">
        <v>7.7526526165438201E-6</v>
      </c>
      <c r="D9145" s="141"/>
    </row>
    <row r="9146" spans="1:4" x14ac:dyDescent="0.2">
      <c r="A9146" s="140" t="s">
        <v>9883</v>
      </c>
      <c r="B9146" s="141">
        <v>7.7451483841270896E-6</v>
      </c>
      <c r="D9146" s="141"/>
    </row>
    <row r="9147" spans="1:4" x14ac:dyDescent="0.2">
      <c r="A9147" s="140" t="s">
        <v>9884</v>
      </c>
      <c r="B9147" s="141">
        <v>7.7446207742625901E-6</v>
      </c>
      <c r="D9147" s="141"/>
    </row>
    <row r="9148" spans="1:4" x14ac:dyDescent="0.2">
      <c r="A9148" s="140" t="s">
        <v>9885</v>
      </c>
      <c r="B9148" s="141">
        <v>7.7226425055767404E-6</v>
      </c>
      <c r="D9148" s="141"/>
    </row>
    <row r="9149" spans="1:4" x14ac:dyDescent="0.2">
      <c r="A9149" s="140" t="s">
        <v>977</v>
      </c>
      <c r="B9149" s="141">
        <v>7.7201397064654995E-6</v>
      </c>
      <c r="D9149" s="141"/>
    </row>
    <row r="9150" spans="1:4" x14ac:dyDescent="0.2">
      <c r="A9150" s="140" t="s">
        <v>346</v>
      </c>
      <c r="B9150" s="141">
        <v>7.68068607525435E-6</v>
      </c>
      <c r="D9150" s="141"/>
    </row>
    <row r="9151" spans="1:4" x14ac:dyDescent="0.2">
      <c r="A9151" s="140" t="s">
        <v>518</v>
      </c>
      <c r="B9151" s="141">
        <v>7.6494174777589099E-6</v>
      </c>
      <c r="D9151" s="141"/>
    </row>
    <row r="9152" spans="1:4" x14ac:dyDescent="0.2">
      <c r="A9152" s="140" t="s">
        <v>9886</v>
      </c>
      <c r="B9152" s="141">
        <v>7.6450624793938701E-6</v>
      </c>
      <c r="D9152" s="141"/>
    </row>
    <row r="9153" spans="1:4" x14ac:dyDescent="0.2">
      <c r="A9153" s="140" t="s">
        <v>5199</v>
      </c>
      <c r="B9153" s="141">
        <v>7.6338505988721598E-6</v>
      </c>
      <c r="D9153" s="141"/>
    </row>
    <row r="9154" spans="1:4" x14ac:dyDescent="0.2">
      <c r="A9154" s="140" t="s">
        <v>9887</v>
      </c>
      <c r="B9154" s="141">
        <v>7.6100842997547802E-6</v>
      </c>
      <c r="D9154" s="141"/>
    </row>
    <row r="9155" spans="1:4" x14ac:dyDescent="0.2">
      <c r="A9155" s="140" t="s">
        <v>5498</v>
      </c>
      <c r="B9155" s="141">
        <v>7.57541306640343E-6</v>
      </c>
      <c r="D9155" s="141"/>
    </row>
    <row r="9156" spans="1:4" x14ac:dyDescent="0.2">
      <c r="A9156" s="140" t="s">
        <v>9888</v>
      </c>
      <c r="B9156" s="141">
        <v>7.5406429638971997E-6</v>
      </c>
      <c r="D9156" s="141"/>
    </row>
    <row r="9157" spans="1:4" x14ac:dyDescent="0.2">
      <c r="A9157" s="140" t="s">
        <v>6244</v>
      </c>
      <c r="B9157" s="141">
        <v>7.5370281771950802E-6</v>
      </c>
      <c r="D9157" s="141"/>
    </row>
    <row r="9158" spans="1:4" x14ac:dyDescent="0.2">
      <c r="A9158" s="140" t="s">
        <v>6219</v>
      </c>
      <c r="B9158" s="141">
        <v>7.5364942706714502E-6</v>
      </c>
      <c r="D9158" s="141"/>
    </row>
    <row r="9159" spans="1:4" x14ac:dyDescent="0.2">
      <c r="A9159" s="140" t="s">
        <v>5631</v>
      </c>
      <c r="B9159" s="141">
        <v>7.52986998274064E-6</v>
      </c>
      <c r="D9159" s="141"/>
    </row>
    <row r="9160" spans="1:4" x14ac:dyDescent="0.2">
      <c r="A9160" s="140" t="s">
        <v>9889</v>
      </c>
      <c r="B9160" s="141">
        <v>7.5107648352976497E-6</v>
      </c>
      <c r="D9160" s="141"/>
    </row>
    <row r="9161" spans="1:4" x14ac:dyDescent="0.2">
      <c r="A9161" s="140" t="s">
        <v>2355</v>
      </c>
      <c r="B9161" s="141">
        <v>7.5050036593945903E-6</v>
      </c>
      <c r="D9161" s="141"/>
    </row>
    <row r="9162" spans="1:4" x14ac:dyDescent="0.2">
      <c r="A9162" s="140" t="s">
        <v>1581</v>
      </c>
      <c r="B9162" s="141">
        <v>7.4442437821470403E-6</v>
      </c>
      <c r="D9162" s="141"/>
    </row>
    <row r="9163" spans="1:4" x14ac:dyDescent="0.2">
      <c r="A9163" s="140" t="s">
        <v>9890</v>
      </c>
      <c r="B9163" s="141">
        <v>7.4329920843788604E-6</v>
      </c>
      <c r="D9163" s="141"/>
    </row>
    <row r="9164" spans="1:4" x14ac:dyDescent="0.2">
      <c r="A9164" s="140" t="s">
        <v>872</v>
      </c>
      <c r="B9164" s="141">
        <v>7.42628357598567E-6</v>
      </c>
      <c r="D9164" s="141"/>
    </row>
    <row r="9165" spans="1:4" x14ac:dyDescent="0.2">
      <c r="A9165" s="140" t="s">
        <v>9891</v>
      </c>
      <c r="B9165" s="141">
        <v>7.3819129745993498E-6</v>
      </c>
      <c r="D9165" s="141"/>
    </row>
    <row r="9166" spans="1:4" x14ac:dyDescent="0.2">
      <c r="A9166" s="140" t="s">
        <v>9892</v>
      </c>
      <c r="B9166" s="141">
        <v>7.3747103909621901E-6</v>
      </c>
      <c r="D9166" s="141"/>
    </row>
    <row r="9167" spans="1:4" x14ac:dyDescent="0.2">
      <c r="A9167" s="140" t="s">
        <v>833</v>
      </c>
      <c r="B9167" s="141">
        <v>7.3709344933973301E-6</v>
      </c>
      <c r="D9167" s="141"/>
    </row>
    <row r="9168" spans="1:4" x14ac:dyDescent="0.2">
      <c r="A9168" s="140" t="s">
        <v>1516</v>
      </c>
      <c r="B9168" s="141">
        <v>7.3531426362999903E-6</v>
      </c>
      <c r="D9168" s="141"/>
    </row>
    <row r="9169" spans="1:4" x14ac:dyDescent="0.2">
      <c r="A9169" s="140" t="s">
        <v>9893</v>
      </c>
      <c r="B9169" s="141">
        <v>7.3163705950795204E-6</v>
      </c>
      <c r="D9169" s="141"/>
    </row>
    <row r="9170" spans="1:4" x14ac:dyDescent="0.2">
      <c r="A9170" s="140" t="s">
        <v>965</v>
      </c>
      <c r="B9170" s="141">
        <v>7.3098768495887102E-6</v>
      </c>
      <c r="D9170" s="141"/>
    </row>
    <row r="9171" spans="1:4" x14ac:dyDescent="0.2">
      <c r="A9171" s="140" t="s">
        <v>843</v>
      </c>
      <c r="B9171" s="141">
        <v>7.2771999927060498E-6</v>
      </c>
      <c r="D9171" s="141"/>
    </row>
    <row r="9172" spans="1:4" x14ac:dyDescent="0.2">
      <c r="A9172" s="140" t="s">
        <v>6193</v>
      </c>
      <c r="B9172" s="141">
        <v>7.2721887947247301E-6</v>
      </c>
      <c r="D9172" s="141"/>
    </row>
    <row r="9173" spans="1:4" x14ac:dyDescent="0.2">
      <c r="A9173" s="140" t="s">
        <v>9894</v>
      </c>
      <c r="B9173" s="141">
        <v>7.2568088180572401E-6</v>
      </c>
      <c r="D9173" s="141"/>
    </row>
    <row r="9174" spans="1:4" x14ac:dyDescent="0.2">
      <c r="A9174" s="140" t="s">
        <v>5796</v>
      </c>
      <c r="B9174" s="141">
        <v>7.2159525026180697E-6</v>
      </c>
      <c r="D9174" s="141"/>
    </row>
    <row r="9175" spans="1:4" x14ac:dyDescent="0.2">
      <c r="A9175" s="140" t="s">
        <v>590</v>
      </c>
      <c r="B9175" s="141">
        <v>7.2073896083478301E-6</v>
      </c>
      <c r="D9175" s="141"/>
    </row>
    <row r="9176" spans="1:4" x14ac:dyDescent="0.2">
      <c r="A9176" s="140" t="s">
        <v>1501</v>
      </c>
      <c r="B9176" s="141">
        <v>7.1876624693303597E-6</v>
      </c>
      <c r="D9176" s="141"/>
    </row>
    <row r="9177" spans="1:4" x14ac:dyDescent="0.2">
      <c r="A9177" s="140" t="s">
        <v>9895</v>
      </c>
      <c r="B9177" s="141">
        <v>7.1839308946850002E-6</v>
      </c>
      <c r="D9177" s="141"/>
    </row>
    <row r="9178" spans="1:4" x14ac:dyDescent="0.2">
      <c r="A9178" s="140" t="s">
        <v>9896</v>
      </c>
      <c r="B9178" s="141">
        <v>7.1809819202177103E-6</v>
      </c>
      <c r="D9178" s="141"/>
    </row>
    <row r="9179" spans="1:4" x14ac:dyDescent="0.2">
      <c r="A9179" s="140" t="s">
        <v>1115</v>
      </c>
      <c r="B9179" s="141">
        <v>7.1561644938341301E-6</v>
      </c>
      <c r="D9179" s="141"/>
    </row>
    <row r="9180" spans="1:4" x14ac:dyDescent="0.2">
      <c r="A9180" s="140" t="s">
        <v>9897</v>
      </c>
      <c r="B9180" s="141">
        <v>7.15513087776372E-6</v>
      </c>
      <c r="D9180" s="141"/>
    </row>
    <row r="9181" spans="1:4" x14ac:dyDescent="0.2">
      <c r="A9181" s="140" t="s">
        <v>752</v>
      </c>
      <c r="B9181" s="141">
        <v>7.1201611409007002E-6</v>
      </c>
      <c r="D9181" s="141"/>
    </row>
    <row r="9182" spans="1:4" x14ac:dyDescent="0.2">
      <c r="A9182" s="140" t="s">
        <v>4442</v>
      </c>
      <c r="B9182" s="141">
        <v>7.1177744873543801E-6</v>
      </c>
      <c r="D9182" s="141"/>
    </row>
    <row r="9183" spans="1:4" x14ac:dyDescent="0.2">
      <c r="A9183" s="140" t="s">
        <v>1707</v>
      </c>
      <c r="B9183" s="141">
        <v>7.0542905775893896E-6</v>
      </c>
      <c r="D9183" s="141"/>
    </row>
    <row r="9184" spans="1:4" x14ac:dyDescent="0.2">
      <c r="A9184" s="140" t="s">
        <v>9898</v>
      </c>
      <c r="B9184" s="141">
        <v>7.0498067726238502E-6</v>
      </c>
      <c r="D9184" s="141"/>
    </row>
    <row r="9185" spans="1:4" x14ac:dyDescent="0.2">
      <c r="A9185" s="140" t="s">
        <v>820</v>
      </c>
      <c r="B9185" s="141">
        <v>7.0341932540080797E-6</v>
      </c>
      <c r="D9185" s="141"/>
    </row>
    <row r="9186" spans="1:4" x14ac:dyDescent="0.2">
      <c r="A9186" s="140" t="s">
        <v>536</v>
      </c>
      <c r="B9186" s="141">
        <v>7.0071609929918497E-6</v>
      </c>
      <c r="D9186" s="141"/>
    </row>
    <row r="9187" spans="1:4" x14ac:dyDescent="0.2">
      <c r="A9187" s="140" t="s">
        <v>9899</v>
      </c>
      <c r="B9187" s="141">
        <v>6.9937865525757404E-6</v>
      </c>
      <c r="D9187" s="141"/>
    </row>
    <row r="9188" spans="1:4" x14ac:dyDescent="0.2">
      <c r="A9188" s="140" t="s">
        <v>9900</v>
      </c>
      <c r="B9188" s="141">
        <v>6.9937865525757404E-6</v>
      </c>
      <c r="D9188" s="141"/>
    </row>
    <row r="9189" spans="1:4" x14ac:dyDescent="0.2">
      <c r="A9189" s="140" t="s">
        <v>3432</v>
      </c>
      <c r="B9189" s="141">
        <v>6.9785143393938303E-6</v>
      </c>
      <c r="D9189" s="141"/>
    </row>
    <row r="9190" spans="1:4" x14ac:dyDescent="0.2">
      <c r="A9190" s="140" t="s">
        <v>9901</v>
      </c>
      <c r="B9190" s="141">
        <v>6.9407159708042904E-6</v>
      </c>
      <c r="D9190" s="141"/>
    </row>
    <row r="9191" spans="1:4" x14ac:dyDescent="0.2">
      <c r="A9191" s="140" t="s">
        <v>9902</v>
      </c>
      <c r="B9191" s="141">
        <v>6.9407159708042904E-6</v>
      </c>
      <c r="D9191" s="141"/>
    </row>
    <row r="9192" spans="1:4" x14ac:dyDescent="0.2">
      <c r="A9192" s="140" t="s">
        <v>9903</v>
      </c>
      <c r="B9192" s="141">
        <v>6.93338952239749E-6</v>
      </c>
      <c r="D9192" s="141"/>
    </row>
    <row r="9193" spans="1:4" x14ac:dyDescent="0.2">
      <c r="A9193" s="140" t="s">
        <v>9904</v>
      </c>
      <c r="B9193" s="141">
        <v>6.8995900341939901E-6</v>
      </c>
      <c r="D9193" s="141"/>
    </row>
    <row r="9194" spans="1:4" x14ac:dyDescent="0.2">
      <c r="A9194" s="140" t="s">
        <v>357</v>
      </c>
      <c r="B9194" s="141">
        <v>6.8941843071922501E-6</v>
      </c>
      <c r="D9194" s="141"/>
    </row>
    <row r="9195" spans="1:4" x14ac:dyDescent="0.2">
      <c r="A9195" s="140" t="s">
        <v>9905</v>
      </c>
      <c r="B9195" s="141">
        <v>6.82020007762217E-6</v>
      </c>
      <c r="D9195" s="141"/>
    </row>
    <row r="9196" spans="1:4" x14ac:dyDescent="0.2">
      <c r="A9196" s="140" t="s">
        <v>9906</v>
      </c>
      <c r="B9196" s="141">
        <v>6.82020007762217E-6</v>
      </c>
      <c r="D9196" s="141"/>
    </row>
    <row r="9197" spans="1:4" x14ac:dyDescent="0.2">
      <c r="A9197" s="140" t="s">
        <v>9907</v>
      </c>
      <c r="B9197" s="141">
        <v>6.82020007762217E-6</v>
      </c>
      <c r="D9197" s="141"/>
    </row>
    <row r="9198" spans="1:4" x14ac:dyDescent="0.2">
      <c r="A9198" s="140" t="s">
        <v>855</v>
      </c>
      <c r="B9198" s="141">
        <v>6.8190581655092204E-6</v>
      </c>
      <c r="D9198" s="141"/>
    </row>
    <row r="9199" spans="1:4" x14ac:dyDescent="0.2">
      <c r="A9199" s="140" t="s">
        <v>1296</v>
      </c>
      <c r="B9199" s="141">
        <v>6.8144235038202504E-6</v>
      </c>
      <c r="D9199" s="141"/>
    </row>
    <row r="9200" spans="1:4" x14ac:dyDescent="0.2">
      <c r="A9200" s="140" t="s">
        <v>2374</v>
      </c>
      <c r="B9200" s="141">
        <v>6.8096221049534801E-6</v>
      </c>
      <c r="D9200" s="141"/>
    </row>
    <row r="9201" spans="1:4" x14ac:dyDescent="0.2">
      <c r="A9201" s="140" t="s">
        <v>5632</v>
      </c>
      <c r="B9201" s="141">
        <v>6.8082881449857904E-6</v>
      </c>
      <c r="D9201" s="141"/>
    </row>
    <row r="9202" spans="1:4" x14ac:dyDescent="0.2">
      <c r="A9202" s="140" t="s">
        <v>9908</v>
      </c>
      <c r="B9202" s="141">
        <v>6.8082881449857904E-6</v>
      </c>
      <c r="D9202" s="141"/>
    </row>
    <row r="9203" spans="1:4" x14ac:dyDescent="0.2">
      <c r="A9203" s="140" t="s">
        <v>9909</v>
      </c>
      <c r="B9203" s="141">
        <v>6.8082881449857904E-6</v>
      </c>
      <c r="D9203" s="141"/>
    </row>
    <row r="9204" spans="1:4" x14ac:dyDescent="0.2">
      <c r="A9204" s="140" t="s">
        <v>362</v>
      </c>
      <c r="B9204" s="141">
        <v>6.7956176855655396E-6</v>
      </c>
      <c r="D9204" s="141"/>
    </row>
    <row r="9205" spans="1:4" x14ac:dyDescent="0.2">
      <c r="A9205" s="140" t="s">
        <v>3065</v>
      </c>
      <c r="B9205" s="141">
        <v>6.7428674868662304E-6</v>
      </c>
      <c r="D9205" s="141"/>
    </row>
    <row r="9206" spans="1:4" x14ac:dyDescent="0.2">
      <c r="A9206" s="140" t="s">
        <v>585</v>
      </c>
      <c r="B9206" s="141">
        <v>6.7372592207941897E-6</v>
      </c>
      <c r="D9206" s="141"/>
    </row>
    <row r="9207" spans="1:4" x14ac:dyDescent="0.2">
      <c r="A9207" s="140" t="s">
        <v>5175</v>
      </c>
      <c r="B9207" s="141">
        <v>6.71434411581973E-6</v>
      </c>
      <c r="D9207" s="141"/>
    </row>
    <row r="9208" spans="1:4" x14ac:dyDescent="0.2">
      <c r="A9208" s="140" t="s">
        <v>9910</v>
      </c>
      <c r="B9208" s="141">
        <v>6.7107934883106098E-6</v>
      </c>
      <c r="D9208" s="141"/>
    </row>
    <row r="9209" spans="1:4" x14ac:dyDescent="0.2">
      <c r="A9209" s="140" t="s">
        <v>9911</v>
      </c>
      <c r="B9209" s="141">
        <v>6.6857402484131603E-6</v>
      </c>
      <c r="D9209" s="141"/>
    </row>
    <row r="9210" spans="1:4" x14ac:dyDescent="0.2">
      <c r="A9210" s="140" t="s">
        <v>827</v>
      </c>
      <c r="B9210" s="141">
        <v>6.68431666415813E-6</v>
      </c>
      <c r="D9210" s="141"/>
    </row>
    <row r="9211" spans="1:4" x14ac:dyDescent="0.2">
      <c r="A9211" s="140" t="s">
        <v>743</v>
      </c>
      <c r="B9211" s="141">
        <v>6.6723319765602297E-6</v>
      </c>
      <c r="D9211" s="141"/>
    </row>
    <row r="9212" spans="1:4" x14ac:dyDescent="0.2">
      <c r="A9212" s="140" t="s">
        <v>9912</v>
      </c>
      <c r="B9212" s="141">
        <v>6.6559907150248204E-6</v>
      </c>
      <c r="D9212" s="141"/>
    </row>
    <row r="9213" spans="1:4" x14ac:dyDescent="0.2">
      <c r="A9213" s="140" t="s">
        <v>6110</v>
      </c>
      <c r="B9213" s="141">
        <v>6.6517938992218299E-6</v>
      </c>
      <c r="D9213" s="141"/>
    </row>
    <row r="9214" spans="1:4" x14ac:dyDescent="0.2">
      <c r="A9214" s="140" t="s">
        <v>1322</v>
      </c>
      <c r="B9214" s="141">
        <v>6.6482245554836596E-6</v>
      </c>
      <c r="D9214" s="141"/>
    </row>
    <row r="9215" spans="1:4" x14ac:dyDescent="0.2">
      <c r="A9215" s="140" t="s">
        <v>9913</v>
      </c>
      <c r="B9215" s="141">
        <v>6.63371835637815E-6</v>
      </c>
      <c r="D9215" s="141"/>
    </row>
    <row r="9216" spans="1:4" x14ac:dyDescent="0.2">
      <c r="A9216" s="140" t="s">
        <v>9914</v>
      </c>
      <c r="B9216" s="141">
        <v>6.6322416393023702E-6</v>
      </c>
      <c r="D9216" s="141"/>
    </row>
    <row r="9217" spans="1:4" x14ac:dyDescent="0.2">
      <c r="A9217" s="140" t="s">
        <v>9915</v>
      </c>
      <c r="B9217" s="141">
        <v>6.6290314510440697E-6</v>
      </c>
      <c r="D9217" s="141"/>
    </row>
    <row r="9218" spans="1:4" x14ac:dyDescent="0.2">
      <c r="A9218" s="140" t="s">
        <v>9916</v>
      </c>
      <c r="B9218" s="141">
        <v>6.5964264412565203E-6</v>
      </c>
      <c r="D9218" s="141"/>
    </row>
    <row r="9219" spans="1:4" x14ac:dyDescent="0.2">
      <c r="A9219" s="140" t="s">
        <v>3668</v>
      </c>
      <c r="B9219" s="141">
        <v>6.59604272584943E-6</v>
      </c>
      <c r="D9219" s="141"/>
    </row>
    <row r="9220" spans="1:4" x14ac:dyDescent="0.2">
      <c r="A9220" s="140" t="s">
        <v>9917</v>
      </c>
      <c r="B9220" s="141">
        <v>6.5907197077591997E-6</v>
      </c>
      <c r="D9220" s="141"/>
    </row>
    <row r="9221" spans="1:4" x14ac:dyDescent="0.2">
      <c r="A9221" s="140" t="s">
        <v>9918</v>
      </c>
      <c r="B9221" s="141">
        <v>6.5785739261312999E-6</v>
      </c>
      <c r="D9221" s="141"/>
    </row>
    <row r="9222" spans="1:4" x14ac:dyDescent="0.2">
      <c r="A9222" s="140" t="s">
        <v>9919</v>
      </c>
      <c r="B9222" s="141">
        <v>6.5785739261312999E-6</v>
      </c>
      <c r="D9222" s="141"/>
    </row>
    <row r="9223" spans="1:4" x14ac:dyDescent="0.2">
      <c r="A9223" s="140" t="s">
        <v>9920</v>
      </c>
      <c r="B9223" s="141">
        <v>6.5785739261312999E-6</v>
      </c>
      <c r="D9223" s="141"/>
    </row>
    <row r="9224" spans="1:4" x14ac:dyDescent="0.2">
      <c r="A9224" s="140" t="s">
        <v>9921</v>
      </c>
      <c r="B9224" s="141">
        <v>6.5248431802401297E-6</v>
      </c>
      <c r="D9224" s="141"/>
    </row>
    <row r="9225" spans="1:4" x14ac:dyDescent="0.2">
      <c r="A9225" s="140" t="s">
        <v>9922</v>
      </c>
      <c r="B9225" s="141">
        <v>6.5170205969815903E-6</v>
      </c>
      <c r="D9225" s="141"/>
    </row>
    <row r="9226" spans="1:4" x14ac:dyDescent="0.2">
      <c r="A9226" s="140" t="s">
        <v>6075</v>
      </c>
      <c r="B9226" s="141">
        <v>6.4951659902796502E-6</v>
      </c>
      <c r="D9226" s="141"/>
    </row>
    <row r="9227" spans="1:4" x14ac:dyDescent="0.2">
      <c r="A9227" s="140" t="s">
        <v>5600</v>
      </c>
      <c r="B9227" s="141">
        <v>6.4951659902796502E-6</v>
      </c>
      <c r="D9227" s="141"/>
    </row>
    <row r="9228" spans="1:4" x14ac:dyDescent="0.2">
      <c r="A9228" s="140" t="s">
        <v>9923</v>
      </c>
      <c r="B9228" s="141">
        <v>6.4951659902796502E-6</v>
      </c>
      <c r="D9228" s="141"/>
    </row>
    <row r="9229" spans="1:4" x14ac:dyDescent="0.2">
      <c r="A9229" s="140" t="s">
        <v>756</v>
      </c>
      <c r="B9229" s="141">
        <v>6.4742047780809399E-6</v>
      </c>
      <c r="D9229" s="141"/>
    </row>
    <row r="9230" spans="1:4" x14ac:dyDescent="0.2">
      <c r="A9230" s="140" t="s">
        <v>9924</v>
      </c>
      <c r="B9230" s="141">
        <v>6.3384009573983199E-6</v>
      </c>
      <c r="D9230" s="141"/>
    </row>
    <row r="9231" spans="1:4" x14ac:dyDescent="0.2">
      <c r="A9231" s="140" t="s">
        <v>927</v>
      </c>
      <c r="B9231" s="141">
        <v>6.3079799765012002E-6</v>
      </c>
      <c r="D9231" s="141"/>
    </row>
    <row r="9232" spans="1:4" x14ac:dyDescent="0.2">
      <c r="A9232" s="140" t="s">
        <v>993</v>
      </c>
      <c r="B9232" s="141">
        <v>6.3036075882989798E-6</v>
      </c>
      <c r="D9232" s="141"/>
    </row>
    <row r="9233" spans="1:4" x14ac:dyDescent="0.2">
      <c r="A9233" s="140" t="s">
        <v>5822</v>
      </c>
      <c r="B9233" s="141">
        <v>6.2697371036418899E-6</v>
      </c>
      <c r="D9233" s="141"/>
    </row>
    <row r="9234" spans="1:4" x14ac:dyDescent="0.2">
      <c r="A9234" s="140" t="s">
        <v>835</v>
      </c>
      <c r="B9234" s="141">
        <v>6.2263525964568699E-6</v>
      </c>
      <c r="D9234" s="141"/>
    </row>
    <row r="9235" spans="1:4" x14ac:dyDescent="0.2">
      <c r="A9235" s="140" t="s">
        <v>9925</v>
      </c>
      <c r="B9235" s="141">
        <v>6.1682358006798497E-6</v>
      </c>
      <c r="D9235" s="141"/>
    </row>
    <row r="9236" spans="1:4" x14ac:dyDescent="0.2">
      <c r="A9236" s="140" t="s">
        <v>9926</v>
      </c>
      <c r="B9236" s="141">
        <v>6.1380073003706897E-6</v>
      </c>
      <c r="D9236" s="141"/>
    </row>
    <row r="9237" spans="1:4" x14ac:dyDescent="0.2">
      <c r="A9237" s="140" t="s">
        <v>572</v>
      </c>
      <c r="B9237" s="141">
        <v>6.1044748542183001E-6</v>
      </c>
      <c r="D9237" s="141"/>
    </row>
    <row r="9238" spans="1:4" x14ac:dyDescent="0.2">
      <c r="A9238" s="140" t="s">
        <v>9927</v>
      </c>
      <c r="B9238" s="141">
        <v>6.1041834949086499E-6</v>
      </c>
      <c r="D9238" s="141"/>
    </row>
    <row r="9239" spans="1:4" x14ac:dyDescent="0.2">
      <c r="A9239" s="140" t="s">
        <v>9928</v>
      </c>
      <c r="B9239" s="141">
        <v>6.09188929133226E-6</v>
      </c>
      <c r="D9239" s="141"/>
    </row>
    <row r="9240" spans="1:4" x14ac:dyDescent="0.2">
      <c r="A9240" s="140" t="s">
        <v>999</v>
      </c>
      <c r="B9240" s="141">
        <v>6.0832682058932102E-6</v>
      </c>
      <c r="D9240" s="141"/>
    </row>
    <row r="9241" spans="1:4" x14ac:dyDescent="0.2">
      <c r="A9241" s="140" t="s">
        <v>9929</v>
      </c>
      <c r="B9241" s="141">
        <v>6.0635455948862604E-6</v>
      </c>
      <c r="D9241" s="141"/>
    </row>
    <row r="9242" spans="1:4" x14ac:dyDescent="0.2">
      <c r="A9242" s="140" t="s">
        <v>9930</v>
      </c>
      <c r="B9242" s="141">
        <v>6.04512045492884E-6</v>
      </c>
      <c r="D9242" s="141"/>
    </row>
    <row r="9243" spans="1:4" x14ac:dyDescent="0.2">
      <c r="A9243" s="140" t="s">
        <v>9931</v>
      </c>
      <c r="B9243" s="141">
        <v>6.0244447587305001E-6</v>
      </c>
      <c r="D9243" s="141"/>
    </row>
    <row r="9244" spans="1:4" x14ac:dyDescent="0.2">
      <c r="A9244" s="140" t="s">
        <v>6215</v>
      </c>
      <c r="B9244" s="141">
        <v>6.0193036113285198E-6</v>
      </c>
      <c r="D9244" s="141"/>
    </row>
    <row r="9245" spans="1:4" x14ac:dyDescent="0.2">
      <c r="A9245" s="140" t="s">
        <v>1709</v>
      </c>
      <c r="B9245" s="141">
        <v>6.0082420678317403E-6</v>
      </c>
      <c r="D9245" s="141"/>
    </row>
    <row r="9246" spans="1:4" x14ac:dyDescent="0.2">
      <c r="A9246" s="140" t="s">
        <v>928</v>
      </c>
      <c r="B9246" s="141">
        <v>5.9398073371504298E-6</v>
      </c>
      <c r="D9246" s="141"/>
    </row>
    <row r="9247" spans="1:4" x14ac:dyDescent="0.2">
      <c r="A9247" s="140" t="s">
        <v>703</v>
      </c>
      <c r="B9247" s="141">
        <v>5.9324916151828601E-6</v>
      </c>
      <c r="D9247" s="141"/>
    </row>
    <row r="9248" spans="1:4" x14ac:dyDescent="0.2">
      <c r="A9248" s="140" t="s">
        <v>4451</v>
      </c>
      <c r="B9248" s="141">
        <v>5.9269275685845696E-6</v>
      </c>
      <c r="D9248" s="141"/>
    </row>
    <row r="9249" spans="1:4" x14ac:dyDescent="0.2">
      <c r="A9249" s="140" t="s">
        <v>9932</v>
      </c>
      <c r="B9249" s="141">
        <v>5.9148221822125797E-6</v>
      </c>
      <c r="D9249" s="141"/>
    </row>
    <row r="9250" spans="1:4" x14ac:dyDescent="0.2">
      <c r="A9250" s="140" t="s">
        <v>9933</v>
      </c>
      <c r="B9250" s="141">
        <v>5.86104854244803E-6</v>
      </c>
      <c r="D9250" s="141"/>
    </row>
    <row r="9251" spans="1:4" x14ac:dyDescent="0.2">
      <c r="A9251" s="140" t="s">
        <v>5126</v>
      </c>
      <c r="B9251" s="141">
        <v>5.8167780876879701E-6</v>
      </c>
      <c r="D9251" s="141"/>
    </row>
    <row r="9252" spans="1:4" x14ac:dyDescent="0.2">
      <c r="A9252" s="140" t="s">
        <v>6340</v>
      </c>
      <c r="B9252" s="141">
        <v>5.7986730818324802E-6</v>
      </c>
      <c r="D9252" s="141"/>
    </row>
    <row r="9253" spans="1:4" x14ac:dyDescent="0.2">
      <c r="A9253" s="140" t="s">
        <v>6211</v>
      </c>
      <c r="B9253" s="141">
        <v>5.7543383553473797E-6</v>
      </c>
      <c r="D9253" s="141"/>
    </row>
    <row r="9254" spans="1:4" x14ac:dyDescent="0.2">
      <c r="A9254" s="140" t="s">
        <v>9934</v>
      </c>
      <c r="B9254" s="141">
        <v>5.7251391456945302E-6</v>
      </c>
      <c r="D9254" s="141"/>
    </row>
    <row r="9255" spans="1:4" x14ac:dyDescent="0.2">
      <c r="A9255" s="140" t="s">
        <v>474</v>
      </c>
      <c r="B9255" s="141">
        <v>5.6756622309822001E-6</v>
      </c>
      <c r="D9255" s="141"/>
    </row>
    <row r="9256" spans="1:4" x14ac:dyDescent="0.2">
      <c r="A9256" s="140" t="s">
        <v>539</v>
      </c>
      <c r="B9256" s="141">
        <v>5.6705320577978702E-6</v>
      </c>
      <c r="D9256" s="141"/>
    </row>
    <row r="9257" spans="1:4" x14ac:dyDescent="0.2">
      <c r="A9257" s="140" t="s">
        <v>946</v>
      </c>
      <c r="B9257" s="141">
        <v>5.6092255374959499E-6</v>
      </c>
      <c r="D9257" s="141"/>
    </row>
    <row r="9258" spans="1:4" x14ac:dyDescent="0.2">
      <c r="A9258" s="140" t="s">
        <v>9935</v>
      </c>
      <c r="B9258" s="141">
        <v>5.5950485957747997E-6</v>
      </c>
      <c r="D9258" s="141"/>
    </row>
    <row r="9259" spans="1:4" x14ac:dyDescent="0.2">
      <c r="A9259" s="140" t="s">
        <v>2002</v>
      </c>
      <c r="B9259" s="141">
        <v>5.5507800519515501E-6</v>
      </c>
      <c r="D9259" s="141"/>
    </row>
    <row r="9260" spans="1:4" x14ac:dyDescent="0.2">
      <c r="A9260" s="140" t="s">
        <v>9936</v>
      </c>
      <c r="B9260" s="141">
        <v>5.5415560237435499E-6</v>
      </c>
      <c r="D9260" s="141"/>
    </row>
    <row r="9261" spans="1:4" x14ac:dyDescent="0.2">
      <c r="A9261" s="140" t="s">
        <v>9937</v>
      </c>
      <c r="B9261" s="141">
        <v>5.5404322805229104E-6</v>
      </c>
      <c r="D9261" s="141"/>
    </row>
    <row r="9262" spans="1:4" x14ac:dyDescent="0.2">
      <c r="A9262" s="140" t="s">
        <v>9938</v>
      </c>
      <c r="B9262" s="141">
        <v>5.50288380763243E-6</v>
      </c>
      <c r="D9262" s="141"/>
    </row>
    <row r="9263" spans="1:4" x14ac:dyDescent="0.2">
      <c r="A9263" s="140" t="s">
        <v>9939</v>
      </c>
      <c r="B9263" s="141">
        <v>5.49744550477235E-6</v>
      </c>
      <c r="D9263" s="141"/>
    </row>
    <row r="9264" spans="1:4" x14ac:dyDescent="0.2">
      <c r="A9264" s="140" t="s">
        <v>3239</v>
      </c>
      <c r="B9264" s="141">
        <v>5.49744550477235E-6</v>
      </c>
      <c r="D9264" s="141"/>
    </row>
    <row r="9265" spans="1:4" x14ac:dyDescent="0.2">
      <c r="A9265" s="140" t="s">
        <v>1278</v>
      </c>
      <c r="B9265" s="141">
        <v>5.42862577447126E-6</v>
      </c>
      <c r="D9265" s="141"/>
    </row>
    <row r="9266" spans="1:4" x14ac:dyDescent="0.2">
      <c r="A9266" s="140" t="s">
        <v>9940</v>
      </c>
      <c r="B9266" s="141">
        <v>5.3942181413648497E-6</v>
      </c>
      <c r="D9266" s="141"/>
    </row>
    <row r="9267" spans="1:4" x14ac:dyDescent="0.2">
      <c r="A9267" s="140" t="s">
        <v>660</v>
      </c>
      <c r="B9267" s="141">
        <v>5.3869555217633903E-6</v>
      </c>
      <c r="D9267" s="141"/>
    </row>
    <row r="9268" spans="1:4" x14ac:dyDescent="0.2">
      <c r="A9268" s="140" t="s">
        <v>736</v>
      </c>
      <c r="B9268" s="141">
        <v>5.3490755721175598E-6</v>
      </c>
      <c r="D9268" s="141"/>
    </row>
    <row r="9269" spans="1:4" x14ac:dyDescent="0.2">
      <c r="A9269" s="140" t="s">
        <v>840</v>
      </c>
      <c r="B9269" s="141">
        <v>5.3477021377280401E-6</v>
      </c>
      <c r="D9269" s="141"/>
    </row>
    <row r="9270" spans="1:4" x14ac:dyDescent="0.2">
      <c r="A9270" s="140" t="s">
        <v>9941</v>
      </c>
      <c r="B9270" s="141">
        <v>5.3417452436455703E-6</v>
      </c>
      <c r="D9270" s="141"/>
    </row>
    <row r="9271" spans="1:4" x14ac:dyDescent="0.2">
      <c r="A9271" s="140" t="s">
        <v>9942</v>
      </c>
      <c r="B9271" s="141">
        <v>5.2705075354344903E-6</v>
      </c>
      <c r="D9271" s="141"/>
    </row>
    <row r="9272" spans="1:4" x14ac:dyDescent="0.2">
      <c r="A9272" s="140" t="s">
        <v>4421</v>
      </c>
      <c r="B9272" s="141">
        <v>5.2586667613853502E-6</v>
      </c>
      <c r="D9272" s="141"/>
    </row>
    <row r="9273" spans="1:4" x14ac:dyDescent="0.2">
      <c r="A9273" s="140" t="s">
        <v>9943</v>
      </c>
      <c r="B9273" s="141">
        <v>5.2577840664618196E-6</v>
      </c>
      <c r="D9273" s="141"/>
    </row>
    <row r="9274" spans="1:4" x14ac:dyDescent="0.2">
      <c r="A9274" s="140" t="s">
        <v>9944</v>
      </c>
      <c r="B9274" s="141">
        <v>5.2438243693045501E-6</v>
      </c>
      <c r="D9274" s="141"/>
    </row>
    <row r="9275" spans="1:4" x14ac:dyDescent="0.2">
      <c r="A9275" s="140" t="s">
        <v>5625</v>
      </c>
      <c r="B9275" s="141">
        <v>5.2368736018457599E-6</v>
      </c>
      <c r="D9275" s="141"/>
    </row>
    <row r="9276" spans="1:4" x14ac:dyDescent="0.2">
      <c r="A9276" s="140" t="s">
        <v>5046</v>
      </c>
      <c r="B9276" s="141">
        <v>5.2368736018457599E-6</v>
      </c>
      <c r="D9276" s="141"/>
    </row>
    <row r="9277" spans="1:4" x14ac:dyDescent="0.2">
      <c r="A9277" s="140" t="s">
        <v>819</v>
      </c>
      <c r="B9277" s="141">
        <v>5.20002031044659E-6</v>
      </c>
      <c r="D9277" s="141"/>
    </row>
    <row r="9278" spans="1:4" x14ac:dyDescent="0.2">
      <c r="A9278" s="140" t="s">
        <v>493</v>
      </c>
      <c r="B9278" s="141">
        <v>5.1939113333857903E-6</v>
      </c>
      <c r="D9278" s="141"/>
    </row>
    <row r="9279" spans="1:4" x14ac:dyDescent="0.2">
      <c r="A9279" s="140" t="s">
        <v>9945</v>
      </c>
      <c r="B9279" s="141">
        <v>5.1749806014882398E-6</v>
      </c>
      <c r="D9279" s="141"/>
    </row>
    <row r="9280" spans="1:4" x14ac:dyDescent="0.2">
      <c r="A9280" s="140" t="s">
        <v>2410</v>
      </c>
      <c r="B9280" s="141">
        <v>5.15565739829733E-6</v>
      </c>
      <c r="D9280" s="141"/>
    </row>
    <row r="9281" spans="1:4" x14ac:dyDescent="0.2">
      <c r="A9281" s="140" t="s">
        <v>9946</v>
      </c>
      <c r="B9281" s="141">
        <v>5.1546781501106196E-6</v>
      </c>
      <c r="D9281" s="141"/>
    </row>
    <row r="9282" spans="1:4" x14ac:dyDescent="0.2">
      <c r="A9282" s="140" t="s">
        <v>1475</v>
      </c>
      <c r="B9282" s="141">
        <v>5.1343429557012799E-6</v>
      </c>
      <c r="D9282" s="141"/>
    </row>
    <row r="9283" spans="1:4" x14ac:dyDescent="0.2">
      <c r="A9283" s="140" t="s">
        <v>5802</v>
      </c>
      <c r="B9283" s="141">
        <v>5.0908988622642702E-6</v>
      </c>
      <c r="D9283" s="141"/>
    </row>
    <row r="9284" spans="1:4" x14ac:dyDescent="0.2">
      <c r="A9284" s="140" t="s">
        <v>9947</v>
      </c>
      <c r="B9284" s="141">
        <v>5.05904050258192E-6</v>
      </c>
      <c r="D9284" s="141"/>
    </row>
    <row r="9285" spans="1:4" x14ac:dyDescent="0.2">
      <c r="A9285" s="140" t="s">
        <v>9948</v>
      </c>
      <c r="B9285" s="141">
        <v>5.0530710819983803E-6</v>
      </c>
      <c r="D9285" s="141"/>
    </row>
    <row r="9286" spans="1:4" x14ac:dyDescent="0.2">
      <c r="A9286" s="140" t="s">
        <v>9949</v>
      </c>
      <c r="B9286" s="141">
        <v>4.9862515259353203E-6</v>
      </c>
      <c r="D9286" s="141"/>
    </row>
    <row r="9287" spans="1:4" x14ac:dyDescent="0.2">
      <c r="A9287" s="140" t="s">
        <v>9950</v>
      </c>
      <c r="B9287" s="141">
        <v>4.9682389722092303E-6</v>
      </c>
      <c r="D9287" s="141"/>
    </row>
    <row r="9288" spans="1:4" x14ac:dyDescent="0.2">
      <c r="A9288" s="140" t="s">
        <v>1420</v>
      </c>
      <c r="B9288" s="141">
        <v>4.9615720960053199E-6</v>
      </c>
      <c r="D9288" s="141"/>
    </row>
    <row r="9289" spans="1:4" x14ac:dyDescent="0.2">
      <c r="A9289" s="140" t="s">
        <v>9951</v>
      </c>
      <c r="B9289" s="141">
        <v>4.9206715077455197E-6</v>
      </c>
      <c r="D9289" s="141"/>
    </row>
    <row r="9290" spans="1:4" x14ac:dyDescent="0.2">
      <c r="A9290" s="140" t="s">
        <v>5470</v>
      </c>
      <c r="B9290" s="141">
        <v>4.9206715077455197E-6</v>
      </c>
      <c r="D9290" s="141"/>
    </row>
    <row r="9291" spans="1:4" x14ac:dyDescent="0.2">
      <c r="A9291" s="140" t="s">
        <v>875</v>
      </c>
      <c r="B9291" s="141">
        <v>4.9117885583618503E-6</v>
      </c>
      <c r="D9291" s="141"/>
    </row>
    <row r="9292" spans="1:4" x14ac:dyDescent="0.2">
      <c r="A9292" s="140" t="s">
        <v>9952</v>
      </c>
      <c r="B9292" s="141">
        <v>4.8869627946455902E-6</v>
      </c>
      <c r="D9292" s="141"/>
    </row>
    <row r="9293" spans="1:4" x14ac:dyDescent="0.2">
      <c r="A9293" s="140" t="s">
        <v>9953</v>
      </c>
      <c r="B9293" s="141">
        <v>4.8869627946455902E-6</v>
      </c>
      <c r="D9293" s="141"/>
    </row>
    <row r="9294" spans="1:4" x14ac:dyDescent="0.2">
      <c r="A9294" s="140" t="s">
        <v>9954</v>
      </c>
      <c r="B9294" s="141">
        <v>4.8869627946455902E-6</v>
      </c>
      <c r="D9294" s="141"/>
    </row>
    <row r="9295" spans="1:4" x14ac:dyDescent="0.2">
      <c r="A9295" s="140" t="s">
        <v>9955</v>
      </c>
      <c r="B9295" s="141">
        <v>4.8863795761997803E-6</v>
      </c>
      <c r="D9295" s="141"/>
    </row>
    <row r="9296" spans="1:4" x14ac:dyDescent="0.2">
      <c r="A9296" s="140" t="s">
        <v>6180</v>
      </c>
      <c r="B9296" s="141">
        <v>4.8827546685737297E-6</v>
      </c>
      <c r="D9296" s="141"/>
    </row>
    <row r="9297" spans="1:4" x14ac:dyDescent="0.2">
      <c r="A9297" s="140" t="s">
        <v>5610</v>
      </c>
      <c r="B9297" s="141">
        <v>4.8389948696649798E-6</v>
      </c>
      <c r="D9297" s="141"/>
    </row>
    <row r="9298" spans="1:4" x14ac:dyDescent="0.2">
      <c r="A9298" s="140" t="s">
        <v>9956</v>
      </c>
      <c r="B9298" s="141">
        <v>4.83533072514728E-6</v>
      </c>
      <c r="D9298" s="141"/>
    </row>
    <row r="9299" spans="1:4" x14ac:dyDescent="0.2">
      <c r="A9299" s="140" t="s">
        <v>5781</v>
      </c>
      <c r="B9299" s="141">
        <v>4.8338893830661699E-6</v>
      </c>
      <c r="D9299" s="141"/>
    </row>
    <row r="9300" spans="1:4" x14ac:dyDescent="0.2">
      <c r="A9300" s="140" t="s">
        <v>997</v>
      </c>
      <c r="B9300" s="141">
        <v>4.8196670836730396E-6</v>
      </c>
      <c r="D9300" s="141"/>
    </row>
    <row r="9301" spans="1:4" x14ac:dyDescent="0.2">
      <c r="A9301" s="140" t="s">
        <v>5629</v>
      </c>
      <c r="B9301" s="141">
        <v>4.8036494045662001E-6</v>
      </c>
      <c r="D9301" s="141"/>
    </row>
    <row r="9302" spans="1:4" x14ac:dyDescent="0.2">
      <c r="A9302" s="140" t="s">
        <v>6218</v>
      </c>
      <c r="B9302" s="141">
        <v>4.8036315277041399E-6</v>
      </c>
      <c r="D9302" s="141"/>
    </row>
    <row r="9303" spans="1:4" x14ac:dyDescent="0.2">
      <c r="A9303" s="140" t="s">
        <v>4277</v>
      </c>
      <c r="B9303" s="141">
        <v>4.7850739990071502E-6</v>
      </c>
      <c r="D9303" s="141"/>
    </row>
    <row r="9304" spans="1:4" x14ac:dyDescent="0.2">
      <c r="A9304" s="140" t="s">
        <v>3383</v>
      </c>
      <c r="B9304" s="141">
        <v>4.7781424934501996E-6</v>
      </c>
      <c r="D9304" s="141"/>
    </row>
    <row r="9305" spans="1:4" x14ac:dyDescent="0.2">
      <c r="A9305" s="140" t="s">
        <v>4423</v>
      </c>
      <c r="B9305" s="141">
        <v>4.7622964964613697E-6</v>
      </c>
      <c r="D9305" s="141"/>
    </row>
    <row r="9306" spans="1:4" x14ac:dyDescent="0.2">
      <c r="A9306" s="140" t="s">
        <v>9957</v>
      </c>
      <c r="B9306" s="141">
        <v>4.7546045673390702E-6</v>
      </c>
      <c r="D9306" s="141"/>
    </row>
    <row r="9307" spans="1:4" x14ac:dyDescent="0.2">
      <c r="A9307" s="140" t="s">
        <v>9958</v>
      </c>
      <c r="B9307" s="141">
        <v>4.7546045673390702E-6</v>
      </c>
      <c r="D9307" s="141"/>
    </row>
    <row r="9308" spans="1:4" x14ac:dyDescent="0.2">
      <c r="A9308" s="140" t="s">
        <v>4417</v>
      </c>
      <c r="B9308" s="141">
        <v>4.7500413930281503E-6</v>
      </c>
      <c r="D9308" s="141"/>
    </row>
    <row r="9309" spans="1:4" x14ac:dyDescent="0.2">
      <c r="A9309" s="140" t="s">
        <v>9959</v>
      </c>
      <c r="B9309" s="141">
        <v>4.7279318500656199E-6</v>
      </c>
      <c r="D9309" s="141"/>
    </row>
    <row r="9310" spans="1:4" x14ac:dyDescent="0.2">
      <c r="A9310" s="140" t="s">
        <v>2019</v>
      </c>
      <c r="B9310" s="141">
        <v>4.6929569025385498E-6</v>
      </c>
      <c r="D9310" s="141"/>
    </row>
    <row r="9311" spans="1:4" x14ac:dyDescent="0.2">
      <c r="A9311" s="140" t="s">
        <v>4075</v>
      </c>
      <c r="B9311" s="141">
        <v>4.6763636945486E-6</v>
      </c>
      <c r="D9311" s="141"/>
    </row>
    <row r="9312" spans="1:4" x14ac:dyDescent="0.2">
      <c r="A9312" s="140" t="s">
        <v>9960</v>
      </c>
      <c r="B9312" s="141">
        <v>4.6532111368666997E-6</v>
      </c>
      <c r="D9312" s="141"/>
    </row>
    <row r="9313" spans="1:4" x14ac:dyDescent="0.2">
      <c r="A9313" s="140" t="s">
        <v>461</v>
      </c>
      <c r="B9313" s="141">
        <v>4.6294445810358802E-6</v>
      </c>
      <c r="D9313" s="141"/>
    </row>
    <row r="9314" spans="1:4" x14ac:dyDescent="0.2">
      <c r="A9314" s="140" t="s">
        <v>521</v>
      </c>
      <c r="B9314" s="141">
        <v>4.61879501942273E-6</v>
      </c>
      <c r="D9314" s="141"/>
    </row>
    <row r="9315" spans="1:4" x14ac:dyDescent="0.2">
      <c r="A9315" s="140" t="s">
        <v>1065</v>
      </c>
      <c r="B9315" s="141">
        <v>4.6126748062038802E-6</v>
      </c>
      <c r="D9315" s="141"/>
    </row>
    <row r="9316" spans="1:4" x14ac:dyDescent="0.2">
      <c r="A9316" s="140" t="s">
        <v>9961</v>
      </c>
      <c r="B9316" s="141">
        <v>4.6085598614775396E-6</v>
      </c>
      <c r="D9316" s="141"/>
    </row>
    <row r="9317" spans="1:4" x14ac:dyDescent="0.2">
      <c r="A9317" s="140" t="s">
        <v>9962</v>
      </c>
      <c r="B9317" s="141">
        <v>4.5775477441115002E-6</v>
      </c>
      <c r="D9317" s="141"/>
    </row>
    <row r="9318" spans="1:4" x14ac:dyDescent="0.2">
      <c r="A9318" s="140" t="s">
        <v>9963</v>
      </c>
      <c r="B9318" s="141">
        <v>4.5745981725664702E-6</v>
      </c>
      <c r="D9318" s="141"/>
    </row>
    <row r="9319" spans="1:4" x14ac:dyDescent="0.2">
      <c r="A9319" s="140" t="s">
        <v>1110</v>
      </c>
      <c r="B9319" s="141">
        <v>4.5423786513810501E-6</v>
      </c>
      <c r="D9319" s="141"/>
    </row>
    <row r="9320" spans="1:4" x14ac:dyDescent="0.2">
      <c r="A9320" s="140" t="s">
        <v>9964</v>
      </c>
      <c r="B9320" s="141">
        <v>4.5309599586678297E-6</v>
      </c>
      <c r="D9320" s="141"/>
    </row>
    <row r="9321" spans="1:4" x14ac:dyDescent="0.2">
      <c r="A9321" s="140" t="s">
        <v>9965</v>
      </c>
      <c r="B9321" s="141">
        <v>4.5018202573480703E-6</v>
      </c>
      <c r="D9321" s="141"/>
    </row>
    <row r="9322" spans="1:4" x14ac:dyDescent="0.2">
      <c r="A9322" s="140" t="s">
        <v>9966</v>
      </c>
      <c r="B9322" s="141">
        <v>4.4537247998155099E-6</v>
      </c>
      <c r="D9322" s="141"/>
    </row>
    <row r="9323" spans="1:4" x14ac:dyDescent="0.2">
      <c r="A9323" s="140" t="s">
        <v>9967</v>
      </c>
      <c r="B9323" s="141">
        <v>4.4119622565914896E-6</v>
      </c>
      <c r="D9323" s="141"/>
    </row>
    <row r="9324" spans="1:4" x14ac:dyDescent="0.2">
      <c r="A9324" s="140" t="s">
        <v>9968</v>
      </c>
      <c r="B9324" s="141">
        <v>4.4076265383318297E-6</v>
      </c>
      <c r="D9324" s="141"/>
    </row>
    <row r="9325" spans="1:4" x14ac:dyDescent="0.2">
      <c r="A9325" s="140" t="s">
        <v>9969</v>
      </c>
      <c r="B9325" s="141">
        <v>4.4037288354153997E-6</v>
      </c>
      <c r="D9325" s="141"/>
    </row>
    <row r="9326" spans="1:4" x14ac:dyDescent="0.2">
      <c r="A9326" s="140" t="s">
        <v>9970</v>
      </c>
      <c r="B9326" s="141">
        <v>4.3766736045633298E-6</v>
      </c>
      <c r="D9326" s="141"/>
    </row>
    <row r="9327" spans="1:4" x14ac:dyDescent="0.2">
      <c r="A9327" s="140" t="s">
        <v>9971</v>
      </c>
      <c r="B9327" s="141">
        <v>4.3766736045633298E-6</v>
      </c>
      <c r="D9327" s="141"/>
    </row>
    <row r="9328" spans="1:4" x14ac:dyDescent="0.2">
      <c r="A9328" s="140" t="s">
        <v>9972</v>
      </c>
      <c r="B9328" s="141">
        <v>4.3766736045633298E-6</v>
      </c>
      <c r="D9328" s="141"/>
    </row>
    <row r="9329" spans="1:4" x14ac:dyDescent="0.2">
      <c r="A9329" s="140" t="s">
        <v>9973</v>
      </c>
      <c r="B9329" s="141">
        <v>4.3766736045633298E-6</v>
      </c>
      <c r="D9329" s="141"/>
    </row>
    <row r="9330" spans="1:4" x14ac:dyDescent="0.2">
      <c r="A9330" s="140" t="s">
        <v>9974</v>
      </c>
      <c r="B9330" s="141">
        <v>4.3766736045633298E-6</v>
      </c>
      <c r="D9330" s="141"/>
    </row>
    <row r="9331" spans="1:4" x14ac:dyDescent="0.2">
      <c r="A9331" s="140" t="s">
        <v>5255</v>
      </c>
      <c r="B9331" s="141">
        <v>4.3740152763668897E-6</v>
      </c>
      <c r="D9331" s="141"/>
    </row>
    <row r="9332" spans="1:4" x14ac:dyDescent="0.2">
      <c r="A9332" s="140" t="s">
        <v>9975</v>
      </c>
      <c r="B9332" s="141">
        <v>4.3509396104854096E-6</v>
      </c>
      <c r="D9332" s="141"/>
    </row>
    <row r="9333" spans="1:4" x14ac:dyDescent="0.2">
      <c r="A9333" s="140" t="s">
        <v>9976</v>
      </c>
      <c r="B9333" s="141">
        <v>4.3432437832573001E-6</v>
      </c>
      <c r="D9333" s="141"/>
    </row>
    <row r="9334" spans="1:4" x14ac:dyDescent="0.2">
      <c r="A9334" s="140" t="s">
        <v>9977</v>
      </c>
      <c r="B9334" s="141">
        <v>4.3361388416640701E-6</v>
      </c>
      <c r="D9334" s="141"/>
    </row>
    <row r="9335" spans="1:4" x14ac:dyDescent="0.2">
      <c r="A9335" s="140" t="s">
        <v>776</v>
      </c>
      <c r="B9335" s="141">
        <v>4.3273210210001897E-6</v>
      </c>
      <c r="D9335" s="141"/>
    </row>
    <row r="9336" spans="1:4" x14ac:dyDescent="0.2">
      <c r="A9336" s="140" t="s">
        <v>4336</v>
      </c>
      <c r="B9336" s="141">
        <v>4.2802262328105398E-6</v>
      </c>
      <c r="D9336" s="141"/>
    </row>
    <row r="9337" spans="1:4" x14ac:dyDescent="0.2">
      <c r="A9337" s="140" t="s">
        <v>5862</v>
      </c>
      <c r="B9337" s="141">
        <v>4.2795041454851902E-6</v>
      </c>
      <c r="D9337" s="141"/>
    </row>
    <row r="9338" spans="1:4" x14ac:dyDescent="0.2">
      <c r="A9338" s="140" t="s">
        <v>9978</v>
      </c>
      <c r="B9338" s="141">
        <v>4.2795041454851902E-6</v>
      </c>
      <c r="D9338" s="141"/>
    </row>
    <row r="9339" spans="1:4" x14ac:dyDescent="0.2">
      <c r="A9339" s="140" t="s">
        <v>9979</v>
      </c>
      <c r="B9339" s="141">
        <v>4.2795041454851902E-6</v>
      </c>
      <c r="D9339" s="141"/>
    </row>
    <row r="9340" spans="1:4" x14ac:dyDescent="0.2">
      <c r="A9340" s="140" t="s">
        <v>9980</v>
      </c>
      <c r="B9340" s="141">
        <v>4.2538914774510098E-6</v>
      </c>
      <c r="D9340" s="141"/>
    </row>
    <row r="9341" spans="1:4" x14ac:dyDescent="0.2">
      <c r="A9341" s="140" t="s">
        <v>9981</v>
      </c>
      <c r="B9341" s="141">
        <v>4.2538914774510098E-6</v>
      </c>
      <c r="D9341" s="141"/>
    </row>
    <row r="9342" spans="1:4" x14ac:dyDescent="0.2">
      <c r="A9342" s="140" t="s">
        <v>9982</v>
      </c>
      <c r="B9342" s="141">
        <v>4.2538914774510098E-6</v>
      </c>
      <c r="D9342" s="141"/>
    </row>
    <row r="9343" spans="1:4" x14ac:dyDescent="0.2">
      <c r="A9343" s="140" t="s">
        <v>9983</v>
      </c>
      <c r="B9343" s="141">
        <v>4.2538914774510098E-6</v>
      </c>
      <c r="D9343" s="141"/>
    </row>
    <row r="9344" spans="1:4" x14ac:dyDescent="0.2">
      <c r="A9344" s="140" t="s">
        <v>9984</v>
      </c>
      <c r="B9344" s="141">
        <v>4.2538914774510098E-6</v>
      </c>
      <c r="D9344" s="141"/>
    </row>
    <row r="9345" spans="1:4" x14ac:dyDescent="0.2">
      <c r="A9345" s="140" t="s">
        <v>9985</v>
      </c>
      <c r="B9345" s="141">
        <v>4.2511512552861802E-6</v>
      </c>
      <c r="D9345" s="141"/>
    </row>
    <row r="9346" spans="1:4" x14ac:dyDescent="0.2">
      <c r="A9346" s="140" t="s">
        <v>9986</v>
      </c>
      <c r="B9346" s="141">
        <v>4.2223470751558303E-6</v>
      </c>
      <c r="D9346" s="141"/>
    </row>
    <row r="9347" spans="1:4" x14ac:dyDescent="0.2">
      <c r="A9347" s="140" t="s">
        <v>5808</v>
      </c>
      <c r="B9347" s="141">
        <v>4.2178293266374299E-6</v>
      </c>
      <c r="D9347" s="141"/>
    </row>
    <row r="9348" spans="1:4" x14ac:dyDescent="0.2">
      <c r="A9348" s="140" t="s">
        <v>9987</v>
      </c>
      <c r="B9348" s="141">
        <v>4.2178293266374299E-6</v>
      </c>
      <c r="D9348" s="141"/>
    </row>
    <row r="9349" spans="1:4" x14ac:dyDescent="0.2">
      <c r="A9349" s="140" t="s">
        <v>5764</v>
      </c>
      <c r="B9349" s="141">
        <v>4.20065721923674E-6</v>
      </c>
      <c r="D9349" s="141"/>
    </row>
    <row r="9350" spans="1:4" x14ac:dyDescent="0.2">
      <c r="A9350" s="140" t="s">
        <v>1556</v>
      </c>
      <c r="B9350" s="141">
        <v>4.14365846353969E-6</v>
      </c>
      <c r="D9350" s="141"/>
    </row>
    <row r="9351" spans="1:4" x14ac:dyDescent="0.2">
      <c r="A9351" s="140" t="s">
        <v>810</v>
      </c>
      <c r="B9351" s="141">
        <v>4.1320589566727301E-6</v>
      </c>
      <c r="D9351" s="141"/>
    </row>
    <row r="9352" spans="1:4" x14ac:dyDescent="0.2">
      <c r="A9352" s="140" t="s">
        <v>4872</v>
      </c>
      <c r="B9352" s="141">
        <v>4.1307748731046502E-6</v>
      </c>
      <c r="D9352" s="141"/>
    </row>
    <row r="9353" spans="1:4" x14ac:dyDescent="0.2">
      <c r="A9353" s="140" t="s">
        <v>5613</v>
      </c>
      <c r="B9353" s="141">
        <v>4.1268099701744003E-6</v>
      </c>
      <c r="D9353" s="141"/>
    </row>
    <row r="9354" spans="1:4" x14ac:dyDescent="0.2">
      <c r="A9354" s="140" t="s">
        <v>9988</v>
      </c>
      <c r="B9354" s="141">
        <v>4.1141028922973696E-6</v>
      </c>
      <c r="D9354" s="141"/>
    </row>
    <row r="9355" spans="1:4" x14ac:dyDescent="0.2">
      <c r="A9355" s="140" t="s">
        <v>9989</v>
      </c>
      <c r="B9355" s="141">
        <v>4.11361993053374E-6</v>
      </c>
      <c r="D9355" s="141"/>
    </row>
    <row r="9356" spans="1:4" x14ac:dyDescent="0.2">
      <c r="A9356" s="140" t="s">
        <v>3254</v>
      </c>
      <c r="B9356" s="141">
        <v>4.1071101371655601E-6</v>
      </c>
      <c r="D9356" s="141"/>
    </row>
    <row r="9357" spans="1:4" x14ac:dyDescent="0.2">
      <c r="A9357" s="140" t="s">
        <v>9990</v>
      </c>
      <c r="B9357" s="141">
        <v>4.1053464706098998E-6</v>
      </c>
      <c r="D9357" s="141"/>
    </row>
    <row r="9358" spans="1:4" x14ac:dyDescent="0.2">
      <c r="A9358" s="140" t="s">
        <v>9991</v>
      </c>
      <c r="B9358" s="141">
        <v>4.0707626560472696E-6</v>
      </c>
      <c r="D9358" s="141"/>
    </row>
    <row r="9359" spans="1:4" x14ac:dyDescent="0.2">
      <c r="A9359" s="140" t="s">
        <v>6212</v>
      </c>
      <c r="B9359" s="141">
        <v>4.0628257315624999E-6</v>
      </c>
      <c r="D9359" s="141"/>
    </row>
    <row r="9360" spans="1:4" x14ac:dyDescent="0.2">
      <c r="A9360" s="140" t="s">
        <v>1220</v>
      </c>
      <c r="B9360" s="141">
        <v>4.0496338219151699E-6</v>
      </c>
      <c r="D9360" s="141"/>
    </row>
    <row r="9361" spans="1:4" x14ac:dyDescent="0.2">
      <c r="A9361" s="140" t="s">
        <v>679</v>
      </c>
      <c r="B9361" s="141">
        <v>4.0201205581974799E-6</v>
      </c>
      <c r="D9361" s="141"/>
    </row>
    <row r="9362" spans="1:4" x14ac:dyDescent="0.2">
      <c r="A9362" s="140" t="s">
        <v>454</v>
      </c>
      <c r="B9362" s="141">
        <v>4.0039344954678199E-6</v>
      </c>
      <c r="D9362" s="141"/>
    </row>
    <row r="9363" spans="1:4" x14ac:dyDescent="0.2">
      <c r="A9363" s="140" t="s">
        <v>5084</v>
      </c>
      <c r="B9363" s="141">
        <v>3.9937502300242199E-6</v>
      </c>
      <c r="D9363" s="141"/>
    </row>
    <row r="9364" spans="1:4" x14ac:dyDescent="0.2">
      <c r="A9364" s="140" t="s">
        <v>3133</v>
      </c>
      <c r="B9364" s="141">
        <v>3.9909398032249997E-6</v>
      </c>
      <c r="D9364" s="141"/>
    </row>
    <row r="9365" spans="1:4" x14ac:dyDescent="0.2">
      <c r="A9365" s="140" t="s">
        <v>9992</v>
      </c>
      <c r="B9365" s="141">
        <v>3.9789187181448897E-6</v>
      </c>
      <c r="D9365" s="141"/>
    </row>
    <row r="9366" spans="1:4" x14ac:dyDescent="0.2">
      <c r="A9366" s="140" t="s">
        <v>5169</v>
      </c>
      <c r="B9366" s="141">
        <v>3.9789187181448897E-6</v>
      </c>
      <c r="D9366" s="141"/>
    </row>
    <row r="9367" spans="1:4" x14ac:dyDescent="0.2">
      <c r="A9367" s="140" t="s">
        <v>9993</v>
      </c>
      <c r="B9367" s="141">
        <v>3.9674020280361696E-6</v>
      </c>
      <c r="D9367" s="141"/>
    </row>
    <row r="9368" spans="1:4" x14ac:dyDescent="0.2">
      <c r="A9368" s="140" t="s">
        <v>5313</v>
      </c>
      <c r="B9368" s="141">
        <v>3.9674020280361696E-6</v>
      </c>
      <c r="D9368" s="141"/>
    </row>
    <row r="9369" spans="1:4" x14ac:dyDescent="0.2">
      <c r="A9369" s="140" t="s">
        <v>1992</v>
      </c>
      <c r="B9369" s="141">
        <v>3.9546275657572298E-6</v>
      </c>
      <c r="D9369" s="141"/>
    </row>
    <row r="9370" spans="1:4" x14ac:dyDescent="0.2">
      <c r="A9370" s="140" t="s">
        <v>9994</v>
      </c>
      <c r="B9370" s="141">
        <v>3.9159806692810103E-6</v>
      </c>
      <c r="D9370" s="141"/>
    </row>
    <row r="9371" spans="1:4" x14ac:dyDescent="0.2">
      <c r="A9371" s="140" t="s">
        <v>449</v>
      </c>
      <c r="B9371" s="141">
        <v>3.8784363018892299E-6</v>
      </c>
      <c r="D9371" s="141"/>
    </row>
    <row r="9372" spans="1:4" x14ac:dyDescent="0.2">
      <c r="A9372" s="140" t="s">
        <v>9995</v>
      </c>
      <c r="B9372" s="141">
        <v>3.87760287635548E-6</v>
      </c>
      <c r="D9372" s="141"/>
    </row>
    <row r="9373" spans="1:4" x14ac:dyDescent="0.2">
      <c r="A9373" s="140" t="s">
        <v>1119</v>
      </c>
      <c r="B9373" s="141">
        <v>3.8524690953626497E-6</v>
      </c>
      <c r="D9373" s="141"/>
    </row>
    <row r="9374" spans="1:4" x14ac:dyDescent="0.2">
      <c r="A9374" s="140" t="s">
        <v>555</v>
      </c>
      <c r="B9374" s="141">
        <v>3.8498363801895501E-6</v>
      </c>
      <c r="D9374" s="141"/>
    </row>
    <row r="9375" spans="1:4" x14ac:dyDescent="0.2">
      <c r="A9375" s="140" t="s">
        <v>446</v>
      </c>
      <c r="B9375" s="141">
        <v>3.8385896752816002E-6</v>
      </c>
      <c r="D9375" s="141"/>
    </row>
    <row r="9376" spans="1:4" x14ac:dyDescent="0.2">
      <c r="A9376" s="140" t="s">
        <v>2869</v>
      </c>
      <c r="B9376" s="141">
        <v>3.8235243587394703E-6</v>
      </c>
      <c r="D9376" s="141"/>
    </row>
    <row r="9377" spans="1:4" x14ac:dyDescent="0.2">
      <c r="A9377" s="140" t="s">
        <v>727</v>
      </c>
      <c r="B9377" s="141">
        <v>3.8210771353411098E-6</v>
      </c>
      <c r="D9377" s="141"/>
    </row>
    <row r="9378" spans="1:4" x14ac:dyDescent="0.2">
      <c r="A9378" s="140" t="s">
        <v>2430</v>
      </c>
      <c r="B9378" s="141">
        <v>3.82082562175429E-6</v>
      </c>
      <c r="D9378" s="141"/>
    </row>
    <row r="9379" spans="1:4" x14ac:dyDescent="0.2">
      <c r="A9379" s="140" t="s">
        <v>9996</v>
      </c>
      <c r="B9379" s="141">
        <v>3.8077613777996001E-6</v>
      </c>
      <c r="D9379" s="141"/>
    </row>
    <row r="9380" spans="1:4" x14ac:dyDescent="0.2">
      <c r="A9380" s="140" t="s">
        <v>1001</v>
      </c>
      <c r="B9380" s="141">
        <v>3.7883046066317199E-6</v>
      </c>
      <c r="D9380" s="141"/>
    </row>
    <row r="9381" spans="1:4" x14ac:dyDescent="0.2">
      <c r="A9381" s="140" t="s">
        <v>9997</v>
      </c>
      <c r="B9381" s="141">
        <v>3.7367262503239002E-6</v>
      </c>
      <c r="D9381" s="141"/>
    </row>
    <row r="9382" spans="1:4" x14ac:dyDescent="0.2">
      <c r="A9382" s="140" t="s">
        <v>9998</v>
      </c>
      <c r="B9382" s="141">
        <v>3.7367262503239002E-6</v>
      </c>
      <c r="D9382" s="141"/>
    </row>
    <row r="9383" spans="1:4" x14ac:dyDescent="0.2">
      <c r="A9383" s="140" t="s">
        <v>1795</v>
      </c>
      <c r="B9383" s="141">
        <v>3.7231213840172799E-6</v>
      </c>
      <c r="D9383" s="141"/>
    </row>
    <row r="9384" spans="1:4" x14ac:dyDescent="0.2">
      <c r="A9384" s="140" t="s">
        <v>9999</v>
      </c>
      <c r="B9384" s="141">
        <v>3.6833958761266598E-6</v>
      </c>
      <c r="D9384" s="141"/>
    </row>
    <row r="9385" spans="1:4" x14ac:dyDescent="0.2">
      <c r="A9385" s="140" t="s">
        <v>10000</v>
      </c>
      <c r="B9385" s="141">
        <v>3.6730890049357101E-6</v>
      </c>
      <c r="D9385" s="141"/>
    </row>
    <row r="9386" spans="1:4" x14ac:dyDescent="0.2">
      <c r="A9386" s="140" t="s">
        <v>5759</v>
      </c>
      <c r="B9386" s="141">
        <v>3.6646628845438801E-6</v>
      </c>
      <c r="D9386" s="141"/>
    </row>
    <row r="9387" spans="1:4" x14ac:dyDescent="0.2">
      <c r="A9387" s="140" t="s">
        <v>10001</v>
      </c>
      <c r="B9387" s="141">
        <v>3.65203172454949E-6</v>
      </c>
      <c r="D9387" s="141"/>
    </row>
    <row r="9388" spans="1:4" x14ac:dyDescent="0.2">
      <c r="A9388" s="140" t="s">
        <v>1311</v>
      </c>
      <c r="B9388" s="141">
        <v>3.6474998629246198E-6</v>
      </c>
      <c r="D9388" s="141"/>
    </row>
    <row r="9389" spans="1:4" x14ac:dyDescent="0.2">
      <c r="A9389" s="140" t="s">
        <v>374</v>
      </c>
      <c r="B9389" s="141">
        <v>3.6332336016497001E-6</v>
      </c>
      <c r="D9389" s="141"/>
    </row>
    <row r="9390" spans="1:4" x14ac:dyDescent="0.2">
      <c r="A9390" s="140" t="s">
        <v>5699</v>
      </c>
      <c r="B9390" s="141">
        <v>3.6296407884853102E-6</v>
      </c>
      <c r="D9390" s="141"/>
    </row>
    <row r="9391" spans="1:4" x14ac:dyDescent="0.2">
      <c r="A9391" s="140" t="s">
        <v>3155</v>
      </c>
      <c r="B9391" s="141">
        <v>3.61430342343679E-6</v>
      </c>
      <c r="D9391" s="141"/>
    </row>
    <row r="9392" spans="1:4" x14ac:dyDescent="0.2">
      <c r="A9392" s="140" t="s">
        <v>959</v>
      </c>
      <c r="B9392" s="141">
        <v>3.6067572069917002E-6</v>
      </c>
      <c r="D9392" s="141"/>
    </row>
    <row r="9393" spans="1:4" x14ac:dyDescent="0.2">
      <c r="A9393" s="140" t="s">
        <v>10002</v>
      </c>
      <c r="B9393" s="141">
        <v>3.6051999677487498E-6</v>
      </c>
      <c r="D9393" s="141"/>
    </row>
    <row r="9394" spans="1:4" x14ac:dyDescent="0.2">
      <c r="A9394" s="140" t="s">
        <v>10003</v>
      </c>
      <c r="B9394" s="141">
        <v>3.6023191110939298E-6</v>
      </c>
      <c r="D9394" s="141"/>
    </row>
    <row r="9395" spans="1:4" x14ac:dyDescent="0.2">
      <c r="A9395" s="140" t="s">
        <v>772</v>
      </c>
      <c r="B9395" s="141">
        <v>3.5943109467522599E-6</v>
      </c>
      <c r="D9395" s="141"/>
    </row>
    <row r="9396" spans="1:4" x14ac:dyDescent="0.2">
      <c r="A9396" s="140" t="s">
        <v>734</v>
      </c>
      <c r="B9396" s="141">
        <v>3.58929541516101E-6</v>
      </c>
      <c r="D9396" s="141"/>
    </row>
    <row r="9397" spans="1:4" x14ac:dyDescent="0.2">
      <c r="A9397" s="140" t="s">
        <v>10004</v>
      </c>
      <c r="B9397" s="141">
        <v>3.5775942854911599E-6</v>
      </c>
      <c r="D9397" s="141"/>
    </row>
    <row r="9398" spans="1:4" x14ac:dyDescent="0.2">
      <c r="A9398" s="140" t="s">
        <v>10005</v>
      </c>
      <c r="B9398" s="141">
        <v>3.5775942854911599E-6</v>
      </c>
      <c r="D9398" s="141"/>
    </row>
    <row r="9399" spans="1:4" x14ac:dyDescent="0.2">
      <c r="A9399" s="140" t="s">
        <v>10006</v>
      </c>
      <c r="B9399" s="141">
        <v>3.5775942854911599E-6</v>
      </c>
      <c r="D9399" s="141"/>
    </row>
    <row r="9400" spans="1:4" x14ac:dyDescent="0.2">
      <c r="A9400" s="140" t="s">
        <v>10007</v>
      </c>
      <c r="B9400" s="141">
        <v>3.5713274575405599E-6</v>
      </c>
      <c r="D9400" s="141"/>
    </row>
    <row r="9401" spans="1:4" x14ac:dyDescent="0.2">
      <c r="A9401" s="140" t="s">
        <v>1030</v>
      </c>
      <c r="B9401" s="141">
        <v>3.5709785616526501E-6</v>
      </c>
      <c r="D9401" s="141"/>
    </row>
    <row r="9402" spans="1:4" x14ac:dyDescent="0.2">
      <c r="A9402" s="140" t="s">
        <v>490</v>
      </c>
      <c r="B9402" s="141">
        <v>3.5542022388483298E-6</v>
      </c>
      <c r="D9402" s="141"/>
    </row>
    <row r="9403" spans="1:4" x14ac:dyDescent="0.2">
      <c r="A9403" s="140" t="s">
        <v>10008</v>
      </c>
      <c r="B9403" s="141">
        <v>3.5142338651926302E-6</v>
      </c>
      <c r="D9403" s="141"/>
    </row>
    <row r="9404" spans="1:4" x14ac:dyDescent="0.2">
      <c r="A9404" s="140" t="s">
        <v>741</v>
      </c>
      <c r="B9404" s="141">
        <v>3.5081672284954502E-6</v>
      </c>
      <c r="D9404" s="141"/>
    </row>
    <row r="9405" spans="1:4" x14ac:dyDescent="0.2">
      <c r="A9405" s="140" t="s">
        <v>1764</v>
      </c>
      <c r="B9405" s="141">
        <v>3.5055073182829198E-6</v>
      </c>
      <c r="D9405" s="141"/>
    </row>
    <row r="9406" spans="1:4" x14ac:dyDescent="0.2">
      <c r="A9406" s="140" t="s">
        <v>10009</v>
      </c>
      <c r="B9406" s="141">
        <v>3.4877390360592701E-6</v>
      </c>
      <c r="D9406" s="141"/>
    </row>
    <row r="9407" spans="1:4" x14ac:dyDescent="0.2">
      <c r="A9407" s="140" t="s">
        <v>2357</v>
      </c>
      <c r="B9407" s="141">
        <v>3.4480310774127302E-6</v>
      </c>
      <c r="D9407" s="141"/>
    </row>
    <row r="9408" spans="1:4" x14ac:dyDescent="0.2">
      <c r="A9408" s="140" t="s">
        <v>467</v>
      </c>
      <c r="B9408" s="141">
        <v>3.4020262262454001E-6</v>
      </c>
      <c r="D9408" s="141"/>
    </row>
    <row r="9409" spans="1:4" x14ac:dyDescent="0.2">
      <c r="A9409" s="140" t="s">
        <v>10010</v>
      </c>
      <c r="B9409" s="141">
        <v>3.3690427690282802E-6</v>
      </c>
      <c r="D9409" s="141"/>
    </row>
    <row r="9410" spans="1:4" x14ac:dyDescent="0.2">
      <c r="A9410" s="140" t="s">
        <v>10011</v>
      </c>
      <c r="B9410" s="141">
        <v>3.3610621257594299E-6</v>
      </c>
      <c r="D9410" s="141"/>
    </row>
    <row r="9411" spans="1:4" x14ac:dyDescent="0.2">
      <c r="A9411" s="140" t="s">
        <v>10012</v>
      </c>
      <c r="B9411" s="141">
        <v>3.3610621257594299E-6</v>
      </c>
      <c r="D9411" s="141"/>
    </row>
    <row r="9412" spans="1:4" x14ac:dyDescent="0.2">
      <c r="A9412" s="140" t="s">
        <v>10013</v>
      </c>
      <c r="B9412" s="141">
        <v>3.3610621257594299E-6</v>
      </c>
      <c r="D9412" s="141"/>
    </row>
    <row r="9413" spans="1:4" x14ac:dyDescent="0.2">
      <c r="A9413" s="140" t="s">
        <v>10014</v>
      </c>
      <c r="B9413" s="141">
        <v>3.3610621257594299E-6</v>
      </c>
      <c r="D9413" s="141"/>
    </row>
    <row r="9414" spans="1:4" x14ac:dyDescent="0.2">
      <c r="A9414" s="140" t="s">
        <v>10015</v>
      </c>
      <c r="B9414" s="141">
        <v>3.3610621257594299E-6</v>
      </c>
      <c r="D9414" s="141"/>
    </row>
    <row r="9415" spans="1:4" x14ac:dyDescent="0.2">
      <c r="A9415" s="140" t="s">
        <v>10016</v>
      </c>
      <c r="B9415" s="141">
        <v>3.35433718649374E-6</v>
      </c>
      <c r="D9415" s="141"/>
    </row>
    <row r="9416" spans="1:4" x14ac:dyDescent="0.2">
      <c r="A9416" s="140" t="s">
        <v>10017</v>
      </c>
      <c r="B9416" s="141">
        <v>3.3516280390547302E-6</v>
      </c>
      <c r="D9416" s="141"/>
    </row>
    <row r="9417" spans="1:4" x14ac:dyDescent="0.2">
      <c r="A9417" s="140" t="s">
        <v>10018</v>
      </c>
      <c r="B9417" s="141">
        <v>3.3516280390547302E-6</v>
      </c>
      <c r="D9417" s="141"/>
    </row>
    <row r="9418" spans="1:4" x14ac:dyDescent="0.2">
      <c r="A9418" s="140" t="s">
        <v>10019</v>
      </c>
      <c r="B9418" s="141">
        <v>3.3516280390547302E-6</v>
      </c>
      <c r="D9418" s="141"/>
    </row>
    <row r="9419" spans="1:4" x14ac:dyDescent="0.2">
      <c r="A9419" s="140" t="s">
        <v>5558</v>
      </c>
      <c r="B9419" s="141">
        <v>3.3273333160357999E-6</v>
      </c>
      <c r="D9419" s="141"/>
    </row>
    <row r="9420" spans="1:4" x14ac:dyDescent="0.2">
      <c r="A9420" s="140" t="s">
        <v>10020</v>
      </c>
      <c r="B9420" s="141">
        <v>3.3273333160357999E-6</v>
      </c>
      <c r="D9420" s="141"/>
    </row>
    <row r="9421" spans="1:4" x14ac:dyDescent="0.2">
      <c r="A9421" s="140" t="s">
        <v>3572</v>
      </c>
      <c r="B9421" s="141">
        <v>3.3273333160357999E-6</v>
      </c>
      <c r="D9421" s="141"/>
    </row>
    <row r="9422" spans="1:4" x14ac:dyDescent="0.2">
      <c r="A9422" s="140" t="s">
        <v>10021</v>
      </c>
      <c r="B9422" s="141">
        <v>3.3273333160357999E-6</v>
      </c>
      <c r="D9422" s="141"/>
    </row>
    <row r="9423" spans="1:4" x14ac:dyDescent="0.2">
      <c r="A9423" s="140" t="s">
        <v>10022</v>
      </c>
      <c r="B9423" s="141">
        <v>3.3273333160357999E-6</v>
      </c>
      <c r="D9423" s="141"/>
    </row>
    <row r="9424" spans="1:4" x14ac:dyDescent="0.2">
      <c r="A9424" s="140" t="s">
        <v>1045</v>
      </c>
      <c r="B9424" s="141">
        <v>3.2984854813273499E-6</v>
      </c>
      <c r="D9424" s="141"/>
    </row>
    <row r="9425" spans="1:4" x14ac:dyDescent="0.2">
      <c r="A9425" s="140" t="s">
        <v>10023</v>
      </c>
      <c r="B9425" s="141">
        <v>3.26371428494444E-6</v>
      </c>
      <c r="D9425" s="141"/>
    </row>
    <row r="9426" spans="1:4" x14ac:dyDescent="0.2">
      <c r="A9426" s="140" t="s">
        <v>10024</v>
      </c>
      <c r="B9426" s="141">
        <v>3.23852032246826E-6</v>
      </c>
      <c r="D9426" s="141"/>
    </row>
    <row r="9427" spans="1:4" x14ac:dyDescent="0.2">
      <c r="A9427" s="140" t="s">
        <v>10025</v>
      </c>
      <c r="B9427" s="141">
        <v>3.23852032246826E-6</v>
      </c>
      <c r="D9427" s="141"/>
    </row>
    <row r="9428" spans="1:4" x14ac:dyDescent="0.2">
      <c r="A9428" s="140" t="s">
        <v>10026</v>
      </c>
      <c r="B9428" s="141">
        <v>3.23852032246826E-6</v>
      </c>
      <c r="D9428" s="141"/>
    </row>
    <row r="9429" spans="1:4" x14ac:dyDescent="0.2">
      <c r="A9429" s="140" t="s">
        <v>10027</v>
      </c>
      <c r="B9429" s="141">
        <v>3.23852032246826E-6</v>
      </c>
      <c r="D9429" s="141"/>
    </row>
    <row r="9430" spans="1:4" x14ac:dyDescent="0.2">
      <c r="A9430" s="140" t="s">
        <v>10028</v>
      </c>
      <c r="B9430" s="141">
        <v>3.23852032246826E-6</v>
      </c>
      <c r="D9430" s="141"/>
    </row>
    <row r="9431" spans="1:4" x14ac:dyDescent="0.2">
      <c r="A9431" s="140" t="s">
        <v>10029</v>
      </c>
      <c r="B9431" s="141">
        <v>3.23852032246826E-6</v>
      </c>
      <c r="D9431" s="141"/>
    </row>
    <row r="9432" spans="1:4" x14ac:dyDescent="0.2">
      <c r="A9432" s="140" t="s">
        <v>1127</v>
      </c>
      <c r="B9432" s="141">
        <v>3.2325063671601302E-6</v>
      </c>
      <c r="D9432" s="141"/>
    </row>
    <row r="9433" spans="1:4" x14ac:dyDescent="0.2">
      <c r="A9433" s="140" t="s">
        <v>10030</v>
      </c>
      <c r="B9433" s="141">
        <v>3.2223274856442102E-6</v>
      </c>
      <c r="D9433" s="141"/>
    </row>
    <row r="9434" spans="1:4" x14ac:dyDescent="0.2">
      <c r="A9434" s="140" t="s">
        <v>10031</v>
      </c>
      <c r="B9434" s="141">
        <v>3.2131962719235799E-6</v>
      </c>
      <c r="D9434" s="141"/>
    </row>
    <row r="9435" spans="1:4" x14ac:dyDescent="0.2">
      <c r="A9435" s="140" t="s">
        <v>10032</v>
      </c>
      <c r="B9435" s="141">
        <v>3.2102167510813199E-6</v>
      </c>
      <c r="D9435" s="141"/>
    </row>
    <row r="9436" spans="1:4" x14ac:dyDescent="0.2">
      <c r="A9436" s="140" t="s">
        <v>10033</v>
      </c>
      <c r="B9436" s="141">
        <v>3.1983568361497798E-6</v>
      </c>
      <c r="D9436" s="141"/>
    </row>
    <row r="9437" spans="1:4" x14ac:dyDescent="0.2">
      <c r="A9437" s="140" t="s">
        <v>540</v>
      </c>
      <c r="B9437" s="141">
        <v>3.1800686232093298E-6</v>
      </c>
      <c r="D9437" s="141"/>
    </row>
    <row r="9438" spans="1:4" x14ac:dyDescent="0.2">
      <c r="A9438" s="140" t="s">
        <v>1083</v>
      </c>
      <c r="B9438" s="141">
        <v>3.1528720119423298E-6</v>
      </c>
      <c r="D9438" s="141"/>
    </row>
    <row r="9439" spans="1:4" x14ac:dyDescent="0.2">
      <c r="A9439" s="140" t="s">
        <v>1369</v>
      </c>
      <c r="B9439" s="141">
        <v>3.1480642049207999E-6</v>
      </c>
      <c r="D9439" s="141"/>
    </row>
    <row r="9440" spans="1:4" x14ac:dyDescent="0.2">
      <c r="A9440" s="140" t="s">
        <v>10034</v>
      </c>
      <c r="B9440" s="141">
        <v>3.13769373694602E-6</v>
      </c>
      <c r="D9440" s="141"/>
    </row>
    <row r="9441" spans="1:4" x14ac:dyDescent="0.2">
      <c r="A9441" s="140" t="s">
        <v>10035</v>
      </c>
      <c r="B9441" s="141">
        <v>3.13728690854732E-6</v>
      </c>
      <c r="D9441" s="141"/>
    </row>
    <row r="9442" spans="1:4" x14ac:dyDescent="0.2">
      <c r="A9442" s="140" t="s">
        <v>10036</v>
      </c>
      <c r="B9442" s="141">
        <v>3.13276272069116E-6</v>
      </c>
      <c r="D9442" s="141"/>
    </row>
    <row r="9443" spans="1:4" x14ac:dyDescent="0.2">
      <c r="A9443" s="140" t="s">
        <v>953</v>
      </c>
      <c r="B9443" s="141">
        <v>3.1235025597306302E-6</v>
      </c>
      <c r="D9443" s="141"/>
    </row>
    <row r="9444" spans="1:4" x14ac:dyDescent="0.2">
      <c r="A9444" s="140" t="s">
        <v>5702</v>
      </c>
      <c r="B9444" s="141">
        <v>3.1146748229604201E-6</v>
      </c>
      <c r="D9444" s="141"/>
    </row>
    <row r="9445" spans="1:4" x14ac:dyDescent="0.2">
      <c r="A9445" s="140" t="s">
        <v>10037</v>
      </c>
      <c r="B9445" s="141">
        <v>3.1146748229604201E-6</v>
      </c>
      <c r="D9445" s="141"/>
    </row>
    <row r="9446" spans="1:4" x14ac:dyDescent="0.2">
      <c r="A9446" s="140" t="s">
        <v>10038</v>
      </c>
      <c r="B9446" s="141">
        <v>3.1146748229604201E-6</v>
      </c>
      <c r="D9446" s="141"/>
    </row>
    <row r="9447" spans="1:4" x14ac:dyDescent="0.2">
      <c r="A9447" s="140" t="s">
        <v>488</v>
      </c>
      <c r="B9447" s="141">
        <v>3.1105994906665001E-6</v>
      </c>
      <c r="D9447" s="141"/>
    </row>
    <row r="9448" spans="1:4" x14ac:dyDescent="0.2">
      <c r="A9448" s="140" t="s">
        <v>2076</v>
      </c>
      <c r="B9448" s="141">
        <v>3.09334753014834E-6</v>
      </c>
      <c r="D9448" s="141"/>
    </row>
    <row r="9449" spans="1:4" x14ac:dyDescent="0.2">
      <c r="A9449" s="140" t="s">
        <v>10039</v>
      </c>
      <c r="B9449" s="141">
        <v>3.0903179420183098E-6</v>
      </c>
      <c r="D9449" s="141"/>
    </row>
    <row r="9450" spans="1:4" x14ac:dyDescent="0.2">
      <c r="A9450" s="140" t="s">
        <v>644</v>
      </c>
      <c r="B9450" s="141">
        <v>3.08266956764748E-6</v>
      </c>
      <c r="D9450" s="141"/>
    </row>
    <row r="9451" spans="1:4" x14ac:dyDescent="0.2">
      <c r="A9451" s="140" t="s">
        <v>559</v>
      </c>
      <c r="B9451" s="141">
        <v>3.01194794880487E-6</v>
      </c>
      <c r="D9451" s="141"/>
    </row>
    <row r="9452" spans="1:4" x14ac:dyDescent="0.2">
      <c r="A9452" s="140" t="s">
        <v>4193</v>
      </c>
      <c r="B9452" s="141">
        <v>3.0056797706467702E-6</v>
      </c>
      <c r="D9452" s="141"/>
    </row>
    <row r="9453" spans="1:4" x14ac:dyDescent="0.2">
      <c r="A9453" s="140" t="s">
        <v>10040</v>
      </c>
      <c r="B9453" s="141">
        <v>3.0056633115066501E-6</v>
      </c>
      <c r="D9453" s="141"/>
    </row>
    <row r="9454" spans="1:4" x14ac:dyDescent="0.2">
      <c r="A9454" s="140" t="s">
        <v>4985</v>
      </c>
      <c r="B9454" s="141">
        <v>2.9869996673474001E-6</v>
      </c>
      <c r="D9454" s="141"/>
    </row>
    <row r="9455" spans="1:4" x14ac:dyDescent="0.2">
      <c r="A9455" s="140" t="s">
        <v>3344</v>
      </c>
      <c r="B9455" s="141">
        <v>2.9572303476512001E-6</v>
      </c>
      <c r="D9455" s="141"/>
    </row>
    <row r="9456" spans="1:4" x14ac:dyDescent="0.2">
      <c r="A9456" s="140" t="s">
        <v>1198</v>
      </c>
      <c r="B9456" s="141">
        <v>2.9026822049944201E-6</v>
      </c>
      <c r="D9456" s="141"/>
    </row>
    <row r="9457" spans="1:4" x14ac:dyDescent="0.2">
      <c r="A9457" s="140" t="s">
        <v>394</v>
      </c>
      <c r="B9457" s="141">
        <v>2.8790474125516898E-6</v>
      </c>
      <c r="D9457" s="141"/>
    </row>
    <row r="9458" spans="1:4" x14ac:dyDescent="0.2">
      <c r="A9458" s="140" t="s">
        <v>392</v>
      </c>
      <c r="B9458" s="141">
        <v>2.87561610773282E-6</v>
      </c>
      <c r="D9458" s="141"/>
    </row>
    <row r="9459" spans="1:4" x14ac:dyDescent="0.2">
      <c r="A9459" s="140" t="s">
        <v>453</v>
      </c>
      <c r="B9459" s="141">
        <v>2.8731265335018002E-6</v>
      </c>
      <c r="D9459" s="141"/>
    </row>
    <row r="9460" spans="1:4" x14ac:dyDescent="0.2">
      <c r="A9460" s="140" t="s">
        <v>10041</v>
      </c>
      <c r="B9460" s="141">
        <v>2.8580814421652202E-6</v>
      </c>
      <c r="D9460" s="141"/>
    </row>
    <row r="9461" spans="1:4" x14ac:dyDescent="0.2">
      <c r="A9461" s="140" t="s">
        <v>609</v>
      </c>
      <c r="B9461" s="141">
        <v>2.8543743328936699E-6</v>
      </c>
      <c r="D9461" s="141"/>
    </row>
    <row r="9462" spans="1:4" x14ac:dyDescent="0.2">
      <c r="A9462" s="140" t="s">
        <v>10042</v>
      </c>
      <c r="B9462" s="141">
        <v>2.84436661031945E-6</v>
      </c>
      <c r="D9462" s="141"/>
    </row>
    <row r="9463" spans="1:4" x14ac:dyDescent="0.2">
      <c r="A9463" s="140" t="s">
        <v>10043</v>
      </c>
      <c r="B9463" s="141">
        <v>2.84436661031945E-6</v>
      </c>
      <c r="D9463" s="141"/>
    </row>
    <row r="9464" spans="1:4" x14ac:dyDescent="0.2">
      <c r="A9464" s="140" t="s">
        <v>10044</v>
      </c>
      <c r="B9464" s="141">
        <v>2.8413701189225199E-6</v>
      </c>
      <c r="D9464" s="141"/>
    </row>
    <row r="9465" spans="1:4" x14ac:dyDescent="0.2">
      <c r="A9465" s="140" t="s">
        <v>10045</v>
      </c>
      <c r="B9465" s="141">
        <v>2.8396135383465801E-6</v>
      </c>
      <c r="D9465" s="141"/>
    </row>
    <row r="9466" spans="1:4" x14ac:dyDescent="0.2">
      <c r="A9466" s="140" t="s">
        <v>10046</v>
      </c>
      <c r="B9466" s="141">
        <v>2.8396135383465801E-6</v>
      </c>
      <c r="D9466" s="141"/>
    </row>
    <row r="9467" spans="1:4" x14ac:dyDescent="0.2">
      <c r="A9467" s="140" t="s">
        <v>10047</v>
      </c>
      <c r="B9467" s="141">
        <v>2.8396135383465801E-6</v>
      </c>
      <c r="D9467" s="141"/>
    </row>
    <row r="9468" spans="1:4" x14ac:dyDescent="0.2">
      <c r="A9468" s="140" t="s">
        <v>10048</v>
      </c>
      <c r="B9468" s="141">
        <v>2.8396135383465801E-6</v>
      </c>
      <c r="D9468" s="141"/>
    </row>
    <row r="9469" spans="1:4" x14ac:dyDescent="0.2">
      <c r="A9469" s="140" t="s">
        <v>10049</v>
      </c>
      <c r="B9469" s="141">
        <v>2.8396135383465801E-6</v>
      </c>
      <c r="D9469" s="141"/>
    </row>
    <row r="9470" spans="1:4" x14ac:dyDescent="0.2">
      <c r="A9470" s="140" t="s">
        <v>10050</v>
      </c>
      <c r="B9470" s="141">
        <v>2.8110592670841898E-6</v>
      </c>
      <c r="D9470" s="141"/>
    </row>
    <row r="9471" spans="1:4" x14ac:dyDescent="0.2">
      <c r="A9471" s="140" t="s">
        <v>5981</v>
      </c>
      <c r="B9471" s="141">
        <v>2.8053144464310002E-6</v>
      </c>
      <c r="D9471" s="141"/>
    </row>
    <row r="9472" spans="1:4" x14ac:dyDescent="0.2">
      <c r="A9472" s="140" t="s">
        <v>418</v>
      </c>
      <c r="B9472" s="141">
        <v>2.79693497633016E-6</v>
      </c>
      <c r="D9472" s="141"/>
    </row>
    <row r="9473" spans="1:4" x14ac:dyDescent="0.2">
      <c r="A9473" s="140" t="s">
        <v>4306</v>
      </c>
      <c r="B9473" s="141">
        <v>2.7278378787845498E-6</v>
      </c>
      <c r="D9473" s="141"/>
    </row>
    <row r="9474" spans="1:4" x14ac:dyDescent="0.2">
      <c r="A9474" s="140" t="s">
        <v>4279</v>
      </c>
      <c r="B9474" s="141">
        <v>2.7278378787845498E-6</v>
      </c>
      <c r="D9474" s="141"/>
    </row>
    <row r="9475" spans="1:4" x14ac:dyDescent="0.2">
      <c r="A9475" s="140" t="s">
        <v>10051</v>
      </c>
      <c r="B9475" s="141">
        <v>2.7096297722887898E-6</v>
      </c>
      <c r="D9475" s="141"/>
    </row>
    <row r="9476" spans="1:4" x14ac:dyDescent="0.2">
      <c r="A9476" s="140" t="s">
        <v>5228</v>
      </c>
      <c r="B9476" s="141">
        <v>2.6827372900657201E-6</v>
      </c>
      <c r="D9476" s="141"/>
    </row>
    <row r="9477" spans="1:4" x14ac:dyDescent="0.2">
      <c r="A9477" s="140" t="s">
        <v>4437</v>
      </c>
      <c r="B9477" s="141">
        <v>2.6827372900657201E-6</v>
      </c>
      <c r="D9477" s="141"/>
    </row>
    <row r="9478" spans="1:4" x14ac:dyDescent="0.2">
      <c r="A9478" s="140" t="s">
        <v>10052</v>
      </c>
      <c r="B9478" s="141">
        <v>2.6827372900657201E-6</v>
      </c>
      <c r="D9478" s="141"/>
    </row>
    <row r="9479" spans="1:4" x14ac:dyDescent="0.2">
      <c r="A9479" s="140" t="s">
        <v>10053</v>
      </c>
      <c r="B9479" s="141">
        <v>2.6676682834979301E-6</v>
      </c>
      <c r="D9479" s="141"/>
    </row>
    <row r="9480" spans="1:4" x14ac:dyDescent="0.2">
      <c r="A9480" s="140" t="s">
        <v>6205</v>
      </c>
      <c r="B9480" s="141">
        <v>2.6667432888041101E-6</v>
      </c>
      <c r="D9480" s="141"/>
    </row>
    <row r="9481" spans="1:4" x14ac:dyDescent="0.2">
      <c r="A9481" s="140" t="s">
        <v>2221</v>
      </c>
      <c r="B9481" s="141">
        <v>2.6622277745864901E-6</v>
      </c>
      <c r="D9481" s="141"/>
    </row>
    <row r="9482" spans="1:4" x14ac:dyDescent="0.2">
      <c r="A9482" s="140" t="s">
        <v>10054</v>
      </c>
      <c r="B9482" s="141">
        <v>2.64425627140729E-6</v>
      </c>
      <c r="D9482" s="141"/>
    </row>
    <row r="9483" spans="1:4" x14ac:dyDescent="0.2">
      <c r="A9483" s="140" t="s">
        <v>584</v>
      </c>
      <c r="B9483" s="141">
        <v>2.6350573558529101E-6</v>
      </c>
      <c r="D9483" s="141"/>
    </row>
    <row r="9484" spans="1:4" x14ac:dyDescent="0.2">
      <c r="A9484" s="140" t="s">
        <v>2083</v>
      </c>
      <c r="B9484" s="141">
        <v>2.6282040826740598E-6</v>
      </c>
      <c r="D9484" s="141"/>
    </row>
    <row r="9485" spans="1:4" x14ac:dyDescent="0.2">
      <c r="A9485" s="140" t="s">
        <v>10055</v>
      </c>
      <c r="B9485" s="141">
        <v>2.59250049772421E-6</v>
      </c>
      <c r="D9485" s="141"/>
    </row>
    <row r="9486" spans="1:4" x14ac:dyDescent="0.2">
      <c r="A9486" s="140" t="s">
        <v>10056</v>
      </c>
      <c r="B9486" s="141">
        <v>2.5789563235724899E-6</v>
      </c>
      <c r="D9486" s="141"/>
    </row>
    <row r="9487" spans="1:4" x14ac:dyDescent="0.2">
      <c r="A9487" s="140" t="s">
        <v>856</v>
      </c>
      <c r="B9487" s="141">
        <v>2.5628864590710298E-6</v>
      </c>
      <c r="D9487" s="141"/>
    </row>
    <row r="9488" spans="1:4" x14ac:dyDescent="0.2">
      <c r="A9488" s="140" t="s">
        <v>2048</v>
      </c>
      <c r="B9488" s="141">
        <v>2.5405936086782099E-6</v>
      </c>
      <c r="D9488" s="141"/>
    </row>
    <row r="9489" spans="1:4" x14ac:dyDescent="0.2">
      <c r="A9489" s="140" t="s">
        <v>10057</v>
      </c>
      <c r="B9489" s="141">
        <v>2.5273582179591002E-6</v>
      </c>
      <c r="D9489" s="141"/>
    </row>
    <row r="9490" spans="1:4" x14ac:dyDescent="0.2">
      <c r="A9490" s="140" t="s">
        <v>4160</v>
      </c>
      <c r="B9490" s="141">
        <v>2.5207537835818801E-6</v>
      </c>
      <c r="D9490" s="141"/>
    </row>
    <row r="9491" spans="1:4" x14ac:dyDescent="0.2">
      <c r="A9491" s="140" t="s">
        <v>576</v>
      </c>
      <c r="B9491" s="141">
        <v>2.51848916446051E-6</v>
      </c>
      <c r="D9491" s="141"/>
    </row>
    <row r="9492" spans="1:4" x14ac:dyDescent="0.2">
      <c r="A9492" s="140" t="s">
        <v>10058</v>
      </c>
      <c r="B9492" s="141">
        <v>2.5161193325482401E-6</v>
      </c>
      <c r="D9492" s="141"/>
    </row>
    <row r="9493" spans="1:4" x14ac:dyDescent="0.2">
      <c r="A9493" s="140" t="s">
        <v>10059</v>
      </c>
      <c r="B9493" s="141">
        <v>2.5005763613286801E-6</v>
      </c>
      <c r="D9493" s="141"/>
    </row>
    <row r="9494" spans="1:4" x14ac:dyDescent="0.2">
      <c r="A9494" s="140" t="s">
        <v>4662</v>
      </c>
      <c r="B9494" s="141">
        <v>2.4947713537656398E-6</v>
      </c>
      <c r="D9494" s="141"/>
    </row>
    <row r="9495" spans="1:4" x14ac:dyDescent="0.2">
      <c r="A9495" s="140" t="s">
        <v>10060</v>
      </c>
      <c r="B9495" s="141">
        <v>2.4947526763447899E-6</v>
      </c>
      <c r="D9495" s="141"/>
    </row>
    <row r="9496" spans="1:4" x14ac:dyDescent="0.2">
      <c r="A9496" s="140" t="s">
        <v>10061</v>
      </c>
      <c r="B9496" s="141">
        <v>2.4792757813788201E-6</v>
      </c>
      <c r="D9496" s="141"/>
    </row>
    <row r="9497" spans="1:4" x14ac:dyDescent="0.2">
      <c r="A9497" s="140" t="s">
        <v>801</v>
      </c>
      <c r="B9497" s="141">
        <v>2.4776907617948302E-6</v>
      </c>
      <c r="D9497" s="141"/>
    </row>
    <row r="9498" spans="1:4" x14ac:dyDescent="0.2">
      <c r="A9498" s="140" t="s">
        <v>983</v>
      </c>
      <c r="B9498" s="141">
        <v>2.4682854862664302E-6</v>
      </c>
      <c r="D9498" s="141"/>
    </row>
    <row r="9499" spans="1:4" x14ac:dyDescent="0.2">
      <c r="A9499" s="140" t="s">
        <v>551</v>
      </c>
      <c r="B9499" s="141">
        <v>2.4626316110672802E-6</v>
      </c>
      <c r="D9499" s="141"/>
    </row>
    <row r="9500" spans="1:4" x14ac:dyDescent="0.2">
      <c r="A9500" s="140" t="s">
        <v>991</v>
      </c>
      <c r="B9500" s="141">
        <v>2.4530946423078398E-6</v>
      </c>
      <c r="D9500" s="141"/>
    </row>
    <row r="9501" spans="1:4" x14ac:dyDescent="0.2">
      <c r="A9501" s="140" t="s">
        <v>659</v>
      </c>
      <c r="B9501" s="141">
        <v>2.4423889736343801E-6</v>
      </c>
      <c r="D9501" s="141"/>
    </row>
    <row r="9502" spans="1:4" x14ac:dyDescent="0.2">
      <c r="A9502" s="140" t="s">
        <v>764</v>
      </c>
      <c r="B9502" s="141">
        <v>2.4419303337780202E-6</v>
      </c>
      <c r="D9502" s="141"/>
    </row>
    <row r="9503" spans="1:4" x14ac:dyDescent="0.2">
      <c r="A9503" s="140" t="s">
        <v>5975</v>
      </c>
      <c r="B9503" s="141">
        <v>2.4071416028282002E-6</v>
      </c>
      <c r="D9503" s="141"/>
    </row>
    <row r="9504" spans="1:4" x14ac:dyDescent="0.2">
      <c r="A9504" s="140" t="s">
        <v>5063</v>
      </c>
      <c r="B9504" s="141">
        <v>2.4071416028282002E-6</v>
      </c>
      <c r="D9504" s="141"/>
    </row>
    <row r="9505" spans="1:4" x14ac:dyDescent="0.2">
      <c r="A9505" s="140" t="s">
        <v>10062</v>
      </c>
      <c r="B9505" s="141">
        <v>2.3963436222670499E-6</v>
      </c>
      <c r="D9505" s="141"/>
    </row>
    <row r="9506" spans="1:4" x14ac:dyDescent="0.2">
      <c r="A9506" s="140" t="s">
        <v>10063</v>
      </c>
      <c r="B9506" s="141">
        <v>2.3963436222670499E-6</v>
      </c>
      <c r="D9506" s="141"/>
    </row>
    <row r="9507" spans="1:4" x14ac:dyDescent="0.2">
      <c r="A9507" s="140" t="s">
        <v>10064</v>
      </c>
      <c r="B9507" s="141">
        <v>2.3814931443899601E-6</v>
      </c>
      <c r="D9507" s="141"/>
    </row>
    <row r="9508" spans="1:4" x14ac:dyDescent="0.2">
      <c r="A9508" s="140" t="s">
        <v>10065</v>
      </c>
      <c r="B9508" s="141">
        <v>2.3814931443899601E-6</v>
      </c>
      <c r="D9508" s="141"/>
    </row>
    <row r="9509" spans="1:4" x14ac:dyDescent="0.2">
      <c r="A9509" s="140" t="s">
        <v>407</v>
      </c>
      <c r="B9509" s="141">
        <v>2.3596393841317301E-6</v>
      </c>
      <c r="D9509" s="141"/>
    </row>
    <row r="9510" spans="1:4" x14ac:dyDescent="0.2">
      <c r="A9510" s="140" t="s">
        <v>10066</v>
      </c>
      <c r="B9510" s="141">
        <v>2.35868668100784E-6</v>
      </c>
      <c r="D9510" s="141"/>
    </row>
    <row r="9511" spans="1:4" x14ac:dyDescent="0.2">
      <c r="A9511" s="140" t="s">
        <v>10067</v>
      </c>
      <c r="B9511" s="141">
        <v>2.3546401948224002E-6</v>
      </c>
      <c r="D9511" s="141"/>
    </row>
    <row r="9512" spans="1:4" x14ac:dyDescent="0.2">
      <c r="A9512" s="140" t="s">
        <v>10068</v>
      </c>
      <c r="B9512" s="141">
        <v>2.3472460779148298E-6</v>
      </c>
      <c r="D9512" s="141"/>
    </row>
    <row r="9513" spans="1:4" x14ac:dyDescent="0.2">
      <c r="A9513" s="140" t="s">
        <v>10069</v>
      </c>
      <c r="B9513" s="141">
        <v>2.3346062621297402E-6</v>
      </c>
      <c r="D9513" s="141"/>
    </row>
    <row r="9514" spans="1:4" x14ac:dyDescent="0.2">
      <c r="A9514" s="140" t="s">
        <v>1602</v>
      </c>
      <c r="B9514" s="141">
        <v>2.32943759898801E-6</v>
      </c>
      <c r="D9514" s="141"/>
    </row>
    <row r="9515" spans="1:4" x14ac:dyDescent="0.2">
      <c r="A9515" s="140" t="s">
        <v>1503</v>
      </c>
      <c r="B9515" s="141">
        <v>2.3165076840655998E-6</v>
      </c>
      <c r="D9515" s="141"/>
    </row>
    <row r="9516" spans="1:4" x14ac:dyDescent="0.2">
      <c r="A9516" s="140" t="s">
        <v>400</v>
      </c>
      <c r="B9516" s="141">
        <v>2.3035977983578999E-6</v>
      </c>
      <c r="D9516" s="141"/>
    </row>
    <row r="9517" spans="1:4" x14ac:dyDescent="0.2">
      <c r="A9517" s="140" t="s">
        <v>10070</v>
      </c>
      <c r="B9517" s="141">
        <v>2.2947456448950798E-6</v>
      </c>
      <c r="D9517" s="141"/>
    </row>
    <row r="9518" spans="1:4" x14ac:dyDescent="0.2">
      <c r="A9518" s="140" t="s">
        <v>10071</v>
      </c>
      <c r="B9518" s="141">
        <v>2.2918748906170099E-6</v>
      </c>
      <c r="D9518" s="141"/>
    </row>
    <row r="9519" spans="1:4" x14ac:dyDescent="0.2">
      <c r="A9519" s="140" t="s">
        <v>1439</v>
      </c>
      <c r="B9519" s="141">
        <v>2.2737357229290102E-6</v>
      </c>
      <c r="D9519" s="141"/>
    </row>
    <row r="9520" spans="1:4" x14ac:dyDescent="0.2">
      <c r="A9520" s="140" t="s">
        <v>5372</v>
      </c>
      <c r="B9520" s="141">
        <v>2.24029706675786E-6</v>
      </c>
      <c r="D9520" s="141"/>
    </row>
    <row r="9521" spans="1:4" x14ac:dyDescent="0.2">
      <c r="A9521" s="140" t="s">
        <v>10072</v>
      </c>
      <c r="B9521" s="141">
        <v>2.2335539073410899E-6</v>
      </c>
      <c r="D9521" s="141"/>
    </row>
    <row r="9522" spans="1:4" x14ac:dyDescent="0.2">
      <c r="A9522" s="140" t="s">
        <v>471</v>
      </c>
      <c r="B9522" s="141">
        <v>2.2204482462774298E-6</v>
      </c>
      <c r="D9522" s="141"/>
    </row>
    <row r="9523" spans="1:4" x14ac:dyDescent="0.2">
      <c r="A9523" s="140" t="s">
        <v>10073</v>
      </c>
      <c r="B9523" s="141">
        <v>2.2132209072984901E-6</v>
      </c>
      <c r="D9523" s="141"/>
    </row>
    <row r="9524" spans="1:4" x14ac:dyDescent="0.2">
      <c r="A9524" s="140" t="s">
        <v>10074</v>
      </c>
      <c r="B9524" s="141">
        <v>2.2130314716370901E-6</v>
      </c>
      <c r="D9524" s="141"/>
    </row>
    <row r="9525" spans="1:4" x14ac:dyDescent="0.2">
      <c r="A9525" s="140" t="s">
        <v>6050</v>
      </c>
      <c r="B9525" s="141">
        <v>2.1961786286348701E-6</v>
      </c>
      <c r="D9525" s="141"/>
    </row>
    <row r="9526" spans="1:4" x14ac:dyDescent="0.2">
      <c r="A9526" s="140" t="s">
        <v>570</v>
      </c>
      <c r="B9526" s="141">
        <v>2.1895679427313398E-6</v>
      </c>
      <c r="D9526" s="141"/>
    </row>
    <row r="9527" spans="1:4" x14ac:dyDescent="0.2">
      <c r="A9527" s="140" t="s">
        <v>852</v>
      </c>
      <c r="B9527" s="141">
        <v>2.1754357940571002E-6</v>
      </c>
      <c r="D9527" s="141"/>
    </row>
    <row r="9528" spans="1:4" x14ac:dyDescent="0.2">
      <c r="A9528" s="140" t="s">
        <v>934</v>
      </c>
      <c r="B9528" s="141">
        <v>2.1732069693922698E-6</v>
      </c>
      <c r="D9528" s="141"/>
    </row>
    <row r="9529" spans="1:4" x14ac:dyDescent="0.2">
      <c r="A9529" s="140" t="s">
        <v>564</v>
      </c>
      <c r="B9529" s="141">
        <v>2.1553165191672799E-6</v>
      </c>
      <c r="D9529" s="141"/>
    </row>
    <row r="9530" spans="1:4" x14ac:dyDescent="0.2">
      <c r="A9530" s="140" t="s">
        <v>1975</v>
      </c>
      <c r="B9530" s="141">
        <v>2.1423820063348899E-6</v>
      </c>
      <c r="D9530" s="141"/>
    </row>
    <row r="9531" spans="1:4" x14ac:dyDescent="0.2">
      <c r="A9531" s="140" t="s">
        <v>693</v>
      </c>
      <c r="B9531" s="141">
        <v>2.1321173431909299E-6</v>
      </c>
      <c r="D9531" s="141"/>
    </row>
    <row r="9532" spans="1:4" x14ac:dyDescent="0.2">
      <c r="A9532" s="140" t="s">
        <v>10075</v>
      </c>
      <c r="B9532" s="141">
        <v>2.0992094690959101E-6</v>
      </c>
      <c r="D9532" s="141"/>
    </row>
    <row r="9533" spans="1:4" x14ac:dyDescent="0.2">
      <c r="A9533" s="140" t="s">
        <v>6230</v>
      </c>
      <c r="B9533" s="141">
        <v>2.09594205909491E-6</v>
      </c>
      <c r="D9533" s="141"/>
    </row>
    <row r="9534" spans="1:4" x14ac:dyDescent="0.2">
      <c r="A9534" s="140" t="s">
        <v>10076</v>
      </c>
      <c r="B9534" s="141">
        <v>2.0713157500044801E-6</v>
      </c>
      <c r="D9534" s="141"/>
    </row>
    <row r="9535" spans="1:4" x14ac:dyDescent="0.2">
      <c r="A9535" s="140" t="s">
        <v>10077</v>
      </c>
      <c r="B9535" s="141">
        <v>2.0670737195936699E-6</v>
      </c>
      <c r="D9535" s="141"/>
    </row>
    <row r="9536" spans="1:4" x14ac:dyDescent="0.2">
      <c r="A9536" s="140" t="s">
        <v>1933</v>
      </c>
      <c r="B9536" s="141">
        <v>2.0666226017273501E-6</v>
      </c>
      <c r="D9536" s="141"/>
    </row>
    <row r="9537" spans="1:4" x14ac:dyDescent="0.2">
      <c r="A9537" s="140" t="s">
        <v>10078</v>
      </c>
      <c r="B9537" s="141">
        <v>2.0358935603151901E-6</v>
      </c>
      <c r="D9537" s="141"/>
    </row>
    <row r="9538" spans="1:4" x14ac:dyDescent="0.2">
      <c r="A9538" s="140" t="s">
        <v>348</v>
      </c>
      <c r="B9538" s="141">
        <v>2.0346944124867299E-6</v>
      </c>
      <c r="D9538" s="141"/>
    </row>
    <row r="9539" spans="1:4" x14ac:dyDescent="0.2">
      <c r="A9539" s="140" t="s">
        <v>10079</v>
      </c>
      <c r="B9539" s="141">
        <v>2.0278083126431199E-6</v>
      </c>
      <c r="D9539" s="141"/>
    </row>
    <row r="9540" spans="1:4" x14ac:dyDescent="0.2">
      <c r="A9540" s="140" t="s">
        <v>10080</v>
      </c>
      <c r="B9540" s="141">
        <v>2.0005860240840499E-6</v>
      </c>
      <c r="D9540" s="141"/>
    </row>
    <row r="9541" spans="1:4" x14ac:dyDescent="0.2">
      <c r="A9541" s="140" t="s">
        <v>10081</v>
      </c>
      <c r="B9541" s="141">
        <v>2.0005860240840499E-6</v>
      </c>
      <c r="D9541" s="141"/>
    </row>
    <row r="9542" spans="1:4" x14ac:dyDescent="0.2">
      <c r="A9542" s="140" t="s">
        <v>10082</v>
      </c>
      <c r="B9542" s="141">
        <v>2.0005860240840499E-6</v>
      </c>
      <c r="D9542" s="141"/>
    </row>
    <row r="9543" spans="1:4" x14ac:dyDescent="0.2">
      <c r="A9543" s="140" t="s">
        <v>10083</v>
      </c>
      <c r="B9543" s="141">
        <v>2.0005860240840499E-6</v>
      </c>
      <c r="D9543" s="141"/>
    </row>
    <row r="9544" spans="1:4" x14ac:dyDescent="0.2">
      <c r="A9544" s="140" t="s">
        <v>10084</v>
      </c>
      <c r="B9544" s="141">
        <v>1.98030586936722E-6</v>
      </c>
      <c r="D9544" s="141"/>
    </row>
    <row r="9545" spans="1:4" x14ac:dyDescent="0.2">
      <c r="A9545" s="140" t="s">
        <v>1412</v>
      </c>
      <c r="B9545" s="141">
        <v>1.9739415661940799E-6</v>
      </c>
      <c r="D9545" s="141"/>
    </row>
    <row r="9546" spans="1:4" x14ac:dyDescent="0.2">
      <c r="A9546" s="140" t="s">
        <v>10085</v>
      </c>
      <c r="B9546" s="141">
        <v>1.9650776225724299E-6</v>
      </c>
      <c r="D9546" s="141"/>
    </row>
    <row r="9547" spans="1:4" x14ac:dyDescent="0.2">
      <c r="A9547" s="140" t="s">
        <v>10086</v>
      </c>
      <c r="B9547" s="141">
        <v>1.95389773547155E-6</v>
      </c>
      <c r="D9547" s="141"/>
    </row>
    <row r="9548" spans="1:4" x14ac:dyDescent="0.2">
      <c r="A9548" s="140" t="s">
        <v>10087</v>
      </c>
      <c r="B9548" s="141">
        <v>1.9530772121652099E-6</v>
      </c>
      <c r="D9548" s="141"/>
    </row>
    <row r="9549" spans="1:4" x14ac:dyDescent="0.2">
      <c r="A9549" s="140" t="s">
        <v>1870</v>
      </c>
      <c r="B9549" s="141">
        <v>1.9510963696713699E-6</v>
      </c>
      <c r="D9549" s="141"/>
    </row>
    <row r="9550" spans="1:4" x14ac:dyDescent="0.2">
      <c r="A9550" s="140" t="s">
        <v>10088</v>
      </c>
      <c r="B9550" s="141">
        <v>1.9268991761219898E-6</v>
      </c>
      <c r="D9550" s="141"/>
    </row>
    <row r="9551" spans="1:4" x14ac:dyDescent="0.2">
      <c r="A9551" s="140" t="s">
        <v>646</v>
      </c>
      <c r="B9551" s="141">
        <v>1.9230734279841698E-6</v>
      </c>
      <c r="D9551" s="141"/>
    </row>
    <row r="9552" spans="1:4" x14ac:dyDescent="0.2">
      <c r="A9552" s="140" t="s">
        <v>2270</v>
      </c>
      <c r="B9552" s="141">
        <v>1.9187496830366298E-6</v>
      </c>
      <c r="D9552" s="141"/>
    </row>
    <row r="9553" spans="1:4" x14ac:dyDescent="0.2">
      <c r="A9553" s="140" t="s">
        <v>10089</v>
      </c>
      <c r="B9553" s="141">
        <v>1.9115160880818401E-6</v>
      </c>
      <c r="D9553" s="141"/>
    </row>
    <row r="9554" spans="1:4" x14ac:dyDescent="0.2">
      <c r="A9554" s="140" t="s">
        <v>10090</v>
      </c>
      <c r="B9554" s="141">
        <v>1.9115160880818401E-6</v>
      </c>
      <c r="D9554" s="141"/>
    </row>
    <row r="9555" spans="1:4" x14ac:dyDescent="0.2">
      <c r="A9555" s="140" t="s">
        <v>3595</v>
      </c>
      <c r="B9555" s="141">
        <v>1.9115160880818401E-6</v>
      </c>
      <c r="D9555" s="141"/>
    </row>
    <row r="9556" spans="1:4" x14ac:dyDescent="0.2">
      <c r="A9556" s="140" t="s">
        <v>10091</v>
      </c>
      <c r="B9556" s="141">
        <v>1.9115160880818401E-6</v>
      </c>
      <c r="D9556" s="141"/>
    </row>
    <row r="9557" spans="1:4" x14ac:dyDescent="0.2">
      <c r="A9557" s="140" t="s">
        <v>10092</v>
      </c>
      <c r="B9557" s="141">
        <v>1.9115160880818401E-6</v>
      </c>
      <c r="D9557" s="141"/>
    </row>
    <row r="9558" spans="1:4" x14ac:dyDescent="0.2">
      <c r="A9558" s="140" t="s">
        <v>10093</v>
      </c>
      <c r="B9558" s="141">
        <v>1.9115160880818401E-6</v>
      </c>
      <c r="D9558" s="141"/>
    </row>
    <row r="9559" spans="1:4" x14ac:dyDescent="0.2">
      <c r="A9559" s="140" t="s">
        <v>10094</v>
      </c>
      <c r="B9559" s="141">
        <v>1.9115160880818401E-6</v>
      </c>
      <c r="D9559" s="141"/>
    </row>
    <row r="9560" spans="1:4" x14ac:dyDescent="0.2">
      <c r="A9560" s="140" t="s">
        <v>10095</v>
      </c>
      <c r="B9560" s="141">
        <v>1.9115160880818401E-6</v>
      </c>
      <c r="D9560" s="141"/>
    </row>
    <row r="9561" spans="1:4" x14ac:dyDescent="0.2">
      <c r="A9561" s="140" t="s">
        <v>3111</v>
      </c>
      <c r="B9561" s="141">
        <v>1.8995497610539401E-6</v>
      </c>
      <c r="D9561" s="141"/>
    </row>
    <row r="9562" spans="1:4" x14ac:dyDescent="0.2">
      <c r="A9562" s="140" t="s">
        <v>10096</v>
      </c>
      <c r="B9562" s="141">
        <v>1.8982042380604E-6</v>
      </c>
      <c r="D9562" s="141"/>
    </row>
    <row r="9563" spans="1:4" x14ac:dyDescent="0.2">
      <c r="A9563" s="140" t="s">
        <v>10097</v>
      </c>
      <c r="B9563" s="141">
        <v>1.8859892191086201E-6</v>
      </c>
      <c r="D9563" s="141"/>
    </row>
    <row r="9564" spans="1:4" x14ac:dyDescent="0.2">
      <c r="A9564" s="140" t="s">
        <v>5772</v>
      </c>
      <c r="B9564" s="141">
        <v>1.8687289080884199E-6</v>
      </c>
      <c r="D9564" s="141"/>
    </row>
    <row r="9565" spans="1:4" x14ac:dyDescent="0.2">
      <c r="A9565" s="140" t="s">
        <v>3230</v>
      </c>
      <c r="B9565" s="141">
        <v>1.8599130343078899E-6</v>
      </c>
      <c r="D9565" s="141"/>
    </row>
    <row r="9566" spans="1:4" x14ac:dyDescent="0.2">
      <c r="A9566" s="140" t="s">
        <v>10098</v>
      </c>
      <c r="B9566" s="141">
        <v>1.84463930421682E-6</v>
      </c>
      <c r="D9566" s="141"/>
    </row>
    <row r="9567" spans="1:4" x14ac:dyDescent="0.2">
      <c r="A9567" s="140" t="s">
        <v>566</v>
      </c>
      <c r="B9567" s="141">
        <v>1.8431369572584701E-6</v>
      </c>
      <c r="D9567" s="141"/>
    </row>
    <row r="9568" spans="1:4" x14ac:dyDescent="0.2">
      <c r="A9568" s="140" t="s">
        <v>10099</v>
      </c>
      <c r="B9568" s="141">
        <v>1.8172344389996199E-6</v>
      </c>
      <c r="D9568" s="141"/>
    </row>
    <row r="9569" spans="1:4" x14ac:dyDescent="0.2">
      <c r="A9569" s="140" t="s">
        <v>1744</v>
      </c>
      <c r="B9569" s="141">
        <v>1.8048563113496801E-6</v>
      </c>
      <c r="D9569" s="141"/>
    </row>
    <row r="9570" spans="1:4" x14ac:dyDescent="0.2">
      <c r="A9570" s="140" t="s">
        <v>10100</v>
      </c>
      <c r="B9570" s="141">
        <v>1.80286487088752E-6</v>
      </c>
      <c r="D9570" s="141"/>
    </row>
    <row r="9571" spans="1:4" x14ac:dyDescent="0.2">
      <c r="A9571" s="140" t="s">
        <v>10101</v>
      </c>
      <c r="B9571" s="141">
        <v>1.7763954724154399E-6</v>
      </c>
      <c r="D9571" s="141"/>
    </row>
    <row r="9572" spans="1:4" x14ac:dyDescent="0.2">
      <c r="A9572" s="140" t="s">
        <v>5661</v>
      </c>
      <c r="B9572" s="141">
        <v>1.7691808745886699E-6</v>
      </c>
      <c r="D9572" s="141"/>
    </row>
    <row r="9573" spans="1:4" x14ac:dyDescent="0.2">
      <c r="A9573" s="140" t="s">
        <v>5062</v>
      </c>
      <c r="B9573" s="141">
        <v>1.7691808745886699E-6</v>
      </c>
      <c r="D9573" s="141"/>
    </row>
    <row r="9574" spans="1:4" x14ac:dyDescent="0.2">
      <c r="A9574" s="140" t="s">
        <v>5040</v>
      </c>
      <c r="B9574" s="141">
        <v>1.7691808745886699E-6</v>
      </c>
      <c r="D9574" s="141"/>
    </row>
    <row r="9575" spans="1:4" x14ac:dyDescent="0.2">
      <c r="A9575" s="140" t="s">
        <v>4246</v>
      </c>
      <c r="B9575" s="141">
        <v>1.7691808745886699E-6</v>
      </c>
      <c r="D9575" s="141"/>
    </row>
    <row r="9576" spans="1:4" x14ac:dyDescent="0.2">
      <c r="A9576" s="140" t="s">
        <v>3563</v>
      </c>
      <c r="B9576" s="141">
        <v>1.7691808745886699E-6</v>
      </c>
      <c r="D9576" s="141"/>
    </row>
    <row r="9577" spans="1:4" x14ac:dyDescent="0.2">
      <c r="A9577" s="140" t="s">
        <v>2040</v>
      </c>
      <c r="B9577" s="141">
        <v>1.76305648337822E-6</v>
      </c>
      <c r="D9577" s="141"/>
    </row>
    <row r="9578" spans="1:4" x14ac:dyDescent="0.2">
      <c r="A9578" s="140" t="s">
        <v>1326</v>
      </c>
      <c r="B9578" s="141">
        <v>1.75869029144875E-6</v>
      </c>
      <c r="D9578" s="141"/>
    </row>
    <row r="9579" spans="1:4" x14ac:dyDescent="0.2">
      <c r="A9579" s="140" t="s">
        <v>10102</v>
      </c>
      <c r="B9579" s="141">
        <v>1.75767789252726E-6</v>
      </c>
      <c r="D9579" s="141"/>
    </row>
    <row r="9580" spans="1:4" x14ac:dyDescent="0.2">
      <c r="A9580" s="140" t="s">
        <v>4956</v>
      </c>
      <c r="B9580" s="141">
        <v>1.7538412669440699E-6</v>
      </c>
      <c r="D9580" s="141"/>
    </row>
    <row r="9581" spans="1:4" x14ac:dyDescent="0.2">
      <c r="A9581" s="140" t="s">
        <v>1050</v>
      </c>
      <c r="B9581" s="141">
        <v>1.7411758705245401E-6</v>
      </c>
      <c r="D9581" s="141"/>
    </row>
    <row r="9582" spans="1:4" x14ac:dyDescent="0.2">
      <c r="A9582" s="140" t="s">
        <v>4039</v>
      </c>
      <c r="B9582" s="141">
        <v>1.7272533825264501E-6</v>
      </c>
      <c r="D9582" s="141"/>
    </row>
    <row r="9583" spans="1:4" x14ac:dyDescent="0.2">
      <c r="A9583" s="140" t="s">
        <v>10103</v>
      </c>
      <c r="B9583" s="141">
        <v>1.7046724708521201E-6</v>
      </c>
      <c r="D9583" s="141"/>
    </row>
    <row r="9584" spans="1:4" x14ac:dyDescent="0.2">
      <c r="A9584" s="140" t="s">
        <v>10104</v>
      </c>
      <c r="B9584" s="141">
        <v>1.7045210257244199E-6</v>
      </c>
      <c r="D9584" s="141"/>
    </row>
    <row r="9585" spans="1:4" x14ac:dyDescent="0.2">
      <c r="A9585" s="140" t="s">
        <v>10105</v>
      </c>
      <c r="B9585" s="141">
        <v>1.7045210257244199E-6</v>
      </c>
      <c r="D9585" s="141"/>
    </row>
    <row r="9586" spans="1:4" x14ac:dyDescent="0.2">
      <c r="A9586" s="140" t="s">
        <v>10106</v>
      </c>
      <c r="B9586" s="141">
        <v>1.7045210257244199E-6</v>
      </c>
      <c r="D9586" s="141"/>
    </row>
    <row r="9587" spans="1:4" x14ac:dyDescent="0.2">
      <c r="A9587" s="140" t="s">
        <v>10107</v>
      </c>
      <c r="B9587" s="141">
        <v>1.7045210257244199E-6</v>
      </c>
      <c r="D9587" s="141"/>
    </row>
    <row r="9588" spans="1:4" x14ac:dyDescent="0.2">
      <c r="A9588" s="140" t="s">
        <v>10108</v>
      </c>
      <c r="B9588" s="141">
        <v>1.7045210257244199E-6</v>
      </c>
      <c r="D9588" s="141"/>
    </row>
    <row r="9589" spans="1:4" x14ac:dyDescent="0.2">
      <c r="A9589" s="140" t="s">
        <v>10109</v>
      </c>
      <c r="B9589" s="141">
        <v>1.7045210257244199E-6</v>
      </c>
      <c r="D9589" s="141"/>
    </row>
    <row r="9590" spans="1:4" x14ac:dyDescent="0.2">
      <c r="A9590" s="140" t="s">
        <v>10110</v>
      </c>
      <c r="B9590" s="141">
        <v>1.67589051350691E-6</v>
      </c>
      <c r="D9590" s="141"/>
    </row>
    <row r="9591" spans="1:4" x14ac:dyDescent="0.2">
      <c r="A9591" s="140" t="s">
        <v>1900</v>
      </c>
      <c r="B9591" s="141">
        <v>1.6610805186510599E-6</v>
      </c>
      <c r="D9591" s="141"/>
    </row>
    <row r="9592" spans="1:4" x14ac:dyDescent="0.2">
      <c r="A9592" s="140" t="s">
        <v>10111</v>
      </c>
      <c r="B9592" s="141">
        <v>1.6415875331539E-6</v>
      </c>
      <c r="D9592" s="141"/>
    </row>
    <row r="9593" spans="1:4" x14ac:dyDescent="0.2">
      <c r="A9593" s="140" t="s">
        <v>779</v>
      </c>
      <c r="B9593" s="141">
        <v>1.6088364522585101E-6</v>
      </c>
      <c r="D9593" s="141"/>
    </row>
    <row r="9594" spans="1:4" x14ac:dyDescent="0.2">
      <c r="A9594" s="140" t="s">
        <v>5186</v>
      </c>
      <c r="B9594" s="141">
        <v>1.60004834167298E-6</v>
      </c>
      <c r="D9594" s="141"/>
    </row>
    <row r="9595" spans="1:4" x14ac:dyDescent="0.2">
      <c r="A9595" s="140" t="s">
        <v>10112</v>
      </c>
      <c r="B9595" s="141">
        <v>1.59170847924959E-6</v>
      </c>
      <c r="D9595" s="141"/>
    </row>
    <row r="9596" spans="1:4" x14ac:dyDescent="0.2">
      <c r="A9596" s="140" t="s">
        <v>774</v>
      </c>
      <c r="B9596" s="141">
        <v>1.55473756795118E-6</v>
      </c>
      <c r="D9596" s="141"/>
    </row>
    <row r="9597" spans="1:4" x14ac:dyDescent="0.2">
      <c r="A9597" s="140" t="s">
        <v>889</v>
      </c>
      <c r="B9597" s="141">
        <v>1.55129579954755E-6</v>
      </c>
      <c r="D9597" s="141"/>
    </row>
    <row r="9598" spans="1:4" x14ac:dyDescent="0.2">
      <c r="A9598" s="140" t="s">
        <v>1009</v>
      </c>
      <c r="B9598" s="141">
        <v>1.5509533412925699E-6</v>
      </c>
      <c r="D9598" s="141"/>
    </row>
    <row r="9599" spans="1:4" x14ac:dyDescent="0.2">
      <c r="A9599" s="140" t="s">
        <v>6026</v>
      </c>
      <c r="B9599" s="141">
        <v>1.53973642677175E-6</v>
      </c>
      <c r="D9599" s="141"/>
    </row>
    <row r="9600" spans="1:4" x14ac:dyDescent="0.2">
      <c r="A9600" s="140" t="s">
        <v>755</v>
      </c>
      <c r="B9600" s="141">
        <v>1.5264416232141399E-6</v>
      </c>
      <c r="D9600" s="141"/>
    </row>
    <row r="9601" spans="1:4" x14ac:dyDescent="0.2">
      <c r="A9601" s="140" t="s">
        <v>597</v>
      </c>
      <c r="B9601" s="141">
        <v>1.5111377111681701E-6</v>
      </c>
      <c r="D9601" s="141"/>
    </row>
    <row r="9602" spans="1:4" x14ac:dyDescent="0.2">
      <c r="A9602" s="140" t="s">
        <v>5908</v>
      </c>
      <c r="B9602" s="141">
        <v>1.50670469429419E-6</v>
      </c>
      <c r="D9602" s="141"/>
    </row>
    <row r="9603" spans="1:4" x14ac:dyDescent="0.2">
      <c r="A9603" s="140" t="s">
        <v>4903</v>
      </c>
      <c r="B9603" s="141">
        <v>1.4896903732821101E-6</v>
      </c>
      <c r="D9603" s="141"/>
    </row>
    <row r="9604" spans="1:4" x14ac:dyDescent="0.2">
      <c r="A9604" s="140" t="s">
        <v>10113</v>
      </c>
      <c r="B9604" s="141">
        <v>1.4804145235571E-6</v>
      </c>
      <c r="D9604" s="141"/>
    </row>
    <row r="9605" spans="1:4" x14ac:dyDescent="0.2">
      <c r="A9605" s="140" t="s">
        <v>515</v>
      </c>
      <c r="B9605" s="141">
        <v>1.43325519471888E-6</v>
      </c>
      <c r="D9605" s="141"/>
    </row>
    <row r="9606" spans="1:4" x14ac:dyDescent="0.2">
      <c r="A9606" s="140" t="s">
        <v>1672</v>
      </c>
      <c r="B9606" s="141">
        <v>1.40454661046255E-6</v>
      </c>
      <c r="D9606" s="141"/>
    </row>
    <row r="9607" spans="1:4" x14ac:dyDescent="0.2">
      <c r="A9607" s="140" t="s">
        <v>1624</v>
      </c>
      <c r="B9607" s="141">
        <v>1.39819841598082E-6</v>
      </c>
      <c r="D9607" s="141"/>
    </row>
    <row r="9608" spans="1:4" x14ac:dyDescent="0.2">
      <c r="A9608" s="140" t="s">
        <v>1155</v>
      </c>
      <c r="B9608" s="141">
        <v>1.3890545515979099E-6</v>
      </c>
      <c r="D9608" s="141"/>
    </row>
    <row r="9609" spans="1:4" x14ac:dyDescent="0.2">
      <c r="A9609" s="140" t="s">
        <v>602</v>
      </c>
      <c r="B9609" s="141">
        <v>1.3679137959227899E-6</v>
      </c>
      <c r="D9609" s="141"/>
    </row>
    <row r="9610" spans="1:4" x14ac:dyDescent="0.2">
      <c r="A9610" s="140" t="s">
        <v>1233</v>
      </c>
      <c r="B9610" s="141">
        <v>1.3561890775468399E-6</v>
      </c>
      <c r="D9610" s="141"/>
    </row>
    <row r="9611" spans="1:4" x14ac:dyDescent="0.2">
      <c r="A9611" s="140" t="s">
        <v>10114</v>
      </c>
      <c r="B9611" s="141">
        <v>1.3392587690669301E-6</v>
      </c>
      <c r="D9611" s="141"/>
    </row>
    <row r="9612" spans="1:4" x14ac:dyDescent="0.2">
      <c r="A9612" s="140" t="s">
        <v>10115</v>
      </c>
      <c r="B9612" s="141">
        <v>1.3392587690669301E-6</v>
      </c>
      <c r="D9612" s="141"/>
    </row>
    <row r="9613" spans="1:4" x14ac:dyDescent="0.2">
      <c r="A9613" s="140" t="s">
        <v>880</v>
      </c>
      <c r="B9613" s="141">
        <v>1.3384575370183601E-6</v>
      </c>
      <c r="D9613" s="141"/>
    </row>
    <row r="9614" spans="1:4" x14ac:dyDescent="0.2">
      <c r="A9614" s="140" t="s">
        <v>10116</v>
      </c>
      <c r="B9614" s="141">
        <v>1.3034533633083001E-6</v>
      </c>
      <c r="D9614" s="141"/>
    </row>
    <row r="9615" spans="1:4" x14ac:dyDescent="0.2">
      <c r="A9615" s="140" t="s">
        <v>1267</v>
      </c>
      <c r="B9615" s="141">
        <v>1.2995483836261899E-6</v>
      </c>
      <c r="D9615" s="141"/>
    </row>
    <row r="9616" spans="1:4" x14ac:dyDescent="0.2">
      <c r="A9616" s="140" t="s">
        <v>10117</v>
      </c>
      <c r="B9616" s="141">
        <v>1.2918958379020301E-6</v>
      </c>
      <c r="D9616" s="141"/>
    </row>
    <row r="9617" spans="1:4" x14ac:dyDescent="0.2">
      <c r="A9617" s="140" t="s">
        <v>10118</v>
      </c>
      <c r="B9617" s="141">
        <v>1.28007675589145E-6</v>
      </c>
      <c r="D9617" s="141"/>
    </row>
    <row r="9618" spans="1:4" x14ac:dyDescent="0.2">
      <c r="A9618" s="140" t="s">
        <v>1896</v>
      </c>
      <c r="B9618" s="141">
        <v>1.2637334997886799E-6</v>
      </c>
      <c r="D9618" s="141"/>
    </row>
    <row r="9619" spans="1:4" x14ac:dyDescent="0.2">
      <c r="A9619" s="140" t="s">
        <v>10119</v>
      </c>
      <c r="B9619" s="141">
        <v>1.2628446589421899E-6</v>
      </c>
      <c r="D9619" s="141"/>
    </row>
    <row r="9620" spans="1:4" x14ac:dyDescent="0.2">
      <c r="A9620" s="140" t="s">
        <v>874</v>
      </c>
      <c r="B9620" s="141">
        <v>1.2251570444761801E-6</v>
      </c>
      <c r="D9620" s="141"/>
    </row>
    <row r="9621" spans="1:4" x14ac:dyDescent="0.2">
      <c r="A9621" s="140" t="s">
        <v>6253</v>
      </c>
      <c r="B9621" s="141">
        <v>1.20911779856719E-6</v>
      </c>
      <c r="D9621" s="141"/>
    </row>
    <row r="9622" spans="1:4" x14ac:dyDescent="0.2">
      <c r="A9622" s="140" t="s">
        <v>10120</v>
      </c>
      <c r="B9622" s="141">
        <v>1.20911779856719E-6</v>
      </c>
      <c r="D9622" s="141"/>
    </row>
    <row r="9623" spans="1:4" x14ac:dyDescent="0.2">
      <c r="A9623" s="140" t="s">
        <v>10121</v>
      </c>
      <c r="B9623" s="141">
        <v>1.20911779856719E-6</v>
      </c>
      <c r="D9623" s="141"/>
    </row>
    <row r="9624" spans="1:4" x14ac:dyDescent="0.2">
      <c r="A9624" s="140" t="s">
        <v>10122</v>
      </c>
      <c r="B9624" s="141">
        <v>1.2081530965529999E-6</v>
      </c>
      <c r="D9624" s="141"/>
    </row>
    <row r="9625" spans="1:4" x14ac:dyDescent="0.2">
      <c r="A9625" s="140" t="s">
        <v>10123</v>
      </c>
      <c r="B9625" s="141">
        <v>1.19551693175039E-6</v>
      </c>
      <c r="D9625" s="141"/>
    </row>
    <row r="9626" spans="1:4" x14ac:dyDescent="0.2">
      <c r="A9626" s="140" t="s">
        <v>5341</v>
      </c>
      <c r="B9626" s="141">
        <v>1.19307679155754E-6</v>
      </c>
      <c r="D9626" s="141"/>
    </row>
    <row r="9627" spans="1:4" x14ac:dyDescent="0.2">
      <c r="A9627" s="140" t="s">
        <v>4368</v>
      </c>
      <c r="B9627" s="141">
        <v>1.1919341121113999E-6</v>
      </c>
      <c r="D9627" s="141"/>
    </row>
    <row r="9628" spans="1:4" x14ac:dyDescent="0.2">
      <c r="A9628" s="140" t="s">
        <v>2283</v>
      </c>
      <c r="B9628" s="141">
        <v>1.1880127067607E-6</v>
      </c>
      <c r="D9628" s="141"/>
    </row>
    <row r="9629" spans="1:4" x14ac:dyDescent="0.2">
      <c r="A9629" s="140" t="s">
        <v>963</v>
      </c>
      <c r="B9629" s="141">
        <v>1.1784641931501301E-6</v>
      </c>
      <c r="D9629" s="141"/>
    </row>
    <row r="9630" spans="1:4" x14ac:dyDescent="0.2">
      <c r="A9630" s="140" t="s">
        <v>631</v>
      </c>
      <c r="B9630" s="141">
        <v>1.15905822413089E-6</v>
      </c>
      <c r="D9630" s="141"/>
    </row>
    <row r="9631" spans="1:4" x14ac:dyDescent="0.2">
      <c r="A9631" s="140" t="s">
        <v>1854</v>
      </c>
      <c r="B9631" s="141">
        <v>1.13961438676623E-6</v>
      </c>
      <c r="D9631" s="141"/>
    </row>
    <row r="9632" spans="1:4" x14ac:dyDescent="0.2">
      <c r="A9632" s="140" t="s">
        <v>10124</v>
      </c>
      <c r="B9632" s="141">
        <v>1.12548611662738E-6</v>
      </c>
      <c r="D9632" s="141"/>
    </row>
    <row r="9633" spans="1:4" x14ac:dyDescent="0.2">
      <c r="A9633" s="140" t="s">
        <v>2409</v>
      </c>
      <c r="B9633" s="141">
        <v>1.1254374616994001E-6</v>
      </c>
      <c r="D9633" s="141"/>
    </row>
    <row r="9634" spans="1:4" x14ac:dyDescent="0.2">
      <c r="A9634" s="140" t="s">
        <v>1303</v>
      </c>
      <c r="B9634" s="141">
        <v>1.11749985020427E-6</v>
      </c>
      <c r="D9634" s="141"/>
    </row>
    <row r="9635" spans="1:4" x14ac:dyDescent="0.2">
      <c r="A9635" s="140" t="s">
        <v>349</v>
      </c>
      <c r="B9635" s="141">
        <v>1.11211895476004E-6</v>
      </c>
      <c r="D9635" s="141"/>
    </row>
    <row r="9636" spans="1:4" x14ac:dyDescent="0.2">
      <c r="A9636" s="140" t="s">
        <v>10125</v>
      </c>
      <c r="B9636" s="141">
        <v>1.11022833944176E-6</v>
      </c>
      <c r="D9636" s="141"/>
    </row>
    <row r="9637" spans="1:4" x14ac:dyDescent="0.2">
      <c r="A9637" s="140" t="s">
        <v>5285</v>
      </c>
      <c r="B9637" s="141">
        <v>1.0807847946314899E-6</v>
      </c>
      <c r="D9637" s="141"/>
    </row>
    <row r="9638" spans="1:4" x14ac:dyDescent="0.2">
      <c r="A9638" s="140" t="s">
        <v>1613</v>
      </c>
      <c r="B9638" s="141">
        <v>1.06777371436289E-6</v>
      </c>
      <c r="D9638" s="141"/>
    </row>
    <row r="9639" spans="1:4" x14ac:dyDescent="0.2">
      <c r="A9639" s="140" t="s">
        <v>10126</v>
      </c>
      <c r="B9639" s="141">
        <v>1.0592610474556999E-6</v>
      </c>
      <c r="D9639" s="141"/>
    </row>
    <row r="9640" spans="1:4" x14ac:dyDescent="0.2">
      <c r="A9640" s="140" t="s">
        <v>4559</v>
      </c>
      <c r="B9640" s="141">
        <v>1.03446309925401E-6</v>
      </c>
      <c r="D9640" s="141"/>
    </row>
    <row r="9641" spans="1:4" x14ac:dyDescent="0.2">
      <c r="A9641" s="140" t="s">
        <v>661</v>
      </c>
      <c r="B9641" s="141">
        <v>1.02569692121633E-6</v>
      </c>
      <c r="D9641" s="141"/>
    </row>
    <row r="9642" spans="1:4" x14ac:dyDescent="0.2">
      <c r="A9642" s="140" t="s">
        <v>1580</v>
      </c>
      <c r="B9642" s="141">
        <v>1.02278561846723E-6</v>
      </c>
      <c r="D9642" s="141"/>
    </row>
    <row r="9643" spans="1:4" x14ac:dyDescent="0.2">
      <c r="A9643" s="140" t="s">
        <v>10127</v>
      </c>
      <c r="B9643" s="141">
        <v>9.9591339334848106E-7</v>
      </c>
      <c r="D9643" s="141"/>
    </row>
    <row r="9644" spans="1:4" x14ac:dyDescent="0.2">
      <c r="A9644" s="140" t="s">
        <v>2340</v>
      </c>
      <c r="B9644" s="141">
        <v>9.91513616754934E-7</v>
      </c>
      <c r="D9644" s="141"/>
    </row>
    <row r="9645" spans="1:4" x14ac:dyDescent="0.2">
      <c r="A9645" s="140" t="s">
        <v>3248</v>
      </c>
      <c r="B9645" s="141">
        <v>9.9125874386531392E-7</v>
      </c>
      <c r="D9645" s="141"/>
    </row>
    <row r="9646" spans="1:4" x14ac:dyDescent="0.2">
      <c r="A9646" s="140" t="s">
        <v>1428</v>
      </c>
      <c r="B9646" s="141">
        <v>9.8719605996708107E-7</v>
      </c>
      <c r="D9646" s="141"/>
    </row>
    <row r="9647" spans="1:4" x14ac:dyDescent="0.2">
      <c r="A9647" s="140" t="s">
        <v>10128</v>
      </c>
      <c r="B9647" s="141">
        <v>9.8622490780799808E-7</v>
      </c>
      <c r="D9647" s="141"/>
    </row>
    <row r="9648" spans="1:4" x14ac:dyDescent="0.2">
      <c r="A9648" s="140" t="s">
        <v>10129</v>
      </c>
      <c r="B9648" s="141">
        <v>9.7410059539589797E-7</v>
      </c>
      <c r="D9648" s="141"/>
    </row>
    <row r="9649" spans="1:4" x14ac:dyDescent="0.2">
      <c r="A9649" s="140" t="s">
        <v>10130</v>
      </c>
      <c r="B9649" s="141">
        <v>9.7199736044694998E-7</v>
      </c>
      <c r="D9649" s="141"/>
    </row>
    <row r="9650" spans="1:4" x14ac:dyDescent="0.2">
      <c r="A9650" s="140" t="s">
        <v>1590</v>
      </c>
      <c r="B9650" s="141">
        <v>9.6832290100951691E-7</v>
      </c>
      <c r="D9650" s="141"/>
    </row>
    <row r="9651" spans="1:4" x14ac:dyDescent="0.2">
      <c r="A9651" s="140" t="s">
        <v>744</v>
      </c>
      <c r="B9651" s="141">
        <v>9.5620492304573598E-7</v>
      </c>
      <c r="D9651" s="141"/>
    </row>
    <row r="9652" spans="1:4" x14ac:dyDescent="0.2">
      <c r="A9652" s="140" t="s">
        <v>4902</v>
      </c>
      <c r="B9652" s="141">
        <v>9.3715491507189598E-7</v>
      </c>
      <c r="D9652" s="141"/>
    </row>
    <row r="9653" spans="1:4" x14ac:dyDescent="0.2">
      <c r="A9653" s="140" t="s">
        <v>2001</v>
      </c>
      <c r="B9653" s="141">
        <v>9.3560090535263505E-7</v>
      </c>
      <c r="D9653" s="141"/>
    </row>
    <row r="9654" spans="1:4" x14ac:dyDescent="0.2">
      <c r="A9654" s="140" t="s">
        <v>10131</v>
      </c>
      <c r="B9654" s="141">
        <v>8.9027550573708304E-7</v>
      </c>
      <c r="D9654" s="141"/>
    </row>
    <row r="9655" spans="1:4" x14ac:dyDescent="0.2">
      <c r="A9655" s="140" t="s">
        <v>10132</v>
      </c>
      <c r="B9655" s="141">
        <v>8.9027550573708304E-7</v>
      </c>
      <c r="D9655" s="141"/>
    </row>
    <row r="9656" spans="1:4" x14ac:dyDescent="0.2">
      <c r="A9656" s="140" t="s">
        <v>10133</v>
      </c>
      <c r="B9656" s="141">
        <v>8.8898435143462104E-7</v>
      </c>
      <c r="D9656" s="141"/>
    </row>
    <row r="9657" spans="1:4" x14ac:dyDescent="0.2">
      <c r="A9657" s="140" t="s">
        <v>10134</v>
      </c>
      <c r="B9657" s="141">
        <v>8.8898435143462104E-7</v>
      </c>
      <c r="D9657" s="141"/>
    </row>
    <row r="9658" spans="1:4" x14ac:dyDescent="0.2">
      <c r="A9658" s="140" t="s">
        <v>10135</v>
      </c>
      <c r="B9658" s="141">
        <v>8.8898435143462104E-7</v>
      </c>
      <c r="D9658" s="141"/>
    </row>
    <row r="9659" spans="1:4" x14ac:dyDescent="0.2">
      <c r="A9659" s="140" t="s">
        <v>10136</v>
      </c>
      <c r="B9659" s="141">
        <v>8.8898435143462104E-7</v>
      </c>
      <c r="D9659" s="141"/>
    </row>
    <row r="9660" spans="1:4" x14ac:dyDescent="0.2">
      <c r="A9660" s="140" t="s">
        <v>10137</v>
      </c>
      <c r="B9660" s="141">
        <v>8.8898435143462104E-7</v>
      </c>
      <c r="D9660" s="141"/>
    </row>
    <row r="9661" spans="1:4" x14ac:dyDescent="0.2">
      <c r="A9661" s="140" t="s">
        <v>6224</v>
      </c>
      <c r="B9661" s="141">
        <v>8.7524791934760101E-7</v>
      </c>
      <c r="D9661" s="141"/>
    </row>
    <row r="9662" spans="1:4" x14ac:dyDescent="0.2">
      <c r="A9662" s="140" t="s">
        <v>10138</v>
      </c>
      <c r="B9662" s="141">
        <v>8.6968410326960704E-7</v>
      </c>
      <c r="D9662" s="141"/>
    </row>
    <row r="9663" spans="1:4" x14ac:dyDescent="0.2">
      <c r="A9663" s="140" t="s">
        <v>10139</v>
      </c>
      <c r="B9663" s="141">
        <v>8.6578773942554303E-7</v>
      </c>
      <c r="D9663" s="141"/>
    </row>
    <row r="9664" spans="1:4" x14ac:dyDescent="0.2">
      <c r="A9664" s="140" t="s">
        <v>5432</v>
      </c>
      <c r="B9664" s="141">
        <v>8.5633082999973698E-7</v>
      </c>
      <c r="D9664" s="141"/>
    </row>
    <row r="9665" spans="1:4" x14ac:dyDescent="0.2">
      <c r="A9665" s="140" t="s">
        <v>5116</v>
      </c>
      <c r="B9665" s="141">
        <v>8.5633082999973698E-7</v>
      </c>
      <c r="D9665" s="141"/>
    </row>
    <row r="9666" spans="1:4" x14ac:dyDescent="0.2">
      <c r="A9666" s="140" t="s">
        <v>10140</v>
      </c>
      <c r="B9666" s="141">
        <v>8.49170989775768E-7</v>
      </c>
      <c r="D9666" s="141"/>
    </row>
    <row r="9667" spans="1:4" x14ac:dyDescent="0.2">
      <c r="A9667" s="140" t="s">
        <v>3450</v>
      </c>
      <c r="B9667" s="141">
        <v>8.4446067445218398E-7</v>
      </c>
      <c r="D9667" s="141"/>
    </row>
    <row r="9668" spans="1:4" x14ac:dyDescent="0.2">
      <c r="A9668" s="140" t="s">
        <v>10141</v>
      </c>
      <c r="B9668" s="141">
        <v>8.4171964613449404E-7</v>
      </c>
      <c r="D9668" s="141"/>
    </row>
    <row r="9669" spans="1:4" x14ac:dyDescent="0.2">
      <c r="A9669" s="140" t="s">
        <v>3229</v>
      </c>
      <c r="B9669" s="141">
        <v>8.3946028961109596E-7</v>
      </c>
      <c r="D9669" s="141"/>
    </row>
    <row r="9670" spans="1:4" x14ac:dyDescent="0.2">
      <c r="A9670" s="140" t="s">
        <v>6271</v>
      </c>
      <c r="B9670" s="141">
        <v>8.2919283145360295E-7</v>
      </c>
      <c r="D9670" s="141"/>
    </row>
    <row r="9671" spans="1:4" x14ac:dyDescent="0.2">
      <c r="A9671" s="140" t="s">
        <v>3717</v>
      </c>
      <c r="B9671" s="141">
        <v>8.2050447721651397E-7</v>
      </c>
      <c r="D9671" s="141"/>
    </row>
    <row r="9672" spans="1:4" x14ac:dyDescent="0.2">
      <c r="A9672" s="140" t="s">
        <v>462</v>
      </c>
      <c r="B9672" s="141">
        <v>8.1590832756798601E-7</v>
      </c>
      <c r="D9672" s="141"/>
    </row>
    <row r="9673" spans="1:4" x14ac:dyDescent="0.2">
      <c r="A9673" s="140" t="s">
        <v>4161</v>
      </c>
      <c r="B9673" s="141">
        <v>8.0568201719648005E-7</v>
      </c>
      <c r="D9673" s="141"/>
    </row>
    <row r="9674" spans="1:4" x14ac:dyDescent="0.2">
      <c r="A9674" s="140" t="s">
        <v>955</v>
      </c>
      <c r="B9674" s="141">
        <v>8.0469400296039502E-7</v>
      </c>
      <c r="D9674" s="141"/>
    </row>
    <row r="9675" spans="1:4" x14ac:dyDescent="0.2">
      <c r="A9675" s="140" t="s">
        <v>1381</v>
      </c>
      <c r="B9675" s="141">
        <v>8.0411828392295399E-7</v>
      </c>
      <c r="D9675" s="141"/>
    </row>
    <row r="9676" spans="1:4" x14ac:dyDescent="0.2">
      <c r="A9676" s="140" t="s">
        <v>3853</v>
      </c>
      <c r="B9676" s="141">
        <v>7.9836597130432599E-7</v>
      </c>
      <c r="D9676" s="141"/>
    </row>
    <row r="9677" spans="1:4" x14ac:dyDescent="0.2">
      <c r="A9677" s="140" t="s">
        <v>5143</v>
      </c>
      <c r="B9677" s="141">
        <v>7.5491737719983201E-7</v>
      </c>
      <c r="D9677" s="141"/>
    </row>
    <row r="9678" spans="1:4" x14ac:dyDescent="0.2">
      <c r="A9678" s="140" t="s">
        <v>10142</v>
      </c>
      <c r="B9678" s="141">
        <v>7.4017778861167396E-7</v>
      </c>
      <c r="D9678" s="141"/>
    </row>
    <row r="9679" spans="1:4" x14ac:dyDescent="0.2">
      <c r="A9679" s="140" t="s">
        <v>10143</v>
      </c>
      <c r="B9679" s="141">
        <v>7.2887958251059799E-7</v>
      </c>
      <c r="D9679" s="141"/>
    </row>
    <row r="9680" spans="1:4" x14ac:dyDescent="0.2">
      <c r="A9680" s="140" t="s">
        <v>2006</v>
      </c>
      <c r="B9680" s="141">
        <v>7.2209880569036504E-7</v>
      </c>
      <c r="D9680" s="141"/>
    </row>
    <row r="9681" spans="1:4" x14ac:dyDescent="0.2">
      <c r="A9681" s="140" t="s">
        <v>620</v>
      </c>
      <c r="B9681" s="141">
        <v>7.1185491548184904E-7</v>
      </c>
      <c r="D9681" s="141"/>
    </row>
    <row r="9682" spans="1:4" x14ac:dyDescent="0.2">
      <c r="A9682" s="140" t="s">
        <v>10144</v>
      </c>
      <c r="B9682" s="141">
        <v>7.1098301362192203E-7</v>
      </c>
      <c r="D9682" s="141"/>
    </row>
    <row r="9683" spans="1:4" x14ac:dyDescent="0.2">
      <c r="A9683" s="140" t="s">
        <v>5386</v>
      </c>
      <c r="B9683" s="141">
        <v>7.1062945068003703E-7</v>
      </c>
      <c r="D9683" s="141"/>
    </row>
    <row r="9684" spans="1:4" x14ac:dyDescent="0.2">
      <c r="A9684" s="140" t="s">
        <v>10145</v>
      </c>
      <c r="B9684" s="141">
        <v>7.0838882529279396E-7</v>
      </c>
      <c r="D9684" s="141"/>
    </row>
    <row r="9685" spans="1:4" x14ac:dyDescent="0.2">
      <c r="A9685" s="140" t="s">
        <v>10146</v>
      </c>
      <c r="B9685" s="141">
        <v>6.9335022788392703E-7</v>
      </c>
      <c r="D9685" s="141"/>
    </row>
    <row r="9686" spans="1:4" x14ac:dyDescent="0.2">
      <c r="A9686" s="140" t="s">
        <v>10147</v>
      </c>
      <c r="B9686" s="141">
        <v>6.8335491679893803E-7</v>
      </c>
      <c r="D9686" s="141"/>
    </row>
    <row r="9687" spans="1:4" x14ac:dyDescent="0.2">
      <c r="A9687" s="140" t="s">
        <v>438</v>
      </c>
      <c r="B9687" s="141">
        <v>6.8271031948383496E-7</v>
      </c>
      <c r="D9687" s="141"/>
    </row>
    <row r="9688" spans="1:4" x14ac:dyDescent="0.2">
      <c r="A9688" s="140" t="s">
        <v>10148</v>
      </c>
      <c r="B9688" s="141">
        <v>6.7495862325646605E-7</v>
      </c>
      <c r="D9688" s="141"/>
    </row>
    <row r="9689" spans="1:4" x14ac:dyDescent="0.2">
      <c r="A9689" s="140" t="s">
        <v>10149</v>
      </c>
      <c r="B9689" s="141">
        <v>6.62373851833379E-7</v>
      </c>
      <c r="D9689" s="141"/>
    </row>
    <row r="9690" spans="1:4" x14ac:dyDescent="0.2">
      <c r="A9690" s="140" t="s">
        <v>10150</v>
      </c>
      <c r="B9690" s="141">
        <v>6.62373851833379E-7</v>
      </c>
      <c r="D9690" s="141"/>
    </row>
    <row r="9691" spans="1:4" x14ac:dyDescent="0.2">
      <c r="A9691" s="140" t="s">
        <v>1053</v>
      </c>
      <c r="B9691" s="141">
        <v>6.5947441192992097E-7</v>
      </c>
      <c r="D9691" s="141"/>
    </row>
    <row r="9692" spans="1:4" x14ac:dyDescent="0.2">
      <c r="A9692" s="140" t="s">
        <v>10151</v>
      </c>
      <c r="B9692" s="141">
        <v>6.4285703843373405E-7</v>
      </c>
      <c r="D9692" s="141"/>
    </row>
    <row r="9693" spans="1:4" x14ac:dyDescent="0.2">
      <c r="A9693" s="140" t="s">
        <v>10152</v>
      </c>
      <c r="B9693" s="141">
        <v>6.29993446829355E-7</v>
      </c>
      <c r="D9693" s="141"/>
    </row>
    <row r="9694" spans="1:4" x14ac:dyDescent="0.2">
      <c r="A9694" s="140" t="s">
        <v>10153</v>
      </c>
      <c r="B9694" s="141">
        <v>6.1723364329746099E-7</v>
      </c>
      <c r="D9694" s="141"/>
    </row>
    <row r="9695" spans="1:4" x14ac:dyDescent="0.2">
      <c r="A9695" s="140" t="s">
        <v>1360</v>
      </c>
      <c r="B9695" s="141">
        <v>6.1186703280975701E-7</v>
      </c>
      <c r="D9695" s="141"/>
    </row>
    <row r="9696" spans="1:4" x14ac:dyDescent="0.2">
      <c r="A9696" s="140" t="s">
        <v>10154</v>
      </c>
      <c r="B9696" s="141">
        <v>6.0480560154109905E-7</v>
      </c>
      <c r="D9696" s="141"/>
    </row>
    <row r="9697" spans="1:4" x14ac:dyDescent="0.2">
      <c r="A9697" s="140" t="s">
        <v>763</v>
      </c>
      <c r="B9697" s="141">
        <v>6.0466202028438103E-7</v>
      </c>
      <c r="D9697" s="141"/>
    </row>
    <row r="9698" spans="1:4" x14ac:dyDescent="0.2">
      <c r="A9698" s="140" t="s">
        <v>2432</v>
      </c>
      <c r="B9698" s="141">
        <v>5.9858265040475303E-7</v>
      </c>
      <c r="D9698" s="141"/>
    </row>
    <row r="9699" spans="1:4" x14ac:dyDescent="0.2">
      <c r="A9699" s="140" t="s">
        <v>2268</v>
      </c>
      <c r="B9699" s="141">
        <v>5.9266222750080902E-7</v>
      </c>
      <c r="D9699" s="141"/>
    </row>
    <row r="9700" spans="1:4" x14ac:dyDescent="0.2">
      <c r="A9700" s="140" t="s">
        <v>10155</v>
      </c>
      <c r="B9700" s="141">
        <v>5.9109726575789996E-7</v>
      </c>
      <c r="D9700" s="141"/>
    </row>
    <row r="9701" spans="1:4" x14ac:dyDescent="0.2">
      <c r="A9701" s="140" t="s">
        <v>4182</v>
      </c>
      <c r="B9701" s="141">
        <v>5.7052265533245101E-7</v>
      </c>
      <c r="D9701" s="141"/>
    </row>
    <row r="9702" spans="1:4" x14ac:dyDescent="0.2">
      <c r="A9702" s="140" t="s">
        <v>1560</v>
      </c>
      <c r="B9702" s="141">
        <v>5.69911866131119E-7</v>
      </c>
      <c r="D9702" s="141"/>
    </row>
    <row r="9703" spans="1:4" x14ac:dyDescent="0.2">
      <c r="A9703" s="140" t="s">
        <v>6223</v>
      </c>
      <c r="B9703" s="141">
        <v>5.5985050188521798E-7</v>
      </c>
      <c r="D9703" s="141"/>
    </row>
    <row r="9704" spans="1:4" x14ac:dyDescent="0.2">
      <c r="A9704" s="140" t="s">
        <v>10156</v>
      </c>
      <c r="B9704" s="141">
        <v>5.5952630248293204E-7</v>
      </c>
      <c r="D9704" s="141"/>
    </row>
    <row r="9705" spans="1:4" x14ac:dyDescent="0.2">
      <c r="A9705" s="140" t="s">
        <v>356</v>
      </c>
      <c r="B9705" s="141">
        <v>5.4807200238597001E-7</v>
      </c>
      <c r="D9705" s="141"/>
    </row>
    <row r="9706" spans="1:4" x14ac:dyDescent="0.2">
      <c r="A9706" s="140" t="s">
        <v>4924</v>
      </c>
      <c r="B9706" s="141">
        <v>5.4011829838407196E-7</v>
      </c>
      <c r="D9706" s="141"/>
    </row>
    <row r="9707" spans="1:4" x14ac:dyDescent="0.2">
      <c r="A9707" s="140" t="s">
        <v>5534</v>
      </c>
      <c r="B9707" s="141">
        <v>5.3998401102665595E-7</v>
      </c>
      <c r="D9707" s="141"/>
    </row>
    <row r="9708" spans="1:4" x14ac:dyDescent="0.2">
      <c r="A9708" s="140" t="s">
        <v>2035</v>
      </c>
      <c r="B9708" s="141">
        <v>5.3998401102665595E-7</v>
      </c>
      <c r="D9708" s="141"/>
    </row>
    <row r="9709" spans="1:4" x14ac:dyDescent="0.2">
      <c r="A9709" s="140" t="s">
        <v>10157</v>
      </c>
      <c r="B9709" s="141">
        <v>5.3684738490444096E-7</v>
      </c>
      <c r="D9709" s="141"/>
    </row>
    <row r="9710" spans="1:4" x14ac:dyDescent="0.2">
      <c r="A9710" s="140" t="s">
        <v>10158</v>
      </c>
      <c r="B9710" s="141">
        <v>5.3336482823026405E-7</v>
      </c>
      <c r="D9710" s="141"/>
    </row>
    <row r="9711" spans="1:4" x14ac:dyDescent="0.2">
      <c r="A9711" s="140" t="s">
        <v>10159</v>
      </c>
      <c r="B9711" s="141">
        <v>5.2823160216745296E-7</v>
      </c>
      <c r="D9711" s="141"/>
    </row>
    <row r="9712" spans="1:4" x14ac:dyDescent="0.2">
      <c r="A9712" s="140" t="s">
        <v>823</v>
      </c>
      <c r="B9712" s="141">
        <v>5.2777345963721401E-7</v>
      </c>
      <c r="D9712" s="141"/>
    </row>
    <row r="9713" spans="1:4" x14ac:dyDescent="0.2">
      <c r="A9713" s="140" t="s">
        <v>674</v>
      </c>
      <c r="B9713" s="141">
        <v>5.23295293552543E-7</v>
      </c>
      <c r="D9713" s="141"/>
    </row>
    <row r="9714" spans="1:4" x14ac:dyDescent="0.2">
      <c r="A9714" s="140" t="s">
        <v>10160</v>
      </c>
      <c r="B9714" s="141">
        <v>5.18122377190153E-7</v>
      </c>
      <c r="D9714" s="141"/>
    </row>
    <row r="9715" spans="1:4" x14ac:dyDescent="0.2">
      <c r="A9715" s="140" t="s">
        <v>2014</v>
      </c>
      <c r="B9715" s="141">
        <v>5.1304461023753402E-7</v>
      </c>
      <c r="D9715" s="141"/>
    </row>
    <row r="9716" spans="1:4" x14ac:dyDescent="0.2">
      <c r="A9716" s="140" t="s">
        <v>459</v>
      </c>
      <c r="B9716" s="141">
        <v>5.0074075016972999E-7</v>
      </c>
      <c r="D9716" s="141"/>
    </row>
    <row r="9717" spans="1:4" x14ac:dyDescent="0.2">
      <c r="A9717" s="140" t="s">
        <v>10161</v>
      </c>
      <c r="B9717" s="141">
        <v>4.9975722098947498E-7</v>
      </c>
      <c r="D9717" s="141"/>
    </row>
    <row r="9718" spans="1:4" x14ac:dyDescent="0.2">
      <c r="A9718" s="140" t="s">
        <v>1470</v>
      </c>
      <c r="B9718" s="141">
        <v>4.9894178775021503E-7</v>
      </c>
      <c r="D9718" s="141"/>
    </row>
    <row r="9719" spans="1:4" x14ac:dyDescent="0.2">
      <c r="A9719" s="140" t="s">
        <v>10162</v>
      </c>
      <c r="B9719" s="141">
        <v>4.8844922214199998E-7</v>
      </c>
      <c r="D9719" s="141"/>
    </row>
    <row r="9720" spans="1:4" x14ac:dyDescent="0.2">
      <c r="A9720" s="140" t="s">
        <v>1693</v>
      </c>
      <c r="B9720" s="141">
        <v>4.8744919612219703E-7</v>
      </c>
      <c r="D9720" s="141"/>
    </row>
    <row r="9721" spans="1:4" x14ac:dyDescent="0.2">
      <c r="A9721" s="140" t="s">
        <v>850</v>
      </c>
      <c r="B9721" s="141">
        <v>4.8335900573794903E-7</v>
      </c>
      <c r="D9721" s="141"/>
    </row>
    <row r="9722" spans="1:4" x14ac:dyDescent="0.2">
      <c r="A9722" s="140" t="s">
        <v>4897</v>
      </c>
      <c r="B9722" s="141">
        <v>4.7578715420030302E-7</v>
      </c>
      <c r="D9722" s="141"/>
    </row>
    <row r="9723" spans="1:4" x14ac:dyDescent="0.2">
      <c r="A9723" s="140" t="s">
        <v>3043</v>
      </c>
      <c r="B9723" s="141">
        <v>4.6391101964377402E-7</v>
      </c>
      <c r="D9723" s="141"/>
    </row>
    <row r="9724" spans="1:4" x14ac:dyDescent="0.2">
      <c r="A9724" s="140" t="s">
        <v>1666</v>
      </c>
      <c r="B9724" s="141">
        <v>4.5838385475547002E-7</v>
      </c>
      <c r="D9724" s="141"/>
    </row>
    <row r="9725" spans="1:4" x14ac:dyDescent="0.2">
      <c r="A9725" s="140" t="s">
        <v>10163</v>
      </c>
      <c r="B9725" s="141">
        <v>4.5548288363531799E-7</v>
      </c>
      <c r="D9725" s="141"/>
    </row>
    <row r="9726" spans="1:4" x14ac:dyDescent="0.2">
      <c r="A9726" s="140" t="s">
        <v>10164</v>
      </c>
      <c r="B9726" s="141">
        <v>4.5448503070779101E-7</v>
      </c>
      <c r="D9726" s="141"/>
    </row>
    <row r="9727" spans="1:4" x14ac:dyDescent="0.2">
      <c r="A9727" s="140" t="s">
        <v>10165</v>
      </c>
      <c r="B9727" s="141">
        <v>4.5099845471339598E-7</v>
      </c>
      <c r="D9727" s="141"/>
    </row>
    <row r="9728" spans="1:4" x14ac:dyDescent="0.2">
      <c r="A9728" s="140" t="s">
        <v>10166</v>
      </c>
      <c r="B9728" s="141">
        <v>4.4731603957230701E-7</v>
      </c>
      <c r="D9728" s="141"/>
    </row>
    <row r="9729" spans="1:4" x14ac:dyDescent="0.2">
      <c r="A9729" s="140" t="s">
        <v>1028</v>
      </c>
      <c r="B9729" s="141">
        <v>4.4432302788911902E-7</v>
      </c>
      <c r="D9729" s="141"/>
    </row>
    <row r="9730" spans="1:4" x14ac:dyDescent="0.2">
      <c r="A9730" s="140" t="s">
        <v>828</v>
      </c>
      <c r="B9730" s="141">
        <v>4.4397419337257902E-7</v>
      </c>
      <c r="D9730" s="141"/>
    </row>
    <row r="9731" spans="1:4" x14ac:dyDescent="0.2">
      <c r="A9731" s="140" t="s">
        <v>619</v>
      </c>
      <c r="B9731" s="141">
        <v>4.39645151142602E-7</v>
      </c>
      <c r="D9731" s="141"/>
    </row>
    <row r="9732" spans="1:4" x14ac:dyDescent="0.2">
      <c r="A9732" s="140" t="s">
        <v>10167</v>
      </c>
      <c r="B9732" s="141">
        <v>4.3287494486795897E-7</v>
      </c>
      <c r="D9732" s="141"/>
    </row>
    <row r="9733" spans="1:4" x14ac:dyDescent="0.2">
      <c r="A9733" s="140" t="s">
        <v>10168</v>
      </c>
      <c r="B9733" s="141">
        <v>4.2533266352785498E-7</v>
      </c>
      <c r="D9733" s="141"/>
    </row>
    <row r="9734" spans="1:4" x14ac:dyDescent="0.2">
      <c r="A9734" s="140" t="s">
        <v>10169</v>
      </c>
      <c r="B9734" s="141">
        <v>4.20541770144554E-7</v>
      </c>
      <c r="D9734" s="141"/>
    </row>
    <row r="9735" spans="1:4" x14ac:dyDescent="0.2">
      <c r="A9735" s="140" t="s">
        <v>2326</v>
      </c>
      <c r="B9735" s="141">
        <v>4.1558807500094998E-7</v>
      </c>
      <c r="D9735" s="141"/>
    </row>
    <row r="9736" spans="1:4" x14ac:dyDescent="0.2">
      <c r="A9736" s="140" t="s">
        <v>1803</v>
      </c>
      <c r="B9736" s="141">
        <v>4.1498492031887898E-7</v>
      </c>
      <c r="D9736" s="141"/>
    </row>
    <row r="9737" spans="1:4" x14ac:dyDescent="0.2">
      <c r="A9737" s="140" t="s">
        <v>1106</v>
      </c>
      <c r="B9737" s="141">
        <v>4.0999294616082098E-7</v>
      </c>
      <c r="D9737" s="141"/>
    </row>
    <row r="9738" spans="1:4" x14ac:dyDescent="0.2">
      <c r="A9738" s="140" t="s">
        <v>10170</v>
      </c>
      <c r="B9738" s="141">
        <v>4.0687562074049398E-7</v>
      </c>
      <c r="D9738" s="141"/>
    </row>
    <row r="9739" spans="1:4" x14ac:dyDescent="0.2">
      <c r="A9739" s="140" t="s">
        <v>10171</v>
      </c>
      <c r="B9739" s="141">
        <v>3.8435163224404302E-7</v>
      </c>
      <c r="D9739" s="141"/>
    </row>
    <row r="9740" spans="1:4" x14ac:dyDescent="0.2">
      <c r="A9740" s="140" t="s">
        <v>2897</v>
      </c>
      <c r="B9740" s="141">
        <v>3.7962744008479202E-7</v>
      </c>
      <c r="D9740" s="141"/>
    </row>
    <row r="9741" spans="1:4" x14ac:dyDescent="0.2">
      <c r="A9741" s="140" t="s">
        <v>5187</v>
      </c>
      <c r="B9741" s="141">
        <v>3.7804542102670201E-7</v>
      </c>
      <c r="D9741" s="141"/>
    </row>
    <row r="9742" spans="1:4" x14ac:dyDescent="0.2">
      <c r="A9742" s="140" t="s">
        <v>1273</v>
      </c>
      <c r="B9742" s="141">
        <v>3.7374696223276202E-7</v>
      </c>
      <c r="D9742" s="141"/>
    </row>
    <row r="9743" spans="1:4" x14ac:dyDescent="0.2">
      <c r="A9743" s="140" t="s">
        <v>1238</v>
      </c>
      <c r="B9743" s="141">
        <v>3.7022832437179702E-7</v>
      </c>
      <c r="D9743" s="141"/>
    </row>
    <row r="9744" spans="1:4" x14ac:dyDescent="0.2">
      <c r="A9744" s="140" t="s">
        <v>822</v>
      </c>
      <c r="B9744" s="141">
        <v>3.6481380921973601E-7</v>
      </c>
      <c r="D9744" s="141"/>
    </row>
    <row r="9745" spans="1:4" x14ac:dyDescent="0.2">
      <c r="A9745" s="140" t="s">
        <v>10172</v>
      </c>
      <c r="B9745" s="141">
        <v>3.6065861331706402E-7</v>
      </c>
      <c r="D9745" s="141"/>
    </row>
    <row r="9746" spans="1:4" x14ac:dyDescent="0.2">
      <c r="A9746" s="140" t="s">
        <v>10173</v>
      </c>
      <c r="B9746" s="141">
        <v>3.6065861331706402E-7</v>
      </c>
      <c r="D9746" s="141"/>
    </row>
    <row r="9747" spans="1:4" x14ac:dyDescent="0.2">
      <c r="A9747" s="140" t="s">
        <v>3518</v>
      </c>
      <c r="B9747" s="141">
        <v>3.6065861331706402E-7</v>
      </c>
      <c r="D9747" s="141"/>
    </row>
    <row r="9748" spans="1:4" x14ac:dyDescent="0.2">
      <c r="A9748" s="140" t="s">
        <v>698</v>
      </c>
      <c r="B9748" s="141">
        <v>3.5353254003592099E-7</v>
      </c>
      <c r="D9748" s="141"/>
    </row>
    <row r="9749" spans="1:4" x14ac:dyDescent="0.2">
      <c r="A9749" s="140" t="s">
        <v>538</v>
      </c>
      <c r="B9749" s="141">
        <v>3.47599024944122E-7</v>
      </c>
      <c r="D9749" s="141"/>
    </row>
    <row r="9750" spans="1:4" x14ac:dyDescent="0.2">
      <c r="A9750" s="140" t="s">
        <v>10174</v>
      </c>
      <c r="B9750" s="141">
        <v>3.43241339119378E-7</v>
      </c>
      <c r="D9750" s="141"/>
    </row>
    <row r="9751" spans="1:4" x14ac:dyDescent="0.2">
      <c r="A9751" s="140" t="s">
        <v>10175</v>
      </c>
      <c r="B9751" s="141">
        <v>3.43241339119378E-7</v>
      </c>
      <c r="D9751" s="141"/>
    </row>
    <row r="9752" spans="1:4" x14ac:dyDescent="0.2">
      <c r="A9752" s="140" t="s">
        <v>10176</v>
      </c>
      <c r="B9752" s="141">
        <v>3.3910997124189998E-7</v>
      </c>
      <c r="D9752" s="141"/>
    </row>
    <row r="9753" spans="1:4" x14ac:dyDescent="0.2">
      <c r="A9753" s="140" t="s">
        <v>10177</v>
      </c>
      <c r="B9753" s="141">
        <v>3.2964882746632602E-7</v>
      </c>
      <c r="D9753" s="141"/>
    </row>
    <row r="9754" spans="1:4" x14ac:dyDescent="0.2">
      <c r="A9754" s="140" t="s">
        <v>2065</v>
      </c>
      <c r="B9754" s="141">
        <v>3.2962689751058102E-7</v>
      </c>
      <c r="D9754" s="141"/>
    </row>
    <row r="9755" spans="1:4" x14ac:dyDescent="0.2">
      <c r="A9755" s="140" t="s">
        <v>10178</v>
      </c>
      <c r="B9755" s="141">
        <v>3.1766975386837602E-7</v>
      </c>
      <c r="D9755" s="141"/>
    </row>
    <row r="9756" spans="1:4" x14ac:dyDescent="0.2">
      <c r="A9756" s="140" t="s">
        <v>10179</v>
      </c>
      <c r="B9756" s="141">
        <v>3.0649741401303598E-7</v>
      </c>
      <c r="D9756" s="141"/>
    </row>
    <row r="9757" spans="1:4" x14ac:dyDescent="0.2">
      <c r="A9757" s="140" t="s">
        <v>622</v>
      </c>
      <c r="B9757" s="141">
        <v>3.0505099890720301E-7</v>
      </c>
      <c r="D9757" s="141"/>
    </row>
    <row r="9758" spans="1:4" x14ac:dyDescent="0.2">
      <c r="A9758" s="140" t="s">
        <v>10180</v>
      </c>
      <c r="B9758" s="141">
        <v>2.8041252679745898E-7</v>
      </c>
      <c r="D9758" s="141"/>
    </row>
    <row r="9759" spans="1:4" x14ac:dyDescent="0.2">
      <c r="A9759" s="140" t="s">
        <v>3558</v>
      </c>
      <c r="B9759" s="141">
        <v>2.7025406549055898E-7</v>
      </c>
      <c r="D9759" s="141"/>
    </row>
    <row r="9760" spans="1:4" x14ac:dyDescent="0.2">
      <c r="A9760" s="140" t="s">
        <v>10181</v>
      </c>
      <c r="B9760" s="141">
        <v>2.66891223299976E-7</v>
      </c>
      <c r="D9760" s="141"/>
    </row>
    <row r="9761" spans="1:4" x14ac:dyDescent="0.2">
      <c r="A9761" s="140" t="s">
        <v>10182</v>
      </c>
      <c r="B9761" s="141">
        <v>2.6573120043406002E-7</v>
      </c>
      <c r="D9761" s="141"/>
    </row>
    <row r="9762" spans="1:4" x14ac:dyDescent="0.2">
      <c r="A9762" s="140" t="s">
        <v>655</v>
      </c>
      <c r="B9762" s="141">
        <v>2.65650222295192E-7</v>
      </c>
      <c r="D9762" s="141"/>
    </row>
    <row r="9763" spans="1:4" x14ac:dyDescent="0.2">
      <c r="A9763" s="140" t="s">
        <v>10183</v>
      </c>
      <c r="B9763" s="141">
        <v>2.5916803690121101E-7</v>
      </c>
      <c r="D9763" s="141"/>
    </row>
    <row r="9764" spans="1:4" x14ac:dyDescent="0.2">
      <c r="A9764" s="140" t="s">
        <v>377</v>
      </c>
      <c r="B9764" s="141">
        <v>2.5422470057432398E-7</v>
      </c>
      <c r="D9764" s="141"/>
    </row>
    <row r="9765" spans="1:4" x14ac:dyDescent="0.2">
      <c r="A9765" s="140" t="s">
        <v>360</v>
      </c>
      <c r="B9765" s="141">
        <v>2.5085709534257602E-7</v>
      </c>
      <c r="D9765" s="141"/>
    </row>
    <row r="9766" spans="1:4" x14ac:dyDescent="0.2">
      <c r="A9766" s="140" t="s">
        <v>10184</v>
      </c>
      <c r="B9766" s="141">
        <v>2.4618818585616501E-7</v>
      </c>
      <c r="D9766" s="141"/>
    </row>
    <row r="9767" spans="1:4" x14ac:dyDescent="0.2">
      <c r="A9767" s="140" t="s">
        <v>596</v>
      </c>
      <c r="B9767" s="141">
        <v>2.4385801313698498E-7</v>
      </c>
      <c r="D9767" s="141"/>
    </row>
    <row r="9768" spans="1:4" x14ac:dyDescent="0.2">
      <c r="A9768" s="140" t="s">
        <v>3378</v>
      </c>
      <c r="B9768" s="141">
        <v>2.4122368412095001E-7</v>
      </c>
      <c r="D9768" s="141"/>
    </row>
    <row r="9769" spans="1:4" x14ac:dyDescent="0.2">
      <c r="A9769" s="140" t="s">
        <v>10185</v>
      </c>
      <c r="B9769" s="141">
        <v>2.2891038740309901E-7</v>
      </c>
      <c r="D9769" s="141"/>
    </row>
    <row r="9770" spans="1:4" x14ac:dyDescent="0.2">
      <c r="A9770" s="140" t="s">
        <v>358</v>
      </c>
      <c r="B9770" s="141">
        <v>2.2524669210989501E-7</v>
      </c>
      <c r="D9770" s="141"/>
    </row>
    <row r="9771" spans="1:4" x14ac:dyDescent="0.2">
      <c r="A9771" s="140" t="s">
        <v>941</v>
      </c>
      <c r="B9771" s="141">
        <v>2.20142851642697E-7</v>
      </c>
      <c r="D9771" s="141"/>
    </row>
    <row r="9772" spans="1:4" x14ac:dyDescent="0.2">
      <c r="A9772" s="140" t="s">
        <v>1483</v>
      </c>
      <c r="B9772" s="141">
        <v>2.19352269532394E-7</v>
      </c>
      <c r="D9772" s="141"/>
    </row>
    <row r="9773" spans="1:4" x14ac:dyDescent="0.2">
      <c r="A9773" s="140" t="s">
        <v>579</v>
      </c>
      <c r="B9773" s="141">
        <v>2.19247253007944E-7</v>
      </c>
      <c r="D9773" s="141"/>
    </row>
    <row r="9774" spans="1:4" x14ac:dyDescent="0.2">
      <c r="A9774" s="140" t="s">
        <v>1181</v>
      </c>
      <c r="B9774" s="141">
        <v>2.0864068505537001E-7</v>
      </c>
      <c r="D9774" s="141"/>
    </row>
    <row r="9775" spans="1:4" x14ac:dyDescent="0.2">
      <c r="A9775" s="140" t="s">
        <v>10186</v>
      </c>
      <c r="B9775" s="141">
        <v>2.0610937891921901E-7</v>
      </c>
      <c r="D9775" s="141"/>
    </row>
    <row r="9776" spans="1:4" x14ac:dyDescent="0.2">
      <c r="A9776" s="140" t="s">
        <v>2415</v>
      </c>
      <c r="B9776" s="141">
        <v>1.9576024011954001E-7</v>
      </c>
      <c r="D9776" s="141"/>
    </row>
    <row r="9777" spans="1:4" x14ac:dyDescent="0.2">
      <c r="A9777" s="140" t="s">
        <v>10187</v>
      </c>
      <c r="B9777" s="141">
        <v>1.9491680090778301E-7</v>
      </c>
      <c r="D9777" s="141"/>
    </row>
    <row r="9778" spans="1:4" x14ac:dyDescent="0.2">
      <c r="A9778" s="140" t="s">
        <v>10188</v>
      </c>
      <c r="B9778" s="141">
        <v>1.9491680090778301E-7</v>
      </c>
      <c r="D9778" s="141"/>
    </row>
    <row r="9779" spans="1:4" x14ac:dyDescent="0.2">
      <c r="A9779" s="140" t="s">
        <v>10189</v>
      </c>
      <c r="B9779" s="141">
        <v>1.9491680090778301E-7</v>
      </c>
      <c r="D9779" s="141"/>
    </row>
    <row r="9780" spans="1:4" x14ac:dyDescent="0.2">
      <c r="A9780" s="140" t="s">
        <v>1853</v>
      </c>
      <c r="B9780" s="141">
        <v>1.91655509103181E-7</v>
      </c>
      <c r="D9780" s="141"/>
    </row>
    <row r="9781" spans="1:4" x14ac:dyDescent="0.2">
      <c r="A9781" s="140" t="s">
        <v>1852</v>
      </c>
      <c r="B9781" s="141">
        <v>1.8690483550975401E-7</v>
      </c>
      <c r="D9781" s="141"/>
    </row>
    <row r="9782" spans="1:4" x14ac:dyDescent="0.2">
      <c r="A9782" s="140" t="s">
        <v>10190</v>
      </c>
      <c r="B9782" s="141">
        <v>1.8558369698969199E-7</v>
      </c>
      <c r="D9782" s="141"/>
    </row>
    <row r="9783" spans="1:4" x14ac:dyDescent="0.2">
      <c r="A9783" s="140" t="s">
        <v>5304</v>
      </c>
      <c r="B9783" s="141">
        <v>1.8475762152977299E-7</v>
      </c>
      <c r="D9783" s="141"/>
    </row>
    <row r="9784" spans="1:4" x14ac:dyDescent="0.2">
      <c r="A9784" s="140" t="s">
        <v>816</v>
      </c>
      <c r="B9784" s="141">
        <v>1.84401026831223E-7</v>
      </c>
      <c r="D9784" s="141"/>
    </row>
    <row r="9785" spans="1:4" x14ac:dyDescent="0.2">
      <c r="A9785" s="140" t="s">
        <v>3424</v>
      </c>
      <c r="B9785" s="141">
        <v>1.8234412456844001E-7</v>
      </c>
      <c r="D9785" s="141"/>
    </row>
    <row r="9786" spans="1:4" x14ac:dyDescent="0.2">
      <c r="A9786" s="140" t="s">
        <v>1462</v>
      </c>
      <c r="B9786" s="141">
        <v>1.8083369550715899E-7</v>
      </c>
      <c r="D9786" s="141"/>
    </row>
    <row r="9787" spans="1:4" x14ac:dyDescent="0.2">
      <c r="A9787" s="140" t="s">
        <v>10191</v>
      </c>
      <c r="B9787" s="141">
        <v>1.78870577942915E-7</v>
      </c>
      <c r="D9787" s="141"/>
    </row>
    <row r="9788" spans="1:4" x14ac:dyDescent="0.2">
      <c r="A9788" s="140" t="s">
        <v>1148</v>
      </c>
      <c r="B9788" s="141">
        <v>1.7512062936243301E-7</v>
      </c>
      <c r="D9788" s="141"/>
    </row>
    <row r="9789" spans="1:4" x14ac:dyDescent="0.2">
      <c r="A9789" s="140" t="s">
        <v>6202</v>
      </c>
      <c r="B9789" s="141">
        <v>1.6902103629976799E-7</v>
      </c>
      <c r="D9789" s="141"/>
    </row>
    <row r="9790" spans="1:4" x14ac:dyDescent="0.2">
      <c r="A9790" s="140" t="s">
        <v>10192</v>
      </c>
      <c r="B9790" s="141">
        <v>1.6510632816820599E-7</v>
      </c>
      <c r="D9790" s="141"/>
    </row>
    <row r="9791" spans="1:4" x14ac:dyDescent="0.2">
      <c r="A9791" s="140" t="s">
        <v>10193</v>
      </c>
      <c r="B9791" s="141">
        <v>1.59717169532017E-7</v>
      </c>
      <c r="D9791" s="141"/>
    </row>
    <row r="9792" spans="1:4" x14ac:dyDescent="0.2">
      <c r="A9792" s="140" t="s">
        <v>10194</v>
      </c>
      <c r="B9792" s="141">
        <v>1.587484411761E-7</v>
      </c>
      <c r="D9792" s="141"/>
    </row>
    <row r="9793" spans="1:4" x14ac:dyDescent="0.2">
      <c r="A9793" s="140" t="s">
        <v>1365</v>
      </c>
      <c r="B9793" s="141">
        <v>1.57008793837512E-7</v>
      </c>
      <c r="D9793" s="141"/>
    </row>
    <row r="9794" spans="1:4" x14ac:dyDescent="0.2">
      <c r="A9794" s="140" t="s">
        <v>4871</v>
      </c>
      <c r="B9794" s="141">
        <v>1.50998362342391E-7</v>
      </c>
      <c r="D9794" s="141"/>
    </row>
    <row r="9795" spans="1:4" x14ac:dyDescent="0.2">
      <c r="A9795" s="140" t="s">
        <v>10195</v>
      </c>
      <c r="B9795" s="141">
        <v>1.43570731297756E-7</v>
      </c>
      <c r="D9795" s="141"/>
    </row>
    <row r="9796" spans="1:4" x14ac:dyDescent="0.2">
      <c r="A9796" s="140" t="s">
        <v>4867</v>
      </c>
      <c r="B9796" s="141">
        <v>1.4233078133963499E-7</v>
      </c>
      <c r="D9796" s="141"/>
    </row>
    <row r="9797" spans="1:4" x14ac:dyDescent="0.2">
      <c r="A9797" s="140" t="s">
        <v>506</v>
      </c>
      <c r="B9797" s="141">
        <v>1.3999528617960199E-7</v>
      </c>
      <c r="D9797" s="141"/>
    </row>
    <row r="9798" spans="1:4" x14ac:dyDescent="0.2">
      <c r="A9798" s="140" t="s">
        <v>10196</v>
      </c>
      <c r="B9798" s="141">
        <v>1.39759403710047E-7</v>
      </c>
      <c r="D9798" s="141"/>
    </row>
    <row r="9799" spans="1:4" x14ac:dyDescent="0.2">
      <c r="A9799" s="140" t="s">
        <v>10197</v>
      </c>
      <c r="B9799" s="141">
        <v>1.3448367046629701E-7</v>
      </c>
      <c r="D9799" s="141"/>
    </row>
    <row r="9800" spans="1:4" x14ac:dyDescent="0.2">
      <c r="A9800" s="140" t="s">
        <v>4481</v>
      </c>
      <c r="B9800" s="141">
        <v>1.33150762198385E-7</v>
      </c>
      <c r="D9800" s="141"/>
    </row>
    <row r="9801" spans="1:4" x14ac:dyDescent="0.2">
      <c r="A9801" s="140" t="s">
        <v>10198</v>
      </c>
      <c r="B9801" s="141">
        <v>1.3253362259905401E-7</v>
      </c>
      <c r="D9801" s="141"/>
    </row>
    <row r="9802" spans="1:4" x14ac:dyDescent="0.2">
      <c r="A9802" s="140" t="s">
        <v>617</v>
      </c>
      <c r="B9802" s="141">
        <v>1.2942563919480299E-7</v>
      </c>
      <c r="D9802" s="141"/>
    </row>
    <row r="9803" spans="1:4" x14ac:dyDescent="0.2">
      <c r="A9803" s="140" t="s">
        <v>10199</v>
      </c>
      <c r="B9803" s="141">
        <v>1.2636192903547301E-7</v>
      </c>
      <c r="D9803" s="141"/>
    </row>
    <row r="9804" spans="1:4" x14ac:dyDescent="0.2">
      <c r="A9804" s="140" t="s">
        <v>771</v>
      </c>
      <c r="B9804" s="141">
        <v>1.2605190340070899E-7</v>
      </c>
      <c r="D9804" s="141"/>
    </row>
    <row r="9805" spans="1:4" x14ac:dyDescent="0.2">
      <c r="A9805" s="140" t="s">
        <v>5784</v>
      </c>
      <c r="B9805" s="141">
        <v>1.2484090896797499E-7</v>
      </c>
      <c r="D9805" s="141"/>
    </row>
    <row r="9806" spans="1:4" x14ac:dyDescent="0.2">
      <c r="A9806" s="140" t="s">
        <v>10200</v>
      </c>
      <c r="B9806" s="141">
        <v>1.2358459782577599E-7</v>
      </c>
      <c r="D9806" s="141"/>
    </row>
    <row r="9807" spans="1:4" x14ac:dyDescent="0.2">
      <c r="A9807" s="140" t="s">
        <v>5073</v>
      </c>
      <c r="B9807" s="141">
        <v>1.2270878351203801E-7</v>
      </c>
      <c r="D9807" s="141"/>
    </row>
    <row r="9808" spans="1:4" x14ac:dyDescent="0.2">
      <c r="A9808" s="140" t="s">
        <v>5043</v>
      </c>
      <c r="B9808" s="141">
        <v>1.2270878351203801E-7</v>
      </c>
      <c r="D9808" s="141"/>
    </row>
    <row r="9809" spans="1:4" x14ac:dyDescent="0.2">
      <c r="A9809" s="140" t="s">
        <v>475</v>
      </c>
      <c r="B9809" s="141">
        <v>1.1913921357250601E-7</v>
      </c>
      <c r="D9809" s="141"/>
    </row>
    <row r="9810" spans="1:4" x14ac:dyDescent="0.2">
      <c r="A9810" s="140" t="s">
        <v>638</v>
      </c>
      <c r="B9810" s="141">
        <v>1.10412176964097E-7</v>
      </c>
      <c r="D9810" s="141"/>
    </row>
    <row r="9811" spans="1:4" x14ac:dyDescent="0.2">
      <c r="A9811" s="140" t="s">
        <v>500</v>
      </c>
      <c r="B9811" s="141">
        <v>1.04942409234541E-7</v>
      </c>
      <c r="D9811" s="141"/>
    </row>
    <row r="9812" spans="1:4" x14ac:dyDescent="0.2">
      <c r="A9812" s="140" t="s">
        <v>10201</v>
      </c>
      <c r="B9812" s="141">
        <v>1.03200359855985E-7</v>
      </c>
      <c r="D9812" s="141"/>
    </row>
    <row r="9813" spans="1:4" x14ac:dyDescent="0.2">
      <c r="A9813" s="140" t="s">
        <v>359</v>
      </c>
      <c r="B9813" s="141">
        <v>1.02843045965459E-7</v>
      </c>
      <c r="D9813" s="141"/>
    </row>
    <row r="9814" spans="1:4" x14ac:dyDescent="0.2">
      <c r="A9814" s="140" t="s">
        <v>10202</v>
      </c>
      <c r="B9814" s="141">
        <v>1.02606807126417E-7</v>
      </c>
      <c r="D9814" s="141"/>
    </row>
    <row r="9815" spans="1:4" x14ac:dyDescent="0.2">
      <c r="A9815" s="140" t="s">
        <v>2329</v>
      </c>
      <c r="B9815" s="141">
        <v>9.80426777144163E-8</v>
      </c>
      <c r="D9815" s="141"/>
    </row>
    <row r="9816" spans="1:4" x14ac:dyDescent="0.2">
      <c r="A9816" s="140" t="s">
        <v>423</v>
      </c>
      <c r="B9816" s="141">
        <v>9.7224945162516596E-8</v>
      </c>
      <c r="D9816" s="141"/>
    </row>
    <row r="9817" spans="1:4" x14ac:dyDescent="0.2">
      <c r="A9817" s="140" t="s">
        <v>1161</v>
      </c>
      <c r="B9817" s="141">
        <v>9.4982786228351204E-8</v>
      </c>
      <c r="D9817" s="141"/>
    </row>
    <row r="9818" spans="1:4" x14ac:dyDescent="0.2">
      <c r="A9818" s="140" t="s">
        <v>10203</v>
      </c>
      <c r="B9818" s="141">
        <v>9.0267940282969599E-8</v>
      </c>
      <c r="D9818" s="141"/>
    </row>
    <row r="9819" spans="1:4" x14ac:dyDescent="0.2">
      <c r="A9819" s="140" t="s">
        <v>10204</v>
      </c>
      <c r="B9819" s="141">
        <v>7.9939937181927599E-8</v>
      </c>
      <c r="D9819" s="141"/>
    </row>
    <row r="9820" spans="1:4" x14ac:dyDescent="0.2">
      <c r="A9820" s="140" t="s">
        <v>1141</v>
      </c>
      <c r="B9820" s="141">
        <v>7.4108185465016297E-8</v>
      </c>
      <c r="D9820" s="141"/>
    </row>
    <row r="9821" spans="1:4" x14ac:dyDescent="0.2">
      <c r="A9821" s="140" t="s">
        <v>505</v>
      </c>
      <c r="B9821" s="141">
        <v>7.2402595447912495E-8</v>
      </c>
      <c r="D9821" s="141"/>
    </row>
    <row r="9822" spans="1:4" x14ac:dyDescent="0.2">
      <c r="A9822" s="140" t="s">
        <v>1869</v>
      </c>
      <c r="B9822" s="141">
        <v>7.1833111557527102E-8</v>
      </c>
      <c r="D9822" s="141"/>
    </row>
    <row r="9823" spans="1:4" x14ac:dyDescent="0.2">
      <c r="A9823" s="140" t="s">
        <v>1282</v>
      </c>
      <c r="B9823" s="141">
        <v>7.1517628225895607E-8</v>
      </c>
      <c r="D9823" s="141"/>
    </row>
    <row r="9824" spans="1:4" x14ac:dyDescent="0.2">
      <c r="A9824" s="140" t="s">
        <v>456</v>
      </c>
      <c r="B9824" s="141">
        <v>6.9722416618530306E-8</v>
      </c>
      <c r="D9824" s="141"/>
    </row>
    <row r="9825" spans="1:4" x14ac:dyDescent="0.2">
      <c r="A9825" s="140" t="s">
        <v>5294</v>
      </c>
      <c r="B9825" s="141">
        <v>6.9700384558024404E-8</v>
      </c>
      <c r="D9825" s="141"/>
    </row>
    <row r="9826" spans="1:4" x14ac:dyDescent="0.2">
      <c r="A9826" s="140" t="s">
        <v>980</v>
      </c>
      <c r="B9826" s="141">
        <v>6.4806929035507303E-8</v>
      </c>
      <c r="D9826" s="141"/>
    </row>
    <row r="9827" spans="1:4" x14ac:dyDescent="0.2">
      <c r="A9827" s="140" t="s">
        <v>860</v>
      </c>
      <c r="B9827" s="141">
        <v>6.3086485458075007E-8</v>
      </c>
      <c r="D9827" s="141"/>
    </row>
    <row r="9828" spans="1:4" x14ac:dyDescent="0.2">
      <c r="A9828" s="140" t="s">
        <v>10205</v>
      </c>
      <c r="B9828" s="141">
        <v>6.0827835493049095E-8</v>
      </c>
      <c r="D9828" s="141"/>
    </row>
    <row r="9829" spans="1:4" x14ac:dyDescent="0.2">
      <c r="A9829" s="140" t="s">
        <v>10206</v>
      </c>
      <c r="B9829" s="141">
        <v>6.0385187900204406E-8</v>
      </c>
      <c r="D9829" s="141"/>
    </row>
    <row r="9830" spans="1:4" x14ac:dyDescent="0.2">
      <c r="A9830" s="140" t="s">
        <v>900</v>
      </c>
      <c r="B9830" s="141">
        <v>6.0291371141829198E-8</v>
      </c>
      <c r="D9830" s="141"/>
    </row>
    <row r="9831" spans="1:4" x14ac:dyDescent="0.2">
      <c r="A9831" s="140" t="s">
        <v>10207</v>
      </c>
      <c r="B9831" s="141">
        <v>5.44937747524928E-8</v>
      </c>
      <c r="D9831" s="141"/>
    </row>
    <row r="9832" spans="1:4" x14ac:dyDescent="0.2">
      <c r="A9832" s="140" t="s">
        <v>486</v>
      </c>
      <c r="B9832" s="141">
        <v>5.4447766436490203E-8</v>
      </c>
      <c r="D9832" s="141"/>
    </row>
    <row r="9833" spans="1:4" x14ac:dyDescent="0.2">
      <c r="A9833" s="140" t="s">
        <v>10208</v>
      </c>
      <c r="B9833" s="141">
        <v>5.4089113425673299E-8</v>
      </c>
      <c r="D9833" s="141"/>
    </row>
    <row r="9834" spans="1:4" x14ac:dyDescent="0.2">
      <c r="A9834" s="140" t="s">
        <v>1898</v>
      </c>
      <c r="B9834" s="141">
        <v>4.9061709722687898E-8</v>
      </c>
      <c r="D9834" s="141"/>
    </row>
    <row r="9835" spans="1:4" x14ac:dyDescent="0.2">
      <c r="A9835" s="140" t="s">
        <v>10209</v>
      </c>
      <c r="B9835" s="141">
        <v>4.41462329726414E-8</v>
      </c>
      <c r="D9835" s="141"/>
    </row>
    <row r="9836" spans="1:4" x14ac:dyDescent="0.2">
      <c r="A9836" s="140" t="s">
        <v>4735</v>
      </c>
      <c r="B9836" s="141">
        <v>4.2591152335380402E-8</v>
      </c>
      <c r="D9836" s="141"/>
    </row>
    <row r="9837" spans="1:4" x14ac:dyDescent="0.2">
      <c r="A9837" s="140" t="s">
        <v>10210</v>
      </c>
      <c r="B9837" s="141">
        <v>4.1283093754422997E-8</v>
      </c>
      <c r="D9837" s="141"/>
    </row>
    <row r="9838" spans="1:4" x14ac:dyDescent="0.2">
      <c r="A9838" s="140" t="s">
        <v>10211</v>
      </c>
      <c r="B9838" s="141">
        <v>4.0779486633830003E-8</v>
      </c>
      <c r="D9838" s="141"/>
    </row>
    <row r="9839" spans="1:4" x14ac:dyDescent="0.2">
      <c r="A9839" s="140" t="s">
        <v>605</v>
      </c>
      <c r="B9839" s="141">
        <v>3.6779138476389599E-8</v>
      </c>
      <c r="D9839" s="141"/>
    </row>
    <row r="9840" spans="1:4" x14ac:dyDescent="0.2">
      <c r="A9840" s="140" t="s">
        <v>917</v>
      </c>
      <c r="B9840" s="141">
        <v>3.43148243717454E-8</v>
      </c>
      <c r="D9840" s="141"/>
    </row>
    <row r="9841" spans="1:4" x14ac:dyDescent="0.2">
      <c r="A9841" s="140" t="s">
        <v>10212</v>
      </c>
      <c r="B9841" s="141">
        <v>3.3707129778012497E-8</v>
      </c>
      <c r="D9841" s="141"/>
    </row>
    <row r="9842" spans="1:4" x14ac:dyDescent="0.2">
      <c r="A9842" s="140" t="s">
        <v>353</v>
      </c>
      <c r="B9842" s="141">
        <v>3.2285285373704202E-8</v>
      </c>
      <c r="D9842" s="141"/>
    </row>
    <row r="9843" spans="1:4" x14ac:dyDescent="0.2">
      <c r="A9843" s="140" t="s">
        <v>412</v>
      </c>
      <c r="B9843" s="141">
        <v>3.1350261487209599E-8</v>
      </c>
      <c r="D9843" s="141"/>
    </row>
    <row r="9844" spans="1:4" x14ac:dyDescent="0.2">
      <c r="A9844" s="140" t="s">
        <v>3456</v>
      </c>
      <c r="B9844" s="141">
        <v>3.0063887119093498E-8</v>
      </c>
      <c r="D9844" s="141"/>
    </row>
    <row r="9845" spans="1:4" x14ac:dyDescent="0.2">
      <c r="A9845" s="140" t="s">
        <v>342</v>
      </c>
      <c r="B9845" s="141">
        <v>3.0004942001305898E-8</v>
      </c>
      <c r="D9845" s="141"/>
    </row>
    <row r="9846" spans="1:4" x14ac:dyDescent="0.2">
      <c r="A9846" s="140" t="s">
        <v>10213</v>
      </c>
      <c r="B9846" s="141">
        <v>2.9291907354583101E-8</v>
      </c>
      <c r="D9846" s="141"/>
    </row>
    <row r="9847" spans="1:4" x14ac:dyDescent="0.2">
      <c r="A9847" s="140" t="s">
        <v>341</v>
      </c>
      <c r="B9847" s="141">
        <v>2.9260743779642401E-8</v>
      </c>
      <c r="D9847" s="141"/>
    </row>
    <row r="9848" spans="1:4" x14ac:dyDescent="0.2">
      <c r="A9848" s="140" t="s">
        <v>10214</v>
      </c>
      <c r="B9848" s="141">
        <v>2.3538486517538098E-8</v>
      </c>
      <c r="D9848" s="141"/>
    </row>
    <row r="9849" spans="1:4" x14ac:dyDescent="0.2">
      <c r="A9849" s="140" t="s">
        <v>1749</v>
      </c>
      <c r="B9849" s="141">
        <v>2.11457818220448E-8</v>
      </c>
      <c r="D9849" s="141"/>
    </row>
    <row r="9850" spans="1:4" x14ac:dyDescent="0.2">
      <c r="A9850" s="140" t="s">
        <v>529</v>
      </c>
      <c r="B9850" s="141">
        <v>2.0542515487970399E-8</v>
      </c>
      <c r="D9850" s="141"/>
    </row>
    <row r="9851" spans="1:4" x14ac:dyDescent="0.2">
      <c r="A9851" s="140" t="s">
        <v>10215</v>
      </c>
      <c r="B9851" s="141">
        <v>2.0244101378838799E-8</v>
      </c>
      <c r="D9851" s="141"/>
    </row>
    <row r="9852" spans="1:4" x14ac:dyDescent="0.2">
      <c r="A9852" s="140" t="s">
        <v>378</v>
      </c>
      <c r="B9852" s="141">
        <v>1.7761915053470698E-8</v>
      </c>
      <c r="D9852" s="141"/>
    </row>
    <row r="9853" spans="1:4" x14ac:dyDescent="0.2">
      <c r="A9853" s="140" t="s">
        <v>1386</v>
      </c>
      <c r="B9853" s="141">
        <v>1.6044590103646301E-8</v>
      </c>
      <c r="D9853" s="141"/>
    </row>
    <row r="9854" spans="1:4" x14ac:dyDescent="0.2">
      <c r="A9854" s="140" t="s">
        <v>5962</v>
      </c>
      <c r="B9854" s="141">
        <v>1.47104321081827E-8</v>
      </c>
      <c r="D9854" s="141"/>
    </row>
    <row r="9855" spans="1:4" x14ac:dyDescent="0.2">
      <c r="A9855" s="140" t="s">
        <v>427</v>
      </c>
      <c r="B9855" s="141">
        <v>1.43387352914574E-8</v>
      </c>
      <c r="D9855" s="141"/>
    </row>
    <row r="9856" spans="1:4" x14ac:dyDescent="0.2">
      <c r="A9856" s="140" t="s">
        <v>10216</v>
      </c>
      <c r="B9856" s="141">
        <v>1.36638336853011E-8</v>
      </c>
      <c r="D9856" s="141"/>
    </row>
    <row r="9857" spans="1:4" x14ac:dyDescent="0.2">
      <c r="A9857" s="140" t="s">
        <v>10217</v>
      </c>
      <c r="B9857" s="141">
        <v>1.16418392550826E-8</v>
      </c>
      <c r="D9857" s="141"/>
    </row>
    <row r="9858" spans="1:4" x14ac:dyDescent="0.2">
      <c r="A9858" s="140" t="s">
        <v>5431</v>
      </c>
      <c r="B9858" s="141">
        <v>9.6644422581772603E-9</v>
      </c>
      <c r="D9858" s="141"/>
    </row>
    <row r="9859" spans="1:4" x14ac:dyDescent="0.2">
      <c r="A9859" s="140" t="s">
        <v>376</v>
      </c>
      <c r="B9859" s="141">
        <v>8.6782440648686303E-9</v>
      </c>
      <c r="D9859" s="141"/>
    </row>
    <row r="9860" spans="1:4" x14ac:dyDescent="0.2">
      <c r="A9860" s="140" t="s">
        <v>10218</v>
      </c>
      <c r="B9860" s="141">
        <v>6.1027881527984806E-9</v>
      </c>
      <c r="D9860" s="141"/>
    </row>
    <row r="9861" spans="1:4" x14ac:dyDescent="0.2">
      <c r="A9861" s="140" t="s">
        <v>1036</v>
      </c>
      <c r="B9861" s="141">
        <v>4.56621310871352E-9</v>
      </c>
      <c r="D9861" s="141"/>
    </row>
    <row r="9862" spans="1:4" x14ac:dyDescent="0.2">
      <c r="A9862" s="140" t="s">
        <v>1044</v>
      </c>
      <c r="B9862" s="141">
        <v>2.6700135869598201E-9</v>
      </c>
      <c r="D9862" s="141"/>
    </row>
    <row r="9863" spans="1:4" x14ac:dyDescent="0.2">
      <c r="A9863" s="140" t="s">
        <v>10219</v>
      </c>
      <c r="B9863" s="141">
        <v>2.3090599105490499E-9</v>
      </c>
      <c r="D9863" s="141"/>
    </row>
  </sheetData>
  <conditionalFormatting sqref="A1">
    <cfRule type="containsErrors" dxfId="0" priority="1">
      <formula>ISERROR(A1)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A278-7875-43F4-BE83-D22E4521468E}">
  <dimension ref="B2:N41"/>
  <sheetViews>
    <sheetView workbookViewId="0">
      <selection activeCell="C20" sqref="C20"/>
    </sheetView>
  </sheetViews>
  <sheetFormatPr baseColWidth="10" defaultRowHeight="15" x14ac:dyDescent="0.2"/>
  <cols>
    <col min="1" max="1" width="10.83203125" style="14"/>
    <col min="2" max="2" width="24" style="14" bestFit="1" customWidth="1"/>
    <col min="3" max="16384" width="10.83203125" style="14"/>
  </cols>
  <sheetData>
    <row r="2" spans="2:14" ht="19" x14ac:dyDescent="0.25">
      <c r="B2" s="109" t="s">
        <v>96</v>
      </c>
    </row>
    <row r="4" spans="2:14" x14ac:dyDescent="0.2">
      <c r="B4" s="12" t="s">
        <v>295</v>
      </c>
      <c r="C4" s="12" t="s">
        <v>321</v>
      </c>
      <c r="D4" s="110"/>
      <c r="E4" s="110"/>
      <c r="F4" s="110"/>
      <c r="G4" s="110"/>
      <c r="H4" s="110"/>
      <c r="I4" s="110"/>
      <c r="J4" s="110"/>
      <c r="K4" s="110"/>
      <c r="L4" s="110"/>
      <c r="M4" s="110"/>
      <c r="N4" s="110"/>
    </row>
    <row r="5" spans="2:14" x14ac:dyDescent="0.2">
      <c r="B5" s="12" t="s">
        <v>217</v>
      </c>
      <c r="C5" s="12" t="s">
        <v>322</v>
      </c>
      <c r="D5" s="110"/>
      <c r="E5" s="110"/>
      <c r="F5" s="110"/>
      <c r="G5" s="110"/>
      <c r="H5" s="110"/>
      <c r="I5" s="110"/>
      <c r="J5" s="110"/>
      <c r="K5" s="110"/>
      <c r="L5" s="110"/>
      <c r="M5" s="110"/>
      <c r="N5" s="110"/>
    </row>
    <row r="6" spans="2:14" x14ac:dyDescent="0.2">
      <c r="B6" s="12" t="s">
        <v>10222</v>
      </c>
      <c r="C6" s="12" t="s">
        <v>10221</v>
      </c>
      <c r="D6" s="110"/>
      <c r="E6" s="110"/>
      <c r="F6" s="110"/>
      <c r="G6" s="110"/>
      <c r="H6" s="110"/>
      <c r="I6" s="110"/>
      <c r="J6" s="110"/>
      <c r="K6" s="110"/>
      <c r="L6" s="110"/>
      <c r="M6" s="110"/>
      <c r="N6" s="110"/>
    </row>
    <row r="7" spans="2:14" x14ac:dyDescent="0.2">
      <c r="B7" s="12" t="s">
        <v>320</v>
      </c>
      <c r="C7" s="12" t="s">
        <v>323</v>
      </c>
      <c r="D7" s="110"/>
      <c r="E7" s="110"/>
      <c r="F7" s="110"/>
      <c r="G7" s="110"/>
      <c r="H7" s="110"/>
      <c r="I7" s="110"/>
      <c r="J7" s="110"/>
      <c r="K7" s="110"/>
      <c r="L7" s="110"/>
      <c r="M7" s="110"/>
      <c r="N7" s="110"/>
    </row>
    <row r="8" spans="2:14" x14ac:dyDescent="0.2">
      <c r="B8" s="12" t="s">
        <v>10280</v>
      </c>
      <c r="C8" s="12" t="s">
        <v>10282</v>
      </c>
      <c r="D8" s="110"/>
      <c r="E8" s="110"/>
      <c r="F8" s="110"/>
      <c r="G8" s="110"/>
      <c r="H8" s="110"/>
      <c r="I8" s="110"/>
      <c r="J8" s="110"/>
      <c r="K8" s="110"/>
      <c r="L8" s="110"/>
      <c r="M8" s="110"/>
      <c r="N8" s="110"/>
    </row>
    <row r="9" spans="2:14" x14ac:dyDescent="0.2">
      <c r="B9" s="12" t="s">
        <v>6376</v>
      </c>
      <c r="C9" s="12" t="s">
        <v>6375</v>
      </c>
      <c r="D9" s="110"/>
      <c r="E9" s="110"/>
      <c r="F9" s="110"/>
      <c r="G9" s="110"/>
      <c r="H9" s="110"/>
      <c r="I9" s="110"/>
      <c r="J9" s="110"/>
      <c r="K9" s="110"/>
      <c r="L9" s="110"/>
      <c r="M9" s="110"/>
      <c r="N9" s="110"/>
    </row>
    <row r="10" spans="2:14" x14ac:dyDescent="0.2">
      <c r="B10" s="12" t="s">
        <v>296</v>
      </c>
      <c r="C10" s="12" t="s">
        <v>324</v>
      </c>
      <c r="D10" s="110"/>
      <c r="E10" s="110"/>
      <c r="F10" s="110"/>
      <c r="G10" s="110"/>
      <c r="H10" s="110"/>
      <c r="I10" s="110"/>
      <c r="J10" s="110"/>
      <c r="K10" s="110"/>
      <c r="L10" s="110"/>
      <c r="M10" s="110"/>
      <c r="N10" s="110"/>
    </row>
    <row r="11" spans="2:14" x14ac:dyDescent="0.2">
      <c r="B11" s="12" t="s">
        <v>297</v>
      </c>
      <c r="C11" s="12" t="s">
        <v>325</v>
      </c>
      <c r="D11" s="110"/>
      <c r="E11" s="110"/>
      <c r="F11" s="110"/>
      <c r="G11" s="110"/>
      <c r="H11" s="110"/>
      <c r="I11" s="110"/>
      <c r="J11" s="110"/>
      <c r="K11" s="110"/>
      <c r="L11" s="110"/>
      <c r="M11" s="110"/>
      <c r="N11" s="110"/>
    </row>
    <row r="12" spans="2:14" x14ac:dyDescent="0.2">
      <c r="B12" s="13" t="s">
        <v>207</v>
      </c>
      <c r="C12" s="12" t="s">
        <v>326</v>
      </c>
      <c r="D12" s="110"/>
      <c r="E12" s="110"/>
      <c r="F12" s="110"/>
      <c r="G12" s="110"/>
      <c r="H12" s="110"/>
      <c r="I12" s="110"/>
      <c r="J12" s="110"/>
      <c r="K12" s="110"/>
      <c r="L12" s="110"/>
      <c r="M12" s="110"/>
      <c r="N12" s="110"/>
    </row>
    <row r="13" spans="2:14" x14ac:dyDescent="0.2">
      <c r="B13" s="12" t="s">
        <v>298</v>
      </c>
      <c r="C13" s="12" t="s">
        <v>327</v>
      </c>
      <c r="D13" s="110"/>
      <c r="E13" s="110"/>
      <c r="F13" s="110"/>
      <c r="G13" s="110"/>
      <c r="H13" s="110"/>
      <c r="I13" s="110"/>
      <c r="J13" s="110"/>
      <c r="K13" s="110"/>
      <c r="L13" s="110"/>
      <c r="M13" s="110"/>
      <c r="N13" s="110"/>
    </row>
    <row r="14" spans="2:14" x14ac:dyDescent="0.2">
      <c r="B14" s="12" t="s">
        <v>10343</v>
      </c>
      <c r="C14" s="12" t="s">
        <v>10342</v>
      </c>
      <c r="D14" s="110"/>
      <c r="E14" s="110"/>
      <c r="F14" s="110"/>
      <c r="G14" s="110"/>
      <c r="H14" s="110"/>
      <c r="I14" s="110"/>
      <c r="J14" s="110"/>
      <c r="K14" s="110"/>
      <c r="L14" s="110"/>
      <c r="M14" s="110"/>
      <c r="N14" s="110"/>
    </row>
    <row r="15" spans="2:14" x14ac:dyDescent="0.2">
      <c r="B15" s="12" t="s">
        <v>294</v>
      </c>
      <c r="C15" s="12" t="s">
        <v>328</v>
      </c>
    </row>
    <row r="16" spans="2:14" x14ac:dyDescent="0.2">
      <c r="B16" s="12" t="s">
        <v>299</v>
      </c>
      <c r="C16" s="12" t="s">
        <v>329</v>
      </c>
    </row>
    <row r="17" spans="2:3" x14ac:dyDescent="0.2">
      <c r="B17" s="12" t="s">
        <v>300</v>
      </c>
      <c r="C17" s="12" t="s">
        <v>334</v>
      </c>
    </row>
    <row r="18" spans="2:3" x14ac:dyDescent="0.2">
      <c r="B18" s="12" t="s">
        <v>235</v>
      </c>
      <c r="C18" s="12" t="s">
        <v>330</v>
      </c>
    </row>
    <row r="19" spans="2:3" x14ac:dyDescent="0.2">
      <c r="B19" s="12" t="s">
        <v>218</v>
      </c>
      <c r="C19" s="12" t="s">
        <v>331</v>
      </c>
    </row>
    <row r="20" spans="2:3" x14ac:dyDescent="0.2">
      <c r="B20" s="13" t="s">
        <v>204</v>
      </c>
      <c r="C20" s="12" t="s">
        <v>332</v>
      </c>
    </row>
    <row r="21" spans="2:3" ht="16" x14ac:dyDescent="0.2">
      <c r="B21" s="106" t="s">
        <v>318</v>
      </c>
      <c r="C21" s="12" t="s">
        <v>333</v>
      </c>
    </row>
    <row r="22" spans="2:3" x14ac:dyDescent="0.2">
      <c r="B22" s="12" t="s">
        <v>10339</v>
      </c>
      <c r="C22" s="12" t="s">
        <v>10340</v>
      </c>
    </row>
    <row r="25" spans="2:3" x14ac:dyDescent="0.2">
      <c r="C25" s="12"/>
    </row>
    <row r="26" spans="2:3" x14ac:dyDescent="0.2">
      <c r="C26" s="12"/>
    </row>
    <row r="27" spans="2:3" x14ac:dyDescent="0.2">
      <c r="C27" s="12"/>
    </row>
    <row r="28" spans="2:3" x14ac:dyDescent="0.2">
      <c r="C28" s="12"/>
    </row>
    <row r="29" spans="2:3" x14ac:dyDescent="0.2">
      <c r="C29" s="12"/>
    </row>
    <row r="30" spans="2:3" x14ac:dyDescent="0.2">
      <c r="C30" s="12"/>
    </row>
    <row r="31" spans="2:3" x14ac:dyDescent="0.2">
      <c r="C31" s="12"/>
    </row>
    <row r="32" spans="2:3" x14ac:dyDescent="0.2">
      <c r="B32" s="12"/>
      <c r="C32" s="12"/>
    </row>
    <row r="33" spans="2:3" x14ac:dyDescent="0.2">
      <c r="C33" s="12"/>
    </row>
    <row r="34" spans="2:3" x14ac:dyDescent="0.2">
      <c r="C34" s="12"/>
    </row>
    <row r="35" spans="2:3" x14ac:dyDescent="0.2">
      <c r="C35" s="12"/>
    </row>
    <row r="36" spans="2:3" x14ac:dyDescent="0.2">
      <c r="C36" s="12"/>
    </row>
    <row r="37" spans="2:3" x14ac:dyDescent="0.2">
      <c r="C37" s="12"/>
    </row>
    <row r="38" spans="2:3" x14ac:dyDescent="0.2">
      <c r="C38" s="12"/>
    </row>
    <row r="41" spans="2:3" x14ac:dyDescent="0.2">
      <c r="B4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Cover page</vt:lpstr>
      <vt:lpstr>1.1.SSDR_water</vt:lpstr>
      <vt:lpstr>1.2.SSDR_sediment</vt:lpstr>
      <vt:lpstr>1.3.SSDR_soil</vt:lpstr>
      <vt:lpstr>1.4.plasticFADE constants</vt:lpstr>
      <vt:lpstr>1.5.UVintensity</vt:lpstr>
      <vt:lpstr>2.1.sed_rates</vt:lpstr>
      <vt:lpstr>2.1.trackMPD</vt:lpstr>
      <vt:lpstr>3.1.regional_data</vt:lpstr>
      <vt:lpstr>3.2.polymer_list</vt:lpstr>
      <vt:lpstr>3.3.polymer_data_CI</vt:lpstr>
      <vt:lpstr>3.4.EEF_CI</vt:lpstr>
      <vt:lpstr>4.1.species_richness</vt:lpstr>
      <vt:lpstr>4.2.GEP</vt:lpstr>
      <vt:lpstr>4.3.polymer_emissions</vt:lpstr>
      <vt:lpstr>5.1.usetox_ef</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Juliette Louvet</dc:creator>
  <cp:lastModifiedBy>Nadim Saadi</cp:lastModifiedBy>
  <dcterms:created xsi:type="dcterms:W3CDTF">2024-01-16T21:08:50Z</dcterms:created>
  <dcterms:modified xsi:type="dcterms:W3CDTF">2026-07-15T17:51:36Z</dcterms:modified>
</cp:coreProperties>
</file>